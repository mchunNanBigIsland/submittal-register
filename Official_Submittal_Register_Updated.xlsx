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722" documentId="14_{533F4329-B275-4479-8BD6-A4781C41E290}" xr6:coauthVersionLast="47" xr6:coauthVersionMax="47" xr10:uidLastSave="{0A107330-C30C-4F3F-8E73-2150C33DCD44}"/>
  <bookViews>
    <workbookView minimized="1" xWindow="8850" yWindow="1230" windowWidth="15465" windowHeight="8805" tabRatio="580" firstSheet="6" activeTab="7"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Mech!$B$1:$L$348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1" i="4" l="1" a="1"/>
  <c r="K151" i="4" s="1"/>
  <c r="K53" i="6" a="1"/>
  <c r="K53" i="6" s="1"/>
  <c r="K51" i="6" a="1"/>
  <c r="K51" i="6" s="1"/>
  <c r="K64" i="6" a="1"/>
  <c r="K64" i="6" s="1"/>
  <c r="K336" i="12" a="1"/>
  <c r="K336" i="12" s="1"/>
  <c r="K333" i="12" a="1"/>
  <c r="K333" i="12" s="1"/>
  <c r="K360" i="12" a="1"/>
  <c r="K360" i="12" s="1"/>
  <c r="K83" i="4" a="1"/>
  <c r="K83" i="4"/>
  <c r="K153" i="4" a="1"/>
  <c r="K153" i="4" s="1"/>
  <c r="K9" i="3" a="1"/>
  <c r="K9" i="3"/>
  <c r="K14" i="3" a="1"/>
  <c r="K14" i="3"/>
  <c r="K378" i="4" a="1"/>
  <c r="K378" i="4" s="1"/>
  <c r="K194" i="5" a="1"/>
  <c r="K194" i="5" s="1"/>
  <c r="K233" i="5" a="1"/>
  <c r="K233" i="5" s="1"/>
  <c r="K4" i="8" a="1"/>
  <c r="K4" i="8"/>
  <c r="K5" i="8" a="1"/>
  <c r="K5" i="8"/>
  <c r="K6" i="8" a="1"/>
  <c r="K6" i="8"/>
  <c r="K7" i="8" a="1"/>
  <c r="K7" i="8"/>
  <c r="K8" i="8" a="1"/>
  <c r="K8" i="8"/>
  <c r="K9" i="8" a="1"/>
  <c r="K9" i="8"/>
  <c r="K10" i="8" a="1"/>
  <c r="K10" i="8"/>
  <c r="K11" i="8" a="1"/>
  <c r="K11" i="8"/>
  <c r="K12" i="8" a="1"/>
  <c r="K12" i="8"/>
  <c r="K13" i="8" a="1"/>
  <c r="K13" i="8"/>
  <c r="K14" i="8" a="1"/>
  <c r="K14" i="8"/>
  <c r="K15" i="8" a="1"/>
  <c r="K15" i="8"/>
  <c r="K16" i="8" a="1"/>
  <c r="K16" i="8"/>
  <c r="K17" i="8" a="1"/>
  <c r="K17" i="8"/>
  <c r="K18" i="8" a="1"/>
  <c r="K18" i="8"/>
  <c r="K3" i="8" a="1"/>
  <c r="K3" i="8" s="1"/>
  <c r="K3" i="2" a="1"/>
  <c r="K3" i="2"/>
  <c r="K4" i="2" a="1"/>
  <c r="K4" i="2"/>
  <c r="K5" i="2" a="1"/>
  <c r="K5" i="2"/>
  <c r="K6" i="2" a="1"/>
  <c r="K6" i="2"/>
  <c r="K7" i="2" a="1"/>
  <c r="K7" i="2"/>
  <c r="K8" i="2" a="1"/>
  <c r="K8" i="2"/>
  <c r="K9" i="2" a="1"/>
  <c r="K9" i="2"/>
  <c r="K10" i="2" a="1"/>
  <c r="K10" i="2"/>
  <c r="K11" i="2" a="1"/>
  <c r="K11" i="2"/>
  <c r="K12" i="2" a="1"/>
  <c r="K12" i="2"/>
  <c r="K13" i="2" a="1"/>
  <c r="K13" i="2"/>
  <c r="K14" i="2" a="1"/>
  <c r="K14" i="2"/>
  <c r="K15" i="2" a="1"/>
  <c r="K15" i="2"/>
  <c r="K16" i="2" a="1"/>
  <c r="K16" i="2"/>
  <c r="K17" i="2" a="1"/>
  <c r="K17" i="2"/>
  <c r="K18" i="2" a="1"/>
  <c r="K18" i="2"/>
  <c r="K19" i="2" a="1"/>
  <c r="K19" i="2"/>
  <c r="K20" i="2" a="1"/>
  <c r="K20" i="2"/>
  <c r="K21" i="2" a="1"/>
  <c r="K21" i="2"/>
  <c r="K22" i="2" a="1"/>
  <c r="K22" i="2"/>
  <c r="K23" i="2" a="1"/>
  <c r="K23" i="2"/>
  <c r="K24" i="2" a="1"/>
  <c r="K24" i="2"/>
  <c r="K25" i="2" a="1"/>
  <c r="K25" i="2"/>
  <c r="K26" i="2" a="1"/>
  <c r="K26" i="2"/>
  <c r="K27" i="2" a="1"/>
  <c r="K27" i="2"/>
  <c r="K28" i="2" a="1"/>
  <c r="K28" i="2"/>
  <c r="K29" i="2" a="1"/>
  <c r="K29" i="2"/>
  <c r="K30" i="2" a="1"/>
  <c r="K30" i="2"/>
  <c r="K31" i="2" a="1"/>
  <c r="K31" i="2"/>
  <c r="K32" i="2" a="1"/>
  <c r="K32" i="2"/>
  <c r="K33" i="2" a="1"/>
  <c r="K33" i="2"/>
  <c r="K34" i="2" a="1"/>
  <c r="K34" i="2"/>
  <c r="K35" i="2" a="1"/>
  <c r="K35" i="2"/>
  <c r="K36" i="2" a="1"/>
  <c r="K36" i="2"/>
  <c r="K37" i="2" a="1"/>
  <c r="K37" i="2"/>
  <c r="K3" i="5" a="1"/>
  <c r="K3" i="5"/>
  <c r="K4" i="12" a="1"/>
  <c r="K4" i="12"/>
  <c r="K5" i="12" a="1"/>
  <c r="K5" i="12"/>
  <c r="K6" i="12" a="1"/>
  <c r="K6" i="12"/>
  <c r="K7" i="12" a="1"/>
  <c r="K7" i="12"/>
  <c r="K8" i="12" a="1"/>
  <c r="K8" i="12"/>
  <c r="K9" i="12" a="1"/>
  <c r="K9" i="12"/>
  <c r="K10" i="12" a="1"/>
  <c r="K10" i="12"/>
  <c r="K11" i="12" a="1"/>
  <c r="K11" i="12"/>
  <c r="K12" i="12" a="1"/>
  <c r="K12" i="12"/>
  <c r="K13" i="12" a="1"/>
  <c r="K13" i="12"/>
  <c r="K14" i="12" a="1"/>
  <c r="K14" i="12"/>
  <c r="K15" i="12" a="1"/>
  <c r="K15" i="12"/>
  <c r="K16" i="12" a="1"/>
  <c r="K16" i="12"/>
  <c r="K17" i="12" a="1"/>
  <c r="K17" i="12"/>
  <c r="K18" i="12" a="1"/>
  <c r="K18" i="12"/>
  <c r="K19" i="12" a="1"/>
  <c r="K19" i="12"/>
  <c r="K20" i="12" a="1"/>
  <c r="K20" i="12"/>
  <c r="K21" i="12" a="1"/>
  <c r="K21" i="12"/>
  <c r="K22" i="12" a="1"/>
  <c r="K22" i="12"/>
  <c r="K23" i="12" a="1"/>
  <c r="K23" i="12"/>
  <c r="K24" i="12" a="1"/>
  <c r="K24" i="12"/>
  <c r="K25" i="12" a="1"/>
  <c r="K25" i="12"/>
  <c r="K26" i="12" a="1"/>
  <c r="K26" i="12"/>
  <c r="K27" i="12" a="1"/>
  <c r="K27" i="12"/>
  <c r="K28" i="12" a="1"/>
  <c r="K28" i="12"/>
  <c r="K29" i="12" a="1"/>
  <c r="K29" i="12"/>
  <c r="K30" i="12" a="1"/>
  <c r="K30" i="12"/>
  <c r="K31" i="12" a="1"/>
  <c r="K31" i="12"/>
  <c r="K32" i="12" a="1"/>
  <c r="K32" i="12"/>
  <c r="K33" i="12" a="1"/>
  <c r="K33" i="12"/>
  <c r="K34" i="12" a="1"/>
  <c r="K34" i="12"/>
  <c r="K35" i="12" a="1"/>
  <c r="K35" i="12"/>
  <c r="K36" i="12" a="1"/>
  <c r="K36" i="12"/>
  <c r="K37" i="12" a="1"/>
  <c r="K37" i="12"/>
  <c r="K38" i="12" a="1"/>
  <c r="K38" i="12"/>
  <c r="K39" i="12" a="1"/>
  <c r="K39" i="12"/>
  <c r="K40" i="12" a="1"/>
  <c r="K40" i="12"/>
  <c r="K41" i="12" a="1"/>
  <c r="K41" i="12"/>
  <c r="K42" i="12" a="1"/>
  <c r="K42" i="12"/>
  <c r="K43" i="12" a="1"/>
  <c r="K43" i="12"/>
  <c r="K44" i="12" a="1"/>
  <c r="K44" i="12"/>
  <c r="K45" i="12" a="1"/>
  <c r="K45" i="12"/>
  <c r="K46" i="12" a="1"/>
  <c r="K46" i="12"/>
  <c r="K47" i="12" a="1"/>
  <c r="K47" i="12"/>
  <c r="K48" i="12" a="1"/>
  <c r="K48" i="12"/>
  <c r="K49" i="12" a="1"/>
  <c r="K49" i="12"/>
  <c r="K50" i="12" a="1"/>
  <c r="K50" i="12"/>
  <c r="K51" i="12" a="1"/>
  <c r="K51" i="12"/>
  <c r="K52" i="12" a="1"/>
  <c r="K52" i="12"/>
  <c r="K53" i="12" a="1"/>
  <c r="K53" i="12"/>
  <c r="K54" i="12" a="1"/>
  <c r="K54" i="12"/>
  <c r="K55" i="12" a="1"/>
  <c r="K55" i="12"/>
  <c r="K56" i="12" a="1"/>
  <c r="K56" i="12"/>
  <c r="K57" i="12" a="1"/>
  <c r="K57" i="12"/>
  <c r="K58" i="12" a="1"/>
  <c r="K58" i="12"/>
  <c r="K59" i="12" a="1"/>
  <c r="K59" i="12"/>
  <c r="K60" i="12" a="1"/>
  <c r="K60" i="12"/>
  <c r="K61" i="12" a="1"/>
  <c r="K61" i="12"/>
  <c r="K62" i="12" a="1"/>
  <c r="K62" i="12"/>
  <c r="K63" i="12" a="1"/>
  <c r="K63" i="12"/>
  <c r="K64" i="12" a="1"/>
  <c r="K64" i="12"/>
  <c r="K65" i="12" a="1"/>
  <c r="K65" i="12"/>
  <c r="K66" i="12" a="1"/>
  <c r="K66" i="12"/>
  <c r="K67" i="12" a="1"/>
  <c r="K67" i="12"/>
  <c r="K68" i="12" a="1"/>
  <c r="K68" i="12"/>
  <c r="K69" i="12" a="1"/>
  <c r="K69" i="12"/>
  <c r="K70" i="12" a="1"/>
  <c r="K70" i="12"/>
  <c r="K71" i="12" a="1"/>
  <c r="K71" i="12"/>
  <c r="K72" i="12" a="1"/>
  <c r="K72" i="12"/>
  <c r="K73" i="12" a="1"/>
  <c r="K73" i="12"/>
  <c r="K74" i="12" a="1"/>
  <c r="K74" i="12"/>
  <c r="K75" i="12" a="1"/>
  <c r="K75" i="12"/>
  <c r="K76" i="12" a="1"/>
  <c r="K76" i="12"/>
  <c r="K77" i="12" a="1"/>
  <c r="K77" i="12"/>
  <c r="K78" i="12" a="1"/>
  <c r="K78" i="12"/>
  <c r="K79" i="12" a="1"/>
  <c r="K79" i="12"/>
  <c r="K80" i="12" a="1"/>
  <c r="K80" i="12"/>
  <c r="K81" i="12" a="1"/>
  <c r="K81" i="12"/>
  <c r="K82" i="12" a="1"/>
  <c r="K82" i="12"/>
  <c r="K83" i="12" a="1"/>
  <c r="K83" i="12"/>
  <c r="K84" i="12" a="1"/>
  <c r="K84" i="12"/>
  <c r="K85" i="12" a="1"/>
  <c r="K85" i="12"/>
  <c r="K86" i="12" a="1"/>
  <c r="K86" i="12"/>
  <c r="K87" i="12" a="1"/>
  <c r="K87" i="12"/>
  <c r="K88" i="12" a="1"/>
  <c r="K88" i="12"/>
  <c r="K89" i="12" a="1"/>
  <c r="K89" i="12"/>
  <c r="K90" i="12" a="1"/>
  <c r="K90" i="12"/>
  <c r="K91" i="12" a="1"/>
  <c r="K91" i="12"/>
  <c r="K92" i="12" a="1"/>
  <c r="K92" i="12"/>
  <c r="K93" i="12" a="1"/>
  <c r="K93" i="12"/>
  <c r="K94" i="12" a="1"/>
  <c r="K94" i="12"/>
  <c r="K95" i="12" a="1"/>
  <c r="K95" i="12"/>
  <c r="K96" i="12" a="1"/>
  <c r="K96" i="12"/>
  <c r="K97" i="12" a="1"/>
  <c r="K97" i="12"/>
  <c r="K98" i="12" a="1"/>
  <c r="K98" i="12"/>
  <c r="K99" i="12" a="1"/>
  <c r="K99" i="12"/>
  <c r="K100" i="12" a="1"/>
  <c r="K100" i="12"/>
  <c r="K101" i="12" a="1"/>
  <c r="K101" i="12"/>
  <c r="K102" i="12" a="1"/>
  <c r="K102" i="12"/>
  <c r="K103" i="12" a="1"/>
  <c r="K103" i="12"/>
  <c r="K104" i="12" a="1"/>
  <c r="K104" i="12"/>
  <c r="K105" i="12" a="1"/>
  <c r="K105" i="12"/>
  <c r="K106" i="12" a="1"/>
  <c r="K106" i="12"/>
  <c r="K107" i="12" a="1"/>
  <c r="K107" i="12"/>
  <c r="K108" i="12" a="1"/>
  <c r="K108" i="12"/>
  <c r="K109" i="12" a="1"/>
  <c r="K109" i="12"/>
  <c r="K110" i="12" a="1"/>
  <c r="K110" i="12"/>
  <c r="K111" i="12" a="1"/>
  <c r="K111" i="12"/>
  <c r="K112" i="12" a="1"/>
  <c r="K112" i="12"/>
  <c r="K113" i="12" a="1"/>
  <c r="K113" i="12"/>
  <c r="K114" i="12" a="1"/>
  <c r="K114" i="12"/>
  <c r="K115" i="12" a="1"/>
  <c r="K115" i="12"/>
  <c r="K116" i="12" a="1"/>
  <c r="K116" i="12"/>
  <c r="K117" i="12" a="1"/>
  <c r="K117" i="12"/>
  <c r="K118" i="12" a="1"/>
  <c r="K118" i="12"/>
  <c r="K119" i="12" a="1"/>
  <c r="K119" i="12"/>
  <c r="K120" i="12" a="1"/>
  <c r="K120" i="12"/>
  <c r="K121" i="12" a="1"/>
  <c r="K121" i="12"/>
  <c r="K122" i="12" a="1"/>
  <c r="K122" i="12"/>
  <c r="K123" i="12" a="1"/>
  <c r="K123" i="12"/>
  <c r="K124" i="12" a="1"/>
  <c r="K124" i="12"/>
  <c r="K125" i="12" a="1"/>
  <c r="K125" i="12"/>
  <c r="K126" i="12" a="1"/>
  <c r="K126" i="12"/>
  <c r="K127" i="12" a="1"/>
  <c r="K127" i="12"/>
  <c r="K128" i="12" a="1"/>
  <c r="K128" i="12"/>
  <c r="K129" i="12" a="1"/>
  <c r="K129" i="12"/>
  <c r="K130" i="12" a="1"/>
  <c r="K130" i="12"/>
  <c r="K131" i="12" a="1"/>
  <c r="K131" i="12"/>
  <c r="K132" i="12" a="1"/>
  <c r="K132" i="12"/>
  <c r="K133" i="12" a="1"/>
  <c r="K133" i="12"/>
  <c r="K134" i="12" a="1"/>
  <c r="K134" i="12"/>
  <c r="K135" i="12" a="1"/>
  <c r="K135" i="12"/>
  <c r="K136" i="12" a="1"/>
  <c r="K136" i="12"/>
  <c r="K137" i="12" a="1"/>
  <c r="K137" i="12"/>
  <c r="K138" i="12" a="1"/>
  <c r="K138" i="12"/>
  <c r="K139" i="12" a="1"/>
  <c r="K139" i="12"/>
  <c r="K140" i="12" a="1"/>
  <c r="K140" i="12"/>
  <c r="K141" i="12" a="1"/>
  <c r="K141" i="12"/>
  <c r="K142" i="12" a="1"/>
  <c r="K142" i="12"/>
  <c r="K143" i="12" a="1"/>
  <c r="K143" i="12"/>
  <c r="K144" i="12" a="1"/>
  <c r="K144" i="12"/>
  <c r="K145" i="12" a="1"/>
  <c r="K145" i="12"/>
  <c r="K146" i="12" a="1"/>
  <c r="K146" i="12"/>
  <c r="K147" i="12" a="1"/>
  <c r="K147" i="12"/>
  <c r="K148" i="12" a="1"/>
  <c r="K148" i="12"/>
  <c r="K149" i="12" a="1"/>
  <c r="K149" i="12"/>
  <c r="K150" i="12" a="1"/>
  <c r="K150" i="12"/>
  <c r="K151" i="12" a="1"/>
  <c r="K151" i="12"/>
  <c r="K152" i="12" a="1"/>
  <c r="K152" i="12"/>
  <c r="K153" i="12" a="1"/>
  <c r="K153" i="12"/>
  <c r="K154" i="12" a="1"/>
  <c r="K154" i="12"/>
  <c r="K155" i="12" a="1"/>
  <c r="K155" i="12"/>
  <c r="K156" i="12" a="1"/>
  <c r="K156" i="12"/>
  <c r="K157" i="12" a="1"/>
  <c r="K157" i="12"/>
  <c r="K158" i="12" a="1"/>
  <c r="K158" i="12"/>
  <c r="K159" i="12" a="1"/>
  <c r="K159" i="12"/>
  <c r="K160" i="12" a="1"/>
  <c r="K160" i="12"/>
  <c r="K161" i="12" a="1"/>
  <c r="K161" i="12"/>
  <c r="K162" i="12" a="1"/>
  <c r="K162" i="12"/>
  <c r="K163" i="12" a="1"/>
  <c r="K163" i="12"/>
  <c r="K164" i="12" a="1"/>
  <c r="K164" i="12"/>
  <c r="K165" i="12" a="1"/>
  <c r="K165" i="12"/>
  <c r="K166" i="12" a="1"/>
  <c r="K166" i="12"/>
  <c r="K167" i="12" a="1"/>
  <c r="K167" i="12"/>
  <c r="K168" i="12" a="1"/>
  <c r="K168" i="12"/>
  <c r="K169" i="12" a="1"/>
  <c r="K169" i="12"/>
  <c r="K170" i="12" a="1"/>
  <c r="K170" i="12"/>
  <c r="K171" i="12" a="1"/>
  <c r="K171" i="12"/>
  <c r="K172" i="12" a="1"/>
  <c r="K172" i="12"/>
  <c r="K173" i="12" a="1"/>
  <c r="K173" i="12"/>
  <c r="K174" i="12" a="1"/>
  <c r="K174" i="12"/>
  <c r="K175" i="12" a="1"/>
  <c r="K175" i="12"/>
  <c r="K176" i="12" a="1"/>
  <c r="K176" i="12"/>
  <c r="K177" i="12" a="1"/>
  <c r="K177" i="12"/>
  <c r="K178" i="12" a="1"/>
  <c r="K178" i="12"/>
  <c r="K179" i="12" a="1"/>
  <c r="K179" i="12"/>
  <c r="K180" i="12" a="1"/>
  <c r="K180" i="12"/>
  <c r="K181" i="12" a="1"/>
  <c r="K181" i="12"/>
  <c r="K182" i="12" a="1"/>
  <c r="K182" i="12"/>
  <c r="K183" i="12" a="1"/>
  <c r="K183" i="12"/>
  <c r="K184" i="12" a="1"/>
  <c r="K184" i="12"/>
  <c r="K185" i="12" a="1"/>
  <c r="K185" i="12"/>
  <c r="K186" i="12" a="1"/>
  <c r="K186" i="12"/>
  <c r="K187" i="12" a="1"/>
  <c r="K187" i="12"/>
  <c r="K188" i="12" a="1"/>
  <c r="K188" i="12"/>
  <c r="K189" i="12" a="1"/>
  <c r="K189" i="12"/>
  <c r="K190" i="12" a="1"/>
  <c r="K190" i="12"/>
  <c r="K191" i="12" a="1"/>
  <c r="K191" i="12"/>
  <c r="K192" i="12" a="1"/>
  <c r="K192" i="12"/>
  <c r="K193" i="12" a="1"/>
  <c r="K193" i="12"/>
  <c r="K194" i="12" a="1"/>
  <c r="K194" i="12"/>
  <c r="K195" i="12" a="1"/>
  <c r="K195" i="12"/>
  <c r="K196" i="12" a="1"/>
  <c r="K196" i="12"/>
  <c r="K197" i="12" a="1"/>
  <c r="K197" i="12"/>
  <c r="K198" i="12" a="1"/>
  <c r="K198" i="12"/>
  <c r="K199" i="12" a="1"/>
  <c r="K199" i="12"/>
  <c r="K200" i="12" a="1"/>
  <c r="K200" i="12"/>
  <c r="K201" i="12" a="1"/>
  <c r="K201" i="12"/>
  <c r="K202" i="12" a="1"/>
  <c r="K202" i="12"/>
  <c r="K203" i="12" a="1"/>
  <c r="K203" i="12"/>
  <c r="K204" i="12" a="1"/>
  <c r="K204" i="12"/>
  <c r="K205" i="12" a="1"/>
  <c r="K205" i="12"/>
  <c r="K206" i="12" a="1"/>
  <c r="K206" i="12"/>
  <c r="K207" i="12" a="1"/>
  <c r="K207" i="12"/>
  <c r="K208" i="12" a="1"/>
  <c r="K208" i="12"/>
  <c r="K209" i="12" a="1"/>
  <c r="K209" i="12"/>
  <c r="K210" i="12" a="1"/>
  <c r="K210" i="12"/>
  <c r="K211" i="12" a="1"/>
  <c r="K211" i="12"/>
  <c r="K212" i="12" a="1"/>
  <c r="K212" i="12"/>
  <c r="K213" i="12" a="1"/>
  <c r="K213" i="12"/>
  <c r="K214" i="12" a="1"/>
  <c r="K214" i="12"/>
  <c r="K215" i="12" a="1"/>
  <c r="K215" i="12"/>
  <c r="K216" i="12" a="1"/>
  <c r="K216" i="12"/>
  <c r="K217" i="12" a="1"/>
  <c r="K217" i="12"/>
  <c r="K218" i="12" a="1"/>
  <c r="K218" i="12"/>
  <c r="K219" i="12" a="1"/>
  <c r="K219" i="12"/>
  <c r="K220" i="12" a="1"/>
  <c r="K220" i="12"/>
  <c r="K221" i="12" a="1"/>
  <c r="K221" i="12"/>
  <c r="K222" i="12" a="1"/>
  <c r="K222" i="12"/>
  <c r="K223" i="12" a="1"/>
  <c r="K223" i="12"/>
  <c r="K224" i="12" a="1"/>
  <c r="K224" i="12"/>
  <c r="K225" i="12" a="1"/>
  <c r="K225" i="12"/>
  <c r="K226" i="12" a="1"/>
  <c r="K226" i="12"/>
  <c r="K227" i="12" a="1"/>
  <c r="K227" i="12"/>
  <c r="K228" i="12" a="1"/>
  <c r="K228" i="12"/>
  <c r="K229" i="12" a="1"/>
  <c r="K229" i="12"/>
  <c r="K230" i="12" a="1"/>
  <c r="K230" i="12"/>
  <c r="K231" i="12" a="1"/>
  <c r="K231" i="12"/>
  <c r="K232" i="12" a="1"/>
  <c r="K232" i="12"/>
  <c r="K233" i="12" a="1"/>
  <c r="K233" i="12"/>
  <c r="K234" i="12" a="1"/>
  <c r="K234" i="12"/>
  <c r="K235" i="12" a="1"/>
  <c r="K235" i="12"/>
  <c r="K236" i="12" a="1"/>
  <c r="K236" i="12"/>
  <c r="K237" i="12" a="1"/>
  <c r="K237" i="12"/>
  <c r="K238" i="12" a="1"/>
  <c r="K238" i="12"/>
  <c r="K239" i="12" a="1"/>
  <c r="K239" i="12"/>
  <c r="K240" i="12" a="1"/>
  <c r="K240" i="12"/>
  <c r="K241" i="12" a="1"/>
  <c r="K241" i="12"/>
  <c r="K242" i="12" a="1"/>
  <c r="K242" i="12"/>
  <c r="K243" i="12" a="1"/>
  <c r="K243" i="12"/>
  <c r="K244" i="12" a="1"/>
  <c r="K244" i="12"/>
  <c r="K245" i="12" a="1"/>
  <c r="K245" i="12"/>
  <c r="K246" i="12" a="1"/>
  <c r="K246" i="12"/>
  <c r="K247" i="12" a="1"/>
  <c r="K247" i="12"/>
  <c r="K248" i="12" a="1"/>
  <c r="K248" i="12"/>
  <c r="K249" i="12" a="1"/>
  <c r="K249" i="12"/>
  <c r="K250" i="12" a="1"/>
  <c r="K250" i="12"/>
  <c r="K251" i="12" a="1"/>
  <c r="K251" i="12"/>
  <c r="K252" i="12" a="1"/>
  <c r="K252" i="12"/>
  <c r="K253" i="12" a="1"/>
  <c r="K253" i="12"/>
  <c r="K254" i="12" a="1"/>
  <c r="K254" i="12"/>
  <c r="K255" i="12" a="1"/>
  <c r="K255" i="12"/>
  <c r="K256" i="12" a="1"/>
  <c r="K256" i="12"/>
  <c r="K257" i="12" a="1"/>
  <c r="K257" i="12"/>
  <c r="K258" i="12" a="1"/>
  <c r="K258" i="12"/>
  <c r="K259" i="12" a="1"/>
  <c r="K259" i="12"/>
  <c r="K260" i="12" a="1"/>
  <c r="K260" i="12"/>
  <c r="K261" i="12" a="1"/>
  <c r="K261" i="12"/>
  <c r="K262" i="12" a="1"/>
  <c r="K262" i="12"/>
  <c r="K263" i="12" a="1"/>
  <c r="K263" i="12"/>
  <c r="K264" i="12" a="1"/>
  <c r="K264" i="12"/>
  <c r="K265" i="12" a="1"/>
  <c r="K265" i="12"/>
  <c r="K266" i="12" a="1"/>
  <c r="K266" i="12"/>
  <c r="K267" i="12" a="1"/>
  <c r="K267" i="12"/>
  <c r="K268" i="12" a="1"/>
  <c r="K268" i="12"/>
  <c r="K269" i="12" a="1"/>
  <c r="K269" i="12"/>
  <c r="K270" i="12" a="1"/>
  <c r="K270" i="12"/>
  <c r="K271" i="12" a="1"/>
  <c r="K271" i="12"/>
  <c r="K272" i="12" a="1"/>
  <c r="K272" i="12"/>
  <c r="K273" i="12" a="1"/>
  <c r="K273" i="12"/>
  <c r="K274" i="12" a="1"/>
  <c r="K274" i="12"/>
  <c r="K275" i="12" a="1"/>
  <c r="K275" i="12"/>
  <c r="K276" i="12" a="1"/>
  <c r="K276" i="12"/>
  <c r="K277" i="12" a="1"/>
  <c r="K277" i="12"/>
  <c r="K278" i="12" a="1"/>
  <c r="K278" i="12"/>
  <c r="K279" i="12" a="1"/>
  <c r="K279" i="12"/>
  <c r="K280" i="12" a="1"/>
  <c r="K280" i="12"/>
  <c r="K281" i="12" a="1"/>
  <c r="K281" i="12"/>
  <c r="K282" i="12" a="1"/>
  <c r="K282" i="12"/>
  <c r="K283" i="12" a="1"/>
  <c r="K283" i="12"/>
  <c r="K284" i="12" a="1"/>
  <c r="K284" i="12"/>
  <c r="K285" i="12" a="1"/>
  <c r="K285" i="12"/>
  <c r="K286" i="12" a="1"/>
  <c r="K286" i="12"/>
  <c r="K287" i="12" a="1"/>
  <c r="K287" i="12"/>
  <c r="K288" i="12" a="1"/>
  <c r="K288" i="12"/>
  <c r="K289" i="12" a="1"/>
  <c r="K289" i="12"/>
  <c r="K290" i="12" a="1"/>
  <c r="K290" i="12"/>
  <c r="K291" i="12" a="1"/>
  <c r="K291" i="12"/>
  <c r="K292" i="12" a="1"/>
  <c r="K292" i="12"/>
  <c r="K293" i="12" a="1"/>
  <c r="K293" i="12"/>
  <c r="K294" i="12" a="1"/>
  <c r="K294" i="12"/>
  <c r="K295" i="12" a="1"/>
  <c r="K295" i="12"/>
  <c r="K296" i="12" a="1"/>
  <c r="K296" i="12"/>
  <c r="K297" i="12" a="1"/>
  <c r="K297" i="12"/>
  <c r="K298" i="12" a="1"/>
  <c r="K298" i="12"/>
  <c r="K299" i="12" a="1"/>
  <c r="K299" i="12"/>
  <c r="K300" i="12" a="1"/>
  <c r="K300" i="12"/>
  <c r="K301" i="12" a="1"/>
  <c r="K301" i="12"/>
  <c r="K302" i="12" a="1"/>
  <c r="K302" i="12"/>
  <c r="K303" i="12" a="1"/>
  <c r="K303" i="12"/>
  <c r="K304" i="12" a="1"/>
  <c r="K304" i="12"/>
  <c r="K305" i="12" a="1"/>
  <c r="K305" i="12"/>
  <c r="K306" i="12" a="1"/>
  <c r="K306" i="12"/>
  <c r="K307" i="12" a="1"/>
  <c r="K307" i="12"/>
  <c r="K308" i="12" a="1"/>
  <c r="K308" i="12"/>
  <c r="K309" i="12" a="1"/>
  <c r="K309" i="12"/>
  <c r="K310" i="12" a="1"/>
  <c r="K310" i="12"/>
  <c r="K311" i="12" a="1"/>
  <c r="K311" i="12"/>
  <c r="K312" i="12" a="1"/>
  <c r="K312" i="12"/>
  <c r="K313" i="12" a="1"/>
  <c r="K313" i="12"/>
  <c r="K314" i="12" a="1"/>
  <c r="K314" i="12"/>
  <c r="K315" i="12" a="1"/>
  <c r="K315" i="12"/>
  <c r="K316" i="12" a="1"/>
  <c r="K316" i="12"/>
  <c r="K317" i="12" a="1"/>
  <c r="K317" i="12"/>
  <c r="K318" i="12" a="1"/>
  <c r="K318" i="12"/>
  <c r="K319" i="12" a="1"/>
  <c r="K319" i="12"/>
  <c r="K320" i="12" a="1"/>
  <c r="K320" i="12"/>
  <c r="K321" i="12" a="1"/>
  <c r="K321" i="12"/>
  <c r="K322" i="12" a="1"/>
  <c r="K322" i="12"/>
  <c r="K323" i="12" a="1"/>
  <c r="K323" i="12"/>
  <c r="K324" i="12" a="1"/>
  <c r="K324" i="12"/>
  <c r="K325" i="12" a="1"/>
  <c r="K325" i="12"/>
  <c r="K326" i="12" a="1"/>
  <c r="K326" i="12"/>
  <c r="K327" i="12" a="1"/>
  <c r="K327" i="12"/>
  <c r="K328" i="12" a="1"/>
  <c r="K328" i="12"/>
  <c r="K329" i="12" a="1"/>
  <c r="K329" i="12"/>
  <c r="K330" i="12" a="1"/>
  <c r="K330" i="12"/>
  <c r="K331" i="12" a="1"/>
  <c r="K331" i="12"/>
  <c r="K332" i="12" a="1"/>
  <c r="K332" i="12"/>
  <c r="K334" i="12" a="1"/>
  <c r="K334" i="12"/>
  <c r="K335" i="12" a="1"/>
  <c r="K335" i="12"/>
  <c r="K337" i="12" a="1"/>
  <c r="K337" i="12"/>
  <c r="K338" i="12" a="1"/>
  <c r="K338" i="12"/>
  <c r="K339" i="12" a="1"/>
  <c r="K339" i="12"/>
  <c r="K340" i="12" a="1"/>
  <c r="K340" i="12"/>
  <c r="K341" i="12" a="1"/>
  <c r="K341" i="12"/>
  <c r="K342" i="12" a="1"/>
  <c r="K342" i="12"/>
  <c r="K343" i="12" a="1"/>
  <c r="K343" i="12"/>
  <c r="K344" i="12" a="1"/>
  <c r="K344" i="12"/>
  <c r="K345" i="12" a="1"/>
  <c r="K345" i="12"/>
  <c r="K346" i="12" a="1"/>
  <c r="K346" i="12"/>
  <c r="K347" i="12" a="1"/>
  <c r="K347" i="12"/>
  <c r="K348" i="12" a="1"/>
  <c r="K348" i="12"/>
  <c r="K349" i="12" a="1"/>
  <c r="K349" i="12"/>
  <c r="K350" i="12" a="1"/>
  <c r="K350" i="12"/>
  <c r="K351" i="12" a="1"/>
  <c r="K351" i="12"/>
  <c r="K352" i="12" a="1"/>
  <c r="K352" i="12"/>
  <c r="K353" i="12" a="1"/>
  <c r="K353" i="12"/>
  <c r="K354" i="12" a="1"/>
  <c r="K354" i="12"/>
  <c r="K355" i="12" a="1"/>
  <c r="K355" i="12"/>
  <c r="K356" i="12" a="1"/>
  <c r="K356" i="12"/>
  <c r="K357" i="12" a="1"/>
  <c r="K357" i="12"/>
  <c r="K358" i="12" a="1"/>
  <c r="K358" i="12"/>
  <c r="K359" i="12" a="1"/>
  <c r="K359" i="12"/>
  <c r="K361" i="12" a="1"/>
  <c r="K361" i="12"/>
  <c r="K362" i="12" a="1"/>
  <c r="K362" i="12"/>
  <c r="K363" i="12" a="1"/>
  <c r="K363" i="12"/>
  <c r="K364" i="12" a="1"/>
  <c r="K364" i="12"/>
  <c r="K365" i="12" a="1"/>
  <c r="K365" i="12"/>
  <c r="K366" i="12" a="1"/>
  <c r="K366" i="12"/>
  <c r="K367" i="12" a="1"/>
  <c r="K367" i="12"/>
  <c r="K368" i="12" a="1"/>
  <c r="K368" i="12"/>
  <c r="K369" i="12" a="1"/>
  <c r="K369" i="12"/>
  <c r="K370" i="12" a="1"/>
  <c r="K370" i="12"/>
  <c r="K371" i="12" a="1"/>
  <c r="K371" i="12"/>
  <c r="K372" i="12" a="1"/>
  <c r="K372" i="12"/>
  <c r="K373" i="12" a="1"/>
  <c r="K373" i="12"/>
  <c r="K374" i="12" a="1"/>
  <c r="K374" i="12"/>
  <c r="K375" i="12" a="1"/>
  <c r="K375" i="12"/>
  <c r="K376" i="12" a="1"/>
  <c r="K376" i="12"/>
  <c r="K377" i="12" a="1"/>
  <c r="K377" i="12"/>
  <c r="K378" i="12" a="1"/>
  <c r="K378" i="12"/>
  <c r="K379" i="12" a="1"/>
  <c r="K379" i="12"/>
  <c r="K380" i="12" a="1"/>
  <c r="K380" i="12"/>
  <c r="K381" i="12" a="1"/>
  <c r="K381" i="12"/>
  <c r="K382" i="12" a="1"/>
  <c r="K382" i="12"/>
  <c r="K383" i="12" a="1"/>
  <c r="K383" i="12"/>
  <c r="K384" i="12" a="1"/>
  <c r="K384" i="12"/>
  <c r="K385" i="12" a="1"/>
  <c r="K385" i="12"/>
  <c r="K386" i="12" a="1"/>
  <c r="K386" i="12"/>
  <c r="K387" i="12" a="1"/>
  <c r="K387" i="12"/>
  <c r="K388" i="12" a="1"/>
  <c r="K388" i="12"/>
  <c r="K389" i="12" a="1"/>
  <c r="K389" i="12"/>
  <c r="K390" i="12" a="1"/>
  <c r="K390" i="12"/>
  <c r="K391" i="12" a="1"/>
  <c r="K391" i="12"/>
  <c r="K392" i="12" a="1"/>
  <c r="K392" i="12"/>
  <c r="K393" i="12" a="1"/>
  <c r="K393" i="12"/>
  <c r="K394" i="12" a="1"/>
  <c r="K394" i="12"/>
  <c r="K395" i="12" a="1"/>
  <c r="K395" i="12"/>
  <c r="K396" i="12" a="1"/>
  <c r="K396" i="12"/>
  <c r="K397" i="12" a="1"/>
  <c r="K397" i="12"/>
  <c r="K398" i="12" a="1"/>
  <c r="K398" i="12"/>
  <c r="K399" i="12" a="1"/>
  <c r="K399" i="12"/>
  <c r="K400" i="12" a="1"/>
  <c r="K400" i="12"/>
  <c r="K401" i="12" a="1"/>
  <c r="K401" i="12"/>
  <c r="K402" i="12" a="1"/>
  <c r="K402" i="12"/>
  <c r="K403" i="12" a="1"/>
  <c r="K403" i="12"/>
  <c r="K404" i="12" a="1"/>
  <c r="K404" i="12"/>
  <c r="K405" i="12" a="1"/>
  <c r="K405" i="12"/>
  <c r="K406" i="12" a="1"/>
  <c r="K406" i="12"/>
  <c r="K407" i="12" a="1"/>
  <c r="K407" i="12"/>
  <c r="K408" i="12" a="1"/>
  <c r="K408" i="12"/>
  <c r="K409" i="12" a="1"/>
  <c r="K409" i="12"/>
  <c r="K410" i="12" a="1"/>
  <c r="K410" i="12"/>
  <c r="K411" i="12" a="1"/>
  <c r="K411" i="12"/>
  <c r="K412" i="12" a="1"/>
  <c r="K412" i="12"/>
  <c r="K413" i="12" a="1"/>
  <c r="K413" i="12"/>
  <c r="K414" i="12" a="1"/>
  <c r="K414" i="12"/>
  <c r="K415" i="12" a="1"/>
  <c r="K415" i="12"/>
  <c r="K416" i="12" a="1"/>
  <c r="K416" i="12"/>
  <c r="K417" i="12" a="1"/>
  <c r="K417" i="12"/>
  <c r="K418" i="12" a="1"/>
  <c r="K418" i="12"/>
  <c r="K419" i="12" a="1"/>
  <c r="K419" i="12"/>
  <c r="K420" i="12" a="1"/>
  <c r="K420" i="12"/>
  <c r="K421" i="12" a="1"/>
  <c r="K421" i="12"/>
  <c r="K422" i="12" a="1"/>
  <c r="K422" i="12"/>
  <c r="K423" i="12" a="1"/>
  <c r="K423" i="12"/>
  <c r="K424" i="12" a="1"/>
  <c r="K424" i="12"/>
  <c r="K425" i="12" a="1"/>
  <c r="K425" i="12"/>
  <c r="K426" i="12" a="1"/>
  <c r="K426" i="12"/>
  <c r="K427" i="12" a="1"/>
  <c r="K427" i="12"/>
  <c r="K428" i="12" a="1"/>
  <c r="K428" i="12"/>
  <c r="K429" i="12" a="1"/>
  <c r="K429" i="12"/>
  <c r="K430" i="12" a="1"/>
  <c r="K430" i="12"/>
  <c r="K431" i="12" a="1"/>
  <c r="K431" i="12"/>
  <c r="K432" i="12" a="1"/>
  <c r="K432" i="12"/>
  <c r="K433" i="12" a="1"/>
  <c r="K433" i="12"/>
  <c r="K434" i="12" a="1"/>
  <c r="K434" i="12"/>
  <c r="K435" i="12" a="1"/>
  <c r="K435" i="12"/>
  <c r="K436" i="12" a="1"/>
  <c r="K436" i="12"/>
  <c r="K437" i="12" a="1"/>
  <c r="K437" i="12"/>
  <c r="K438" i="12" a="1"/>
  <c r="K438" i="12"/>
  <c r="K439" i="12" a="1"/>
  <c r="K439" i="12"/>
  <c r="K440" i="12" a="1"/>
  <c r="K440" i="12"/>
  <c r="K441" i="12" a="1"/>
  <c r="K441" i="12"/>
  <c r="K442" i="12" a="1"/>
  <c r="K442" i="12"/>
  <c r="K443" i="12" a="1"/>
  <c r="K443" i="12"/>
  <c r="K444" i="12" a="1"/>
  <c r="K444" i="12"/>
  <c r="K445" i="12" a="1"/>
  <c r="K445" i="12"/>
  <c r="K446" i="12" a="1"/>
  <c r="K446" i="12"/>
  <c r="K447" i="12" a="1"/>
  <c r="K447" i="12"/>
  <c r="K448" i="12" a="1"/>
  <c r="K448" i="12"/>
  <c r="K449" i="12" a="1"/>
  <c r="K449" i="12"/>
  <c r="K450" i="12" a="1"/>
  <c r="K450" i="12"/>
  <c r="K451" i="12" a="1"/>
  <c r="K451" i="12"/>
  <c r="K452" i="12" a="1"/>
  <c r="K452" i="12"/>
  <c r="K453" i="12" a="1"/>
  <c r="K453" i="12"/>
  <c r="K454" i="12" a="1"/>
  <c r="K454" i="12"/>
  <c r="K455" i="12" a="1"/>
  <c r="K455" i="12"/>
  <c r="K456" i="12" a="1"/>
  <c r="K456" i="12"/>
  <c r="K457" i="12" a="1"/>
  <c r="K457" i="12"/>
  <c r="K458" i="12" a="1"/>
  <c r="K458" i="12"/>
  <c r="K459" i="12" a="1"/>
  <c r="K459" i="12"/>
  <c r="K460" i="12" a="1"/>
  <c r="K460" i="12"/>
  <c r="K461" i="12" a="1"/>
  <c r="K461" i="12"/>
  <c r="K462" i="12" a="1"/>
  <c r="K462" i="12"/>
  <c r="K463" i="12" a="1"/>
  <c r="K463" i="12"/>
  <c r="K464" i="12" a="1"/>
  <c r="K464" i="12"/>
  <c r="K465" i="12" a="1"/>
  <c r="K465" i="12"/>
  <c r="K466" i="12" a="1"/>
  <c r="K466" i="12"/>
  <c r="K467" i="12" a="1"/>
  <c r="K467" i="12"/>
  <c r="K468" i="12" a="1"/>
  <c r="K468" i="12"/>
  <c r="K469" i="12" a="1"/>
  <c r="K469" i="12"/>
  <c r="K470" i="12" a="1"/>
  <c r="K470" i="12"/>
  <c r="K471" i="12" a="1"/>
  <c r="K471" i="12"/>
  <c r="K472" i="12" a="1"/>
  <c r="K472" i="12"/>
  <c r="K473" i="12" a="1"/>
  <c r="K473" i="12"/>
  <c r="K474" i="12" a="1"/>
  <c r="K474" i="12"/>
  <c r="K475" i="12" a="1"/>
  <c r="K475" i="12"/>
  <c r="K476" i="12" a="1"/>
  <c r="K476" i="12"/>
  <c r="K477" i="12" a="1"/>
  <c r="K477" i="12"/>
  <c r="K478" i="12" a="1"/>
  <c r="K478" i="12"/>
  <c r="K479" i="12" a="1"/>
  <c r="K479" i="12"/>
  <c r="K3" i="12" a="1"/>
  <c r="K3" i="12" s="1"/>
  <c r="K3" i="3" a="1"/>
  <c r="K3" i="3"/>
  <c r="K4" i="3" a="1"/>
  <c r="K4" i="3"/>
  <c r="K5" i="3" a="1"/>
  <c r="K5" i="3"/>
  <c r="K6" i="3" a="1"/>
  <c r="K6" i="3"/>
  <c r="K7" i="3" a="1"/>
  <c r="K7" i="3"/>
  <c r="K8" i="3" a="1"/>
  <c r="K8" i="3"/>
  <c r="K10" i="3" a="1"/>
  <c r="K10" i="3"/>
  <c r="K11" i="3" a="1"/>
  <c r="K11" i="3"/>
  <c r="K12" i="3" a="1"/>
  <c r="K12" i="3"/>
  <c r="K13" i="3" a="1"/>
  <c r="K13" i="3"/>
  <c r="K15" i="3" a="1"/>
  <c r="K15" i="3"/>
  <c r="K16" i="3" a="1"/>
  <c r="K16" i="3"/>
  <c r="K17" i="3" a="1"/>
  <c r="K17" i="3"/>
  <c r="K18" i="3" a="1"/>
  <c r="K18" i="3"/>
  <c r="K19" i="3" a="1"/>
  <c r="K19" i="3"/>
  <c r="K20" i="3" a="1"/>
  <c r="K20" i="3"/>
  <c r="K21" i="3" a="1"/>
  <c r="K21" i="3"/>
  <c r="K22" i="3" a="1"/>
  <c r="K22" i="3"/>
  <c r="K23" i="3" a="1"/>
  <c r="K23" i="3"/>
  <c r="K24" i="3" a="1"/>
  <c r="K24" i="3"/>
  <c r="K25" i="3" a="1"/>
  <c r="K25" i="3"/>
  <c r="K26" i="3" a="1"/>
  <c r="K26" i="3"/>
  <c r="K27" i="3" a="1"/>
  <c r="K27" i="3"/>
  <c r="K28" i="3" a="1"/>
  <c r="K28" i="3"/>
  <c r="K29" i="3" a="1"/>
  <c r="K29" i="3"/>
  <c r="K30" i="3" a="1"/>
  <c r="K30" i="3"/>
  <c r="K31" i="3" a="1"/>
  <c r="K31" i="3"/>
  <c r="K32" i="3" a="1"/>
  <c r="K32" i="3"/>
  <c r="K35" i="3" a="1"/>
  <c r="K35" i="3"/>
  <c r="K36" i="3" a="1"/>
  <c r="K36" i="3"/>
  <c r="K37" i="3" a="1"/>
  <c r="K37" i="3"/>
  <c r="K38" i="3" a="1"/>
  <c r="K38" i="3"/>
  <c r="K39" i="3" a="1"/>
  <c r="K39" i="3"/>
  <c r="K40" i="3" a="1"/>
  <c r="K40" i="3"/>
  <c r="K41" i="3" a="1"/>
  <c r="K41" i="3"/>
  <c r="K42" i="3" a="1"/>
  <c r="K42" i="3"/>
  <c r="K43" i="3" a="1"/>
  <c r="K43" i="3"/>
  <c r="K44" i="3" a="1"/>
  <c r="K44" i="3"/>
  <c r="K45" i="3" a="1"/>
  <c r="K45" i="3"/>
  <c r="K46" i="3" a="1"/>
  <c r="K46" i="3"/>
  <c r="K47" i="3" a="1"/>
  <c r="K47" i="3"/>
  <c r="K48" i="3" a="1"/>
  <c r="K48" i="3"/>
  <c r="K49" i="3" a="1"/>
  <c r="K49" i="3"/>
  <c r="K50" i="3" a="1"/>
  <c r="K50" i="3"/>
  <c r="K51" i="3" a="1"/>
  <c r="K51" i="3"/>
  <c r="K52" i="3" a="1"/>
  <c r="K52" i="3"/>
  <c r="K53" i="3" a="1"/>
  <c r="K53" i="3"/>
  <c r="K54" i="3" a="1"/>
  <c r="K54" i="3"/>
  <c r="K55" i="3" a="1"/>
  <c r="K55" i="3"/>
  <c r="K56" i="3" a="1"/>
  <c r="K56" i="3"/>
  <c r="K57" i="3" a="1"/>
  <c r="K57" i="3"/>
  <c r="K58" i="3" a="1"/>
  <c r="K58" i="3"/>
  <c r="K59" i="3" a="1"/>
  <c r="K59" i="3"/>
  <c r="K60" i="3" a="1"/>
  <c r="K60" i="3"/>
  <c r="K61" i="3" a="1"/>
  <c r="K61" i="3"/>
  <c r="K62" i="3" a="1"/>
  <c r="K62" i="3"/>
  <c r="K63" i="3" a="1"/>
  <c r="K63" i="3"/>
  <c r="K64" i="3" a="1"/>
  <c r="K64" i="3"/>
  <c r="K65" i="3" a="1"/>
  <c r="K65" i="3"/>
  <c r="K66" i="3" a="1"/>
  <c r="K66" i="3"/>
  <c r="K67" i="3" a="1"/>
  <c r="K67" i="3"/>
  <c r="K68" i="3" a="1"/>
  <c r="K68" i="3"/>
  <c r="K69" i="3" a="1"/>
  <c r="K69" i="3"/>
  <c r="K70" i="3" a="1"/>
  <c r="K70" i="3"/>
  <c r="K71" i="3" a="1"/>
  <c r="K71" i="3"/>
  <c r="K72" i="3" a="1"/>
  <c r="K72" i="3"/>
  <c r="K73" i="3" a="1"/>
  <c r="K73" i="3"/>
  <c r="K74" i="3" a="1"/>
  <c r="K74" i="3"/>
  <c r="K75" i="3" a="1"/>
  <c r="K75" i="3"/>
  <c r="K76" i="3" a="1"/>
  <c r="K76" i="3"/>
  <c r="K77" i="3" a="1"/>
  <c r="K77" i="3"/>
  <c r="K78" i="3" a="1"/>
  <c r="K78" i="3"/>
  <c r="K79" i="3" a="1"/>
  <c r="K79" i="3"/>
  <c r="K80" i="3" a="1"/>
  <c r="K80" i="3"/>
  <c r="K81" i="3" a="1"/>
  <c r="K81" i="3"/>
  <c r="K82" i="3" a="1"/>
  <c r="K82" i="3"/>
  <c r="K83" i="3" a="1"/>
  <c r="K83" i="3"/>
  <c r="K84" i="3" a="1"/>
  <c r="K84" i="3"/>
  <c r="K85" i="3" a="1"/>
  <c r="K85" i="3"/>
  <c r="K3" i="4" a="1"/>
  <c r="K3" i="4"/>
  <c r="K32" i="4" a="1"/>
  <c r="K32" i="4"/>
  <c r="K33" i="4" a="1"/>
  <c r="K33" i="4"/>
  <c r="K34" i="4" a="1"/>
  <c r="K34" i="4"/>
  <c r="K35" i="4" a="1"/>
  <c r="K35" i="4"/>
  <c r="K36" i="4" a="1"/>
  <c r="K36" i="4"/>
  <c r="K37" i="4" a="1"/>
  <c r="K37" i="4"/>
  <c r="K38" i="4" a="1"/>
  <c r="K38" i="4"/>
  <c r="K39" i="4" a="1"/>
  <c r="K39" i="4"/>
  <c r="K40" i="4" a="1"/>
  <c r="K40" i="4"/>
  <c r="K41" i="4" a="1"/>
  <c r="K41" i="4"/>
  <c r="K42" i="4" a="1"/>
  <c r="K42" i="4"/>
  <c r="K43" i="4" a="1"/>
  <c r="K43" i="4"/>
  <c r="K46" i="4" a="1"/>
  <c r="K46" i="4"/>
  <c r="K47" i="4" a="1"/>
  <c r="K47" i="4"/>
  <c r="K48" i="4" a="1"/>
  <c r="K48" i="4"/>
  <c r="K49" i="4" a="1"/>
  <c r="K49" i="4"/>
  <c r="K50" i="4" a="1"/>
  <c r="K50" i="4"/>
  <c r="K51" i="4" a="1"/>
  <c r="K51" i="4"/>
  <c r="K52" i="4" a="1"/>
  <c r="K52" i="4"/>
  <c r="K53" i="4" a="1"/>
  <c r="K53" i="4"/>
  <c r="K54" i="4" a="1"/>
  <c r="K54" i="4"/>
  <c r="K55" i="4" a="1"/>
  <c r="K55" i="4"/>
  <c r="K56" i="4" a="1"/>
  <c r="K56" i="4"/>
  <c r="K57" i="4" a="1"/>
  <c r="K57" i="4"/>
  <c r="K59" i="4" a="1"/>
  <c r="K59" i="4"/>
  <c r="K60" i="4" a="1"/>
  <c r="K60" i="4"/>
  <c r="K61" i="4" a="1"/>
  <c r="K61" i="4"/>
  <c r="K62" i="4" a="1"/>
  <c r="K62" i="4"/>
  <c r="K63" i="4" a="1"/>
  <c r="K63" i="4"/>
  <c r="K64" i="4" a="1"/>
  <c r="K64" i="4"/>
  <c r="K65" i="4" a="1"/>
  <c r="K65" i="4"/>
  <c r="K66" i="4" a="1"/>
  <c r="K66" i="4"/>
  <c r="K67" i="4" a="1"/>
  <c r="K67" i="4"/>
  <c r="K68" i="4" a="1"/>
  <c r="K68" i="4"/>
  <c r="K69" i="4" a="1"/>
  <c r="K69" i="4"/>
  <c r="K70" i="4" a="1"/>
  <c r="K70" i="4"/>
  <c r="K71" i="4" a="1"/>
  <c r="K71" i="4"/>
  <c r="K72" i="4" a="1"/>
  <c r="K72" i="4"/>
  <c r="K73" i="4" a="1"/>
  <c r="K73" i="4"/>
  <c r="K74" i="4" a="1"/>
  <c r="K74" i="4"/>
  <c r="K75" i="4" a="1"/>
  <c r="K75" i="4"/>
  <c r="K76" i="4" a="1"/>
  <c r="K76" i="4"/>
  <c r="K77" i="4" a="1"/>
  <c r="K77" i="4"/>
  <c r="K78" i="4" a="1"/>
  <c r="K78" i="4"/>
  <c r="K79" i="4" a="1"/>
  <c r="K79" i="4"/>
  <c r="K80" i="4" a="1"/>
  <c r="K80" i="4"/>
  <c r="K81" i="4" a="1"/>
  <c r="K81" i="4"/>
  <c r="K82" i="4" a="1"/>
  <c r="K82" i="4"/>
  <c r="K84" i="4" a="1"/>
  <c r="K84" i="4"/>
  <c r="K85" i="4" a="1"/>
  <c r="K85" i="4"/>
  <c r="K86" i="4" a="1"/>
  <c r="K86" i="4"/>
  <c r="K87" i="4" a="1"/>
  <c r="K87" i="4"/>
  <c r="K88" i="4" a="1"/>
  <c r="K88" i="4"/>
  <c r="K89" i="4" a="1"/>
  <c r="K89" i="4"/>
  <c r="K90" i="4" a="1"/>
  <c r="K90" i="4"/>
  <c r="K91" i="4" a="1"/>
  <c r="K91" i="4"/>
  <c r="K92" i="4" a="1"/>
  <c r="K92" i="4"/>
  <c r="K93" i="4" a="1"/>
  <c r="K93" i="4"/>
  <c r="K94" i="4" a="1"/>
  <c r="K94" i="4"/>
  <c r="K95" i="4" a="1"/>
  <c r="K95" i="4"/>
  <c r="K96" i="4" a="1"/>
  <c r="K96" i="4"/>
  <c r="K97" i="4" a="1"/>
  <c r="K97" i="4"/>
  <c r="K98" i="4" a="1"/>
  <c r="K98" i="4"/>
  <c r="K99" i="4" a="1"/>
  <c r="K99" i="4"/>
  <c r="K100" i="4" a="1"/>
  <c r="K100" i="4"/>
  <c r="K101" i="4" a="1"/>
  <c r="K101" i="4"/>
  <c r="K102" i="4" a="1"/>
  <c r="K102" i="4"/>
  <c r="K103" i="4" a="1"/>
  <c r="K103" i="4"/>
  <c r="K104" i="4" a="1"/>
  <c r="K104" i="4"/>
  <c r="K105" i="4" a="1"/>
  <c r="K105" i="4"/>
  <c r="K106" i="4" a="1"/>
  <c r="K106" i="4"/>
  <c r="K107" i="4" a="1"/>
  <c r="K107" i="4"/>
  <c r="K108" i="4" a="1"/>
  <c r="K108" i="4"/>
  <c r="K109" i="4" a="1"/>
  <c r="K109" i="4"/>
  <c r="K110" i="4" a="1"/>
  <c r="K110" i="4"/>
  <c r="K111" i="4" a="1"/>
  <c r="K111" i="4"/>
  <c r="K112" i="4" a="1"/>
  <c r="K112" i="4"/>
  <c r="K113" i="4" a="1"/>
  <c r="K113" i="4"/>
  <c r="K114" i="4" a="1"/>
  <c r="K114" i="4"/>
  <c r="K115" i="4" a="1"/>
  <c r="K115" i="4"/>
  <c r="K116" i="4" a="1"/>
  <c r="K116" i="4"/>
  <c r="K117" i="4" a="1"/>
  <c r="K117" i="4"/>
  <c r="K118" i="4" a="1"/>
  <c r="K118" i="4"/>
  <c r="K119" i="4" a="1"/>
  <c r="K119" i="4"/>
  <c r="K120" i="4" a="1"/>
  <c r="K120" i="4"/>
  <c r="K121" i="4" a="1"/>
  <c r="K121" i="4"/>
  <c r="K122" i="4" a="1"/>
  <c r="K122" i="4"/>
  <c r="K123" i="4" a="1"/>
  <c r="K123" i="4"/>
  <c r="K124" i="4" a="1"/>
  <c r="K124" i="4"/>
  <c r="K125" i="4" a="1"/>
  <c r="K125" i="4"/>
  <c r="K126" i="4" a="1"/>
  <c r="K126" i="4"/>
  <c r="K127" i="4" a="1"/>
  <c r="K127" i="4"/>
  <c r="K128" i="4" a="1"/>
  <c r="K128" i="4"/>
  <c r="K129" i="4" a="1"/>
  <c r="K129" i="4"/>
  <c r="K130" i="4" a="1"/>
  <c r="K130" i="4"/>
  <c r="K131" i="4" a="1"/>
  <c r="K131" i="4"/>
  <c r="K132" i="4" a="1"/>
  <c r="K132" i="4"/>
  <c r="K133" i="4" a="1"/>
  <c r="K133" i="4"/>
  <c r="K134" i="4" a="1"/>
  <c r="K134" i="4"/>
  <c r="K135" i="4" a="1"/>
  <c r="K135" i="4"/>
  <c r="K136" i="4" a="1"/>
  <c r="K136" i="4"/>
  <c r="K137" i="4" a="1"/>
  <c r="K137" i="4"/>
  <c r="K138" i="4" a="1"/>
  <c r="K138" i="4"/>
  <c r="K139" i="4" a="1"/>
  <c r="K139" i="4"/>
  <c r="K140" i="4" a="1"/>
  <c r="K140" i="4"/>
  <c r="K141" i="4" a="1"/>
  <c r="K141" i="4"/>
  <c r="K142" i="4" a="1"/>
  <c r="K142" i="4"/>
  <c r="K143" i="4" a="1"/>
  <c r="K143" i="4"/>
  <c r="K144" i="4" a="1"/>
  <c r="K144" i="4"/>
  <c r="K145" i="4" a="1"/>
  <c r="K145" i="4"/>
  <c r="K146" i="4" a="1"/>
  <c r="K146" i="4"/>
  <c r="K147" i="4" a="1"/>
  <c r="K147" i="4"/>
  <c r="K148" i="4" a="1"/>
  <c r="K148" i="4"/>
  <c r="K149" i="4" a="1"/>
  <c r="K149" i="4"/>
  <c r="K150" i="4" a="1"/>
  <c r="K150" i="4"/>
  <c r="K152" i="4" a="1"/>
  <c r="K152" i="4"/>
  <c r="K154" i="4" a="1"/>
  <c r="K154" i="4"/>
  <c r="K155" i="4" a="1"/>
  <c r="K155" i="4"/>
  <c r="K156" i="4" a="1"/>
  <c r="K156" i="4"/>
  <c r="K157" i="4" a="1"/>
  <c r="K157" i="4"/>
  <c r="K158" i="4" a="1"/>
  <c r="K158" i="4"/>
  <c r="K159" i="4" a="1"/>
  <c r="K159" i="4"/>
  <c r="K160" i="4" a="1"/>
  <c r="K160" i="4"/>
  <c r="K161" i="4" a="1"/>
  <c r="K161" i="4"/>
  <c r="K162" i="4" a="1"/>
  <c r="K162" i="4"/>
  <c r="K163" i="4" a="1"/>
  <c r="K163" i="4"/>
  <c r="K164" i="4" a="1"/>
  <c r="K164" i="4"/>
  <c r="K165" i="4" a="1"/>
  <c r="K165" i="4"/>
  <c r="K166" i="4" a="1"/>
  <c r="K166" i="4"/>
  <c r="K167" i="4" a="1"/>
  <c r="K167" i="4"/>
  <c r="K168" i="4" a="1"/>
  <c r="K168" i="4"/>
  <c r="K169" i="4" a="1"/>
  <c r="K169" i="4"/>
  <c r="K170" i="4" a="1"/>
  <c r="K170" i="4"/>
  <c r="K171" i="4" a="1"/>
  <c r="K171" i="4"/>
  <c r="K172" i="4" a="1"/>
  <c r="K172" i="4"/>
  <c r="K173" i="4" a="1"/>
  <c r="K173" i="4"/>
  <c r="K174" i="4" a="1"/>
  <c r="K174" i="4"/>
  <c r="K175" i="4" a="1"/>
  <c r="K175" i="4"/>
  <c r="K176" i="4" a="1"/>
  <c r="K176" i="4"/>
  <c r="K177" i="4" a="1"/>
  <c r="K177" i="4"/>
  <c r="K178" i="4" a="1"/>
  <c r="K178" i="4"/>
  <c r="K179" i="4" a="1"/>
  <c r="K179" i="4"/>
  <c r="K180" i="4" a="1"/>
  <c r="K180" i="4"/>
  <c r="K181" i="4" a="1"/>
  <c r="K181" i="4"/>
  <c r="K182" i="4" a="1"/>
  <c r="K182" i="4"/>
  <c r="K183" i="4" a="1"/>
  <c r="K183" i="4"/>
  <c r="K184" i="4" a="1"/>
  <c r="K184" i="4"/>
  <c r="K185" i="4" a="1"/>
  <c r="K185" i="4"/>
  <c r="K186" i="4" a="1"/>
  <c r="K186" i="4"/>
  <c r="K187" i="4" a="1"/>
  <c r="K187" i="4"/>
  <c r="K188" i="4" a="1"/>
  <c r="K188" i="4"/>
  <c r="K189" i="4" a="1"/>
  <c r="K189" i="4"/>
  <c r="K190" i="4" a="1"/>
  <c r="K190" i="4"/>
  <c r="K191" i="4" a="1"/>
  <c r="K191" i="4"/>
  <c r="K192" i="4" a="1"/>
  <c r="K192" i="4"/>
  <c r="K193" i="4" a="1"/>
  <c r="K193" i="4"/>
  <c r="K194" i="4" a="1"/>
  <c r="K194" i="4"/>
  <c r="K195" i="4" a="1"/>
  <c r="K195" i="4"/>
  <c r="K196" i="4" a="1"/>
  <c r="K196" i="4"/>
  <c r="K197" i="4" a="1"/>
  <c r="K197" i="4"/>
  <c r="K198" i="4" a="1"/>
  <c r="K198" i="4"/>
  <c r="K199" i="4" a="1"/>
  <c r="K199" i="4"/>
  <c r="K200" i="4" a="1"/>
  <c r="K200" i="4"/>
  <c r="K201" i="4" a="1"/>
  <c r="K201" i="4"/>
  <c r="K202" i="4" a="1"/>
  <c r="K202" i="4"/>
  <c r="K203" i="4" a="1"/>
  <c r="K203" i="4"/>
  <c r="K204" i="4" a="1"/>
  <c r="K204" i="4"/>
  <c r="K205" i="4" a="1"/>
  <c r="K205" i="4"/>
  <c r="K206" i="4" a="1"/>
  <c r="K206" i="4"/>
  <c r="K207" i="4" a="1"/>
  <c r="K207" i="4"/>
  <c r="K208" i="4" a="1"/>
  <c r="K208" i="4"/>
  <c r="K209" i="4" a="1"/>
  <c r="K209" i="4"/>
  <c r="K210" i="4" a="1"/>
  <c r="K210" i="4"/>
  <c r="K211" i="4" a="1"/>
  <c r="K211" i="4"/>
  <c r="K212" i="4" a="1"/>
  <c r="K212" i="4"/>
  <c r="K213" i="4" a="1"/>
  <c r="K213" i="4"/>
  <c r="K214" i="4" a="1"/>
  <c r="K214" i="4"/>
  <c r="K215" i="4" a="1"/>
  <c r="K215" i="4"/>
  <c r="K216" i="4" a="1"/>
  <c r="K216" i="4"/>
  <c r="K217" i="4" a="1"/>
  <c r="K217" i="4"/>
  <c r="K218" i="4" a="1"/>
  <c r="K218" i="4"/>
  <c r="K219" i="4" a="1"/>
  <c r="K219" i="4"/>
  <c r="K220" i="4" a="1"/>
  <c r="K220" i="4"/>
  <c r="K221" i="4" a="1"/>
  <c r="K221" i="4"/>
  <c r="K222" i="4" a="1"/>
  <c r="K222" i="4"/>
  <c r="K223" i="4" a="1"/>
  <c r="K223" i="4"/>
  <c r="K224" i="4" a="1"/>
  <c r="K224" i="4"/>
  <c r="K225" i="4" a="1"/>
  <c r="K225" i="4"/>
  <c r="K226" i="4" a="1"/>
  <c r="K226" i="4"/>
  <c r="K227" i="4" a="1"/>
  <c r="K227" i="4"/>
  <c r="K228" i="4" a="1"/>
  <c r="K228" i="4"/>
  <c r="K229" i="4" a="1"/>
  <c r="K229" i="4"/>
  <c r="K230" i="4" a="1"/>
  <c r="K230" i="4"/>
  <c r="K231" i="4" a="1"/>
  <c r="K231" i="4"/>
  <c r="K232" i="4" a="1"/>
  <c r="K232" i="4"/>
  <c r="K233" i="4" a="1"/>
  <c r="K233" i="4"/>
  <c r="K234" i="4" a="1"/>
  <c r="K234" i="4"/>
  <c r="K235" i="4" a="1"/>
  <c r="K235" i="4"/>
  <c r="K236" i="4" a="1"/>
  <c r="K236" i="4"/>
  <c r="K237" i="4" a="1"/>
  <c r="K237" i="4"/>
  <c r="K238" i="4" a="1"/>
  <c r="K238" i="4"/>
  <c r="K239" i="4" a="1"/>
  <c r="K239" i="4"/>
  <c r="K240" i="4" a="1"/>
  <c r="K240" i="4"/>
  <c r="K241" i="4" a="1"/>
  <c r="K241" i="4"/>
  <c r="K242" i="4" a="1"/>
  <c r="K242" i="4"/>
  <c r="K243" i="4" a="1"/>
  <c r="K243" i="4"/>
  <c r="K244" i="4" a="1"/>
  <c r="K244" i="4"/>
  <c r="K245" i="4" a="1"/>
  <c r="K245" i="4"/>
  <c r="K246" i="4" a="1"/>
  <c r="K246" i="4"/>
  <c r="K247" i="4" a="1"/>
  <c r="K247" i="4"/>
  <c r="K248" i="4" a="1"/>
  <c r="K248" i="4"/>
  <c r="K249" i="4" a="1"/>
  <c r="K249" i="4"/>
  <c r="K250" i="4" a="1"/>
  <c r="K250" i="4"/>
  <c r="K251" i="4" a="1"/>
  <c r="K251" i="4"/>
  <c r="K252" i="4" a="1"/>
  <c r="K252" i="4"/>
  <c r="K253" i="4" a="1"/>
  <c r="K253" i="4"/>
  <c r="K254" i="4" a="1"/>
  <c r="K254" i="4"/>
  <c r="K255" i="4" a="1"/>
  <c r="K255" i="4"/>
  <c r="K256" i="4" a="1"/>
  <c r="K256" i="4"/>
  <c r="K257" i="4" a="1"/>
  <c r="K257" i="4"/>
  <c r="K258" i="4" a="1"/>
  <c r="K258" i="4"/>
  <c r="K259" i="4" a="1"/>
  <c r="K259" i="4"/>
  <c r="K260" i="4" a="1"/>
  <c r="K260" i="4"/>
  <c r="K261" i="4" a="1"/>
  <c r="K261" i="4"/>
  <c r="K262" i="4" a="1"/>
  <c r="K262" i="4"/>
  <c r="K263" i="4" a="1"/>
  <c r="K263" i="4"/>
  <c r="K264" i="4" a="1"/>
  <c r="K264" i="4"/>
  <c r="K265" i="4" a="1"/>
  <c r="K265" i="4"/>
  <c r="K266" i="4" a="1"/>
  <c r="K266" i="4"/>
  <c r="K267" i="4" a="1"/>
  <c r="K267" i="4"/>
  <c r="K268" i="4" a="1"/>
  <c r="K268" i="4"/>
  <c r="K269" i="4" a="1"/>
  <c r="K269" i="4"/>
  <c r="K270" i="4" a="1"/>
  <c r="K270" i="4"/>
  <c r="K271" i="4" a="1"/>
  <c r="K271" i="4"/>
  <c r="K272" i="4" a="1"/>
  <c r="K272" i="4"/>
  <c r="K273" i="4" a="1"/>
  <c r="K273" i="4"/>
  <c r="K274" i="4" a="1"/>
  <c r="K274" i="4"/>
  <c r="K275" i="4" a="1"/>
  <c r="K275" i="4"/>
  <c r="K276" i="4" a="1"/>
  <c r="K276" i="4"/>
  <c r="K277" i="4" a="1"/>
  <c r="K277" i="4"/>
  <c r="K278" i="4" a="1"/>
  <c r="K278" i="4"/>
  <c r="K279" i="4" a="1"/>
  <c r="K279" i="4"/>
  <c r="K280" i="4" a="1"/>
  <c r="K280" i="4"/>
  <c r="K281" i="4" a="1"/>
  <c r="K281" i="4"/>
  <c r="K282" i="4" a="1"/>
  <c r="K282" i="4"/>
  <c r="K283" i="4" a="1"/>
  <c r="K283" i="4"/>
  <c r="K284" i="4" a="1"/>
  <c r="K284" i="4"/>
  <c r="K285" i="4" a="1"/>
  <c r="K285" i="4"/>
  <c r="K286" i="4" a="1"/>
  <c r="K286" i="4"/>
  <c r="K287" i="4" a="1"/>
  <c r="K287" i="4"/>
  <c r="K288" i="4" a="1"/>
  <c r="K288" i="4"/>
  <c r="K289" i="4" a="1"/>
  <c r="K289" i="4"/>
  <c r="K290" i="4" a="1"/>
  <c r="K290" i="4"/>
  <c r="K291" i="4" a="1"/>
  <c r="K291" i="4"/>
  <c r="K292" i="4" a="1"/>
  <c r="K292" i="4"/>
  <c r="K293" i="4" a="1"/>
  <c r="K293" i="4"/>
  <c r="K294" i="4" a="1"/>
  <c r="K294" i="4"/>
  <c r="K295" i="4" a="1"/>
  <c r="K295" i="4"/>
  <c r="K296" i="4" a="1"/>
  <c r="K296" i="4"/>
  <c r="K297" i="4" a="1"/>
  <c r="K297" i="4"/>
  <c r="K298" i="4" a="1"/>
  <c r="K298" i="4"/>
  <c r="K299" i="4" a="1"/>
  <c r="K299" i="4"/>
  <c r="K300" i="4" a="1"/>
  <c r="K300" i="4"/>
  <c r="K301" i="4" a="1"/>
  <c r="K301" i="4"/>
  <c r="K302" i="4" a="1"/>
  <c r="K302" i="4"/>
  <c r="K303" i="4" a="1"/>
  <c r="K303" i="4"/>
  <c r="K304" i="4" a="1"/>
  <c r="K304" i="4"/>
  <c r="K305" i="4" a="1"/>
  <c r="K305" i="4"/>
  <c r="K306" i="4" a="1"/>
  <c r="K306" i="4"/>
  <c r="K307" i="4" a="1"/>
  <c r="K307" i="4"/>
  <c r="K308" i="4" a="1"/>
  <c r="K308" i="4"/>
  <c r="K309" i="4" a="1"/>
  <c r="K309" i="4"/>
  <c r="K310" i="4" a="1"/>
  <c r="K310" i="4"/>
  <c r="K311" i="4" a="1"/>
  <c r="K311" i="4"/>
  <c r="K312" i="4" a="1"/>
  <c r="K312" i="4"/>
  <c r="K313" i="4" a="1"/>
  <c r="K313" i="4"/>
  <c r="K314" i="4" a="1"/>
  <c r="K314" i="4"/>
  <c r="K315" i="4" a="1"/>
  <c r="K315" i="4"/>
  <c r="K316" i="4" a="1"/>
  <c r="K316" i="4"/>
  <c r="K317" i="4" a="1"/>
  <c r="K317" i="4"/>
  <c r="K318" i="4" a="1"/>
  <c r="K318" i="4"/>
  <c r="K319" i="4" a="1"/>
  <c r="K319" i="4"/>
  <c r="K320" i="4" a="1"/>
  <c r="K320" i="4"/>
  <c r="K321" i="4" a="1"/>
  <c r="K321" i="4"/>
  <c r="K322" i="4" a="1"/>
  <c r="K322" i="4"/>
  <c r="K323" i="4" a="1"/>
  <c r="K323" i="4"/>
  <c r="K324" i="4" a="1"/>
  <c r="K324" i="4"/>
  <c r="K325" i="4" a="1"/>
  <c r="K325" i="4"/>
  <c r="K326" i="4" a="1"/>
  <c r="K326" i="4"/>
  <c r="K327" i="4" a="1"/>
  <c r="K327" i="4"/>
  <c r="K328" i="4" a="1"/>
  <c r="K328" i="4"/>
  <c r="K329" i="4" a="1"/>
  <c r="K329" i="4"/>
  <c r="K330" i="4" a="1"/>
  <c r="K330" i="4"/>
  <c r="K331" i="4" a="1"/>
  <c r="K331" i="4"/>
  <c r="K332" i="4" a="1"/>
  <c r="K332" i="4"/>
  <c r="K333" i="4" a="1"/>
  <c r="K333" i="4"/>
  <c r="K334" i="4" a="1"/>
  <c r="K334" i="4"/>
  <c r="K335" i="4" a="1"/>
  <c r="K335" i="4"/>
  <c r="K336" i="4" a="1"/>
  <c r="K336" i="4"/>
  <c r="K337" i="4" a="1"/>
  <c r="K337" i="4"/>
  <c r="K338" i="4" a="1"/>
  <c r="K338" i="4"/>
  <c r="K339" i="4" a="1"/>
  <c r="K339" i="4"/>
  <c r="K340" i="4" a="1"/>
  <c r="K340" i="4"/>
  <c r="K341" i="4" a="1"/>
  <c r="K341" i="4"/>
  <c r="K342" i="4" a="1"/>
  <c r="K342" i="4"/>
  <c r="K343" i="4" a="1"/>
  <c r="K343" i="4"/>
  <c r="K344" i="4" a="1"/>
  <c r="K344" i="4"/>
  <c r="K345" i="4" a="1"/>
  <c r="K345" i="4"/>
  <c r="K346" i="4" a="1"/>
  <c r="K346" i="4"/>
  <c r="K347" i="4" a="1"/>
  <c r="K347" i="4"/>
  <c r="K348" i="4" a="1"/>
  <c r="K348" i="4"/>
  <c r="K349" i="4" a="1"/>
  <c r="K349" i="4"/>
  <c r="K350" i="4" a="1"/>
  <c r="K350" i="4"/>
  <c r="K351" i="4" a="1"/>
  <c r="K351" i="4"/>
  <c r="K352" i="4" a="1"/>
  <c r="K352" i="4"/>
  <c r="K353" i="4" a="1"/>
  <c r="K353" i="4"/>
  <c r="K354" i="4" a="1"/>
  <c r="K354" i="4"/>
  <c r="K355" i="4" a="1"/>
  <c r="K355" i="4"/>
  <c r="K356" i="4" a="1"/>
  <c r="K356" i="4"/>
  <c r="K357" i="4" a="1"/>
  <c r="K357" i="4"/>
  <c r="K358" i="4" a="1"/>
  <c r="K358" i="4"/>
  <c r="K359" i="4" a="1"/>
  <c r="K359" i="4"/>
  <c r="K360" i="4" a="1"/>
  <c r="K360" i="4"/>
  <c r="K361" i="4" a="1"/>
  <c r="K361" i="4"/>
  <c r="K362" i="4" a="1"/>
  <c r="K362" i="4"/>
  <c r="K363" i="4" a="1"/>
  <c r="K363" i="4"/>
  <c r="K364" i="4" a="1"/>
  <c r="K364" i="4"/>
  <c r="K365" i="4" a="1"/>
  <c r="K365" i="4"/>
  <c r="K366" i="4" a="1"/>
  <c r="K366" i="4"/>
  <c r="K367" i="4" a="1"/>
  <c r="K367" i="4"/>
  <c r="K368" i="4" a="1"/>
  <c r="K368" i="4"/>
  <c r="K369" i="4" a="1"/>
  <c r="K369" i="4"/>
  <c r="K370" i="4" a="1"/>
  <c r="K370" i="4"/>
  <c r="K371" i="4" a="1"/>
  <c r="K371" i="4"/>
  <c r="K372" i="4" a="1"/>
  <c r="K372" i="4"/>
  <c r="K373" i="4" a="1"/>
  <c r="K373" i="4"/>
  <c r="K374" i="4" a="1"/>
  <c r="K374" i="4"/>
  <c r="K375" i="4" a="1"/>
  <c r="K375" i="4"/>
  <c r="K376" i="4" a="1"/>
  <c r="K376" i="4"/>
  <c r="K377" i="4" a="1"/>
  <c r="K377" i="4"/>
  <c r="K379" i="4" a="1"/>
  <c r="K379" i="4"/>
  <c r="K380" i="4" a="1"/>
  <c r="K380" i="4"/>
  <c r="K381" i="4" a="1"/>
  <c r="K381" i="4"/>
  <c r="K382" i="4" a="1"/>
  <c r="K382" i="4"/>
  <c r="K383" i="4" a="1"/>
  <c r="K383" i="4"/>
  <c r="K384" i="4" a="1"/>
  <c r="K384" i="4"/>
  <c r="K4" i="4" a="1"/>
  <c r="K4" i="4"/>
  <c r="K5" i="4" a="1"/>
  <c r="K5" i="4"/>
  <c r="K6" i="4" a="1"/>
  <c r="K6" i="4"/>
  <c r="K7" i="4" a="1"/>
  <c r="K7" i="4"/>
  <c r="K8" i="4" a="1"/>
  <c r="K8" i="4"/>
  <c r="K9" i="4" a="1"/>
  <c r="K9" i="4"/>
  <c r="K10" i="4" a="1"/>
  <c r="K10" i="4"/>
  <c r="K11" i="4" a="1"/>
  <c r="K11" i="4"/>
  <c r="K12" i="4" a="1"/>
  <c r="K12" i="4"/>
  <c r="K13" i="4" a="1"/>
  <c r="K13" i="4"/>
  <c r="K14" i="4" a="1"/>
  <c r="K14" i="4"/>
  <c r="K15" i="4" a="1"/>
  <c r="K15" i="4"/>
  <c r="K16" i="4" a="1"/>
  <c r="K16" i="4"/>
  <c r="K17" i="4" a="1"/>
  <c r="K17" i="4"/>
  <c r="K18" i="4" a="1"/>
  <c r="K18" i="4"/>
  <c r="K19" i="4" a="1"/>
  <c r="K19" i="4"/>
  <c r="K20" i="4" a="1"/>
  <c r="K20" i="4"/>
  <c r="K21" i="4" a="1"/>
  <c r="K21" i="4"/>
  <c r="K22" i="4" a="1"/>
  <c r="K22" i="4"/>
  <c r="K23" i="4" a="1"/>
  <c r="K23" i="4"/>
  <c r="K24" i="4" a="1"/>
  <c r="K24" i="4"/>
  <c r="K25" i="4" a="1"/>
  <c r="K25" i="4"/>
  <c r="K26" i="4" a="1"/>
  <c r="K26" i="4"/>
  <c r="K27" i="4" a="1"/>
  <c r="K27" i="4"/>
  <c r="K28" i="4" a="1"/>
  <c r="K28" i="4"/>
  <c r="K29" i="4" a="1"/>
  <c r="K29" i="4"/>
  <c r="K30" i="4" a="1"/>
  <c r="K30" i="4"/>
  <c r="K31" i="4" a="1"/>
  <c r="K31" i="4"/>
  <c r="K3" i="6" a="1"/>
  <c r="K3" i="6"/>
  <c r="K19" i="6" a="1"/>
  <c r="K19" i="6"/>
  <c r="K20" i="6" a="1"/>
  <c r="K20" i="6"/>
  <c r="K21" i="6" a="1"/>
  <c r="K21" i="6"/>
  <c r="K22" i="6" a="1"/>
  <c r="K22" i="6"/>
  <c r="K23" i="6" a="1"/>
  <c r="K23" i="6"/>
  <c r="K24" i="6" a="1"/>
  <c r="K24" i="6"/>
  <c r="K25" i="6" a="1"/>
  <c r="K25" i="6"/>
  <c r="K26" i="6" a="1"/>
  <c r="K26" i="6"/>
  <c r="K27" i="6" a="1"/>
  <c r="K27" i="6"/>
  <c r="K28" i="6" a="1"/>
  <c r="K28" i="6"/>
  <c r="K29" i="6" a="1"/>
  <c r="K29" i="6"/>
  <c r="K30" i="6" a="1"/>
  <c r="K30" i="6"/>
  <c r="K31" i="6" a="1"/>
  <c r="K31" i="6"/>
  <c r="K32" i="6" a="1"/>
  <c r="K32" i="6"/>
  <c r="K33" i="6" a="1"/>
  <c r="K33" i="6"/>
  <c r="K34" i="6" a="1"/>
  <c r="K34" i="6"/>
  <c r="K35" i="6" a="1"/>
  <c r="K35" i="6"/>
  <c r="K36" i="6" a="1"/>
  <c r="K36" i="6"/>
  <c r="K37" i="6" a="1"/>
  <c r="K37" i="6"/>
  <c r="K38" i="6" a="1"/>
  <c r="K38" i="6"/>
  <c r="K39" i="6" a="1"/>
  <c r="K39" i="6"/>
  <c r="K40" i="6" a="1"/>
  <c r="K40" i="6"/>
  <c r="K41" i="6" a="1"/>
  <c r="K41" i="6"/>
  <c r="K42" i="6" a="1"/>
  <c r="K42" i="6"/>
  <c r="K43" i="6" a="1"/>
  <c r="K43" i="6"/>
  <c r="K44" i="6" a="1"/>
  <c r="K44" i="6"/>
  <c r="K45" i="6" a="1"/>
  <c r="K45" i="6"/>
  <c r="K46" i="6" a="1"/>
  <c r="K46" i="6"/>
  <c r="K47" i="6" a="1"/>
  <c r="K47" i="6"/>
  <c r="K48" i="6" a="1"/>
  <c r="K48" i="6"/>
  <c r="K49" i="6" a="1"/>
  <c r="K49" i="6"/>
  <c r="K50" i="6" a="1"/>
  <c r="K50" i="6"/>
  <c r="K52" i="6" a="1"/>
  <c r="K52" i="6"/>
  <c r="K54" i="6" a="1"/>
  <c r="K54" i="6"/>
  <c r="K55" i="6" a="1"/>
  <c r="K55" i="6"/>
  <c r="K56" i="6" a="1"/>
  <c r="K56" i="6"/>
  <c r="K57" i="6" a="1"/>
  <c r="K57" i="6"/>
  <c r="K58" i="6" a="1"/>
  <c r="K58" i="6"/>
  <c r="K59" i="6" a="1"/>
  <c r="K59" i="6"/>
  <c r="K60" i="6" a="1"/>
  <c r="K60" i="6"/>
  <c r="K61" i="6" a="1"/>
  <c r="K61" i="6"/>
  <c r="K63" i="6" a="1"/>
  <c r="K63" i="6"/>
  <c r="K65" i="6" a="1"/>
  <c r="K65" i="6"/>
  <c r="K66" i="6" a="1"/>
  <c r="K66" i="6"/>
  <c r="K67" i="6" a="1"/>
  <c r="K67" i="6"/>
  <c r="K68" i="6" a="1"/>
  <c r="K68" i="6"/>
  <c r="K69" i="6" a="1"/>
  <c r="K69" i="6"/>
  <c r="K70" i="6" a="1"/>
  <c r="K70" i="6"/>
  <c r="K71" i="6" a="1"/>
  <c r="K71" i="6"/>
  <c r="K72" i="6" a="1"/>
  <c r="K72" i="6"/>
  <c r="K73" i="6" a="1"/>
  <c r="K73" i="6"/>
  <c r="K74" i="6" a="1"/>
  <c r="K74" i="6"/>
  <c r="K75" i="6" a="1"/>
  <c r="K75" i="6"/>
  <c r="K76" i="6" a="1"/>
  <c r="K76" i="6"/>
  <c r="K77" i="6" a="1"/>
  <c r="K77" i="6"/>
  <c r="K78" i="6" a="1"/>
  <c r="K78" i="6"/>
  <c r="K79" i="6" a="1"/>
  <c r="K79" i="6"/>
  <c r="K80" i="6" a="1"/>
  <c r="K80" i="6"/>
  <c r="K81" i="6" a="1"/>
  <c r="K81" i="6"/>
  <c r="K82" i="6" a="1"/>
  <c r="K82" i="6"/>
  <c r="K83" i="6" a="1"/>
  <c r="K83" i="6"/>
  <c r="K84" i="6" a="1"/>
  <c r="K84" i="6"/>
  <c r="K85" i="6" a="1"/>
  <c r="K85" i="6"/>
  <c r="K86" i="6" a="1"/>
  <c r="K86" i="6"/>
  <c r="K87" i="6" a="1"/>
  <c r="K87" i="6"/>
  <c r="K88" i="6" a="1"/>
  <c r="K88" i="6"/>
  <c r="K89" i="6" a="1"/>
  <c r="K89" i="6"/>
  <c r="K90" i="6" a="1"/>
  <c r="K90" i="6"/>
  <c r="K91" i="6" a="1"/>
  <c r="K91" i="6"/>
  <c r="K92" i="6" a="1"/>
  <c r="K92" i="6"/>
  <c r="K93" i="6" a="1"/>
  <c r="K93" i="6"/>
  <c r="K94" i="6" a="1"/>
  <c r="K94" i="6"/>
  <c r="K95" i="6" a="1"/>
  <c r="K95" i="6"/>
  <c r="K96" i="6" a="1"/>
  <c r="K96" i="6"/>
  <c r="K97" i="6" a="1"/>
  <c r="K97" i="6"/>
  <c r="K98" i="6" a="1"/>
  <c r="K98" i="6"/>
  <c r="K99" i="6" a="1"/>
  <c r="K99" i="6"/>
  <c r="K100" i="6" a="1"/>
  <c r="K100" i="6"/>
  <c r="K101" i="6" a="1"/>
  <c r="K101" i="6"/>
  <c r="K102" i="6" a="1"/>
  <c r="K102" i="6"/>
  <c r="K103" i="6" a="1"/>
  <c r="K103" i="6"/>
  <c r="K104" i="6" a="1"/>
  <c r="K104" i="6"/>
  <c r="K105" i="6" a="1"/>
  <c r="K105" i="6"/>
  <c r="K106" i="6" a="1"/>
  <c r="K106" i="6"/>
  <c r="K107" i="6" a="1"/>
  <c r="K107" i="6"/>
  <c r="K108" i="6" a="1"/>
  <c r="K108" i="6"/>
  <c r="K109" i="6" a="1"/>
  <c r="K109" i="6"/>
  <c r="K110" i="6" a="1"/>
  <c r="K110" i="6"/>
  <c r="K111" i="6" a="1"/>
  <c r="K111" i="6"/>
  <c r="K112" i="6" a="1"/>
  <c r="K112" i="6"/>
  <c r="K113" i="6" a="1"/>
  <c r="K113" i="6"/>
  <c r="K114" i="6" a="1"/>
  <c r="K114" i="6"/>
  <c r="K115" i="6" a="1"/>
  <c r="K115" i="6"/>
  <c r="K116" i="6" a="1"/>
  <c r="K116" i="6"/>
  <c r="K117" i="6" a="1"/>
  <c r="K117" i="6"/>
  <c r="K118" i="6" a="1"/>
  <c r="K118" i="6"/>
  <c r="K119" i="6" a="1"/>
  <c r="K119" i="6"/>
  <c r="K120" i="6" a="1"/>
  <c r="K120" i="6"/>
  <c r="K121" i="6" a="1"/>
  <c r="K121" i="6"/>
  <c r="K122" i="6" a="1"/>
  <c r="K122" i="6"/>
  <c r="K123" i="6" a="1"/>
  <c r="K123" i="6"/>
  <c r="K124" i="6" a="1"/>
  <c r="K124" i="6"/>
  <c r="K125" i="6" a="1"/>
  <c r="K125" i="6"/>
  <c r="K126" i="6" a="1"/>
  <c r="K126" i="6"/>
  <c r="K127" i="6" a="1"/>
  <c r="K127" i="6"/>
  <c r="K128" i="6" a="1"/>
  <c r="K128" i="6"/>
  <c r="K129" i="6" a="1"/>
  <c r="K129" i="6"/>
  <c r="K130" i="6" a="1"/>
  <c r="K130" i="6"/>
  <c r="K131" i="6" a="1"/>
  <c r="K131" i="6"/>
  <c r="K132" i="6" a="1"/>
  <c r="K132" i="6"/>
  <c r="K133" i="6" a="1"/>
  <c r="K133" i="6"/>
  <c r="K134" i="6" a="1"/>
  <c r="K134" i="6"/>
  <c r="K135" i="6" a="1"/>
  <c r="K135" i="6"/>
  <c r="K136" i="6" a="1"/>
  <c r="K136" i="6"/>
  <c r="K137" i="6" a="1"/>
  <c r="K137" i="6"/>
  <c r="K138" i="6" a="1"/>
  <c r="K138" i="6"/>
  <c r="K139" i="6" a="1"/>
  <c r="K139" i="6"/>
  <c r="K140" i="6" a="1"/>
  <c r="K140" i="6"/>
  <c r="K141" i="6" a="1"/>
  <c r="K141" i="6"/>
  <c r="K142" i="6" a="1"/>
  <c r="K142" i="6"/>
  <c r="K143" i="6" a="1"/>
  <c r="K143" i="6"/>
  <c r="K144" i="6" a="1"/>
  <c r="K144" i="6"/>
  <c r="K145" i="6" a="1"/>
  <c r="K145" i="6"/>
  <c r="K146" i="6" a="1"/>
  <c r="K146" i="6"/>
  <c r="K147" i="6" a="1"/>
  <c r="K147" i="6"/>
  <c r="K148" i="6" a="1"/>
  <c r="K148" i="6"/>
  <c r="K149" i="6" a="1"/>
  <c r="K149" i="6"/>
  <c r="K150" i="6" a="1"/>
  <c r="K150" i="6"/>
  <c r="K151" i="6" a="1"/>
  <c r="K151" i="6"/>
  <c r="K152" i="6" a="1"/>
  <c r="K152" i="6"/>
  <c r="K153" i="6" a="1"/>
  <c r="K153" i="6"/>
  <c r="K154" i="6" a="1"/>
  <c r="K154" i="6"/>
  <c r="K155" i="6" a="1"/>
  <c r="K155" i="6"/>
  <c r="K156" i="6" a="1"/>
  <c r="K156" i="6"/>
  <c r="K157" i="6" a="1"/>
  <c r="K157" i="6"/>
  <c r="K158" i="6" a="1"/>
  <c r="K158" i="6"/>
  <c r="K159" i="6" a="1"/>
  <c r="K159" i="6"/>
  <c r="K160" i="6" a="1"/>
  <c r="K160" i="6"/>
  <c r="K161" i="6" a="1"/>
  <c r="K161" i="6"/>
  <c r="K162" i="6" a="1"/>
  <c r="K162" i="6"/>
  <c r="K163" i="6" a="1"/>
  <c r="K163" i="6"/>
  <c r="K164" i="6" a="1"/>
  <c r="K164" i="6"/>
  <c r="K165" i="6" a="1"/>
  <c r="K165" i="6"/>
  <c r="K166" i="6" a="1"/>
  <c r="K166" i="6"/>
  <c r="K167" i="6" a="1"/>
  <c r="K167" i="6"/>
  <c r="K168" i="6" a="1"/>
  <c r="K168" i="6"/>
  <c r="K169" i="6" a="1"/>
  <c r="K169" i="6"/>
  <c r="K170" i="6" a="1"/>
  <c r="K170" i="6"/>
  <c r="K171" i="6" a="1"/>
  <c r="K171" i="6"/>
  <c r="K172" i="6" a="1"/>
  <c r="K172" i="6"/>
  <c r="K173" i="6" a="1"/>
  <c r="K173" i="6"/>
  <c r="K174" i="6" a="1"/>
  <c r="K174" i="6"/>
  <c r="K175" i="6" a="1"/>
  <c r="K175" i="6"/>
  <c r="K176" i="6" a="1"/>
  <c r="K176" i="6"/>
  <c r="K177" i="6" a="1"/>
  <c r="K177" i="6"/>
  <c r="K178" i="6" a="1"/>
  <c r="K178" i="6"/>
  <c r="K179" i="6" a="1"/>
  <c r="K179" i="6"/>
  <c r="K180" i="6" a="1"/>
  <c r="K180" i="6"/>
  <c r="K181" i="6" a="1"/>
  <c r="K181" i="6"/>
  <c r="K182" i="6" a="1"/>
  <c r="K182" i="6"/>
  <c r="K183" i="6" a="1"/>
  <c r="K183" i="6"/>
  <c r="K184" i="6" a="1"/>
  <c r="K184" i="6"/>
  <c r="K185" i="6" a="1"/>
  <c r="K185" i="6"/>
  <c r="K186" i="6" a="1"/>
  <c r="K186" i="6"/>
  <c r="K187" i="6" a="1"/>
  <c r="K187" i="6"/>
  <c r="K188" i="6" a="1"/>
  <c r="K188" i="6"/>
  <c r="K189" i="6" a="1"/>
  <c r="K189" i="6"/>
  <c r="K190" i="6" a="1"/>
  <c r="K190" i="6"/>
  <c r="K191" i="6" a="1"/>
  <c r="K191" i="6"/>
  <c r="K192" i="6" a="1"/>
  <c r="K192" i="6"/>
  <c r="K193" i="6" a="1"/>
  <c r="K193" i="6"/>
  <c r="K194" i="6" a="1"/>
  <c r="K194" i="6"/>
  <c r="K195" i="6" a="1"/>
  <c r="K195" i="6"/>
  <c r="K196" i="6" a="1"/>
  <c r="K196" i="6"/>
  <c r="K197" i="6" a="1"/>
  <c r="K197" i="6"/>
  <c r="K198" i="6" a="1"/>
  <c r="K198" i="6"/>
  <c r="K199" i="6" a="1"/>
  <c r="K199" i="6"/>
  <c r="K200" i="6" a="1"/>
  <c r="K200" i="6"/>
  <c r="K201" i="6" a="1"/>
  <c r="K201" i="6"/>
  <c r="K202" i="6" a="1"/>
  <c r="K202" i="6"/>
  <c r="K203" i="6" a="1"/>
  <c r="K203" i="6"/>
  <c r="K204" i="6" a="1"/>
  <c r="K204" i="6"/>
  <c r="K205" i="6" a="1"/>
  <c r="K205" i="6"/>
  <c r="K206" i="6" a="1"/>
  <c r="K206" i="6"/>
  <c r="K207" i="6" a="1"/>
  <c r="K207" i="6"/>
  <c r="K208" i="6" a="1"/>
  <c r="K208" i="6"/>
  <c r="K209" i="6" a="1"/>
  <c r="K209" i="6"/>
  <c r="K210" i="6" a="1"/>
  <c r="K210" i="6"/>
  <c r="K211" i="6" a="1"/>
  <c r="K211" i="6"/>
  <c r="K212" i="6" a="1"/>
  <c r="K212" i="6"/>
  <c r="K213" i="6" a="1"/>
  <c r="K213" i="6"/>
  <c r="K214" i="6" a="1"/>
  <c r="K214" i="6"/>
  <c r="K215" i="6" a="1"/>
  <c r="K215" i="6"/>
  <c r="K216" i="6" a="1"/>
  <c r="K216" i="6"/>
  <c r="K217" i="6" a="1"/>
  <c r="K217" i="6"/>
  <c r="K218" i="6" a="1"/>
  <c r="K218" i="6"/>
  <c r="K219" i="6" a="1"/>
  <c r="K219" i="6"/>
  <c r="K220" i="6" a="1"/>
  <c r="K220" i="6"/>
  <c r="K221" i="6" a="1"/>
  <c r="K221" i="6"/>
  <c r="K222" i="6" a="1"/>
  <c r="K222" i="6"/>
  <c r="K223" i="6" a="1"/>
  <c r="K223" i="6"/>
  <c r="K224" i="6" a="1"/>
  <c r="K224" i="6"/>
  <c r="K225" i="6" a="1"/>
  <c r="K225" i="6"/>
  <c r="K226" i="6" a="1"/>
  <c r="K226" i="6"/>
  <c r="K227" i="6" a="1"/>
  <c r="K227" i="6"/>
  <c r="K228" i="6" a="1"/>
  <c r="K228" i="6"/>
  <c r="K229" i="6" a="1"/>
  <c r="K229" i="6"/>
  <c r="K230" i="6" a="1"/>
  <c r="K230" i="6"/>
  <c r="K231" i="6" a="1"/>
  <c r="K231" i="6"/>
  <c r="K232" i="6" a="1"/>
  <c r="K232" i="6"/>
  <c r="K233" i="6" a="1"/>
  <c r="K233" i="6"/>
  <c r="K234" i="6" a="1"/>
  <c r="K234" i="6"/>
  <c r="K235" i="6" a="1"/>
  <c r="K235" i="6"/>
  <c r="K236" i="6" a="1"/>
  <c r="K236" i="6"/>
  <c r="K237" i="6" a="1"/>
  <c r="K237" i="6"/>
  <c r="K238" i="6" a="1"/>
  <c r="K238" i="6"/>
  <c r="K239" i="6" a="1"/>
  <c r="K239" i="6"/>
  <c r="K240" i="6" a="1"/>
  <c r="K240" i="6"/>
  <c r="K241" i="6" a="1"/>
  <c r="K241" i="6"/>
  <c r="K242" i="6" a="1"/>
  <c r="K242" i="6"/>
  <c r="K243" i="6" a="1"/>
  <c r="K243" i="6"/>
  <c r="K244" i="6" a="1"/>
  <c r="K244" i="6"/>
  <c r="K245" i="6" a="1"/>
  <c r="K245" i="6"/>
  <c r="K246" i="6" a="1"/>
  <c r="K246" i="6"/>
  <c r="K247" i="6" a="1"/>
  <c r="K247" i="6"/>
  <c r="K248" i="6" a="1"/>
  <c r="K248" i="6"/>
  <c r="K249" i="6" a="1"/>
  <c r="K249" i="6"/>
  <c r="K250" i="6" a="1"/>
  <c r="K250" i="6"/>
  <c r="K251" i="6" a="1"/>
  <c r="K251" i="6"/>
  <c r="K252" i="6" a="1"/>
  <c r="K252" i="6"/>
  <c r="K253" i="6" a="1"/>
  <c r="K253" i="6"/>
  <c r="K254" i="6" a="1"/>
  <c r="K254" i="6"/>
  <c r="K255" i="6" a="1"/>
  <c r="K255" i="6"/>
  <c r="K256" i="6" a="1"/>
  <c r="K256" i="6"/>
  <c r="K257" i="6" a="1"/>
  <c r="K257" i="6"/>
  <c r="K258" i="6" a="1"/>
  <c r="K258" i="6"/>
  <c r="K259" i="6" a="1"/>
  <c r="K259" i="6"/>
  <c r="K260" i="6" a="1"/>
  <c r="K260" i="6"/>
  <c r="K261" i="6" a="1"/>
  <c r="K261" i="6"/>
  <c r="K262" i="6" a="1"/>
  <c r="K262" i="6"/>
  <c r="K263" i="6" a="1"/>
  <c r="K263" i="6"/>
  <c r="K264" i="6" a="1"/>
  <c r="K264" i="6"/>
  <c r="K265" i="6" a="1"/>
  <c r="K265" i="6"/>
  <c r="K266" i="6" a="1"/>
  <c r="K266" i="6"/>
  <c r="K267" i="6" a="1"/>
  <c r="K267" i="6"/>
  <c r="K268" i="6" a="1"/>
  <c r="K268" i="6"/>
  <c r="K269" i="6" a="1"/>
  <c r="K269" i="6"/>
  <c r="K270" i="6" a="1"/>
  <c r="K270" i="6"/>
  <c r="K271" i="6" a="1"/>
  <c r="K271" i="6"/>
  <c r="K272" i="6" a="1"/>
  <c r="K272" i="6"/>
  <c r="K273" i="6" a="1"/>
  <c r="K273" i="6"/>
  <c r="K274" i="6" a="1"/>
  <c r="K274" i="6"/>
  <c r="K275" i="6" a="1"/>
  <c r="K275" i="6"/>
  <c r="K276" i="6" a="1"/>
  <c r="K276" i="6"/>
  <c r="K277" i="6" a="1"/>
  <c r="K277" i="6"/>
  <c r="K278" i="6" a="1"/>
  <c r="K278" i="6"/>
  <c r="K279" i="6" a="1"/>
  <c r="K279" i="6"/>
  <c r="K280" i="6" a="1"/>
  <c r="K280" i="6"/>
  <c r="K281" i="6" a="1"/>
  <c r="K281" i="6"/>
  <c r="K282" i="6" a="1"/>
  <c r="K282" i="6"/>
  <c r="K283" i="6" a="1"/>
  <c r="K283" i="6"/>
  <c r="K284" i="6" a="1"/>
  <c r="K284" i="6"/>
  <c r="K285" i="6" a="1"/>
  <c r="K285" i="6"/>
  <c r="K286" i="6" a="1"/>
  <c r="K286" i="6"/>
  <c r="K287" i="6" a="1"/>
  <c r="K287" i="6"/>
  <c r="K288" i="6" a="1"/>
  <c r="K288" i="6"/>
  <c r="K289" i="6" a="1"/>
  <c r="K289" i="6"/>
  <c r="K290" i="6" a="1"/>
  <c r="K290" i="6"/>
  <c r="K291" i="6" a="1"/>
  <c r="K291" i="6"/>
  <c r="K292" i="6" a="1"/>
  <c r="K292" i="6"/>
  <c r="K293" i="6" a="1"/>
  <c r="K293" i="6"/>
  <c r="K294" i="6" a="1"/>
  <c r="K294" i="6"/>
  <c r="K295" i="6" a="1"/>
  <c r="K295" i="6"/>
  <c r="K296" i="6" a="1"/>
  <c r="K296" i="6"/>
  <c r="K297" i="6" a="1"/>
  <c r="K297" i="6"/>
  <c r="K298" i="6" a="1"/>
  <c r="K298" i="6"/>
  <c r="K299" i="6" a="1"/>
  <c r="K299" i="6"/>
  <c r="K300" i="6" a="1"/>
  <c r="K300" i="6"/>
  <c r="K301" i="6" a="1"/>
  <c r="K301" i="6"/>
  <c r="K302" i="6" a="1"/>
  <c r="K302" i="6"/>
  <c r="K303" i="6" a="1"/>
  <c r="K303" i="6"/>
  <c r="K304" i="6" a="1"/>
  <c r="K304" i="6"/>
  <c r="K305" i="6" a="1"/>
  <c r="K305" i="6"/>
  <c r="K306" i="6" a="1"/>
  <c r="K306" i="6"/>
  <c r="K307" i="6" a="1"/>
  <c r="K307" i="6"/>
  <c r="K308" i="6" a="1"/>
  <c r="K308" i="6"/>
  <c r="K309" i="6" a="1"/>
  <c r="K309" i="6"/>
  <c r="K310" i="6" a="1"/>
  <c r="K310" i="6"/>
  <c r="K311" i="6" a="1"/>
  <c r="K311" i="6"/>
  <c r="K312" i="6" a="1"/>
  <c r="K312" i="6"/>
  <c r="K313" i="6" a="1"/>
  <c r="K313" i="6"/>
  <c r="K10" i="6" a="1"/>
  <c r="K10" i="6"/>
  <c r="K11" i="6" a="1"/>
  <c r="K11" i="6"/>
  <c r="K12" i="6" a="1"/>
  <c r="K12" i="6"/>
  <c r="K13" i="6" a="1"/>
  <c r="K13" i="6"/>
  <c r="K14" i="6" a="1"/>
  <c r="K14" i="6"/>
  <c r="K15" i="6" a="1"/>
  <c r="K15" i="6"/>
  <c r="K16" i="6" a="1"/>
  <c r="K16" i="6"/>
  <c r="K17" i="6" a="1"/>
  <c r="K17" i="6"/>
  <c r="K18" i="6" a="1"/>
  <c r="K18" i="6"/>
  <c r="K4" i="6" a="1"/>
  <c r="K4" i="6"/>
  <c r="K5" i="6" a="1"/>
  <c r="K5" i="6"/>
  <c r="K6" i="6" a="1"/>
  <c r="K6" i="6"/>
  <c r="K7" i="6" a="1"/>
  <c r="K7" i="6"/>
  <c r="K8" i="6" a="1"/>
  <c r="K8" i="6"/>
  <c r="K9" i="6" a="1"/>
  <c r="K9" i="6"/>
  <c r="K4" i="10" a="1"/>
  <c r="K4" i="10"/>
  <c r="K5" i="10" a="1"/>
  <c r="K5" i="10"/>
  <c r="K6" i="10" a="1"/>
  <c r="K6" i="10"/>
  <c r="K7" i="10" a="1"/>
  <c r="K7" i="10"/>
  <c r="K8" i="10" a="1"/>
  <c r="K8" i="10"/>
  <c r="K9" i="10" a="1"/>
  <c r="K9" i="10"/>
  <c r="K10" i="10" a="1"/>
  <c r="K10" i="10"/>
  <c r="K11" i="10" a="1"/>
  <c r="K11" i="10"/>
  <c r="K12" i="10" a="1"/>
  <c r="K12" i="10"/>
  <c r="K13" i="10" a="1"/>
  <c r="K13" i="10"/>
  <c r="K14" i="10" a="1"/>
  <c r="K14" i="10"/>
  <c r="K15" i="10" a="1"/>
  <c r="K15" i="10"/>
  <c r="K16" i="10" a="1"/>
  <c r="K16" i="10"/>
  <c r="K17" i="10" a="1"/>
  <c r="K17" i="10"/>
  <c r="K18" i="10" a="1"/>
  <c r="K18" i="10"/>
  <c r="K19" i="10" a="1"/>
  <c r="K19" i="10"/>
  <c r="K20" i="10" a="1"/>
  <c r="K20" i="10"/>
  <c r="K21" i="10" a="1"/>
  <c r="K21" i="10"/>
  <c r="K22" i="10" a="1"/>
  <c r="K22" i="10"/>
  <c r="K23" i="10" a="1"/>
  <c r="K23" i="10"/>
  <c r="K24" i="10" a="1"/>
  <c r="K24" i="10"/>
  <c r="K25" i="10" a="1"/>
  <c r="K25" i="10"/>
  <c r="K26" i="10" a="1"/>
  <c r="K26" i="10"/>
  <c r="K27" i="10" a="1"/>
  <c r="K27" i="10"/>
  <c r="K28" i="10" a="1"/>
  <c r="K28" i="10"/>
  <c r="K29" i="10" a="1"/>
  <c r="K29" i="10"/>
  <c r="K30" i="10" a="1"/>
  <c r="K30" i="10"/>
  <c r="K31" i="10" a="1"/>
  <c r="K31" i="10"/>
  <c r="K32" i="10" a="1"/>
  <c r="K32" i="10"/>
  <c r="K33" i="10" a="1"/>
  <c r="K33" i="10"/>
  <c r="K34" i="10" a="1"/>
  <c r="K34" i="10"/>
  <c r="K35" i="10" a="1"/>
  <c r="K35" i="10"/>
  <c r="K36" i="10" a="1"/>
  <c r="K36" i="10"/>
  <c r="K37" i="10" a="1"/>
  <c r="K37" i="10"/>
  <c r="K38" i="10" a="1"/>
  <c r="K38" i="10"/>
  <c r="K39" i="10" a="1"/>
  <c r="K39" i="10"/>
  <c r="K40" i="10" a="1"/>
  <c r="K40" i="10"/>
  <c r="K41" i="10" a="1"/>
  <c r="K41" i="10"/>
  <c r="K42" i="10" a="1"/>
  <c r="K42" i="10"/>
  <c r="K43" i="10" a="1"/>
  <c r="K43" i="10"/>
  <c r="K44" i="10" a="1"/>
  <c r="K44" i="10"/>
  <c r="K45" i="10" a="1"/>
  <c r="K45" i="10"/>
  <c r="K46" i="10" a="1"/>
  <c r="K46" i="10"/>
  <c r="K47" i="10" a="1"/>
  <c r="K47" i="10"/>
  <c r="K48" i="10" a="1"/>
  <c r="K48" i="10"/>
  <c r="K49" i="10" a="1"/>
  <c r="K49" i="10"/>
  <c r="K50" i="10" a="1"/>
  <c r="K50" i="10"/>
  <c r="K51" i="10" a="1"/>
  <c r="K51" i="10"/>
  <c r="K52" i="10" a="1"/>
  <c r="K52" i="10"/>
  <c r="K53" i="10" a="1"/>
  <c r="K53" i="10"/>
  <c r="K54" i="10" a="1"/>
  <c r="K54" i="10"/>
  <c r="K55" i="10" a="1"/>
  <c r="K55" i="10"/>
  <c r="K56" i="10" a="1"/>
  <c r="K56" i="10"/>
  <c r="K57" i="10" a="1"/>
  <c r="K57" i="10"/>
  <c r="K58" i="10" a="1"/>
  <c r="K58" i="10"/>
  <c r="K59" i="10" a="1"/>
  <c r="K59" i="10"/>
  <c r="K60" i="10" a="1"/>
  <c r="K60" i="10"/>
  <c r="K61" i="10" a="1"/>
  <c r="K61" i="10"/>
  <c r="K62" i="10" a="1"/>
  <c r="K62" i="10"/>
  <c r="K63" i="10" a="1"/>
  <c r="K63" i="10"/>
  <c r="K64" i="10" a="1"/>
  <c r="K64" i="10"/>
  <c r="K65" i="10" a="1"/>
  <c r="K65" i="10"/>
  <c r="K66" i="10" a="1"/>
  <c r="K66" i="10"/>
  <c r="K67" i="10" a="1"/>
  <c r="K67" i="10"/>
  <c r="K68" i="10" a="1"/>
  <c r="K68" i="10"/>
  <c r="K69" i="10" a="1"/>
  <c r="K69" i="10"/>
  <c r="K70" i="10" a="1"/>
  <c r="K70" i="10"/>
  <c r="K71" i="10" a="1"/>
  <c r="K71" i="10"/>
  <c r="K72" i="10" a="1"/>
  <c r="K72" i="10"/>
  <c r="K73" i="10" a="1"/>
  <c r="K73" i="10"/>
  <c r="K74" i="10" a="1"/>
  <c r="K74" i="10"/>
  <c r="K75" i="10" a="1"/>
  <c r="K75" i="10"/>
  <c r="K76" i="10" a="1"/>
  <c r="K76" i="10"/>
  <c r="K77" i="10" a="1"/>
  <c r="K77" i="10"/>
  <c r="K78" i="10" a="1"/>
  <c r="K78" i="10"/>
  <c r="K79" i="10" a="1"/>
  <c r="K79" i="10"/>
  <c r="K80" i="10" a="1"/>
  <c r="K80" i="10"/>
  <c r="K81" i="10" a="1"/>
  <c r="K81" i="10"/>
  <c r="K82" i="10" a="1"/>
  <c r="K82" i="10"/>
  <c r="K83" i="10" a="1"/>
  <c r="K83" i="10"/>
  <c r="K84" i="10" a="1"/>
  <c r="K84" i="10"/>
  <c r="K85" i="10" a="1"/>
  <c r="K85" i="10"/>
  <c r="K86" i="10" a="1"/>
  <c r="K86" i="10"/>
  <c r="K87" i="10" a="1"/>
  <c r="K87" i="10"/>
  <c r="K88" i="10" a="1"/>
  <c r="K88" i="10"/>
  <c r="K89" i="10" a="1"/>
  <c r="K89" i="10"/>
  <c r="K90" i="10" a="1"/>
  <c r="K90" i="10"/>
  <c r="K91" i="10" a="1"/>
  <c r="K91" i="10"/>
  <c r="K92" i="10" a="1"/>
  <c r="K92" i="10"/>
  <c r="K93" i="10" a="1"/>
  <c r="K93" i="10"/>
  <c r="K94" i="10" a="1"/>
  <c r="K94" i="10"/>
  <c r="K95" i="10" a="1"/>
  <c r="K95" i="10"/>
  <c r="K96" i="10" a="1"/>
  <c r="K96" i="10"/>
  <c r="K97" i="10" a="1"/>
  <c r="K97" i="10"/>
  <c r="K98" i="10" a="1"/>
  <c r="K98" i="10"/>
  <c r="K99" i="10" a="1"/>
  <c r="K99" i="10"/>
  <c r="K100" i="10" a="1"/>
  <c r="K100" i="10"/>
  <c r="K101" i="10" a="1"/>
  <c r="K101" i="10"/>
  <c r="K102" i="10" a="1"/>
  <c r="K102" i="10"/>
  <c r="K103" i="10" a="1"/>
  <c r="K103" i="10"/>
  <c r="K104" i="10" a="1"/>
  <c r="K104" i="10"/>
  <c r="K105" i="10" a="1"/>
  <c r="K105" i="10"/>
  <c r="K106" i="10" a="1"/>
  <c r="K106" i="10"/>
  <c r="K107" i="10" a="1"/>
  <c r="K107" i="10"/>
  <c r="K108" i="10" a="1"/>
  <c r="K108" i="10"/>
  <c r="K109" i="10" a="1"/>
  <c r="K109" i="10"/>
  <c r="K110" i="10" a="1"/>
  <c r="K110" i="10"/>
  <c r="K111" i="10" a="1"/>
  <c r="K111" i="10"/>
  <c r="K112" i="10" a="1"/>
  <c r="K112" i="10"/>
  <c r="K113" i="10" a="1"/>
  <c r="K113" i="10"/>
  <c r="K114" i="10" a="1"/>
  <c r="K114" i="10"/>
  <c r="K115" i="10" a="1"/>
  <c r="K115" i="10"/>
  <c r="K116" i="10" a="1"/>
  <c r="K116" i="10"/>
  <c r="K117" i="10" a="1"/>
  <c r="K117" i="10"/>
  <c r="K118" i="10" a="1"/>
  <c r="K118" i="10"/>
  <c r="K119" i="10" a="1"/>
  <c r="K119" i="10"/>
  <c r="K120" i="10" a="1"/>
  <c r="K120" i="10"/>
  <c r="K121" i="10" a="1"/>
  <c r="K121" i="10"/>
  <c r="K122" i="10" a="1"/>
  <c r="K122" i="10"/>
  <c r="K123" i="10" a="1"/>
  <c r="K123" i="10"/>
  <c r="K124" i="10" a="1"/>
  <c r="K124" i="10"/>
  <c r="K125" i="10" a="1"/>
  <c r="K125" i="10"/>
  <c r="K126" i="10" a="1"/>
  <c r="K126" i="10"/>
  <c r="K127" i="10" a="1"/>
  <c r="K127" i="10"/>
  <c r="K128" i="10" a="1"/>
  <c r="K128" i="10"/>
  <c r="K129" i="10" a="1"/>
  <c r="K129" i="10"/>
  <c r="K130" i="10" a="1"/>
  <c r="K130" i="10"/>
  <c r="K131" i="10" a="1"/>
  <c r="K131" i="10"/>
  <c r="K132" i="10" a="1"/>
  <c r="K132" i="10"/>
  <c r="K133" i="10" a="1"/>
  <c r="K133" i="10"/>
  <c r="K134" i="10" a="1"/>
  <c r="K134" i="10"/>
  <c r="K135" i="10" a="1"/>
  <c r="K135" i="10"/>
  <c r="K136" i="10" a="1"/>
  <c r="K136" i="10"/>
  <c r="K137" i="10" a="1"/>
  <c r="K137" i="10"/>
  <c r="K138" i="10" a="1"/>
  <c r="K138" i="10"/>
  <c r="K139" i="10" a="1"/>
  <c r="K139" i="10"/>
  <c r="K140" i="10" a="1"/>
  <c r="K140" i="10"/>
  <c r="K141" i="10" a="1"/>
  <c r="K141" i="10"/>
  <c r="K142" i="10" a="1"/>
  <c r="K142" i="10"/>
  <c r="K143" i="10" a="1"/>
  <c r="K143" i="10"/>
  <c r="K144" i="10" a="1"/>
  <c r="K144" i="10"/>
  <c r="K145" i="10" a="1"/>
  <c r="K145" i="10"/>
  <c r="K146" i="10" a="1"/>
  <c r="K146" i="10"/>
  <c r="K147" i="10" a="1"/>
  <c r="K147" i="10"/>
  <c r="K148" i="10" a="1"/>
  <c r="K148" i="10"/>
  <c r="K149" i="10" a="1"/>
  <c r="K149" i="10"/>
  <c r="K150" i="10" a="1"/>
  <c r="K150" i="10"/>
  <c r="K151" i="10" a="1"/>
  <c r="K151" i="10"/>
  <c r="K152" i="10" a="1"/>
  <c r="K152" i="10"/>
  <c r="K153" i="10" a="1"/>
  <c r="K153" i="10"/>
  <c r="K154" i="10" a="1"/>
  <c r="K154" i="10"/>
  <c r="K155" i="10" a="1"/>
  <c r="K155" i="10"/>
  <c r="K156" i="10" a="1"/>
  <c r="K156" i="10"/>
  <c r="K157" i="10" a="1"/>
  <c r="K157" i="10"/>
  <c r="K158" i="10" a="1"/>
  <c r="K158" i="10"/>
  <c r="K159" i="10" a="1"/>
  <c r="K159" i="10"/>
  <c r="K160" i="10" a="1"/>
  <c r="K160" i="10"/>
  <c r="K161" i="10" a="1"/>
  <c r="K161" i="10"/>
  <c r="K162" i="10" a="1"/>
  <c r="K162" i="10"/>
  <c r="K163" i="10" a="1"/>
  <c r="K163" i="10"/>
  <c r="K164" i="10" a="1"/>
  <c r="K164" i="10"/>
  <c r="K165" i="10" a="1"/>
  <c r="K165" i="10"/>
  <c r="K166" i="10" a="1"/>
  <c r="K166" i="10"/>
  <c r="K167" i="10" a="1"/>
  <c r="K167" i="10"/>
  <c r="K168" i="10" a="1"/>
  <c r="K168" i="10"/>
  <c r="K169" i="10" a="1"/>
  <c r="K169" i="10"/>
  <c r="K170" i="10" a="1"/>
  <c r="K170" i="10"/>
  <c r="K171" i="10" a="1"/>
  <c r="K171" i="10"/>
  <c r="K172" i="10" a="1"/>
  <c r="K172" i="10"/>
  <c r="K173" i="10" a="1"/>
  <c r="K173" i="10"/>
  <c r="K174" i="10" a="1"/>
  <c r="K174" i="10"/>
  <c r="K175" i="10" a="1"/>
  <c r="K175" i="10"/>
  <c r="K176" i="10" a="1"/>
  <c r="K176" i="10"/>
  <c r="K177" i="10" a="1"/>
  <c r="K177" i="10"/>
  <c r="K178" i="10" a="1"/>
  <c r="K178" i="10"/>
  <c r="K179" i="10" a="1"/>
  <c r="K179" i="10"/>
  <c r="K180" i="10" a="1"/>
  <c r="K180" i="10"/>
  <c r="K181" i="10" a="1"/>
  <c r="K181" i="10"/>
  <c r="K182" i="10" a="1"/>
  <c r="K182" i="10"/>
  <c r="K183" i="10" a="1"/>
  <c r="K183" i="10"/>
  <c r="K184" i="10" a="1"/>
  <c r="K184" i="10"/>
  <c r="K185" i="10" a="1"/>
  <c r="K185" i="10"/>
  <c r="K186" i="10" a="1"/>
  <c r="K186" i="10"/>
  <c r="K187" i="10" a="1"/>
  <c r="K187" i="10"/>
  <c r="K188" i="10" a="1"/>
  <c r="K188" i="10"/>
  <c r="K189" i="10" a="1"/>
  <c r="K189" i="10"/>
  <c r="K190" i="10" a="1"/>
  <c r="K190" i="10"/>
  <c r="K191" i="10" a="1"/>
  <c r="K191" i="10"/>
  <c r="K192" i="10" a="1"/>
  <c r="K192" i="10"/>
  <c r="K193" i="10" a="1"/>
  <c r="K193" i="10"/>
  <c r="K194" i="10" a="1"/>
  <c r="K194" i="10"/>
  <c r="K195" i="10" a="1"/>
  <c r="K195" i="10"/>
  <c r="K196" i="10" a="1"/>
  <c r="K196" i="10"/>
  <c r="K197" i="10" a="1"/>
  <c r="K197" i="10"/>
  <c r="K198" i="10" a="1"/>
  <c r="K198" i="10"/>
  <c r="K199" i="10" a="1"/>
  <c r="K199" i="10"/>
  <c r="K200" i="10" a="1"/>
  <c r="K200" i="10"/>
  <c r="K201" i="10" a="1"/>
  <c r="K201" i="10"/>
  <c r="K202" i="10" a="1"/>
  <c r="K202" i="10"/>
  <c r="K3" i="10" a="1"/>
  <c r="K3" i="10"/>
  <c r="K3" i="9" a="1"/>
  <c r="K3" i="9"/>
  <c r="K4" i="9" a="1"/>
  <c r="K4" i="9"/>
  <c r="K5" i="9" a="1"/>
  <c r="K5" i="9"/>
  <c r="K6" i="9" a="1"/>
  <c r="K6" i="9"/>
  <c r="K7" i="9" a="1"/>
  <c r="K7" i="9"/>
  <c r="K8" i="9" a="1"/>
  <c r="K8" i="9"/>
  <c r="K9" i="9" a="1"/>
  <c r="K9" i="9"/>
  <c r="K10" i="9" a="1"/>
  <c r="K10" i="9"/>
  <c r="K11" i="9" a="1"/>
  <c r="K11" i="9"/>
  <c r="K12" i="9" a="1"/>
  <c r="K12" i="9"/>
  <c r="K13" i="9" a="1"/>
  <c r="K13" i="9"/>
  <c r="K14" i="9" a="1"/>
  <c r="K14" i="9"/>
  <c r="K15" i="9" a="1"/>
  <c r="K15" i="9"/>
  <c r="K16" i="9" a="1"/>
  <c r="K16" i="9"/>
  <c r="K17" i="9" a="1"/>
  <c r="K17" i="9"/>
  <c r="K18" i="9" a="1"/>
  <c r="K18" i="9"/>
  <c r="K19" i="9" a="1"/>
  <c r="K19" i="9"/>
  <c r="K20" i="9" a="1"/>
  <c r="K20" i="9"/>
  <c r="K21" i="9" a="1"/>
  <c r="K21" i="9"/>
  <c r="K22" i="9" a="1"/>
  <c r="K22" i="9"/>
  <c r="K23" i="9" a="1"/>
  <c r="K23" i="9"/>
  <c r="K3" i="7" a="1"/>
  <c r="K3" i="7"/>
  <c r="K7" i="7" a="1"/>
  <c r="K7" i="7"/>
  <c r="K8" i="7" a="1"/>
  <c r="K8" i="7"/>
  <c r="K9" i="7" a="1"/>
  <c r="K9" i="7"/>
  <c r="K10" i="7" a="1"/>
  <c r="K10" i="7"/>
  <c r="K11" i="7" a="1"/>
  <c r="K11" i="7"/>
  <c r="K12" i="7" a="1"/>
  <c r="K12" i="7"/>
  <c r="K13" i="7" a="1"/>
  <c r="K13" i="7"/>
  <c r="K14" i="7" a="1"/>
  <c r="K14" i="7"/>
  <c r="K15" i="7" a="1"/>
  <c r="K15" i="7"/>
  <c r="K16" i="7" a="1"/>
  <c r="K16" i="7"/>
  <c r="K17" i="7" a="1"/>
  <c r="K17" i="7"/>
  <c r="K18" i="7" a="1"/>
  <c r="K18" i="7"/>
  <c r="K19" i="7" a="1"/>
  <c r="K19" i="7"/>
  <c r="K20" i="7" a="1"/>
  <c r="K20" i="7"/>
  <c r="K21" i="7" a="1"/>
  <c r="K21" i="7"/>
  <c r="K22" i="7" a="1"/>
  <c r="K22" i="7"/>
  <c r="K23" i="7" a="1"/>
  <c r="K23" i="7"/>
  <c r="K24" i="7" a="1"/>
  <c r="K24" i="7"/>
  <c r="K25" i="7" a="1"/>
  <c r="K25" i="7"/>
  <c r="K26" i="7" a="1"/>
  <c r="K26" i="7"/>
  <c r="K27" i="7" a="1"/>
  <c r="K27" i="7"/>
  <c r="K28" i="7" a="1"/>
  <c r="K28" i="7"/>
  <c r="K29" i="7" a="1"/>
  <c r="K29" i="7"/>
  <c r="K30" i="7" a="1"/>
  <c r="K30" i="7"/>
  <c r="K31" i="7" a="1"/>
  <c r="K31" i="7"/>
  <c r="K32" i="7" a="1"/>
  <c r="K32" i="7"/>
  <c r="K33" i="7" a="1"/>
  <c r="K33" i="7"/>
  <c r="K34" i="7" a="1"/>
  <c r="K34" i="7"/>
  <c r="K35" i="7" a="1"/>
  <c r="K35" i="7"/>
  <c r="K36" i="7" a="1"/>
  <c r="K36" i="7"/>
  <c r="K37" i="7" a="1"/>
  <c r="K37" i="7"/>
  <c r="K38" i="7" a="1"/>
  <c r="K38" i="7"/>
  <c r="K39" i="7" a="1"/>
  <c r="K39" i="7"/>
  <c r="K40" i="7" a="1"/>
  <c r="K40" i="7"/>
  <c r="K41" i="7" a="1"/>
  <c r="K41" i="7"/>
  <c r="K42" i="7" a="1"/>
  <c r="K42" i="7"/>
  <c r="K43" i="7" a="1"/>
  <c r="K43" i="7"/>
  <c r="K44" i="7" a="1"/>
  <c r="K44" i="7"/>
  <c r="K45" i="7" a="1"/>
  <c r="K45" i="7"/>
  <c r="K46" i="7" a="1"/>
  <c r="K46" i="7"/>
  <c r="K47" i="7" a="1"/>
  <c r="K47" i="7"/>
  <c r="K48" i="7" a="1"/>
  <c r="K48" i="7"/>
  <c r="K49" i="7" a="1"/>
  <c r="K49" i="7"/>
  <c r="K50" i="7" a="1"/>
  <c r="K50" i="7"/>
  <c r="K51" i="7" a="1"/>
  <c r="K51" i="7"/>
  <c r="K52" i="7" a="1"/>
  <c r="K52" i="7"/>
  <c r="K53" i="7" a="1"/>
  <c r="K53" i="7"/>
  <c r="K54" i="7" a="1"/>
  <c r="K54" i="7"/>
  <c r="K55" i="7" a="1"/>
  <c r="K55" i="7"/>
  <c r="K56" i="7" a="1"/>
  <c r="K56" i="7"/>
  <c r="K57" i="7" a="1"/>
  <c r="K57" i="7"/>
  <c r="K58" i="7" a="1"/>
  <c r="K58" i="7"/>
  <c r="K59" i="7" a="1"/>
  <c r="K59" i="7"/>
  <c r="K60" i="7" a="1"/>
  <c r="K60" i="7"/>
  <c r="K61" i="7" a="1"/>
  <c r="K61" i="7"/>
  <c r="K62" i="7" a="1"/>
  <c r="K62" i="7"/>
  <c r="K63" i="7" a="1"/>
  <c r="K63" i="7"/>
  <c r="K64" i="7" a="1"/>
  <c r="K64" i="7"/>
  <c r="K65" i="7" a="1"/>
  <c r="K65" i="7"/>
  <c r="K66" i="7" a="1"/>
  <c r="K66" i="7"/>
  <c r="K67" i="7" a="1"/>
  <c r="K67" i="7"/>
  <c r="K68" i="7" a="1"/>
  <c r="K68" i="7"/>
  <c r="K69" i="7" a="1"/>
  <c r="K69" i="7"/>
  <c r="K70" i="7" a="1"/>
  <c r="K70" i="7"/>
  <c r="K71" i="7" a="1"/>
  <c r="K71" i="7"/>
  <c r="K72" i="7" a="1"/>
  <c r="K72" i="7"/>
  <c r="K4" i="7" a="1"/>
  <c r="K4" i="7"/>
  <c r="K5" i="7" a="1"/>
  <c r="K5" i="7"/>
  <c r="K6" i="7" a="1"/>
  <c r="K6" i="7"/>
  <c r="K319" i="5" a="1"/>
  <c r="K319" i="5"/>
  <c r="K4" i="5" a="1"/>
  <c r="K4" i="5"/>
  <c r="K5" i="5" a="1"/>
  <c r="K5" i="5"/>
  <c r="K6" i="5" a="1"/>
  <c r="K6" i="5"/>
  <c r="K7" i="5" a="1"/>
  <c r="K7" i="5"/>
  <c r="K8" i="5" a="1"/>
  <c r="K8" i="5"/>
  <c r="K9" i="5" a="1"/>
  <c r="K9" i="5"/>
  <c r="K10" i="5" a="1"/>
  <c r="K10" i="5"/>
  <c r="K11" i="5" a="1"/>
  <c r="K11" i="5"/>
  <c r="K12" i="5" a="1"/>
  <c r="K12" i="5"/>
  <c r="K13" i="5" a="1"/>
  <c r="K13" i="5"/>
  <c r="K14" i="5" a="1"/>
  <c r="K14" i="5"/>
  <c r="K15" i="5" a="1"/>
  <c r="K15" i="5"/>
  <c r="K16" i="5" a="1"/>
  <c r="K16" i="5"/>
  <c r="K17" i="5" a="1"/>
  <c r="K17" i="5"/>
  <c r="K18" i="5" a="1"/>
  <c r="K18" i="5"/>
  <c r="K19" i="5" a="1"/>
  <c r="K19" i="5"/>
  <c r="K20" i="5" a="1"/>
  <c r="K20" i="5"/>
  <c r="K21" i="5" a="1"/>
  <c r="K21" i="5"/>
  <c r="K22" i="5" a="1"/>
  <c r="K22" i="5"/>
  <c r="K23" i="5" a="1"/>
  <c r="K23" i="5"/>
  <c r="K24" i="5" a="1"/>
  <c r="K24" i="5"/>
  <c r="K25" i="5" a="1"/>
  <c r="K25" i="5"/>
  <c r="K26" i="5" a="1"/>
  <c r="K26" i="5"/>
  <c r="K27" i="5" a="1"/>
  <c r="K27" i="5"/>
  <c r="K28" i="5" a="1"/>
  <c r="K28" i="5"/>
  <c r="K29" i="5" a="1"/>
  <c r="K29" i="5"/>
  <c r="K30" i="5" a="1"/>
  <c r="K30" i="5"/>
  <c r="K31" i="5" a="1"/>
  <c r="K31" i="5"/>
  <c r="K32" i="5" a="1"/>
  <c r="K32" i="5"/>
  <c r="K33" i="5" a="1"/>
  <c r="K33" i="5"/>
  <c r="K34" i="5" a="1"/>
  <c r="K34" i="5"/>
  <c r="K35" i="5" a="1"/>
  <c r="K35" i="5"/>
  <c r="K36" i="5" a="1"/>
  <c r="K36" i="5"/>
  <c r="K37" i="5" a="1"/>
  <c r="K37" i="5"/>
  <c r="K38" i="5" a="1"/>
  <c r="K38" i="5"/>
  <c r="K39" i="5" a="1"/>
  <c r="K39" i="5"/>
  <c r="K40" i="5" a="1"/>
  <c r="K40" i="5"/>
  <c r="K41" i="5" a="1"/>
  <c r="K41" i="5"/>
  <c r="K42" i="5" a="1"/>
  <c r="K42" i="5"/>
  <c r="K43" i="5" a="1"/>
  <c r="K43" i="5"/>
  <c r="K44" i="5" a="1"/>
  <c r="K44" i="5"/>
  <c r="K45" i="5" a="1"/>
  <c r="K45" i="5"/>
  <c r="K46" i="5" a="1"/>
  <c r="K46" i="5"/>
  <c r="K47" i="5" a="1"/>
  <c r="K47" i="5"/>
  <c r="K48" i="5" a="1"/>
  <c r="K48" i="5"/>
  <c r="K49" i="5" a="1"/>
  <c r="K49" i="5"/>
  <c r="K50" i="5" a="1"/>
  <c r="K50" i="5"/>
  <c r="K51" i="5" a="1"/>
  <c r="K51" i="5"/>
  <c r="K52" i="5" a="1"/>
  <c r="K52" i="5"/>
  <c r="K53" i="5" a="1"/>
  <c r="K53" i="5"/>
  <c r="K54" i="5" a="1"/>
  <c r="K54" i="5"/>
  <c r="K55" i="5" a="1"/>
  <c r="K55" i="5"/>
  <c r="K56" i="5" a="1"/>
  <c r="K56" i="5"/>
  <c r="K57" i="5" a="1"/>
  <c r="K57" i="5"/>
  <c r="K58" i="5" a="1"/>
  <c r="K58" i="5"/>
  <c r="K59" i="5" a="1"/>
  <c r="K59" i="5"/>
  <c r="K60" i="5" a="1"/>
  <c r="K60" i="5"/>
  <c r="K61" i="5" a="1"/>
  <c r="K61" i="5"/>
  <c r="K62" i="5" a="1"/>
  <c r="K62" i="5"/>
  <c r="K63" i="5" a="1"/>
  <c r="K63" i="5"/>
  <c r="K64" i="5" a="1"/>
  <c r="K64" i="5"/>
  <c r="K65" i="5" a="1"/>
  <c r="K65" i="5"/>
  <c r="K66" i="5" a="1"/>
  <c r="K66" i="5"/>
  <c r="K67" i="5" a="1"/>
  <c r="K67" i="5"/>
  <c r="K68" i="5" a="1"/>
  <c r="K68" i="5"/>
  <c r="K69" i="5" a="1"/>
  <c r="K69" i="5"/>
  <c r="K70" i="5" a="1"/>
  <c r="K70" i="5"/>
  <c r="K71" i="5" a="1"/>
  <c r="K71" i="5"/>
  <c r="K72" i="5" a="1"/>
  <c r="K72" i="5"/>
  <c r="K73" i="5" a="1"/>
  <c r="K73" i="5"/>
  <c r="K74" i="5" a="1"/>
  <c r="K74" i="5"/>
  <c r="K75" i="5" a="1"/>
  <c r="K75" i="5"/>
  <c r="K76" i="5" a="1"/>
  <c r="K76" i="5"/>
  <c r="K77" i="5" a="1"/>
  <c r="K77" i="5"/>
  <c r="K78" i="5" a="1"/>
  <c r="K78" i="5"/>
  <c r="K79" i="5" a="1"/>
  <c r="K79" i="5"/>
  <c r="K80" i="5" a="1"/>
  <c r="K80" i="5"/>
  <c r="K81" i="5" a="1"/>
  <c r="K81" i="5"/>
  <c r="K82" i="5" a="1"/>
  <c r="K82" i="5"/>
  <c r="K83" i="5" a="1"/>
  <c r="K83" i="5"/>
  <c r="K84" i="5" a="1"/>
  <c r="K84" i="5"/>
  <c r="K85" i="5" a="1"/>
  <c r="K85" i="5"/>
  <c r="K86" i="5" a="1"/>
  <c r="K86" i="5"/>
  <c r="K87" i="5" a="1"/>
  <c r="K87" i="5"/>
  <c r="K88" i="5" a="1"/>
  <c r="K88" i="5"/>
  <c r="K89" i="5" a="1"/>
  <c r="K89" i="5"/>
  <c r="K90" i="5" a="1"/>
  <c r="K90" i="5"/>
  <c r="K91" i="5" a="1"/>
  <c r="K91" i="5"/>
  <c r="K92" i="5" a="1"/>
  <c r="K92" i="5"/>
  <c r="K93" i="5" a="1"/>
  <c r="K93" i="5"/>
  <c r="K94" i="5" a="1"/>
  <c r="K94" i="5"/>
  <c r="K95" i="5" a="1"/>
  <c r="K95" i="5"/>
  <c r="K96" i="5" a="1"/>
  <c r="K96" i="5"/>
  <c r="K97" i="5" a="1"/>
  <c r="K97" i="5"/>
  <c r="K98" i="5" a="1"/>
  <c r="K98" i="5"/>
  <c r="K99" i="5" a="1"/>
  <c r="K99" i="5"/>
  <c r="K100" i="5" a="1"/>
  <c r="K100" i="5"/>
  <c r="K101" i="5" a="1"/>
  <c r="K101" i="5"/>
  <c r="K102" i="5" a="1"/>
  <c r="K102" i="5"/>
  <c r="K103" i="5" a="1"/>
  <c r="K103" i="5"/>
  <c r="K104" i="5" a="1"/>
  <c r="K104" i="5"/>
  <c r="K105" i="5" a="1"/>
  <c r="K105" i="5"/>
  <c r="K106" i="5" a="1"/>
  <c r="K106" i="5"/>
  <c r="K107" i="5" a="1"/>
  <c r="K107" i="5"/>
  <c r="K108" i="5" a="1"/>
  <c r="K108" i="5"/>
  <c r="K109" i="5" a="1"/>
  <c r="K109" i="5"/>
  <c r="K110" i="5" a="1"/>
  <c r="K110" i="5"/>
  <c r="K111" i="5" a="1"/>
  <c r="K111" i="5"/>
  <c r="K112" i="5" a="1"/>
  <c r="K112" i="5"/>
  <c r="K113" i="5" a="1"/>
  <c r="K113" i="5"/>
  <c r="K114" i="5" a="1"/>
  <c r="K114" i="5"/>
  <c r="K115" i="5" a="1"/>
  <c r="K115" i="5"/>
  <c r="K116" i="5" a="1"/>
  <c r="K116" i="5"/>
  <c r="K117" i="5" a="1"/>
  <c r="K117" i="5"/>
  <c r="K118" i="5" a="1"/>
  <c r="K118" i="5"/>
  <c r="K119" i="5" a="1"/>
  <c r="K119" i="5"/>
  <c r="K120" i="5" a="1"/>
  <c r="K120" i="5"/>
  <c r="K121" i="5" a="1"/>
  <c r="K121" i="5"/>
  <c r="K122" i="5" a="1"/>
  <c r="K122" i="5"/>
  <c r="K123" i="5" a="1"/>
  <c r="K123" i="5"/>
  <c r="K124" i="5" a="1"/>
  <c r="K124" i="5"/>
  <c r="K125" i="5" a="1"/>
  <c r="K125" i="5"/>
  <c r="K126" i="5" a="1"/>
  <c r="K126" i="5"/>
  <c r="K127" i="5" a="1"/>
  <c r="K127" i="5"/>
  <c r="K128" i="5" a="1"/>
  <c r="K128" i="5"/>
  <c r="K129" i="5" a="1"/>
  <c r="K129" i="5"/>
  <c r="K130" i="5" a="1"/>
  <c r="K130" i="5"/>
  <c r="K131" i="5" a="1"/>
  <c r="K131" i="5"/>
  <c r="K132" i="5" a="1"/>
  <c r="K132" i="5"/>
  <c r="K133" i="5" a="1"/>
  <c r="K133" i="5"/>
  <c r="K134" i="5" a="1"/>
  <c r="K134" i="5"/>
  <c r="K135" i="5" a="1"/>
  <c r="K135" i="5"/>
  <c r="K136" i="5" a="1"/>
  <c r="K136" i="5"/>
  <c r="K137" i="5" a="1"/>
  <c r="K137" i="5"/>
  <c r="K138" i="5" a="1"/>
  <c r="K138" i="5"/>
  <c r="K139" i="5" a="1"/>
  <c r="K139" i="5"/>
  <c r="K140" i="5" a="1"/>
  <c r="K140" i="5"/>
  <c r="K141" i="5" a="1"/>
  <c r="K141" i="5"/>
  <c r="K142" i="5" a="1"/>
  <c r="K142" i="5"/>
  <c r="K143" i="5" a="1"/>
  <c r="K143" i="5"/>
  <c r="K144" i="5" a="1"/>
  <c r="K144" i="5"/>
  <c r="K145" i="5" a="1"/>
  <c r="K145" i="5"/>
  <c r="K146" i="5" a="1"/>
  <c r="K146" i="5"/>
  <c r="K147" i="5" a="1"/>
  <c r="K147" i="5"/>
  <c r="K148" i="5" a="1"/>
  <c r="K148" i="5"/>
  <c r="K149" i="5" a="1"/>
  <c r="K149" i="5"/>
  <c r="K150" i="5" a="1"/>
  <c r="K150" i="5"/>
  <c r="K151" i="5" a="1"/>
  <c r="K151" i="5"/>
  <c r="K152" i="5" a="1"/>
  <c r="K152" i="5"/>
  <c r="K153" i="5" a="1"/>
  <c r="K153" i="5"/>
  <c r="K154" i="5" a="1"/>
  <c r="K154" i="5"/>
  <c r="K155" i="5" a="1"/>
  <c r="K155" i="5"/>
  <c r="K156" i="5" a="1"/>
  <c r="K156" i="5"/>
  <c r="K157" i="5" a="1"/>
  <c r="K157" i="5"/>
  <c r="K158" i="5" a="1"/>
  <c r="K158" i="5"/>
  <c r="K159" i="5" a="1"/>
  <c r="K159" i="5"/>
  <c r="K160" i="5" a="1"/>
  <c r="K160" i="5"/>
  <c r="K161" i="5" a="1"/>
  <c r="K161" i="5"/>
  <c r="K162" i="5" a="1"/>
  <c r="K162" i="5"/>
  <c r="K163" i="5" a="1"/>
  <c r="K163" i="5"/>
  <c r="K164" i="5" a="1"/>
  <c r="K164" i="5"/>
  <c r="K165" i="5" a="1"/>
  <c r="K165" i="5"/>
  <c r="K166" i="5" a="1"/>
  <c r="K166" i="5"/>
  <c r="K167" i="5" a="1"/>
  <c r="K167" i="5"/>
  <c r="K168" i="5" a="1"/>
  <c r="K168" i="5"/>
  <c r="K169" i="5" a="1"/>
  <c r="K169" i="5"/>
  <c r="K170" i="5" a="1"/>
  <c r="K170" i="5"/>
  <c r="K171" i="5" a="1"/>
  <c r="K171" i="5"/>
  <c r="K172" i="5" a="1"/>
  <c r="K172" i="5"/>
  <c r="K173" i="5" a="1"/>
  <c r="K173" i="5"/>
  <c r="K174" i="5" a="1"/>
  <c r="K174" i="5"/>
  <c r="K175" i="5" a="1"/>
  <c r="K175" i="5"/>
  <c r="K176" i="5" a="1"/>
  <c r="K176" i="5"/>
  <c r="K177" i="5" a="1"/>
  <c r="K177" i="5"/>
  <c r="K178" i="5" a="1"/>
  <c r="K178" i="5"/>
  <c r="K179" i="5" a="1"/>
  <c r="K179" i="5"/>
  <c r="K180" i="5" a="1"/>
  <c r="K180" i="5"/>
  <c r="K181" i="5" a="1"/>
  <c r="K181" i="5"/>
  <c r="K182" i="5" a="1"/>
  <c r="K182" i="5"/>
  <c r="K183" i="5" a="1"/>
  <c r="K183" i="5"/>
  <c r="K184" i="5" a="1"/>
  <c r="K184" i="5"/>
  <c r="K185" i="5" a="1"/>
  <c r="K185" i="5"/>
  <c r="K186" i="5" a="1"/>
  <c r="K186" i="5"/>
  <c r="K187" i="5" a="1"/>
  <c r="K187" i="5"/>
  <c r="K188" i="5" a="1"/>
  <c r="K188" i="5"/>
  <c r="K189" i="5" a="1"/>
  <c r="K189" i="5"/>
  <c r="K190" i="5" a="1"/>
  <c r="K190" i="5"/>
  <c r="K191" i="5" a="1"/>
  <c r="K191" i="5"/>
  <c r="K192" i="5" a="1"/>
  <c r="K192" i="5"/>
  <c r="K193" i="5" a="1"/>
  <c r="K193" i="5"/>
  <c r="K195" i="5" a="1"/>
  <c r="K195" i="5"/>
  <c r="K196" i="5" a="1"/>
  <c r="K196" i="5"/>
  <c r="K197" i="5" a="1"/>
  <c r="K197" i="5"/>
  <c r="K198" i="5" a="1"/>
  <c r="K198" i="5"/>
  <c r="K199" i="5" a="1"/>
  <c r="K199" i="5"/>
  <c r="K200" i="5" a="1"/>
  <c r="K200" i="5"/>
  <c r="K201" i="5" a="1"/>
  <c r="K201" i="5"/>
  <c r="K202" i="5" a="1"/>
  <c r="K202" i="5"/>
  <c r="K203" i="5" a="1"/>
  <c r="K203" i="5"/>
  <c r="K204" i="5" a="1"/>
  <c r="K204" i="5"/>
  <c r="K205" i="5" a="1"/>
  <c r="K205" i="5"/>
  <c r="K206" i="5" a="1"/>
  <c r="K206" i="5"/>
  <c r="K207" i="5" a="1"/>
  <c r="K207" i="5"/>
  <c r="K208" i="5" a="1"/>
  <c r="K208" i="5"/>
  <c r="K209" i="5" a="1"/>
  <c r="K209" i="5"/>
  <c r="K210" i="5" a="1"/>
  <c r="K210" i="5"/>
  <c r="K211" i="5" a="1"/>
  <c r="K211" i="5"/>
  <c r="K212" i="5" a="1"/>
  <c r="K212" i="5"/>
  <c r="K213" i="5" a="1"/>
  <c r="K213" i="5"/>
  <c r="K214" i="5" a="1"/>
  <c r="K214" i="5"/>
  <c r="K215" i="5" a="1"/>
  <c r="K215" i="5"/>
  <c r="K216" i="5" a="1"/>
  <c r="K216" i="5"/>
  <c r="K217" i="5" a="1"/>
  <c r="K217" i="5"/>
  <c r="K218" i="5" a="1"/>
  <c r="K218" i="5"/>
  <c r="K219" i="5" a="1"/>
  <c r="K219" i="5"/>
  <c r="K220" i="5" a="1"/>
  <c r="K220" i="5"/>
  <c r="K223" i="5" a="1"/>
  <c r="K223" i="5"/>
  <c r="K224" i="5" a="1"/>
  <c r="K224" i="5"/>
  <c r="K225" i="5" a="1"/>
  <c r="K225" i="5"/>
  <c r="K226" i="5" a="1"/>
  <c r="K226" i="5"/>
  <c r="K227" i="5" a="1"/>
  <c r="K227" i="5"/>
  <c r="K228" i="5" a="1"/>
  <c r="K228" i="5"/>
  <c r="K229" i="5" a="1"/>
  <c r="K229" i="5"/>
  <c r="K230" i="5" a="1"/>
  <c r="K230" i="5"/>
  <c r="K231" i="5" a="1"/>
  <c r="K231" i="5"/>
  <c r="K232" i="5" a="1"/>
  <c r="K232" i="5"/>
  <c r="K234" i="5" a="1"/>
  <c r="K234" i="5"/>
  <c r="K235" i="5" a="1"/>
  <c r="K235" i="5"/>
  <c r="K236" i="5" a="1"/>
  <c r="K236" i="5"/>
  <c r="K237" i="5" a="1"/>
  <c r="K237" i="5"/>
  <c r="K238" i="5" a="1"/>
  <c r="K238" i="5"/>
  <c r="K239" i="5" a="1"/>
  <c r="K239" i="5"/>
  <c r="K240" i="5" a="1"/>
  <c r="K240" i="5"/>
  <c r="K241" i="5" a="1"/>
  <c r="K241" i="5"/>
  <c r="K242" i="5" a="1"/>
  <c r="K242" i="5"/>
  <c r="K243" i="5" a="1"/>
  <c r="K243" i="5"/>
  <c r="K244" i="5" a="1"/>
  <c r="K244" i="5"/>
  <c r="K245" i="5" a="1"/>
  <c r="K245" i="5"/>
  <c r="K246" i="5" a="1"/>
  <c r="K246" i="5"/>
  <c r="K247" i="5" a="1"/>
  <c r="K247" i="5"/>
  <c r="K248" i="5" a="1"/>
  <c r="K248" i="5"/>
  <c r="K249" i="5" a="1"/>
  <c r="K249" i="5"/>
  <c r="K250" i="5" a="1"/>
  <c r="K250" i="5"/>
  <c r="K251" i="5" a="1"/>
  <c r="K251" i="5"/>
  <c r="K252" i="5" a="1"/>
  <c r="K252" i="5"/>
  <c r="K253" i="5" a="1"/>
  <c r="K253" i="5"/>
  <c r="K254" i="5" a="1"/>
  <c r="K254" i="5"/>
  <c r="K255" i="5" a="1"/>
  <c r="K255" i="5"/>
  <c r="K256" i="5" a="1"/>
  <c r="K256" i="5"/>
  <c r="K257" i="5" a="1"/>
  <c r="K257" i="5"/>
  <c r="K258" i="5" a="1"/>
  <c r="K258" i="5"/>
  <c r="K259" i="5" a="1"/>
  <c r="K259" i="5"/>
  <c r="K260" i="5" a="1"/>
  <c r="K260" i="5"/>
  <c r="K261" i="5" a="1"/>
  <c r="K261" i="5"/>
  <c r="K262" i="5" a="1"/>
  <c r="K262" i="5"/>
  <c r="K263" i="5" a="1"/>
  <c r="K263" i="5"/>
  <c r="K264" i="5" a="1"/>
  <c r="K264" i="5"/>
  <c r="K265" i="5" a="1"/>
  <c r="K265" i="5"/>
  <c r="K266" i="5" a="1"/>
  <c r="K266" i="5"/>
  <c r="K267" i="5" a="1"/>
  <c r="K267" i="5"/>
  <c r="K268" i="5" a="1"/>
  <c r="K268" i="5"/>
  <c r="K269" i="5" a="1"/>
  <c r="K269" i="5"/>
  <c r="K270" i="5" a="1"/>
  <c r="K270" i="5"/>
  <c r="K271" i="5" a="1"/>
  <c r="K271" i="5"/>
  <c r="K272" i="5" a="1"/>
  <c r="K272" i="5"/>
  <c r="K273" i="5" a="1"/>
  <c r="K273" i="5"/>
  <c r="K274" i="5" a="1"/>
  <c r="K274" i="5"/>
  <c r="K275" i="5" a="1"/>
  <c r="K275" i="5"/>
  <c r="K276" i="5" a="1"/>
  <c r="K276" i="5"/>
  <c r="K277" i="5" a="1"/>
  <c r="K277" i="5"/>
  <c r="K278" i="5" a="1"/>
  <c r="K278" i="5"/>
  <c r="K279" i="5" a="1"/>
  <c r="K279" i="5"/>
  <c r="K280" i="5" a="1"/>
  <c r="K280" i="5"/>
  <c r="K281" i="5" a="1"/>
  <c r="K281" i="5"/>
  <c r="K282" i="5" a="1"/>
  <c r="K282" i="5"/>
  <c r="K283" i="5" a="1"/>
  <c r="K283" i="5"/>
  <c r="K284" i="5" a="1"/>
  <c r="K284" i="5"/>
  <c r="K285" i="5" a="1"/>
  <c r="K285" i="5"/>
  <c r="K286" i="5" a="1"/>
  <c r="K286" i="5"/>
  <c r="K287" i="5" a="1"/>
  <c r="K287" i="5"/>
  <c r="K288" i="5" a="1"/>
  <c r="K288" i="5"/>
  <c r="K289" i="5" a="1"/>
  <c r="K289" i="5"/>
  <c r="K290" i="5" a="1"/>
  <c r="K290" i="5"/>
  <c r="K291" i="5" a="1"/>
  <c r="K291" i="5"/>
  <c r="K292" i="5" a="1"/>
  <c r="K292" i="5"/>
  <c r="K293" i="5" a="1"/>
  <c r="K293" i="5"/>
  <c r="K294" i="5" a="1"/>
  <c r="K294" i="5"/>
  <c r="K295" i="5" a="1"/>
  <c r="K295" i="5"/>
  <c r="K296" i="5" a="1"/>
  <c r="K296" i="5"/>
  <c r="K297" i="5" a="1"/>
  <c r="K297" i="5"/>
  <c r="K298" i="5" a="1"/>
  <c r="K298" i="5"/>
  <c r="K299" i="5" a="1"/>
  <c r="K299" i="5"/>
  <c r="K300" i="5" a="1"/>
  <c r="K300" i="5"/>
  <c r="K301" i="5" a="1"/>
  <c r="K301" i="5"/>
  <c r="K302" i="5" a="1"/>
  <c r="K302" i="5"/>
  <c r="K303" i="5" a="1"/>
  <c r="K303" i="5"/>
  <c r="K304" i="5" a="1"/>
  <c r="K304" i="5"/>
  <c r="K305" i="5" a="1"/>
  <c r="K305" i="5"/>
  <c r="K306" i="5" a="1"/>
  <c r="K306" i="5"/>
  <c r="K307" i="5" a="1"/>
  <c r="K307" i="5"/>
  <c r="K308" i="5" a="1"/>
  <c r="K308" i="5"/>
  <c r="K309" i="5" a="1"/>
  <c r="K309" i="5"/>
  <c r="K310" i="5" a="1"/>
  <c r="K310" i="5"/>
  <c r="K311" i="5" a="1"/>
  <c r="K311" i="5"/>
  <c r="K312" i="5" a="1"/>
  <c r="K312" i="5"/>
  <c r="K313" i="5" a="1"/>
  <c r="K313" i="5"/>
  <c r="K314" i="5" a="1"/>
  <c r="K314" i="5"/>
  <c r="K315" i="5" a="1"/>
  <c r="K315" i="5"/>
  <c r="K316" i="5" a="1"/>
  <c r="K316" i="5"/>
  <c r="K317" i="5" a="1"/>
  <c r="K317" i="5"/>
  <c r="K318" i="5" a="1"/>
  <c r="K318" i="5"/>
  <c r="K320" i="5" a="1"/>
  <c r="K320" i="5"/>
  <c r="K321" i="5" a="1"/>
  <c r="K321" i="5"/>
  <c r="K322" i="5" a="1"/>
  <c r="K322" i="5"/>
  <c r="K323" i="5" a="1"/>
  <c r="K323" i="5"/>
  <c r="K324" i="5" a="1"/>
  <c r="K324" i="5"/>
  <c r="K325" i="5" a="1"/>
  <c r="K325" i="5"/>
  <c r="K326" i="5" a="1"/>
  <c r="K326" i="5"/>
  <c r="K327" i="5" a="1"/>
  <c r="K327" i="5"/>
  <c r="K328" i="5" a="1"/>
  <c r="K328" i="5"/>
  <c r="K329" i="5" a="1"/>
  <c r="K329" i="5"/>
  <c r="K330" i="5" a="1"/>
  <c r="K330" i="5"/>
  <c r="K331" i="5" a="1"/>
  <c r="K331" i="5"/>
  <c r="K332" i="5" a="1"/>
  <c r="K332" i="5"/>
  <c r="K333" i="5" a="1"/>
  <c r="K333" i="5"/>
  <c r="K334" i="5" a="1"/>
  <c r="K334" i="5"/>
  <c r="K335" i="5" a="1"/>
  <c r="K335" i="5"/>
  <c r="K336" i="5" a="1"/>
  <c r="K336" i="5"/>
  <c r="K337" i="5" a="1"/>
  <c r="K337" i="5"/>
  <c r="K338" i="5" a="1"/>
  <c r="K338" i="5"/>
  <c r="K339" i="5" a="1"/>
  <c r="K339" i="5"/>
  <c r="K340" i="5" a="1"/>
  <c r="K340" i="5"/>
  <c r="K341" i="5" a="1"/>
  <c r="K341" i="5"/>
  <c r="K342" i="5" a="1"/>
  <c r="K342" i="5"/>
  <c r="K343" i="5" a="1"/>
  <c r="K343" i="5"/>
  <c r="K344" i="5" a="1"/>
  <c r="K344" i="5"/>
  <c r="K345" i="5" a="1"/>
  <c r="K345" i="5"/>
  <c r="K346" i="5" a="1"/>
  <c r="K346" i="5"/>
  <c r="K347" i="5" a="1"/>
  <c r="K347" i="5"/>
  <c r="K348" i="5" a="1"/>
  <c r="K348" i="5"/>
  <c r="K349" i="5" a="1"/>
  <c r="K349" i="5"/>
  <c r="K350" i="5" a="1"/>
  <c r="K350" i="5"/>
  <c r="J34" i="3"/>
  <c r="K34" i="3" s="1" a="1"/>
  <c r="K34" i="3" s="1"/>
  <c r="J33" i="3"/>
  <c r="K33" i="3" s="1" a="1"/>
  <c r="K33" i="3" s="1"/>
  <c r="J58" i="4"/>
  <c r="K58" i="4" s="1" a="1"/>
  <c r="K58"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<sst xmlns="http://schemas.openxmlformats.org/spreadsheetml/2006/main" count="7438" uniqueCount="2683">
  <si>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</si>
  <si>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</si>
  <si>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</si>
  <si>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</si>
  <si>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</si>
  <si>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</si>
  <si>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</si>
  <si>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</si>
  <si>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</si>
  <si>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</si>
  <si>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</si>
  <si>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</si>
  <si>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</si>
  <si>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</si>
  <si>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</si>
  <si>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</si>
  <si>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</si>
  <si>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</si>
  <si>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</si>
  <si>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</si>
  <si>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</si>
  <si>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</si>
  <si>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</si>
  <si>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</si>
  <si>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</si>
  <si>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</si>
  <si>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</si>
  <si>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</si>
  <si>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</si>
  <si>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</si>
  <si>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</si>
  <si>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</si>
  <si>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</si>
  <si>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</si>
  <si>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</si>
  <si>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</si>
  <si>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</si>
  <si>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</si>
  <si>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</si>
  <si>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</si>
  <si>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</si>
  <si>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</si>
  <si>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</si>
  <si>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</si>
  <si>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</si>
  <si>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</si>
  <si>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</si>
  <si>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</si>
  <si>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</si>
  <si>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</si>
  <si>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</si>
  <si>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</si>
  <si>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</si>
  <si>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</si>
  <si>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</si>
  <si>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</si>
  <si>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</si>
  <si>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</si>
  <si>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</si>
  <si>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</si>
  <si>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</si>
  <si>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</si>
  <si>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</si>
  <si>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</si>
  <si>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</si>
  <si>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</si>
  <si>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</si>
  <si>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</si>
  <si>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</si>
  <si>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</si>
  <si>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</si>
  <si>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</si>
  <si>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</si>
  <si>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</si>
  <si>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</si>
  <si>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</si>
  <si>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</si>
  <si>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</si>
  <si>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</si>
  <si>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</si>
  <si>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</si>
  <si>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</si>
  <si>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</si>
  <si>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</si>
  <si>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</si>
  <si>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</si>
  <si>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</si>
  <si>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</si>
  <si>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</si>
  <si>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</si>
  <si>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</si>
  <si>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</si>
  <si>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</si>
  <si>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</si>
  <si>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</si>
  <si>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</si>
  <si>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</si>
  <si>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</si>
  <si>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</si>
  <si>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</si>
  <si>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</si>
  <si>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</si>
  <si>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</si>
  <si>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</si>
  <si>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</si>
  <si>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</si>
  <si>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</si>
  <si>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</si>
  <si>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</si>
  <si>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</si>
  <si>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</si>
  <si>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</si>
  <si>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High Priority</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</si>
  <si>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</si>
  <si>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</si>
  <si>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</si>
  <si>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</si>
  <si>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</si>
  <si>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</si>
  <si>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</si>
  <si>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</si>
  <si>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</si>
  <si>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</si>
  <si>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</si>
  <si>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</si>
  <si>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</si>
  <si>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</si>
  <si>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</si>
  <si>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</si>
  <si>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</si>
  <si>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</si>
  <si>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</si>
  <si>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</si>
  <si>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</si>
  <si>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</si>
  <si>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</si>
  <si>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</si>
  <si>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</si>
  <si>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</si>
  <si>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</si>
  <si>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</si>
  <si>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</si>
  <si>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</si>
  <si>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</si>
  <si>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</si>
  <si>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</si>
  <si>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</si>
  <si>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</si>
  <si>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</si>
  <si>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</si>
  <si>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</si>
  <si>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</si>
  <si>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</si>
  <si>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Intial Submittal</t>
  </si>
  <si>
    <t>Submit preliminary and baseline schedule.</t>
  </si>
  <si>
    <t>01321-003.0</t>
  </si>
  <si>
    <t>Resubmittal</t>
  </si>
  <si>
    <t>NCR</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</si>
  <si>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</si>
  <si>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</si>
  <si>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</si>
  <si>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</si>
  <si>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</si>
  <si>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</si>
  <si>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</si>
  <si>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</si>
  <si>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</si>
  <si>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</si>
  <si>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</si>
  <si>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</si>
  <si>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</si>
  <si>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</si>
  <si>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</si>
  <si>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</si>
  <si>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</si>
  <si>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</si>
  <si>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</si>
  <si>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</si>
  <si>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</si>
  <si>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</si>
  <si>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</si>
  <si>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</si>
  <si>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</si>
  <si>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</si>
  <si>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</si>
  <si>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</si>
  <si>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</si>
  <si>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</si>
  <si>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</si>
  <si>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</si>
  <si>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</si>
  <si>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</si>
  <si>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</si>
  <si>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</si>
  <si>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</si>
  <si>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</si>
  <si>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</si>
  <si>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</si>
  <si>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</si>
  <si>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</si>
  <si>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</si>
  <si>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</si>
  <si>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</si>
  <si>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</si>
  <si>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</si>
  <si>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</si>
  <si>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</si>
  <si>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</si>
  <si>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</si>
  <si>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</si>
  <si>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</si>
  <si>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</si>
  <si>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</si>
  <si>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</si>
  <si>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</si>
  <si>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</si>
  <si>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</si>
  <si>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</si>
  <si>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</si>
  <si>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</si>
  <si>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</si>
  <si>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</si>
  <si>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</si>
  <si>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</si>
  <si>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01357-001.0</t>
  </si>
  <si>
    <t>01357</t>
  </si>
  <si>
    <t xml:space="preserve">DELEGATED DESIGN PROCEDURES  </t>
  </si>
  <si>
    <t>Mass Electric - Delegated Design</t>
  </si>
  <si>
    <t>MASS</t>
  </si>
  <si>
    <t>1.04-A-1</t>
  </si>
  <si>
    <t>Contractor’s Professional Engineer’s qualifications.</t>
  </si>
  <si>
    <t>submitted</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</si>
  <si>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</si>
  <si>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</si>
  <si>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</si>
  <si>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</si>
  <si>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</si>
  <si>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</si>
  <si>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</si>
  <si>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</si>
  <si>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</si>
  <si>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</si>
  <si>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</si>
  <si>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</si>
  <si>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</si>
  <si>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</si>
  <si>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</si>
  <si>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</si>
  <si>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</si>
  <si>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</si>
  <si>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</si>
  <si>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</si>
  <si>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</si>
  <si>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</si>
  <si>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</si>
  <si>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</si>
  <si>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</si>
  <si>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</si>
  <si>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</si>
  <si>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</si>
  <si>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</si>
  <si>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</si>
  <si>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</si>
  <si>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</si>
  <si>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</si>
  <si>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</si>
  <si>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</si>
  <si>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</si>
  <si>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</si>
  <si>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</si>
  <si>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</si>
  <si>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</si>
  <si>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</si>
  <si>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</si>
  <si>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</si>
  <si>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</si>
  <si>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</si>
  <si>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</si>
  <si>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</si>
  <si>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</si>
  <si>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</si>
  <si>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</si>
  <si>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</si>
  <si>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</si>
  <si>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High Priority(Y/N)</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</si>
  <si>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</si>
  <si>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</si>
  <si>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</si>
  <si>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</si>
  <si>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</si>
  <si>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</si>
  <si>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</si>
  <si>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</si>
  <si>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</si>
  <si>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</si>
  <si>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</si>
  <si>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</si>
  <si>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</si>
  <si>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</si>
  <si>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</si>
  <si>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</si>
  <si>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RC</t>
  </si>
  <si>
    <t>02667-001.0</t>
  </si>
  <si>
    <t>02667</t>
  </si>
  <si>
    <t xml:space="preserve">HOT TAPPING AND LINE STOPPING </t>
  </si>
  <si>
    <t>NN</t>
  </si>
  <si>
    <t xml:space="preserve">Experience summary and references for specialty contractor to perform the work. </t>
  </si>
  <si>
    <t>Rev</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</si>
  <si>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</si>
  <si>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</si>
  <si>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</si>
  <si>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</si>
  <si>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</si>
  <si>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</si>
  <si>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</si>
  <si>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</si>
  <si>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</si>
  <si>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</si>
  <si>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Y</t>
  </si>
  <si>
    <t>02667-001.2</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</si>
  <si>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</si>
  <si>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</si>
  <si>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</si>
  <si>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</si>
  <si>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</si>
  <si>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</si>
  <si>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</si>
  <si>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</si>
  <si>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</si>
  <si>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</si>
  <si>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</si>
  <si>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</si>
  <si>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</si>
  <si>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</si>
  <si>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</si>
  <si>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</si>
  <si>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</si>
  <si>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</si>
  <si>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</si>
  <si>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</si>
  <si>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</si>
  <si>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</si>
  <si>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</si>
  <si>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</si>
  <si>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</si>
  <si>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</si>
  <si>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</si>
  <si>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</si>
  <si>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</si>
  <si>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</si>
  <si>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</si>
  <si>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</si>
  <si>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</si>
  <si>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</si>
  <si>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</si>
  <si>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</si>
  <si>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</si>
  <si>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</si>
  <si>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</si>
  <si>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</si>
  <si>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</si>
  <si>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</si>
  <si>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</si>
  <si>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</si>
  <si>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</si>
  <si>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</si>
  <si>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</si>
  <si>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</si>
  <si>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</si>
  <si>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</si>
  <si>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</si>
  <si>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</si>
  <si>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</si>
  <si>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</si>
  <si>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</si>
  <si>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</si>
  <si>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</si>
  <si>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</si>
  <si>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</si>
  <si>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</si>
  <si>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</si>
  <si>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</si>
  <si>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</si>
  <si>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</si>
  <si>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</si>
  <si>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</si>
  <si>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</si>
  <si>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</si>
  <si>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</si>
  <si>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</si>
  <si>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</si>
  <si>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</si>
  <si>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</si>
  <si>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</si>
  <si>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</si>
  <si>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</si>
  <si>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</si>
  <si>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</si>
  <si>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</si>
  <si>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</si>
  <si>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</si>
  <si>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</si>
  <si>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</si>
  <si>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</si>
  <si>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</si>
  <si>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</si>
  <si>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</si>
  <si>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</si>
  <si>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</si>
  <si>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</si>
  <si>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</si>
  <si>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</si>
  <si>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</si>
  <si>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</si>
  <si>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</si>
  <si>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</si>
  <si>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</si>
  <si>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</si>
  <si>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</si>
  <si>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</si>
  <si>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</si>
  <si>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</si>
  <si>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</si>
  <si>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</si>
  <si>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</si>
  <si>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</si>
  <si>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</si>
  <si>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</si>
  <si>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</si>
  <si>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</si>
  <si>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</si>
  <si>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</si>
  <si>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</si>
  <si>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</si>
  <si>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</si>
  <si>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</si>
  <si>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</si>
  <si>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</si>
  <si>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</si>
  <si>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</si>
  <si>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</si>
  <si>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</si>
  <si>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</si>
  <si>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</si>
  <si>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</si>
  <si>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</si>
  <si>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</si>
  <si>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</si>
  <si>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</si>
  <si>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</si>
  <si>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</si>
  <si>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</si>
  <si>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</si>
  <si>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</si>
  <si>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</si>
  <si>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</si>
  <si>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</si>
  <si>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</si>
  <si>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</si>
  <si>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</si>
  <si>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</si>
  <si>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</si>
  <si>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</si>
  <si>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</si>
  <si>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</si>
  <si>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</si>
  <si>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</si>
  <si>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</si>
  <si>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</si>
  <si>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</si>
  <si>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</si>
  <si>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</si>
  <si>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</si>
  <si>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</si>
  <si>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</si>
  <si>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</si>
  <si>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</si>
  <si>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</si>
  <si>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</si>
  <si>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</si>
  <si>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</si>
  <si>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</si>
  <si>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</si>
  <si>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</si>
  <si>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</si>
  <si>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</si>
  <si>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</si>
  <si>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</si>
  <si>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</si>
  <si>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</si>
  <si>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</si>
  <si>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</si>
  <si>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</si>
  <si>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</si>
  <si>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</si>
  <si>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</si>
  <si>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</si>
  <si>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</si>
  <si>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</si>
  <si>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</si>
  <si>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</si>
  <si>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</si>
  <si>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</si>
  <si>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</si>
  <si>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</si>
  <si>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</si>
  <si>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</si>
  <si>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</si>
  <si>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</si>
  <si>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</si>
  <si>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</si>
  <si>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</si>
  <si>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</si>
  <si>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</si>
  <si>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</si>
  <si>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</si>
  <si>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</si>
  <si>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</si>
  <si>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</si>
  <si>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</si>
  <si>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</si>
  <si>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</si>
  <si>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</si>
  <si>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</si>
  <si>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</si>
  <si>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</si>
  <si>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</si>
  <si>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</si>
  <si>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</si>
  <si>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</si>
  <si>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</si>
  <si>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</si>
  <si>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</si>
  <si>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</si>
  <si>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</si>
  <si>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</si>
  <si>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</si>
  <si>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</si>
  <si>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</si>
  <si>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</si>
  <si>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</si>
  <si>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</si>
  <si>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</si>
  <si>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</si>
  <si>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</si>
  <si>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</si>
  <si>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</si>
  <si>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</si>
  <si>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</si>
  <si>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</si>
  <si>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</si>
  <si>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</si>
  <si>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</si>
  <si>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</si>
  <si>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</si>
  <si>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</si>
  <si>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</si>
  <si>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</si>
  <si>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</si>
  <si>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</si>
  <si>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</si>
  <si>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</si>
  <si>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</si>
  <si>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</si>
  <si>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</si>
  <si>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</si>
  <si>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</si>
  <si>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</si>
  <si>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</si>
  <si>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</si>
  <si>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</si>
  <si>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</si>
  <si>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</si>
  <si>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</si>
  <si>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</si>
  <si>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</si>
  <si>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</si>
  <si>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</si>
  <si>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</si>
  <si>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</si>
  <si>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</si>
  <si>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Submitted</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</si>
  <si>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</si>
  <si>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</si>
  <si>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</si>
  <si>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</si>
  <si>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</si>
  <si>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</si>
  <si>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</si>
  <si>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</si>
  <si>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</si>
  <si>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</si>
  <si>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</si>
  <si>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</si>
  <si>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</si>
  <si>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</si>
  <si>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</si>
  <si>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</si>
  <si>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</si>
  <si>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</si>
  <si>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</si>
  <si>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</si>
  <si>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</si>
  <si>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</si>
  <si>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</si>
  <si>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</si>
  <si>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</si>
  <si>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</si>
  <si>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</si>
  <si>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</si>
  <si>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</si>
  <si>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</si>
  <si>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</si>
  <si>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</si>
  <si>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</si>
  <si>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</si>
  <si>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</si>
  <si>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</si>
  <si>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</si>
  <si>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</si>
  <si>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</si>
  <si>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</si>
  <si>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</si>
  <si>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15211-001.1</t>
  </si>
  <si>
    <t>Resubmittal Ductile Iron Pipi</t>
  </si>
  <si>
    <t>B. Farrell</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</si>
  <si>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</si>
  <si>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</si>
  <si>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</si>
  <si>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</si>
  <si>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</si>
  <si>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</si>
  <si>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</si>
  <si>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</si>
  <si>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</si>
  <si>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</si>
  <si>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Product data:Materials and Fittings Only!</t>
  </si>
  <si>
    <t>15230-002.1</t>
  </si>
  <si>
    <t>AC</t>
  </si>
  <si>
    <t>Product Data: Solvent Cement and Primer</t>
  </si>
  <si>
    <t>Nishant</t>
  </si>
  <si>
    <t>Product Data for Solvent Cement and Primer</t>
  </si>
  <si>
    <t>15230-003.1</t>
  </si>
  <si>
    <t>15230-004.0</t>
  </si>
  <si>
    <t>Variance: HDPE Product Data</t>
  </si>
  <si>
    <t>Brandon</t>
  </si>
  <si>
    <t>2.03 A. 3</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</si>
  <si>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</si>
  <si>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</si>
  <si>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</si>
  <si>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</si>
  <si>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</si>
  <si>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</si>
  <si>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</si>
  <si>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</si>
  <si>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</si>
  <si>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</si>
  <si>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</si>
  <si>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</si>
  <si>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</si>
  <si>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</si>
  <si>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</si>
  <si>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</si>
  <si>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</si>
  <si>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</si>
  <si>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</si>
  <si>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</si>
  <si>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</si>
  <si>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</si>
  <si>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</si>
  <si>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</si>
  <si>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</si>
  <si>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</si>
  <si>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</si>
  <si>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</si>
  <si>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</si>
  <si>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</si>
  <si>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</si>
  <si>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</si>
  <si>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</si>
  <si>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</si>
  <si>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</si>
  <si>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</si>
  <si>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</si>
  <si>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</si>
  <si>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</si>
  <si>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</si>
  <si>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</si>
  <si>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</si>
  <si>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</si>
  <si>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</si>
  <si>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</si>
  <si>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</si>
  <si>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</si>
  <si>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</si>
  <si>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</si>
  <si>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</si>
  <si>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</si>
  <si>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</si>
  <si>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</si>
  <si>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</si>
  <si>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</si>
  <si>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</si>
  <si>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</si>
  <si>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</si>
  <si>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</si>
  <si>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</si>
  <si>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</si>
  <si>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</si>
  <si>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</si>
  <si>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</si>
  <si>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</si>
  <si>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</si>
  <si>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</si>
  <si>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</si>
  <si>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</si>
  <si>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</si>
  <si>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</si>
  <si>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</si>
  <si>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</si>
  <si>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</si>
  <si>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</si>
  <si>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</si>
  <si>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</si>
  <si>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</si>
  <si>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</si>
  <si>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</si>
  <si>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</si>
  <si>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</si>
  <si>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</si>
  <si>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</si>
  <si>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</si>
  <si>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</si>
  <si>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</si>
  <si>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</si>
  <si>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</si>
  <si>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</si>
  <si>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</si>
  <si>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</si>
  <si>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</si>
  <si>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</si>
  <si>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</si>
  <si>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</si>
  <si>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</si>
  <si>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</si>
  <si>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</si>
  <si>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</si>
  <si>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</si>
  <si>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</si>
  <si>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</si>
  <si>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</si>
  <si>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</si>
  <si>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</si>
  <si>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</si>
  <si>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</si>
  <si>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</si>
  <si>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</si>
  <si>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</si>
  <si>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</si>
  <si>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</si>
  <si>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</si>
  <si>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</si>
  <si>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</si>
  <si>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</si>
  <si>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</si>
  <si>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</si>
  <si>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</si>
  <si>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</si>
  <si>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</si>
  <si>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</si>
  <si>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</si>
  <si>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</si>
  <si>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</si>
  <si>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</si>
  <si>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</si>
  <si>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</si>
  <si>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</si>
  <si>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</si>
  <si>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</si>
  <si>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</si>
  <si>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</si>
  <si>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</si>
  <si>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</si>
  <si>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</si>
  <si>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</si>
  <si>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</si>
  <si>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</si>
  <si>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</si>
  <si>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</si>
  <si>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</si>
  <si>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</si>
  <si>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</si>
  <si>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</si>
  <si>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</si>
  <si>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</si>
  <si>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</si>
  <si>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</si>
  <si>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</si>
  <si>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</si>
  <si>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</si>
  <si>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</si>
  <si>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</si>
  <si>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</si>
  <si>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</si>
  <si>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</si>
  <si>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</si>
  <si>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</si>
  <si>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</si>
  <si>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</si>
  <si>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</si>
  <si>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</si>
  <si>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</si>
  <si>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</si>
  <si>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</si>
  <si>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</si>
  <si>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</si>
  <si>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</si>
  <si>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</si>
  <si>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</si>
  <si>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</si>
  <si>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</si>
  <si>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</si>
  <si>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</si>
  <si>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</si>
  <si>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</si>
  <si>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</si>
  <si>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</si>
  <si>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</si>
  <si>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</si>
  <si>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</si>
  <si>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</si>
  <si>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</si>
  <si>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</si>
  <si>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</si>
  <si>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</si>
  <si>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</si>
  <si>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</si>
  <si>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</si>
  <si>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</si>
  <si>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</si>
  <si>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</si>
  <si>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</si>
  <si>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</si>
  <si>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</si>
  <si>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</si>
  <si>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</si>
  <si>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</si>
  <si>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</si>
  <si>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</si>
  <si>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</si>
  <si>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</si>
  <si>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</si>
  <si>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</si>
  <si>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</si>
  <si>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</si>
  <si>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</si>
  <si>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</si>
  <si>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</si>
  <si>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</si>
  <si>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</si>
  <si>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</si>
  <si>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</si>
  <si>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</si>
  <si>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</si>
  <si>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</si>
  <si>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</si>
  <si>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</si>
  <si>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</si>
  <si>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</si>
  <si>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</si>
  <si>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</si>
  <si>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</si>
  <si>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</si>
  <si>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</si>
  <si>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</si>
  <si>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</si>
  <si>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</si>
  <si>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</si>
  <si>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</si>
  <si>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</si>
  <si>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</si>
  <si>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</si>
  <si>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</si>
  <si>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</si>
  <si>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</si>
  <si>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</si>
  <si>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</si>
  <si>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</si>
  <si>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NR</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</si>
  <si>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</si>
  <si>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</si>
  <si>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</si>
  <si>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</si>
  <si>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</si>
  <si>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</si>
  <si>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</si>
  <si>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</si>
  <si>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</si>
  <si>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</si>
  <si>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</si>
  <si>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</si>
  <si>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</si>
  <si>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</si>
  <si>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</si>
  <si>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</si>
  <si>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</si>
  <si>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</si>
  <si>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</si>
  <si>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</si>
  <si>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</si>
  <si>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</si>
  <si>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</si>
  <si>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</si>
  <si>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</si>
  <si>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</si>
  <si>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</si>
  <si>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</si>
  <si>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</si>
  <si>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</si>
  <si>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</si>
  <si>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</si>
  <si>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</si>
  <si>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</si>
  <si>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</si>
  <si>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</si>
  <si>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</si>
  <si>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</si>
  <si>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</si>
  <si>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</si>
  <si>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</si>
  <si>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</si>
  <si>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</si>
  <si>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</si>
  <si>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</si>
  <si>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</si>
  <si>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</si>
  <si>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</si>
  <si>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</si>
  <si>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</si>
  <si>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</si>
  <si>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</si>
  <si>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</si>
  <si>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</si>
  <si>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</si>
  <si>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</si>
  <si>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</si>
  <si>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</si>
  <si>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</si>
  <si>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</si>
  <si>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</si>
  <si>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</si>
  <si>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</si>
  <si>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</si>
  <si>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</si>
  <si>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</si>
  <si>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</si>
  <si>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</si>
  <si>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</si>
  <si>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</si>
  <si>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</si>
  <si>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</si>
  <si>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</si>
  <si>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</si>
  <si>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</si>
  <si>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</si>
  <si>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</si>
  <si>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</si>
  <si>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</si>
  <si>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</si>
  <si>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</si>
  <si>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</si>
  <si>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</si>
  <si>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</si>
  <si>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</si>
  <si>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</si>
  <si>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</si>
  <si>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</si>
  <si>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</si>
  <si>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</si>
  <si>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</si>
  <si>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</si>
  <si>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</si>
  <si>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</si>
  <si>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</si>
  <si>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</si>
  <si>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</si>
  <si>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</si>
  <si>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</si>
  <si>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</si>
  <si>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</si>
  <si>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</si>
  <si>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</si>
  <si>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</si>
  <si>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</si>
  <si>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</si>
  <si>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</si>
  <si>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</si>
  <si>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</si>
  <si>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</si>
  <si>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</si>
  <si>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</si>
  <si>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</si>
  <si>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</si>
  <si>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</si>
  <si>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</si>
  <si>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</si>
  <si>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</si>
  <si>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</si>
  <si>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</si>
  <si>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</si>
  <si>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</si>
  <si>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</si>
  <si>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</si>
  <si>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</si>
  <si>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</si>
  <si>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</si>
  <si>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</si>
  <si>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</si>
  <si>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</si>
  <si>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</si>
  <si>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</si>
  <si>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</si>
  <si>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</si>
  <si>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</si>
  <si>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</si>
  <si>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</si>
  <si>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</si>
  <si>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</si>
  <si>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</si>
  <si>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</si>
  <si>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</si>
  <si>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</si>
  <si>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</si>
  <si>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</si>
  <si>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</si>
  <si>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</si>
  <si>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</si>
  <si>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</si>
  <si>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</si>
  <si>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</si>
  <si>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</si>
  <si>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</si>
  <si>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</si>
  <si>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</si>
  <si>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</si>
  <si>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</si>
  <si>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</si>
  <si>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</si>
  <si>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</si>
  <si>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</si>
  <si>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</si>
  <si>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</si>
  <si>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</si>
  <si>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</si>
  <si>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</si>
  <si>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</si>
  <si>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</si>
  <si>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</si>
  <si>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</si>
  <si>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</si>
  <si>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</si>
  <si>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</si>
  <si>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</si>
  <si>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</si>
  <si>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</si>
  <si>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</si>
  <si>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</si>
  <si>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</si>
  <si>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</si>
  <si>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</si>
  <si>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</si>
  <si>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</si>
  <si>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</si>
  <si>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</si>
  <si>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</si>
  <si>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</si>
  <si>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</si>
  <si>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</si>
  <si>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</si>
  <si>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</si>
  <si>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</si>
  <si>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</si>
  <si>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</si>
  <si>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</si>
  <si>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</si>
  <si>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</si>
  <si>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</si>
  <si>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</si>
  <si>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</si>
  <si>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</si>
  <si>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</si>
  <si>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</si>
  <si>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</si>
  <si>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</si>
  <si>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</si>
  <si>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</si>
  <si>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</si>
  <si>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</si>
  <si>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</si>
  <si>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</si>
  <si>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</si>
  <si>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</si>
  <si>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</si>
  <si>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</si>
  <si>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</si>
  <si>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</si>
  <si>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</si>
  <si>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</si>
  <si>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</si>
  <si>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</si>
  <si>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</si>
  <si>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</si>
  <si>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</si>
  <si>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</si>
  <si>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</si>
  <si>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</si>
  <si>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</si>
  <si>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</si>
  <si>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</si>
  <si>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</si>
  <si>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</si>
  <si>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</si>
  <si>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</si>
  <si>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</si>
  <si>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</si>
  <si>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</si>
  <si>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</si>
  <si>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</si>
  <si>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</si>
  <si>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</si>
  <si>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</si>
  <si>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</si>
  <si>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</si>
  <si>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</si>
  <si>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</si>
  <si>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</si>
  <si>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</si>
  <si>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</si>
  <si>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</si>
  <si>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</si>
  <si>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</si>
  <si>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</si>
  <si>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</si>
  <si>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</si>
  <si>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</si>
  <si>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</si>
  <si>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</si>
  <si>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</si>
  <si>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</si>
  <si>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</si>
  <si>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</si>
  <si>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</si>
  <si>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</si>
  <si>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</si>
  <si>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</si>
  <si>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</si>
  <si>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</si>
  <si>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</si>
  <si>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</si>
  <si>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</si>
  <si>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</si>
  <si>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</si>
  <si>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</si>
  <si>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</si>
  <si>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</si>
  <si>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</si>
  <si>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</si>
  <si>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</si>
  <si>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</si>
  <si>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</si>
  <si>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</si>
  <si>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</si>
  <si>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</si>
  <si>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</si>
  <si>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</si>
  <si>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</si>
  <si>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</si>
  <si>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</si>
  <si>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</si>
  <si>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</si>
  <si>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</si>
  <si>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</si>
  <si>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</si>
  <si>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</si>
  <si>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</si>
  <si>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</si>
  <si>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</si>
  <si>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</si>
  <si>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</si>
  <si>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</si>
  <si>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</si>
  <si>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</si>
  <si>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</si>
  <si>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</si>
  <si>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</si>
  <si>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</si>
  <si>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</si>
  <si>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</si>
  <si>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</si>
  <si>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</si>
  <si>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</si>
  <si>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</si>
  <si>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</si>
  <si>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</si>
  <si>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</si>
  <si>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</si>
  <si>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</si>
  <si>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</si>
  <si>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</si>
  <si>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</si>
  <si>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</si>
  <si>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</si>
  <si>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</si>
  <si>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</si>
  <si>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</si>
  <si>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</si>
  <si>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</si>
  <si>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</si>
  <si>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</si>
  <si>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</si>
  <si>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</si>
  <si>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</si>
  <si>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</si>
  <si>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</si>
  <si>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</si>
  <si>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</si>
  <si>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</si>
  <si>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</si>
  <si>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</si>
  <si>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11395D-001.1</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</si>
  <si>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</si>
  <si>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</si>
  <si>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</si>
  <si>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</si>
  <si>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</si>
  <si>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</si>
  <si>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</si>
  <si>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</si>
  <si>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</si>
  <si>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</si>
  <si>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</si>
  <si>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</si>
  <si>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</si>
  <si>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</si>
  <si>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</si>
  <si>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</si>
  <si>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</si>
  <si>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</si>
  <si>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</si>
  <si>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</si>
  <si>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</si>
  <si>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</si>
  <si>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</si>
  <si>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</si>
  <si>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</si>
  <si>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</si>
  <si>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</si>
  <si>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</si>
  <si>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</si>
  <si>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</si>
  <si>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</si>
  <si>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</si>
  <si>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</si>
  <si>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</si>
  <si>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</si>
  <si>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</si>
  <si>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</si>
  <si>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</si>
  <si>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</si>
  <si>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</si>
  <si>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</si>
  <si>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</si>
  <si>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</si>
  <si>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</si>
  <si>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</si>
  <si>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</si>
  <si>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</si>
  <si>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</si>
  <si>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</si>
  <si>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</si>
  <si>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</si>
  <si>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</si>
  <si>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</si>
  <si>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</si>
  <si>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</si>
  <si>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</si>
  <si>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</si>
  <si>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</si>
  <si>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</si>
  <si>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</si>
  <si>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</si>
  <si>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</si>
  <si>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</si>
  <si>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</si>
  <si>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</si>
  <si>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</si>
  <si>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</si>
  <si>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</si>
  <si>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</si>
  <si>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</si>
  <si>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</si>
  <si>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</si>
  <si>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</si>
  <si>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</si>
  <si>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</si>
  <si>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</si>
  <si>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</si>
  <si>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</si>
  <si>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</si>
  <si>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</si>
  <si>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</si>
  <si>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</si>
  <si>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</si>
  <si>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</si>
  <si>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</si>
  <si>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</si>
  <si>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</si>
  <si>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</si>
  <si>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</si>
  <si>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</si>
  <si>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</si>
  <si>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</si>
  <si>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</si>
  <si>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</si>
  <si>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</si>
  <si>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</si>
  <si>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</si>
  <si>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</si>
  <si>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</si>
  <si>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</si>
  <si>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</si>
  <si>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</si>
  <si>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</si>
  <si>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</si>
  <si>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</si>
  <si>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</si>
  <si>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</si>
  <si>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</si>
  <si>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</si>
  <si>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</si>
  <si>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</si>
  <si>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</si>
  <si>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</si>
  <si>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</si>
  <si>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</si>
  <si>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</si>
  <si>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</si>
  <si>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</si>
  <si>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</si>
  <si>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</si>
  <si>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</si>
  <si>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</si>
  <si>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</si>
  <si>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</si>
  <si>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</si>
  <si>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</si>
  <si>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</si>
  <si>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</si>
  <si>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</si>
  <si>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</si>
  <si>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</si>
  <si>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</si>
  <si>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</si>
  <si>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</si>
  <si>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</si>
  <si>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</si>
  <si>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</si>
  <si>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</si>
  <si>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</si>
  <si>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</si>
  <si>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</si>
  <si>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</si>
  <si>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</si>
  <si>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</si>
  <si>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</si>
  <si>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</si>
  <si>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</si>
  <si>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</si>
  <si>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</si>
  <si>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</si>
  <si>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</si>
  <si>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</si>
  <si>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</si>
  <si>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</si>
  <si>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</si>
  <si>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</si>
  <si>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</si>
  <si>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</si>
  <si>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</si>
  <si>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</si>
  <si>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</si>
  <si>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</si>
  <si>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</si>
  <si>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</si>
  <si>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</si>
  <si>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</si>
  <si>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</si>
  <si>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</si>
  <si>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</si>
  <si>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</si>
  <si>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</si>
  <si>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</si>
  <si>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</si>
  <si>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</si>
  <si>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</si>
  <si>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</si>
  <si>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</si>
  <si>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</si>
  <si>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</si>
  <si>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</si>
  <si>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</si>
  <si>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</si>
  <si>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</si>
  <si>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</si>
  <si>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</si>
  <si>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</si>
  <si>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</si>
  <si>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</si>
  <si>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</si>
  <si>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</si>
  <si>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</si>
  <si>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</si>
  <si>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</si>
  <si>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</si>
  <si>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</si>
  <si>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</si>
  <si>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</si>
  <si>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</si>
  <si>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</si>
  <si>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</si>
  <si>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</si>
  <si>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</si>
  <si>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</si>
  <si>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</si>
  <si>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</si>
  <si>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</si>
  <si>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</si>
  <si>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</si>
  <si>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</si>
  <si>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</si>
  <si>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</si>
  <si>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</si>
  <si>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</si>
  <si>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</si>
  <si>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</si>
  <si>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</si>
  <si>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</si>
  <si>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</si>
  <si>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</si>
  <si>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</si>
  <si>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</si>
  <si>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</si>
  <si>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</si>
  <si>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</si>
  <si>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</si>
  <si>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</si>
  <si>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</si>
  <si>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</si>
  <si>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</si>
  <si>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</si>
  <si>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</si>
  <si>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</si>
  <si>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</si>
  <si>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</si>
  <si>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</si>
  <si>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</si>
  <si>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</si>
  <si>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</si>
  <si>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</si>
  <si>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</si>
  <si>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</si>
  <si>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</si>
  <si>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</si>
  <si>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</si>
  <si>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</si>
  <si>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</si>
  <si>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</si>
  <si>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</si>
  <si>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</si>
  <si>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</si>
  <si>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</si>
  <si>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</si>
  <si>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</si>
  <si>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</si>
  <si>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</si>
  <si>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</si>
  <si>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</si>
  <si>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</si>
  <si>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</si>
  <si>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</si>
  <si>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</si>
  <si>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</si>
  <si>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</si>
  <si>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</si>
  <si>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</si>
  <si>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</si>
  <si>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</si>
  <si>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</si>
  <si>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</si>
  <si>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</si>
  <si>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</si>
  <si>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</si>
  <si>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</si>
  <si>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</si>
  <si>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</si>
  <si>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</si>
  <si>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</si>
  <si>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</si>
  <si>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</si>
  <si>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</si>
  <si>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</si>
  <si>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</si>
  <si>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</si>
  <si>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</si>
  <si>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</si>
  <si>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</si>
  <si>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</si>
  <si>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</si>
  <si>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</si>
  <si>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</si>
  <si>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</si>
  <si>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</si>
  <si>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</si>
  <si>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</si>
  <si>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</si>
  <si>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</si>
  <si>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</si>
  <si>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</si>
  <si>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</si>
  <si>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</si>
  <si>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</si>
  <si>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</si>
  <si>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</si>
  <si>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</si>
  <si>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</si>
  <si>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</si>
  <si>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</si>
  <si>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</si>
  <si>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</si>
  <si>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</si>
  <si>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</si>
  <si>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</si>
  <si>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</si>
  <si>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</si>
  <si>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</si>
  <si>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</si>
  <si>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</si>
  <si>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</si>
  <si>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</si>
  <si>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</si>
  <si>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</si>
  <si>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</si>
  <si>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</si>
  <si>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</si>
  <si>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</si>
  <si>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</si>
  <si>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</si>
  <si>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</si>
  <si>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</si>
  <si>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</si>
  <si>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</si>
  <si>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</si>
  <si>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</si>
  <si>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</si>
  <si>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</si>
  <si>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</si>
  <si>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</si>
  <si>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</si>
  <si>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</si>
  <si>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</si>
  <si>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</si>
  <si>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</si>
  <si>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</si>
  <si>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</si>
  <si>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</si>
  <si>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</si>
  <si>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</si>
  <si>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</si>
  <si>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</si>
  <si>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</si>
  <si>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</si>
  <si>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</si>
  <si>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</si>
  <si>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</si>
  <si>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</si>
  <si>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</si>
  <si>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</si>
  <si>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</si>
  <si>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</si>
  <si>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</si>
  <si>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</si>
  <si>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</si>
  <si>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</si>
  <si>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</si>
  <si>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</si>
  <si>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</si>
  <si>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</si>
  <si>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</si>
  <si>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</si>
  <si>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</si>
  <si>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</si>
  <si>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</si>
  <si>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</si>
  <si>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</si>
  <si>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</si>
  <si>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</si>
  <si>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03200-004.0</t>
  </si>
  <si>
    <t>03200-005.0</t>
  </si>
  <si>
    <t>CONCRETE REINFORCING SHOP DRAWINGS
PST and Septage Recieving</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</si>
  <si>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</si>
  <si>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</si>
  <si>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</si>
  <si>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</si>
  <si>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</si>
  <si>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</si>
  <si>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</si>
  <si>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</si>
  <si>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</si>
  <si>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</si>
  <si>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</si>
  <si>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</si>
  <si>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</si>
  <si>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</si>
  <si>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</si>
  <si>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</si>
  <si>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</si>
  <si>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</si>
  <si>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</si>
  <si>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</si>
  <si>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</si>
  <si>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</si>
  <si>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</si>
  <si>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</si>
  <si>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</si>
  <si>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</si>
  <si>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</si>
  <si>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</si>
  <si>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</si>
  <si>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</si>
  <si>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</si>
  <si>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</si>
  <si>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</si>
  <si>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</si>
  <si>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</si>
  <si>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</si>
  <si>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</si>
  <si>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</si>
  <si>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</si>
  <si>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</si>
  <si>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</si>
  <si>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</si>
  <si>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</si>
  <si>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</si>
  <si>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</si>
  <si>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</si>
  <si>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</si>
  <si>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</si>
  <si>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</si>
  <si>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</si>
  <si>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</si>
  <si>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</si>
  <si>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</si>
  <si>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</si>
  <si>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</si>
  <si>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</si>
  <si>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</si>
  <si>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</si>
  <si>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</si>
  <si>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</si>
  <si>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</si>
  <si>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</si>
  <si>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</si>
  <si>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</si>
  <si>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</si>
  <si>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</si>
  <si>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</si>
  <si>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</si>
  <si>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</si>
  <si>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</si>
  <si>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</si>
  <si>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03600-001.0</t>
  </si>
  <si>
    <t>Non-shrink Epoxy Grout - Five Star</t>
  </si>
  <si>
    <t>Material submittals. Non-shrink epoxy grout: Manufacturer's literature.</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</si>
  <si>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</si>
  <si>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</si>
  <si>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</si>
  <si>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</si>
  <si>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</si>
  <si>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</si>
  <si>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</si>
  <si>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</si>
  <si>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</si>
  <si>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</si>
  <si>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</si>
  <si>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</si>
  <si>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</si>
  <si>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</si>
  <si>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</si>
  <si>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</si>
  <si>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</si>
  <si>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</si>
  <si>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</si>
  <si>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</si>
  <si>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</si>
  <si>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</si>
  <si>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</si>
  <si>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</si>
  <si>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</si>
  <si>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</si>
  <si>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</si>
  <si>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</si>
  <si>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</si>
  <si>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</si>
  <si>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</si>
  <si>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</si>
  <si>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</si>
  <si>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</si>
  <si>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</si>
  <si>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</si>
  <si>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</si>
  <si>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</si>
  <si>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</si>
  <si>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</si>
  <si>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</si>
  <si>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</si>
  <si>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</si>
  <si>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</si>
  <si>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</si>
  <si>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</si>
  <si>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</si>
  <si>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</si>
  <si>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</si>
  <si>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</si>
  <si>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</si>
  <si>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</si>
  <si>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</si>
  <si>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</si>
  <si>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</si>
  <si>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</si>
  <si>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</si>
  <si>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</si>
  <si>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</si>
  <si>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</si>
  <si>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</si>
  <si>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</si>
  <si>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</si>
  <si>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</si>
  <si>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</si>
  <si>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</si>
  <si>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05120-001.0</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</si>
  <si>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</si>
  <si>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</si>
  <si>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</si>
  <si>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</si>
  <si>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</si>
  <si>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</si>
  <si>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</si>
  <si>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</si>
  <si>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</si>
  <si>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</si>
  <si>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</si>
  <si>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</si>
  <si>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</si>
  <si>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</si>
  <si>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</si>
  <si>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</si>
  <si>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</si>
  <si>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</si>
  <si>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</si>
  <si>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05500-002.0</t>
  </si>
  <si>
    <t>05500</t>
  </si>
  <si>
    <t xml:space="preserve">METAL FABRICATIONS </t>
  </si>
  <si>
    <t>Product Data.</t>
  </si>
  <si>
    <t>Metal Fabrications</t>
  </si>
  <si>
    <t>Struc/QC/Jyun</t>
  </si>
  <si>
    <t>05500-001.0</t>
  </si>
  <si>
    <t>05500-001.1</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</si>
  <si>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</si>
  <si>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</si>
  <si>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</si>
  <si>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</si>
  <si>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</si>
  <si>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</si>
  <si>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</si>
  <si>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</si>
  <si>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</si>
  <si>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</si>
  <si>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</si>
  <si>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</si>
  <si>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</si>
  <si>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</si>
  <si>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</si>
  <si>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</si>
  <si>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</si>
  <si>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</si>
  <si>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</si>
  <si>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</si>
  <si>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</si>
  <si>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</si>
  <si>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</si>
  <si>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</si>
  <si>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</si>
  <si>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</si>
  <si>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</si>
  <si>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</si>
  <si>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</si>
  <si>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</si>
  <si>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</si>
  <si>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</si>
  <si>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</si>
  <si>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</si>
  <si>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</si>
  <si>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</si>
  <si>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</si>
  <si>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</si>
  <si>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</si>
  <si>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</si>
  <si>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</si>
  <si>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</si>
  <si>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06611-001.0</t>
  </si>
  <si>
    <t>06611</t>
  </si>
  <si>
    <t xml:space="preserve">FIBERGLASS REINFORCED PLASTIC FABRICATIONS </t>
  </si>
  <si>
    <t xml:space="preserve">Submit general arrangement and fabrication drawings, calculations, and elements of the design for grating and stairs. </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</si>
  <si>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</si>
  <si>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</si>
  <si>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</si>
  <si>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</si>
  <si>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</si>
  <si>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</si>
  <si>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</si>
  <si>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</si>
  <si>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</si>
  <si>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</si>
  <si>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</si>
  <si>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</si>
  <si>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</si>
  <si>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</si>
  <si>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</si>
  <si>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</si>
  <si>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</si>
  <si>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</si>
  <si>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</si>
  <si>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</si>
  <si>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</si>
  <si>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</si>
  <si>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</si>
  <si>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</si>
  <si>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</si>
  <si>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</si>
  <si>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</si>
  <si>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</si>
  <si>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</si>
  <si>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</si>
  <si>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</si>
  <si>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</si>
  <si>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</si>
  <si>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</si>
  <si>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</si>
  <si>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</si>
  <si>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</si>
  <si>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</si>
  <si>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</si>
  <si>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</si>
  <si>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</si>
  <si>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</si>
  <si>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</si>
  <si>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</si>
  <si>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</si>
  <si>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</si>
  <si>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</si>
  <si>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</si>
  <si>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</si>
  <si>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</si>
  <si>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</si>
  <si>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</si>
  <si>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</si>
  <si>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</si>
  <si>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</si>
  <si>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</si>
  <si>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</si>
  <si>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</si>
  <si>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</si>
  <si>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</si>
  <si>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</si>
  <si>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</si>
  <si>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</si>
  <si>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</si>
  <si>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</si>
  <si>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</si>
  <si>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</si>
  <si>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</si>
  <si>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</si>
  <si>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</si>
  <si>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</si>
  <si>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</si>
  <si>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</si>
  <si>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</si>
  <si>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</si>
  <si>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</si>
  <si>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</si>
  <si>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</si>
  <si>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</si>
  <si>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</si>
  <si>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</si>
  <si>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</si>
  <si>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</si>
  <si>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 xml:space="preserve"> </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</si>
  <si>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</si>
  <si>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</si>
  <si>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</si>
  <si>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</si>
  <si>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</si>
  <si>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</si>
  <si>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</si>
  <si>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</si>
  <si>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</si>
  <si>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</si>
  <si>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</si>
  <si>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</si>
  <si>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</si>
  <si>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</si>
  <si>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</si>
  <si>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</si>
  <si>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</si>
  <si>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</si>
  <si>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</si>
  <si>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</si>
  <si>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</si>
  <si>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</si>
  <si>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</si>
  <si>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</si>
  <si>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</si>
  <si>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</si>
  <si>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</si>
  <si>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</si>
  <si>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</si>
  <si>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</si>
  <si>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</si>
  <si>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</si>
  <si>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</si>
  <si>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</si>
  <si>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</si>
  <si>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</si>
  <si>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</si>
  <si>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</si>
  <si>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</si>
  <si>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</si>
  <si>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</si>
  <si>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</si>
  <si>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</si>
  <si>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</si>
  <si>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</si>
  <si>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</si>
  <si>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</si>
  <si>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</si>
  <si>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</si>
  <si>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</si>
  <si>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</si>
  <si>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</si>
  <si>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</si>
  <si>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</si>
  <si>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</si>
  <si>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</si>
  <si>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</si>
  <si>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</si>
  <si>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</si>
  <si>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</si>
  <si>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</si>
  <si>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</si>
  <si>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</si>
  <si>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</si>
  <si>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</si>
  <si>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</si>
  <si>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</si>
  <si>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</si>
  <si>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</si>
  <si>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</si>
  <si>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</si>
  <si>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</si>
  <si>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</si>
  <si>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</si>
  <si>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</si>
  <si>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</si>
  <si>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</si>
  <si>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</si>
  <si>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</si>
  <si>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</si>
  <si>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</si>
  <si>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</si>
  <si>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</si>
  <si>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</si>
  <si>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</si>
  <si>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</si>
  <si>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</si>
  <si>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</si>
  <si>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</si>
  <si>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</si>
  <si>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</si>
  <si>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</si>
  <si>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</si>
  <si>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</si>
  <si>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</si>
  <si>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</si>
  <si>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</si>
  <si>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</si>
  <si>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</si>
  <si>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</si>
  <si>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</si>
  <si>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</si>
  <si>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</si>
  <si>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</si>
  <si>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</si>
  <si>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</si>
  <si>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</si>
  <si>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</si>
  <si>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</si>
  <si>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</si>
  <si>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</si>
  <si>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</si>
  <si>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</si>
  <si>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</si>
  <si>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</si>
  <si>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</si>
  <si>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</si>
  <si>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</si>
  <si>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</si>
  <si>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</si>
  <si>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</si>
  <si>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</si>
  <si>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</si>
  <si>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</si>
  <si>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</si>
  <si>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</si>
  <si>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</si>
  <si>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</si>
  <si>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</si>
  <si>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</si>
  <si>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</si>
  <si>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</si>
  <si>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</si>
  <si>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</si>
  <si>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</si>
  <si>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</si>
  <si>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</si>
  <si>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</si>
  <si>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</si>
  <si>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</si>
  <si>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</si>
  <si>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</si>
  <si>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</si>
  <si>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</si>
  <si>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</si>
  <si>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</si>
  <si>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</si>
  <si>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</si>
  <si>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</si>
  <si>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</si>
  <si>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</si>
  <si>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</si>
  <si>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</si>
  <si>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</si>
  <si>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</si>
  <si>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</si>
  <si>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</si>
  <si>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</si>
  <si>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</si>
  <si>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</si>
  <si>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</si>
  <si>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</si>
  <si>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</si>
  <si>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</si>
  <si>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</si>
  <si>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</si>
  <si>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</si>
  <si>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</si>
  <si>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</si>
  <si>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</si>
  <si>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</si>
  <si>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</si>
  <si>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</si>
  <si>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</si>
  <si>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</si>
  <si>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</si>
  <si>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</si>
  <si>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</si>
  <si>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</si>
  <si>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</si>
  <si>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</si>
  <si>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</si>
  <si>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</si>
  <si>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</si>
  <si>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</si>
  <si>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</si>
  <si>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</si>
  <si>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</si>
  <si>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</si>
  <si>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</si>
  <si>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</si>
  <si>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</si>
  <si>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</si>
  <si>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</si>
  <si>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</si>
  <si>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</si>
  <si>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</si>
  <si>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</si>
  <si>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</si>
  <si>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</si>
  <si>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</si>
  <si>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</si>
  <si>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</si>
  <si>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</si>
  <si>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16123-001.0</t>
  </si>
  <si>
    <t>16123</t>
  </si>
  <si>
    <t>600-VOLT OR LESS WIRES AND CABLES</t>
  </si>
  <si>
    <t>Product Data: Mass Electric</t>
  </si>
  <si>
    <t>16124</t>
  </si>
  <si>
    <t>16125</t>
  </si>
  <si>
    <t>16126</t>
  </si>
  <si>
    <t xml:space="preserve">Cable lengths: Submit installed cable lengths using a conduit measuring tape for all 3-phase circuits. </t>
  </si>
  <si>
    <t>16127</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</si>
  <si>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</si>
  <si>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</si>
  <si>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</si>
  <si>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</si>
  <si>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</si>
  <si>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</si>
  <si>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</si>
  <si>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</si>
  <si>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</si>
  <si>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</si>
  <si>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</si>
  <si>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</si>
  <si>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</si>
  <si>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</si>
  <si>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</si>
  <si>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</si>
  <si>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</si>
  <si>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</si>
  <si>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16130-003.1</t>
  </si>
  <si>
    <t>16130-004.0</t>
  </si>
  <si>
    <t>Galavanized Rigid Steel</t>
  </si>
  <si>
    <t>16130-004.1</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</si>
  <si>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</si>
  <si>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</si>
  <si>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</si>
  <si>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</si>
  <si>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</si>
  <si>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</si>
  <si>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</si>
  <si>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</si>
  <si>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</si>
  <si>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</si>
  <si>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</si>
  <si>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</si>
  <si>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</si>
  <si>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</si>
  <si>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16133-002.2</t>
  </si>
  <si>
    <t>16133-003.0</t>
  </si>
  <si>
    <t>Conduit Spaces and Duct Seal</t>
  </si>
  <si>
    <t>16133-003.1</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</si>
  <si>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</si>
  <si>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</si>
  <si>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</si>
  <si>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</si>
  <si>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</si>
  <si>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</si>
  <si>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</si>
  <si>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</si>
  <si>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</si>
  <si>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</si>
  <si>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</si>
  <si>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</si>
  <si>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</si>
  <si>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</si>
  <si>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</si>
  <si>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</si>
  <si>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</si>
  <si>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</si>
  <si>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</si>
  <si>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</si>
  <si>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</si>
  <si>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</si>
  <si>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</si>
  <si>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</si>
  <si>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</si>
  <si>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</si>
  <si>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</si>
  <si>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</si>
  <si>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</si>
  <si>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</si>
  <si>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</si>
  <si>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</si>
  <si>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</si>
  <si>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</si>
  <si>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</si>
  <si>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</si>
  <si>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</si>
  <si>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</si>
  <si>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</si>
  <si>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</si>
  <si>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</si>
  <si>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</si>
  <si>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</si>
  <si>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</si>
  <si>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</si>
  <si>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</si>
  <si>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</si>
  <si>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</si>
  <si>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</si>
  <si>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</si>
  <si>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</si>
  <si>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</si>
  <si>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</si>
  <si>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</si>
  <si>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</si>
  <si>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</si>
  <si>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</si>
  <si>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</si>
  <si>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</si>
  <si>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</si>
  <si>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</si>
  <si>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</si>
  <si>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</si>
  <si>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</si>
  <si>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</si>
  <si>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</si>
  <si>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</si>
  <si>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</si>
  <si>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</si>
  <si>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</si>
  <si>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</si>
  <si>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</si>
  <si>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</si>
  <si>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</si>
  <si>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</si>
  <si>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</si>
  <si>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</si>
  <si>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</si>
  <si>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</si>
  <si>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16305-002.0</t>
  </si>
  <si>
    <t>16305</t>
  </si>
  <si>
    <t>ELECTRICAL SYSTEM STUDIES</t>
  </si>
  <si>
    <t>Intial Studies</t>
  </si>
  <si>
    <t>Mass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</si>
  <si>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</si>
  <si>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</si>
  <si>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</si>
  <si>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</si>
  <si>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</si>
  <si>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</si>
  <si>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</si>
  <si>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</si>
  <si>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</si>
  <si>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</si>
  <si>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</si>
  <si>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</si>
  <si>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</si>
  <si>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</si>
  <si>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</si>
  <si>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</si>
  <si>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</si>
  <si>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</si>
  <si>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</si>
  <si>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</si>
  <si>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</si>
  <si>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</si>
  <si>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</si>
  <si>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</si>
  <si>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</si>
  <si>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</si>
  <si>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</si>
  <si>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</si>
  <si>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</si>
  <si>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</si>
  <si>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</si>
  <si>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</si>
  <si>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</si>
  <si>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</si>
  <si>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</si>
  <si>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</si>
  <si>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</si>
  <si>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</si>
  <si>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</si>
  <si>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</si>
  <si>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</si>
  <si>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</si>
  <si>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</si>
  <si>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</si>
  <si>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</si>
  <si>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</si>
  <si>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</si>
  <si>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</si>
  <si>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</si>
  <si>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</si>
  <si>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</si>
  <si>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</si>
  <si>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</si>
  <si>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</si>
  <si>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</si>
  <si>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</si>
  <si>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</si>
  <si>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</si>
  <si>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</si>
  <si>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</si>
  <si>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</si>
  <si>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</si>
  <si>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</si>
  <si>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</si>
  <si>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</si>
  <si>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</si>
  <si>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</si>
  <si>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</si>
  <si>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</si>
  <si>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</si>
  <si>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</si>
  <si>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</si>
  <si>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</si>
  <si>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</si>
  <si>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</si>
  <si>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</si>
  <si>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</si>
  <si>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</si>
  <si>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</si>
  <si>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</si>
  <si>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</si>
  <si>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</si>
  <si>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</si>
  <si>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</si>
  <si>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</si>
  <si>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</si>
  <si>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</si>
  <si>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</si>
  <si>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</si>
  <si>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</si>
  <si>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</si>
  <si>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</si>
  <si>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</si>
  <si>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</si>
  <si>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</si>
  <si>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</si>
  <si>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</si>
  <si>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</si>
  <si>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</si>
  <si>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</si>
  <si>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</si>
  <si>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</si>
  <si>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</si>
  <si>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</si>
  <si>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</si>
  <si>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</si>
  <si>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</si>
  <si>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</si>
  <si>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</si>
  <si>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</si>
  <si>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</si>
  <si>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</si>
  <si>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</si>
  <si>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</si>
  <si>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</si>
  <si>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</si>
  <si>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</si>
  <si>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</si>
  <si>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</si>
  <si>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</si>
  <si>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</si>
  <si>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</si>
  <si>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</si>
  <si>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</si>
  <si>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</si>
  <si>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</si>
  <si>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</si>
  <si>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</si>
  <si>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</si>
  <si>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</si>
  <si>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</si>
  <si>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</si>
  <si>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</si>
  <si>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</si>
  <si>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</si>
  <si>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</si>
  <si>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</si>
  <si>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</si>
  <si>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</si>
  <si>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</si>
  <si>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</si>
  <si>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</si>
  <si>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</si>
  <si>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</si>
  <si>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</si>
  <si>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</si>
  <si>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</si>
  <si>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</si>
  <si>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</si>
  <si>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</si>
  <si>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</si>
  <si>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</si>
  <si>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</si>
  <si>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</si>
  <si>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</si>
  <si>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</si>
  <si>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</si>
  <si>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</si>
  <si>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</si>
  <si>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</si>
  <si>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</si>
  <si>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</si>
  <si>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</si>
  <si>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</si>
  <si>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</si>
  <si>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</si>
  <si>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</si>
  <si>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</si>
  <si>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</si>
  <si>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</si>
  <si>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</si>
  <si>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</si>
  <si>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</si>
  <si>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</si>
  <si>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</si>
  <si>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</si>
  <si>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</si>
  <si>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</si>
  <si>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</si>
  <si>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</si>
  <si>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</si>
  <si>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</si>
  <si>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</si>
  <si>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</si>
  <si>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</si>
  <si>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</si>
  <si>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</si>
  <si>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</si>
  <si>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</si>
  <si>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</si>
  <si>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</si>
  <si>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</si>
  <si>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</si>
  <si>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</si>
  <si>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</si>
  <si>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</si>
  <si>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</si>
  <si>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</si>
  <si>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</si>
  <si>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</si>
  <si>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</si>
  <si>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</si>
  <si>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</si>
  <si>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</si>
  <si>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</si>
  <si>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</si>
  <si>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</si>
  <si>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</si>
  <si>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</si>
  <si>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</si>
  <si>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</si>
  <si>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</si>
  <si>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</si>
  <si>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</si>
  <si>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</si>
  <si>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</si>
  <si>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</si>
  <si>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</si>
  <si>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</si>
  <si>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</si>
  <si>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</si>
  <si>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</si>
  <si>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</si>
  <si>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</si>
  <si>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</si>
  <si>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</si>
  <si>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</si>
  <si>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</si>
  <si>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</si>
  <si>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</si>
  <si>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</si>
  <si>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</si>
  <si>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</si>
  <si>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</si>
  <si>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</si>
  <si>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</si>
  <si>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</si>
  <si>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</si>
  <si>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</si>
  <si>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</si>
  <si>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</si>
  <si>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</si>
  <si>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</si>
  <si>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</si>
  <si>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</si>
  <si>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</si>
  <si>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</si>
  <si>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</si>
  <si>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</si>
  <si>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</si>
  <si>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</si>
  <si>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</si>
  <si>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</si>
  <si>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</si>
  <si>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</si>
  <si>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</si>
  <si>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</si>
  <si>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</si>
  <si>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</si>
  <si>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</si>
  <si>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</si>
  <si>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17720-001.0</t>
  </si>
  <si>
    <t>Dynatek</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</si>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</sst>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
      <sz val="10"/>
      <color rgb="FF000000"/>
      <name val="Calibri"/>
      <family val="2"/>
      <scheme val="minor"/>
    </font>
    <font>
      <sz val="11"/>
      <color rgb="FF000000"/>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style="medium">
        <color rgb="FF000000"/>
      </bottom>
      <diagonal/>
    </border>
    <border>
      <left/>
      <right style="thin">
        <color indexed="64"/>
      </right>
      <top style="medium">
        <color rgb="FF000000"/>
      </top>
      <bottom style="medium">
        <color rgb="FF000000"/>
      </bottom>
      <diagonal/>
    </border>
  </borders>
  <cellStyleXfs count="1">
    <xf numFmtId="0" fontId="0" fillId="0" borderId="0"/>
  </cellStyleXfs>
  <cellXfs count="936">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9" fillId="2" borderId="57" xfId="0" applyFont="1" applyFill="1" applyBorder="1" applyAlignment="1">
      <alignment horizontal="center" vertical="center" wrapText="1"/>
    </xf>
    <xf numFmtId="0" fontId="9" fillId="2" borderId="6" xfId="0" applyFont="1" applyFill="1" applyBorder="1" applyAlignment="1">
      <alignment horizontal="center" vertical="center"/>
    </xf>
    <xf numFmtId="0" fontId="0" fillId="9" borderId="6" xfId="0" applyFill="1" applyBorder="1"/>
    <xf numFmtId="0" fontId="9" fillId="2" borderId="27" xfId="0" applyFont="1" applyFill="1" applyBorder="1" applyAlignment="1">
      <alignment horizontal="center" vertical="center" wrapText="1"/>
    </xf>
    <xf numFmtId="0" fontId="0" fillId="0" borderId="27" xfId="0" applyBorder="1"/>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1" fillId="8" borderId="2" xfId="0" applyFont="1" applyFill="1" applyBorder="1" applyAlignment="1">
      <alignment horizontal="center" vertical="center"/>
    </xf>
    <xf numFmtId="0" fontId="21" fillId="8" borderId="2" xfId="0" quotePrefix="1" applyFont="1" applyFill="1" applyBorder="1" applyAlignment="1">
      <alignment vertical="center"/>
    </xf>
    <xf numFmtId="0" fontId="21" fillId="8" borderId="2" xfId="0" applyFont="1" applyFill="1" applyBorder="1" applyAlignment="1">
      <alignment vertical="center"/>
    </xf>
    <xf numFmtId="0" fontId="21" fillId="8" borderId="3" xfId="0" applyFont="1" applyFill="1" applyBorder="1" applyAlignment="1">
      <alignment horizontal="left" vertical="center"/>
    </xf>
    <xf numFmtId="0" fontId="21" fillId="8" borderId="2" xfId="0" applyFont="1" applyFill="1" applyBorder="1" applyAlignment="1">
      <alignment horizontal="left" vertical="center"/>
    </xf>
    <xf numFmtId="14" fontId="21" fillId="8" borderId="2" xfId="0" applyNumberFormat="1" applyFont="1" applyFill="1" applyBorder="1" applyAlignment="1">
      <alignment horizontal="center" vertical="center"/>
    </xf>
    <xf numFmtId="14" fontId="22" fillId="8" borderId="30" xfId="0" applyNumberFormat="1" applyFont="1" applyFill="1" applyBorder="1"/>
    <xf numFmtId="0" fontId="22" fillId="8" borderId="0" xfId="0" applyFont="1" applyFill="1"/>
    <xf numFmtId="0" fontId="21" fillId="8" borderId="0" xfId="0" applyFont="1" applyFill="1" applyAlignment="1">
      <alignment horizontal="center" vertical="center"/>
    </xf>
    <xf numFmtId="0" fontId="2" fillId="13" borderId="0" xfId="0" applyFont="1" applyFill="1" applyAlignment="1">
      <alignment horizontal="left" vertical="center"/>
    </xf>
    <xf numFmtId="0" fontId="2" fillId="3" borderId="33" xfId="0" applyFont="1" applyFill="1" applyBorder="1" applyAlignment="1">
      <alignment horizontal="center" vertical="center"/>
    </xf>
    <xf numFmtId="0" fontId="2" fillId="3" borderId="33" xfId="0" quotePrefix="1" applyFont="1" applyFill="1" applyBorder="1" applyAlignment="1">
      <alignment horizontal="center" vertical="center"/>
    </xf>
    <xf numFmtId="0" fontId="2" fillId="3" borderId="33" xfId="0" applyFont="1" applyFill="1" applyBorder="1" applyAlignment="1">
      <alignment horizontal="left" vertical="center"/>
    </xf>
    <xf numFmtId="0" fontId="2" fillId="3" borderId="46" xfId="0" applyFont="1" applyFill="1" applyBorder="1" applyAlignment="1">
      <alignment horizontal="left" vertical="center"/>
    </xf>
    <xf numFmtId="0" fontId="2" fillId="3" borderId="35" xfId="0" applyFont="1" applyFill="1" applyBorder="1" applyAlignment="1">
      <alignment horizontal="center" vertical="center"/>
    </xf>
    <xf numFmtId="0" fontId="2" fillId="3" borderId="58" xfId="0" applyFont="1" applyFill="1" applyBorder="1" applyAlignment="1">
      <alignment horizontal="center" vertical="center"/>
    </xf>
    <xf numFmtId="14" fontId="2" fillId="0" borderId="33" xfId="0" applyNumberFormat="1" applyFont="1" applyBorder="1" applyAlignment="1">
      <alignment horizontal="center" vertical="center"/>
    </xf>
    <xf numFmtId="14" fontId="2" fillId="3" borderId="33" xfId="0" applyNumberFormat="1" applyFont="1" applyFill="1" applyBorder="1" applyAlignment="1">
      <alignment horizontal="center" vertical="center"/>
    </xf>
    <xf numFmtId="0" fontId="0" fillId="0" borderId="46" xfId="0" applyBorder="1"/>
    <xf numFmtId="14" fontId="2" fillId="3" borderId="3" xfId="0" applyNumberFormat="1" applyFont="1" applyFill="1" applyBorder="1" applyAlignment="1">
      <alignment horizontal="center" vertical="center"/>
    </xf>
    <xf numFmtId="0" fontId="2" fillId="10" borderId="30" xfId="0" applyFont="1" applyFill="1" applyBorder="1" applyAlignment="1">
      <alignment horizontal="center" vertical="center"/>
    </xf>
    <xf numFmtId="0" fontId="2" fillId="10" borderId="30" xfId="0" applyFont="1" applyFill="1" applyBorder="1" applyAlignment="1">
      <alignment horizontal="left" vertical="center"/>
    </xf>
    <xf numFmtId="14" fontId="2" fillId="10" borderId="22" xfId="0" applyNumberFormat="1" applyFont="1" applyFill="1" applyBorder="1" applyAlignment="1">
      <alignment horizontal="center" vertical="center"/>
    </xf>
    <xf numFmtId="14" fontId="2" fillId="10" borderId="4"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10" borderId="6" xfId="0" applyFont="1" applyFill="1" applyBorder="1" applyAlignment="1">
      <alignment horizontal="center"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3" borderId="2"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3" borderId="3"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10" borderId="18" xfId="0" applyFont="1" applyFill="1" applyBorder="1" applyAlignment="1">
      <alignment horizontal="center" vertical="center"/>
    </xf>
    <xf numFmtId="0" fontId="2" fillId="10" borderId="19" xfId="0" applyFont="1" applyFill="1" applyBorder="1" applyAlignment="1">
      <alignment horizontal="center" vertical="center"/>
    </xf>
    <xf numFmtId="0" fontId="2" fillId="10" borderId="22"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4" borderId="9"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4" borderId="3" xfId="0" applyFont="1" applyFill="1" applyBorder="1" applyAlignment="1">
      <alignment horizontal="left" vertical="center"/>
    </xf>
    <xf numFmtId="0" fontId="2" fillId="4" borderId="4"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0" borderId="16" xfId="0" applyFont="1" applyBorder="1" applyAlignment="1">
      <alignment horizontal="left" vertical="center"/>
    </xf>
    <xf numFmtId="0" fontId="2" fillId="0" borderId="53" xfId="0" applyFont="1" applyBorder="1" applyAlignment="1">
      <alignment horizontal="left" vertical="center"/>
    </xf>
    <xf numFmtId="0" fontId="2" fillId="3" borderId="14" xfId="0" applyFont="1" applyFill="1" applyBorder="1" applyAlignment="1">
      <alignment horizontal="left" vertical="center" wrapText="1"/>
    </xf>
    <xf numFmtId="0" fontId="2" fillId="3" borderId="15"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4" xfId="0" applyFont="1" applyBorder="1" applyAlignment="1">
      <alignment horizontal="left" vertical="center" wrapText="1"/>
    </xf>
    <xf numFmtId="0" fontId="2" fillId="0" borderId="15" xfId="0" applyFont="1" applyBorder="1" applyAlignment="1">
      <alignment horizontal="left" vertical="center" wrapText="1"/>
    </xf>
    <xf numFmtId="0" fontId="2" fillId="0" borderId="16" xfId="0" applyFont="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21">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FF0000"/>
      </font>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FF0000"/>
      </font>
      <border>
        <left style="thin">
          <color rgb="FF9C0006"/>
        </left>
        <right style="thin">
          <color rgb="FF9C0006"/>
        </right>
        <top style="thin">
          <color rgb="FF9C0006"/>
        </top>
        <bottom style="thin">
          <color rgb="FF9C0006"/>
        </bottom>
      </border>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b/>
        <i val="0"/>
        <color rgb="FFFF0000"/>
      </font>
      <border>
        <left style="thin">
          <color rgb="FF9C0006"/>
        </left>
        <right style="thin">
          <color rgb="FF9C0006"/>
        </right>
        <top style="thin">
          <color rgb="FF9C0006"/>
        </top>
        <bottom style="thin">
          <color rgb="FF9C0006"/>
        </bottom>
      </border>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5" customWidth="1"/>
    <col min="2" max="2" width="17.28515625" style="438" customWidth="1"/>
    <col min="3" max="3" width="15.5703125" style="465" customWidth="1"/>
    <col min="4" max="4" width="57.28515625" style="465" bestFit="1" customWidth="1"/>
    <col min="5" max="5" width="13.7109375" style="436" customWidth="1"/>
    <col min="6" max="6" width="24.7109375" style="479" customWidth="1"/>
    <col min="7" max="7" width="38.28515625" style="479" customWidth="1"/>
    <col min="8" max="8" width="18.85546875" style="436" customWidth="1"/>
    <col min="9" max="16384" width="9.140625" style="436"/>
  </cols>
  <sheetData>
    <row r="1" spans="1:7">
      <c r="A1" s="434"/>
      <c r="B1" s="435" t="s">
        <v>0</v>
      </c>
      <c r="C1" s="434"/>
      <c r="D1" s="434"/>
      <c r="F1" s="793" t="s">
        <v>1</v>
      </c>
      <c r="G1" s="793"/>
    </row>
    <row r="2" spans="1:7">
      <c r="A2" s="794" t="s">
        <v>2</v>
      </c>
      <c r="C2" s="439" t="s">
        <v>3</v>
      </c>
      <c r="D2" s="440" t="s">
        <v>4</v>
      </c>
      <c r="F2" s="441" t="s">
        <v>5</v>
      </c>
      <c r="G2" s="442" t="s">
        <v>6</v>
      </c>
    </row>
    <row r="3" spans="1:7">
      <c r="A3" s="794"/>
      <c r="C3" s="443" t="s">
        <v>7</v>
      </c>
      <c r="D3" s="440" t="s">
        <v>8</v>
      </c>
      <c r="F3" s="444" t="s">
        <v>9</v>
      </c>
      <c r="G3" s="445" t="s">
        <v>10</v>
      </c>
    </row>
    <row r="4" spans="1:7">
      <c r="A4" s="794"/>
      <c r="C4" s="443" t="s">
        <v>11</v>
      </c>
      <c r="D4" s="440" t="s">
        <v>12</v>
      </c>
      <c r="F4" s="444" t="s">
        <v>13</v>
      </c>
      <c r="G4" s="446" t="s">
        <v>14</v>
      </c>
    </row>
    <row r="5" spans="1:7">
      <c r="A5" s="794"/>
      <c r="C5" s="443" t="s">
        <v>15</v>
      </c>
      <c r="D5" s="440" t="s">
        <v>16</v>
      </c>
      <c r="F5" s="437" t="s">
        <v>17</v>
      </c>
      <c r="G5" s="445" t="s">
        <v>18</v>
      </c>
    </row>
    <row r="6" spans="1:7">
      <c r="A6" s="794"/>
      <c r="C6" s="443" t="s">
        <v>19</v>
      </c>
      <c r="D6" s="440" t="s">
        <v>20</v>
      </c>
      <c r="F6" s="437" t="s">
        <v>21</v>
      </c>
      <c r="G6" s="445" t="s">
        <v>22</v>
      </c>
    </row>
    <row r="7" spans="1:7">
      <c r="A7" s="794"/>
      <c r="B7" s="447" t="s">
        <v>23</v>
      </c>
      <c r="C7" s="443" t="s">
        <v>24</v>
      </c>
      <c r="D7" s="440" t="s">
        <v>25</v>
      </c>
      <c r="F7" s="437" t="s">
        <v>26</v>
      </c>
      <c r="G7" s="445" t="s">
        <v>27</v>
      </c>
    </row>
    <row r="8" spans="1:7">
      <c r="A8" s="794"/>
      <c r="B8" s="447" t="s">
        <v>23</v>
      </c>
      <c r="C8" s="443" t="s">
        <v>28</v>
      </c>
      <c r="D8" s="440" t="s">
        <v>29</v>
      </c>
      <c r="F8" s="448" t="s">
        <v>30</v>
      </c>
      <c r="G8" s="449" t="s">
        <v>31</v>
      </c>
    </row>
    <row r="9" spans="1:7">
      <c r="A9" s="794"/>
      <c r="C9" s="453" t="s">
        <v>32</v>
      </c>
      <c r="D9" s="440" t="s">
        <v>33</v>
      </c>
      <c r="F9" s="450" t="s">
        <v>34</v>
      </c>
      <c r="G9" s="451" t="s">
        <v>35</v>
      </c>
    </row>
    <row r="10" spans="1:7">
      <c r="A10" s="794"/>
      <c r="B10" s="452"/>
      <c r="C10" s="443" t="s">
        <v>36</v>
      </c>
      <c r="D10" s="440" t="s">
        <v>37</v>
      </c>
      <c r="F10" s="485" t="s">
        <v>38</v>
      </c>
      <c r="G10" s="454" t="s">
        <v>39</v>
      </c>
    </row>
    <row r="11" spans="1:7">
      <c r="A11" s="794"/>
      <c r="C11" s="443" t="s">
        <v>40</v>
      </c>
      <c r="D11" s="440" t="s">
        <v>41</v>
      </c>
      <c r="F11" s="450" t="s">
        <v>42</v>
      </c>
      <c r="G11" s="487" t="s">
        <v>43</v>
      </c>
    </row>
    <row r="12" spans="1:7">
      <c r="A12" s="794"/>
      <c r="C12" s="443" t="s">
        <v>44</v>
      </c>
      <c r="D12" s="440" t="s">
        <v>45</v>
      </c>
      <c r="F12" s="486" t="s">
        <v>46</v>
      </c>
      <c r="G12" s="451" t="s">
        <v>47</v>
      </c>
    </row>
    <row r="13" spans="1:7">
      <c r="A13" s="794"/>
      <c r="C13" s="443" t="s">
        <v>48</v>
      </c>
      <c r="D13" s="440" t="s">
        <v>49</v>
      </c>
      <c r="F13" s="455"/>
      <c r="G13" s="446"/>
    </row>
    <row r="14" spans="1:7">
      <c r="A14" s="794"/>
      <c r="C14" s="443" t="s">
        <v>50</v>
      </c>
      <c r="D14" s="456" t="s">
        <v>51</v>
      </c>
      <c r="F14" s="454"/>
      <c r="G14" s="445"/>
    </row>
    <row r="15" spans="1:7">
      <c r="A15" s="794"/>
      <c r="C15" s="443" t="s">
        <v>52</v>
      </c>
      <c r="D15" s="440" t="s">
        <v>53</v>
      </c>
      <c r="F15" s="454"/>
      <c r="G15" s="445"/>
    </row>
    <row r="17" spans="1:4">
      <c r="A17" s="795" t="s">
        <v>54</v>
      </c>
      <c r="B17" s="492" t="s">
        <v>23</v>
      </c>
      <c r="C17" s="440" t="s">
        <v>55</v>
      </c>
      <c r="D17" s="493" t="s">
        <v>56</v>
      </c>
    </row>
    <row r="18" spans="1:4">
      <c r="A18" s="795"/>
      <c r="B18" s="447" t="s">
        <v>23</v>
      </c>
      <c r="C18" s="443" t="s">
        <v>57</v>
      </c>
      <c r="D18" s="440" t="s">
        <v>58</v>
      </c>
    </row>
    <row r="19" spans="1:4">
      <c r="A19" s="795"/>
      <c r="B19" s="452"/>
      <c r="C19" s="443" t="s">
        <v>59</v>
      </c>
      <c r="D19" s="440" t="s">
        <v>60</v>
      </c>
    </row>
    <row r="20" spans="1:4">
      <c r="A20" s="795"/>
      <c r="C20" s="443" t="s">
        <v>42</v>
      </c>
      <c r="D20" s="440" t="s">
        <v>43</v>
      </c>
    </row>
    <row r="21" spans="1:4">
      <c r="A21" s="795"/>
      <c r="C21" s="443" t="s">
        <v>61</v>
      </c>
      <c r="D21" s="440" t="s">
        <v>62</v>
      </c>
    </row>
    <row r="22" spans="1:4">
      <c r="A22" s="795"/>
      <c r="C22" s="443" t="s">
        <v>63</v>
      </c>
      <c r="D22" s="440" t="s">
        <v>64</v>
      </c>
    </row>
    <row r="23" spans="1:4">
      <c r="A23" s="795"/>
      <c r="B23" s="447" t="s">
        <v>23</v>
      </c>
      <c r="C23" s="443" t="s">
        <v>65</v>
      </c>
      <c r="D23" s="440" t="s">
        <v>66</v>
      </c>
    </row>
    <row r="24" spans="1:4">
      <c r="A24" s="458"/>
      <c r="B24" s="459"/>
      <c r="C24" s="460" t="s">
        <v>67</v>
      </c>
      <c r="D24" s="461" t="s">
        <v>68</v>
      </c>
    </row>
    <row r="25" spans="1:4">
      <c r="A25" s="458"/>
      <c r="B25" s="452"/>
      <c r="C25" s="462" t="s">
        <v>69</v>
      </c>
      <c r="D25" s="462" t="s">
        <v>70</v>
      </c>
    </row>
    <row r="26" spans="1:4" ht="14.25" customHeight="1">
      <c r="A26" s="457"/>
      <c r="B26" s="463"/>
      <c r="C26" s="434"/>
      <c r="D26" s="434"/>
    </row>
    <row r="27" spans="1:4" ht="24" customHeight="1">
      <c r="A27" s="791" t="s">
        <v>71</v>
      </c>
      <c r="C27" s="439" t="s">
        <v>72</v>
      </c>
      <c r="D27" s="440" t="s">
        <v>73</v>
      </c>
    </row>
    <row r="28" spans="1:4" ht="25.5" customHeight="1">
      <c r="A28" s="791"/>
      <c r="C28" s="443" t="s">
        <v>74</v>
      </c>
      <c r="D28" s="440" t="s">
        <v>75</v>
      </c>
    </row>
    <row r="29" spans="1:4" ht="30" customHeight="1">
      <c r="A29" s="791"/>
      <c r="C29" s="489" t="s">
        <v>76</v>
      </c>
      <c r="D29" s="490" t="s">
        <v>77</v>
      </c>
    </row>
    <row r="30" spans="1:4" ht="30" customHeight="1">
      <c r="A30" s="791"/>
      <c r="B30" s="471"/>
      <c r="C30" s="488" t="s">
        <v>78</v>
      </c>
      <c r="D30" s="440" t="s">
        <v>79</v>
      </c>
    </row>
    <row r="31" spans="1:4" ht="30" customHeight="1">
      <c r="A31" s="791"/>
      <c r="B31" s="471"/>
      <c r="C31" s="488" t="s">
        <v>80</v>
      </c>
      <c r="D31" s="440" t="s">
        <v>81</v>
      </c>
    </row>
    <row r="33" spans="1:4">
      <c r="A33" s="792" t="s">
        <v>82</v>
      </c>
      <c r="B33" s="447" t="s">
        <v>23</v>
      </c>
      <c r="C33" s="439" t="s">
        <v>83</v>
      </c>
      <c r="D33" s="440" t="s">
        <v>84</v>
      </c>
    </row>
    <row r="34" spans="1:4">
      <c r="A34" s="792"/>
      <c r="C34" s="443" t="s">
        <v>85</v>
      </c>
      <c r="D34" s="440" t="s">
        <v>86</v>
      </c>
    </row>
    <row r="35" spans="1:4">
      <c r="A35" s="792"/>
      <c r="C35" s="443" t="s">
        <v>87</v>
      </c>
      <c r="D35" s="440" t="s">
        <v>88</v>
      </c>
    </row>
    <row r="36" spans="1:4">
      <c r="A36" s="792"/>
      <c r="C36" s="443" t="s">
        <v>89</v>
      </c>
      <c r="D36" s="440" t="s">
        <v>90</v>
      </c>
    </row>
    <row r="37" spans="1:4">
      <c r="A37" s="792"/>
      <c r="C37" s="443" t="s">
        <v>91</v>
      </c>
      <c r="D37" s="440" t="s">
        <v>92</v>
      </c>
    </row>
    <row r="38" spans="1:4">
      <c r="A38" s="792"/>
      <c r="C38" s="443" t="s">
        <v>93</v>
      </c>
      <c r="D38" s="440" t="s">
        <v>94</v>
      </c>
    </row>
    <row r="39" spans="1:4">
      <c r="A39" s="792"/>
      <c r="C39" s="443" t="s">
        <v>95</v>
      </c>
      <c r="D39" s="440" t="s">
        <v>96</v>
      </c>
    </row>
    <row r="40" spans="1:4">
      <c r="A40" s="792"/>
      <c r="C40" s="464" t="s">
        <v>97</v>
      </c>
      <c r="D40" s="440" t="s">
        <v>98</v>
      </c>
    </row>
    <row r="41" spans="1:4">
      <c r="A41" s="792"/>
      <c r="C41" s="489" t="s">
        <v>99</v>
      </c>
      <c r="D41" s="490" t="s">
        <v>100</v>
      </c>
    </row>
    <row r="42" spans="1:4">
      <c r="A42" s="792"/>
      <c r="B42" s="471"/>
      <c r="C42" s="491"/>
      <c r="D42" s="491"/>
    </row>
    <row r="43" spans="1:4">
      <c r="A43"/>
      <c r="B43"/>
      <c r="C43"/>
      <c r="D43"/>
    </row>
    <row r="44" spans="1:4" ht="27.75">
      <c r="A44" s="466" t="s">
        <v>101</v>
      </c>
      <c r="C44" s="467" t="s">
        <v>102</v>
      </c>
      <c r="D44" s="468" t="s">
        <v>103</v>
      </c>
    </row>
    <row r="45" spans="1:4">
      <c r="A45" s="469"/>
      <c r="B45" s="436"/>
      <c r="C45" s="436"/>
      <c r="D45" s="436"/>
    </row>
    <row r="46" spans="1:4" ht="57" hidden="1">
      <c r="A46" s="470" t="s">
        <v>104</v>
      </c>
      <c r="B46" s="471"/>
      <c r="C46" s="472"/>
      <c r="D46" s="473"/>
    </row>
    <row r="47" spans="1:4">
      <c r="A47" s="469"/>
      <c r="B47" s="436"/>
      <c r="C47" s="436"/>
      <c r="D47" s="436"/>
    </row>
    <row r="48" spans="1:4" ht="90.75" customHeight="1">
      <c r="A48" s="790" t="s">
        <v>105</v>
      </c>
      <c r="B48" s="474"/>
      <c r="C48" s="475" t="s">
        <v>106</v>
      </c>
      <c r="D48" s="476" t="s">
        <v>107</v>
      </c>
    </row>
    <row r="49" spans="1:4">
      <c r="A49" s="790"/>
      <c r="C49" s="477" t="s">
        <v>108</v>
      </c>
      <c r="D49" s="478" t="s">
        <v>109</v>
      </c>
    </row>
    <row r="50" spans="1:4">
      <c r="A50" s="436"/>
      <c r="B50" s="436"/>
      <c r="C50" s="436"/>
      <c r="D50" s="436"/>
    </row>
    <row r="51" spans="1:4">
      <c r="A51" s="436"/>
      <c r="B51" s="436"/>
      <c r="C51" s="436"/>
      <c r="D51" s="436" t="s">
        <v>110</v>
      </c>
    </row>
  </sheetData>
  <mergeCells count="6">
    <mergeCell ref="A48:A49"/>
    <mergeCell ref="A27:A31"/>
    <mergeCell ref="A33:A42"/>
    <mergeCell ref="F1:G1"/>
    <mergeCell ref="A2:A15"/>
    <mergeCell ref="A17:A23"/>
  </mergeCells>
  <conditionalFormatting sqref="F3:F4">
    <cfRule type="expression" dxfId="120" priority="13">
      <formula>$Q4="IN PROGRESS"</formula>
    </cfRule>
    <cfRule type="expression" dxfId="119" priority="14">
      <formula>$Q4="N"</formula>
    </cfRule>
    <cfRule type="expression" dxfId="118" priority="15">
      <formula>$Q4="Y"</formula>
    </cfRule>
  </conditionalFormatting>
  <conditionalFormatting sqref="C46">
    <cfRule type="expression" dxfId="117" priority="10">
      <formula>$M47="IN PROGRESS"</formula>
    </cfRule>
    <cfRule type="expression" dxfId="116" priority="11">
      <formula>$M47="N"</formula>
    </cfRule>
    <cfRule type="expression" dxfId="115" priority="12">
      <formula>$M47="Y"</formula>
    </cfRule>
  </conditionalFormatting>
  <conditionalFormatting sqref="C9">
    <cfRule type="expression" dxfId="114" priority="7">
      <formula>$H10="IN PROGRESS"</formula>
    </cfRule>
    <cfRule type="expression" dxfId="113" priority="8">
      <formula>$H10="Rejected"</formula>
    </cfRule>
  </conditionalFormatting>
  <conditionalFormatting sqref="C9">
    <cfRule type="expression" dxfId="112" priority="9">
      <formula>$H10="Accepted"</formula>
    </cfRule>
  </conditionalFormatting>
  <conditionalFormatting sqref="C30">
    <cfRule type="expression" dxfId="111" priority="4">
      <formula>#REF!="IN PROGRESS"</formula>
    </cfRule>
    <cfRule type="expression" dxfId="110" priority="5">
      <formula>#REF!="N"</formula>
    </cfRule>
    <cfRule type="expression" dxfId="109" priority="6">
      <formula>#REF!="Y"</formula>
    </cfRule>
  </conditionalFormatting>
  <conditionalFormatting sqref="C31">
    <cfRule type="expression" dxfId="108" priority="1">
      <formula>#REF!="IN PROGRESS"</formula>
    </cfRule>
    <cfRule type="expression" dxfId="107" priority="2">
      <formula>#REF!="N"</formula>
    </cfRule>
    <cfRule type="expression" dxfId="106"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Q296"/>
  <sheetViews>
    <sheetView zoomScale="70" zoomScaleNormal="70" workbookViewId="0">
      <selection activeCell="A2" sqref="A2"/>
    </sheetView>
  </sheetViews>
  <sheetFormatPr defaultRowHeight="15"/>
  <cols>
    <col min="2" max="2" width="11" bestFit="1" customWidth="1"/>
    <col min="4" max="4" width="22.28515625" bestFit="1" customWidth="1"/>
    <col min="5" max="5" width="22.28515625" customWidth="1"/>
    <col min="6" max="6" width="12.28515625" customWidth="1"/>
    <col min="8" max="8" width="91.5703125" customWidth="1"/>
    <col min="9" max="10" width="15" customWidth="1"/>
    <col min="11" max="11" width="13.5703125" customWidth="1"/>
    <col min="13" max="13" width="2.140625" customWidth="1"/>
    <col min="18" max="18" width="1.85546875" customWidth="1"/>
  </cols>
  <sheetData>
    <row r="1" spans="1:17" ht="32.450000000000003" customHeight="1">
      <c r="B1" s="805" t="s">
        <v>111</v>
      </c>
      <c r="C1" s="806"/>
      <c r="D1" s="806"/>
      <c r="E1" s="806"/>
      <c r="F1" s="806"/>
      <c r="G1" s="806"/>
      <c r="H1" s="806"/>
      <c r="I1" s="154"/>
      <c r="J1" s="154"/>
      <c r="M1" s="317"/>
      <c r="N1" s="314"/>
      <c r="O1" s="315"/>
      <c r="P1" s="315"/>
      <c r="Q1" s="316"/>
    </row>
    <row r="2" spans="1:17" ht="40.5">
      <c r="A2" s="282" t="s">
        <v>112</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ht="15" customHeight="1">
      <c r="B3" s="21"/>
      <c r="C3" s="807" t="s">
        <v>128</v>
      </c>
      <c r="D3" s="809" t="s">
        <v>129</v>
      </c>
      <c r="E3" s="46"/>
      <c r="F3" s="46" t="s">
        <v>130</v>
      </c>
      <c r="G3" s="21" t="s">
        <v>131</v>
      </c>
      <c r="H3" s="46" t="s">
        <v>132</v>
      </c>
      <c r="I3" s="20"/>
      <c r="J3" s="20"/>
      <c r="K3" s="508" t="str" cm="1">
        <f t="array" ref="K3">IF(ISBLANK(J3), IF(ISBLANK(I3), "N/A", _xlfn.IFS(L3="AS", I3+15, L3="NCR", I3+30, L3="submitted", I3+30, TRUE, "N/A")), _xlfn.IFS(L3="AS", J3+15, L3="NCR", J3+30, L3="submitted", J3+30, TRUE, "N/A"))</f>
        <v>N/A</v>
      </c>
      <c r="L3" s="97"/>
      <c r="M3" s="317"/>
      <c r="N3" s="796" t="s">
        <v>133</v>
      </c>
      <c r="O3" s="797"/>
      <c r="P3" s="797"/>
      <c r="Q3" s="798"/>
    </row>
    <row r="4" spans="1:17" ht="15" customHeight="1">
      <c r="B4" s="9"/>
      <c r="C4" s="808"/>
      <c r="D4" s="810"/>
      <c r="E4" s="13"/>
      <c r="F4" s="13" t="s">
        <v>130</v>
      </c>
      <c r="G4" s="9" t="s">
        <v>134</v>
      </c>
      <c r="H4" s="13" t="s">
        <v>135</v>
      </c>
      <c r="I4" s="20"/>
      <c r="J4" s="20"/>
      <c r="K4" s="508"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0"/>
      <c r="E5" s="13"/>
      <c r="F5" s="13" t="s">
        <v>130</v>
      </c>
      <c r="G5" s="9" t="s">
        <v>136</v>
      </c>
      <c r="H5" s="13" t="s">
        <v>137</v>
      </c>
      <c r="I5" s="20"/>
      <c r="J5" s="20"/>
      <c r="K5" s="508"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0"/>
      <c r="E6" s="13"/>
      <c r="F6" s="13" t="s">
        <v>130</v>
      </c>
      <c r="G6" s="8" t="s">
        <v>138</v>
      </c>
      <c r="H6" s="37" t="s">
        <v>139</v>
      </c>
      <c r="I6" s="20"/>
      <c r="J6" s="20"/>
      <c r="K6" s="508" t="str" cm="1">
        <f t="array" ref="K6">IF(ISBLANK(J6), IF(ISBLANK(I6), "N/A", _xlfn.IFS(L6="AS", I6+15, L6="NCR", I6+30, L6="submitted", I6+30, TRUE, "N/A")), _xlfn.IFS(L6="AS", J6+15, L6="NCR", J6+30, L6="submitted", J6+30, TRUE, "N/A"))</f>
        <v>N/A</v>
      </c>
      <c r="L6" s="11"/>
      <c r="M6" s="317"/>
      <c r="N6" s="799"/>
      <c r="O6" s="800"/>
      <c r="P6" s="800"/>
      <c r="Q6" s="801"/>
    </row>
    <row r="7" spans="1:17" s="148" customFormat="1" ht="15" customHeight="1">
      <c r="B7" s="146" t="s">
        <v>140</v>
      </c>
      <c r="C7" s="245" t="s">
        <v>141</v>
      </c>
      <c r="D7" s="231" t="s">
        <v>142</v>
      </c>
      <c r="E7" s="176" t="s">
        <v>143</v>
      </c>
      <c r="F7" s="166" t="s">
        <v>144</v>
      </c>
      <c r="G7" s="246" t="s">
        <v>145</v>
      </c>
      <c r="H7" s="167" t="s">
        <v>146</v>
      </c>
      <c r="I7" s="236">
        <v>45762</v>
      </c>
      <c r="J7" s="236">
        <v>45770</v>
      </c>
      <c r="K7" s="508" t="str" cm="1">
        <f t="array" ref="K7">IF(ISBLANK(J7), IF(ISBLANK(I7), "N/A", _xlfn.IFS(L7="AS", I7+15, L7="NCR", I7+30, L7="submitted", I7+30, TRUE, "N/A")), _xlfn.IFS(L7="AS", J7+15, L7="NCR", J7+30, L7="submitted", J7+30, TRUE, "N/A"))</f>
        <v>N/A</v>
      </c>
      <c r="L7" s="211" t="s">
        <v>147</v>
      </c>
      <c r="M7" s="317"/>
      <c r="N7" s="802" t="s">
        <v>148</v>
      </c>
      <c r="O7" s="803"/>
      <c r="P7" s="803"/>
      <c r="Q7" s="804"/>
    </row>
    <row r="8" spans="1:17" s="150" customFormat="1" ht="15" customHeight="1">
      <c r="B8" s="151" t="s">
        <v>149</v>
      </c>
      <c r="C8" s="169" t="s">
        <v>141</v>
      </c>
      <c r="D8" s="260" t="s">
        <v>142</v>
      </c>
      <c r="E8" s="388" t="s">
        <v>150</v>
      </c>
      <c r="F8" s="162" t="s">
        <v>144</v>
      </c>
      <c r="G8" s="197" t="s">
        <v>145</v>
      </c>
      <c r="H8" s="158" t="s">
        <v>146</v>
      </c>
      <c r="I8" s="389">
        <v>45790</v>
      </c>
      <c r="J8" s="389">
        <v>45881</v>
      </c>
      <c r="K8" s="508" t="str" cm="1">
        <f t="array" ref="K8">IF(ISBLANK(J8), IF(ISBLANK(I8), "N/A", _xlfn.IFS(L8="AS", I8+15, L8="NCR", I8+30, L8="submitted", I8+30, TRUE, "N/A")), _xlfn.IFS(L8="AS", J8+15, L8="NCR", J8+30, L8="submitted", J8+30, TRUE, "N/A"))</f>
        <v>N/A</v>
      </c>
      <c r="L8" s="171" t="s">
        <v>151</v>
      </c>
      <c r="M8" s="317"/>
      <c r="N8" s="802"/>
      <c r="O8" s="803"/>
      <c r="P8" s="803"/>
      <c r="Q8" s="804"/>
    </row>
    <row r="9" spans="1:17" s="148" customFormat="1" ht="15" customHeight="1">
      <c r="B9" s="146" t="s">
        <v>13</v>
      </c>
      <c r="C9" s="245" t="s">
        <v>152</v>
      </c>
      <c r="D9" s="332" t="s">
        <v>142</v>
      </c>
      <c r="E9" s="332" t="s">
        <v>153</v>
      </c>
      <c r="F9" s="147" t="s">
        <v>144</v>
      </c>
      <c r="G9" s="240" t="s">
        <v>131</v>
      </c>
      <c r="H9" s="217" t="s">
        <v>154</v>
      </c>
      <c r="I9" s="236">
        <v>45784</v>
      </c>
      <c r="J9" s="236">
        <v>45800</v>
      </c>
      <c r="K9" s="508" t="str" cm="1">
        <f t="array" ref="K9">IF(ISBLANK(J9), IF(ISBLANK(I9), "N/A", _xlfn.IFS(L9="AS", I9+15, L9="NCR", I9+30, L9="submitted", I9+30, TRUE, "N/A")), _xlfn.IFS(L9="AS", J9+15, L9="NCR", J9+30, L9="submitted", J9+30, TRUE, "N/A"))</f>
        <v>N/A</v>
      </c>
      <c r="L9" s="211" t="s">
        <v>147</v>
      </c>
      <c r="M9" s="317"/>
      <c r="N9" s="802"/>
      <c r="O9" s="803"/>
      <c r="P9" s="803"/>
      <c r="Q9" s="804"/>
    </row>
    <row r="10" spans="1:17" s="534" customFormat="1" ht="15" customHeight="1">
      <c r="B10" s="615" t="s">
        <v>155</v>
      </c>
      <c r="C10" s="616" t="s">
        <v>152</v>
      </c>
      <c r="D10" s="617" t="s">
        <v>142</v>
      </c>
      <c r="E10" s="617" t="s">
        <v>156</v>
      </c>
      <c r="F10" s="618" t="s">
        <v>144</v>
      </c>
      <c r="G10" s="619" t="s">
        <v>131</v>
      </c>
      <c r="H10" s="620" t="s">
        <v>154</v>
      </c>
      <c r="I10" s="621">
        <v>45915</v>
      </c>
      <c r="J10" s="621">
        <v>45938</v>
      </c>
      <c r="K10" s="508" cm="1">
        <f t="array" ref="K10">IF(ISBLANK(J10), IF(ISBLANK(I10), "N/A", _xlfn.IFS(L10="AS", I10+15, L10="NCR", I10+30, L10="submitted", I10+30, TRUE, "N/A")), _xlfn.IFS(L10="AS", J10+15, L10="NCR", J10+30, L10="submitted", J10+30, TRUE, "N/A"))</f>
        <v>45968</v>
      </c>
      <c r="L10" s="622" t="s">
        <v>157</v>
      </c>
      <c r="M10" s="317"/>
      <c r="N10" s="802"/>
      <c r="O10" s="803"/>
      <c r="P10" s="803"/>
      <c r="Q10" s="804"/>
    </row>
    <row r="11" spans="1:17" ht="15" customHeight="1">
      <c r="B11" s="112"/>
      <c r="C11" s="244" t="s">
        <v>158</v>
      </c>
      <c r="D11" s="243" t="s">
        <v>142</v>
      </c>
      <c r="E11" s="243"/>
      <c r="F11" s="113" t="s">
        <v>144</v>
      </c>
      <c r="G11" s="112" t="s">
        <v>134</v>
      </c>
      <c r="H11" s="113" t="s">
        <v>159</v>
      </c>
      <c r="I11" s="241"/>
      <c r="J11" s="241"/>
      <c r="K11" s="508" t="str" cm="1">
        <f t="array" ref="K11">IF(ISBLANK(J11), IF(ISBLANK(I11), "N/A", _xlfn.IFS(L11="AS", I11+15, L11="NCR", I11+30, L11="submitted", I11+30, TRUE, "N/A")), _xlfn.IFS(L11="AS", J11+15, L11="NCR", J11+30, L11="submitted", J11+30, TRUE, "N/A"))</f>
        <v>N/A</v>
      </c>
      <c r="M11" s="317"/>
      <c r="N11" s="802"/>
      <c r="O11" s="803"/>
      <c r="P11" s="803"/>
      <c r="Q11" s="804"/>
    </row>
    <row r="12" spans="1:17" ht="15" customHeight="1">
      <c r="B12" s="112"/>
      <c r="C12" s="244" t="s">
        <v>160</v>
      </c>
      <c r="D12" s="243" t="s">
        <v>142</v>
      </c>
      <c r="E12" s="243"/>
      <c r="F12" s="113" t="s">
        <v>161</v>
      </c>
      <c r="G12" s="112" t="s">
        <v>136</v>
      </c>
      <c r="H12" s="113" t="s">
        <v>162</v>
      </c>
      <c r="I12" s="241"/>
      <c r="J12" s="241"/>
      <c r="K12" s="508" t="str" cm="1">
        <f t="array" ref="K12">IF(ISBLANK(J12), IF(ISBLANK(I12), "N/A", _xlfn.IFS(L12="AS", I12+15, L12="NCR", I12+30, L12="submitted", I12+30, TRUE, "N/A")), _xlfn.IFS(L12="AS", J12+15, L12="NCR", J12+30, L12="submitted", J12+30, TRUE, "N/A"))</f>
        <v>N/A</v>
      </c>
      <c r="M12" s="318"/>
      <c r="N12" s="802"/>
      <c r="O12" s="803"/>
      <c r="P12" s="803"/>
      <c r="Q12" s="804"/>
    </row>
    <row r="13" spans="1:17" ht="15" customHeight="1">
      <c r="B13" s="112"/>
      <c r="C13" s="244" t="s">
        <v>163</v>
      </c>
      <c r="D13" s="243" t="s">
        <v>142</v>
      </c>
      <c r="E13" s="243"/>
      <c r="F13" s="113" t="s">
        <v>144</v>
      </c>
      <c r="G13" s="112" t="s">
        <v>138</v>
      </c>
      <c r="H13" s="113" t="s">
        <v>164</v>
      </c>
      <c r="I13" s="241"/>
      <c r="J13" s="241"/>
      <c r="K13" s="508" t="str" cm="1">
        <f t="array" ref="K13">IF(ISBLANK(J13), IF(ISBLANK(I13), "N/A", _xlfn.IFS(L13="AS", I13+15, L13="NCR", I13+30, L13="submitted", I13+30, TRUE, "N/A")), _xlfn.IFS(L13="AS", J13+15, L13="NCR", J13+30, L13="submitted", J13+30, TRUE, "N/A"))</f>
        <v>N/A</v>
      </c>
      <c r="M13" s="317"/>
      <c r="N13" s="802"/>
      <c r="O13" s="803"/>
      <c r="P13" s="803"/>
      <c r="Q13" s="804"/>
    </row>
    <row r="14" spans="1:17" ht="15" customHeight="1">
      <c r="B14" s="112"/>
      <c r="C14" s="244" t="s">
        <v>165</v>
      </c>
      <c r="D14" s="243" t="s">
        <v>142</v>
      </c>
      <c r="E14" s="243"/>
      <c r="F14" s="113" t="s">
        <v>144</v>
      </c>
      <c r="G14" s="112" t="s">
        <v>166</v>
      </c>
      <c r="H14" s="113" t="s">
        <v>167</v>
      </c>
      <c r="I14" s="241"/>
      <c r="J14" s="241"/>
      <c r="K14" s="508" t="str" cm="1">
        <f t="array" ref="K14">IF(ISBLANK(J14), IF(ISBLANK(I14), "N/A", _xlfn.IFS(L14="AS", I14+15, L14="NCR", I14+30, L14="submitted", I14+30, TRUE, "N/A")), _xlfn.IFS(L14="AS", J14+15, L14="NCR", J14+30, L14="submitted", J14+30, TRUE, "N/A"))</f>
        <v>N/A</v>
      </c>
      <c r="M14" s="317"/>
      <c r="N14" s="802"/>
      <c r="O14" s="803"/>
      <c r="P14" s="803"/>
      <c r="Q14" s="804"/>
    </row>
    <row r="15" spans="1:17" ht="15" customHeight="1">
      <c r="B15" s="112"/>
      <c r="C15" s="244" t="s">
        <v>168</v>
      </c>
      <c r="D15" s="243" t="s">
        <v>142</v>
      </c>
      <c r="E15" s="243"/>
      <c r="F15" s="113" t="s">
        <v>144</v>
      </c>
      <c r="G15" s="112" t="s">
        <v>169</v>
      </c>
      <c r="H15" s="113" t="s">
        <v>170</v>
      </c>
      <c r="I15" s="241"/>
      <c r="J15" s="241"/>
      <c r="K15" s="508" t="str" cm="1">
        <f t="array" ref="K15">IF(ISBLANK(J15), IF(ISBLANK(I15), "N/A", _xlfn.IFS(L15="AS", I15+15, L15="NCR", I15+30, L15="submitted", I15+30, TRUE, "N/A")), _xlfn.IFS(L15="AS", J15+15, L15="NCR", J15+30, L15="submitted", J15+30, TRUE, "N/A"))</f>
        <v>N/A</v>
      </c>
      <c r="M15" s="317"/>
      <c r="N15" s="802"/>
      <c r="O15" s="803"/>
      <c r="P15" s="803"/>
      <c r="Q15" s="804"/>
    </row>
    <row r="16" spans="1:17" ht="27" customHeight="1">
      <c r="B16" s="112"/>
      <c r="C16" s="244" t="s">
        <v>171</v>
      </c>
      <c r="D16" s="243" t="s">
        <v>142</v>
      </c>
      <c r="E16" s="243"/>
      <c r="F16" s="113" t="s">
        <v>144</v>
      </c>
      <c r="G16" s="112" t="s">
        <v>172</v>
      </c>
      <c r="H16" s="114" t="s">
        <v>173</v>
      </c>
      <c r="I16" s="242"/>
      <c r="J16" s="242"/>
      <c r="K16" s="508" t="str" cm="1">
        <f t="array" ref="K16">IF(ISBLANK(J16), IF(ISBLANK(I16), "N/A", _xlfn.IFS(L16="AS", I16+15, L16="NCR", I16+30, L16="submitted", I16+30, TRUE, "N/A")), _xlfn.IFS(L16="AS", J16+15, L16="NCR", J16+30, L16="submitted", J16+30, TRUE, "N/A"))</f>
        <v>N/A</v>
      </c>
      <c r="M16" s="317"/>
      <c r="N16" s="802"/>
      <c r="O16" s="803"/>
      <c r="P16" s="803"/>
      <c r="Q16" s="804"/>
    </row>
    <row r="17" spans="2:17" ht="40.5" customHeight="1">
      <c r="B17" s="112"/>
      <c r="C17" s="244" t="s">
        <v>174</v>
      </c>
      <c r="D17" s="243" t="s">
        <v>142</v>
      </c>
      <c r="E17" s="243"/>
      <c r="F17" s="113" t="s">
        <v>144</v>
      </c>
      <c r="G17" s="112" t="s">
        <v>175</v>
      </c>
      <c r="H17" s="114" t="s">
        <v>176</v>
      </c>
      <c r="I17" s="242"/>
      <c r="J17" s="242"/>
      <c r="K17" s="508" t="str" cm="1">
        <f t="array" ref="K17">IF(ISBLANK(J17), IF(ISBLANK(I17), "N/A", _xlfn.IFS(L17="AS", I17+15, L17="NCR", I17+30, L17="submitted", I17+30, TRUE, "N/A")), _xlfn.IFS(L17="AS", J17+15, L17="NCR", J17+30, L17="submitted", J17+30, TRUE, "N/A"))</f>
        <v>N/A</v>
      </c>
      <c r="M17" s="317"/>
      <c r="N17" s="802"/>
      <c r="O17" s="803"/>
      <c r="P17" s="803"/>
      <c r="Q17" s="804"/>
    </row>
    <row r="18" spans="2:17" ht="15" customHeight="1">
      <c r="B18" s="112"/>
      <c r="C18" s="244" t="s">
        <v>177</v>
      </c>
      <c r="D18" s="243" t="s">
        <v>142</v>
      </c>
      <c r="E18" s="243"/>
      <c r="F18" s="113" t="s">
        <v>144</v>
      </c>
      <c r="G18" s="112" t="s">
        <v>178</v>
      </c>
      <c r="H18" s="113" t="s">
        <v>179</v>
      </c>
      <c r="I18" s="241"/>
      <c r="J18" s="241"/>
      <c r="K18" s="508" t="str" cm="1">
        <f t="array" ref="K18">IF(ISBLANK(J18), IF(ISBLANK(I18), "N/A", _xlfn.IFS(L18="AS", I18+15, L18="NCR", I18+30, L18="submitted", I18+30, TRUE, "N/A")), _xlfn.IFS(L18="AS", J18+15, L18="NCR", J18+30, L18="submitted", J18+30, TRUE, "N/A"))</f>
        <v>N/A</v>
      </c>
      <c r="M18" s="317"/>
      <c r="N18" s="802"/>
      <c r="O18" s="803"/>
      <c r="P18" s="803"/>
      <c r="Q18" s="804"/>
    </row>
    <row r="19" spans="2:17" ht="15" customHeight="1">
      <c r="M19" s="317"/>
      <c r="N19" s="802"/>
      <c r="O19" s="803"/>
      <c r="P19" s="803"/>
      <c r="Q19" s="804"/>
    </row>
    <row r="20" spans="2:17" ht="15" customHeight="1">
      <c r="M20" s="317"/>
      <c r="N20" s="802"/>
      <c r="O20" s="803"/>
      <c r="P20" s="803"/>
      <c r="Q20" s="804"/>
    </row>
    <row r="21" spans="2:17" ht="15" customHeight="1">
      <c r="M21" s="317"/>
      <c r="N21" s="802"/>
      <c r="O21" s="803"/>
      <c r="P21" s="803"/>
      <c r="Q21" s="804"/>
    </row>
    <row r="22" spans="2:17" ht="15" customHeight="1">
      <c r="M22" s="317"/>
      <c r="N22" s="802"/>
      <c r="O22" s="803"/>
      <c r="P22" s="803"/>
      <c r="Q22" s="804"/>
    </row>
    <row r="23" spans="2:17" ht="15" customHeight="1">
      <c r="M23" s="317"/>
      <c r="N23" s="802"/>
      <c r="O23" s="803"/>
      <c r="P23" s="803"/>
      <c r="Q23" s="804"/>
    </row>
    <row r="24" spans="2:17" ht="15" customHeight="1">
      <c r="M24" s="317"/>
      <c r="N24" s="802"/>
      <c r="O24" s="803"/>
      <c r="P24" s="803"/>
      <c r="Q24" s="804"/>
    </row>
    <row r="25" spans="2:17" ht="15" customHeight="1">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0">
    <mergeCell ref="N120:Q127"/>
    <mergeCell ref="N128:Q202"/>
    <mergeCell ref="N203:Q210"/>
    <mergeCell ref="B1:H1"/>
    <mergeCell ref="C3:C6"/>
    <mergeCell ref="D3:D6"/>
    <mergeCell ref="N3:Q6"/>
    <mergeCell ref="N7:Q39"/>
    <mergeCell ref="N40:Q47"/>
    <mergeCell ref="N48:Q119"/>
  </mergeCells>
  <conditionalFormatting sqref="B3:L9000">
    <cfRule type="expression" dxfId="105" priority="4">
      <formula>NOT(OR(INDEX($L:$L,ROW())="NCR",INDEX($L:$L,ROW())="NR",INDEX($L:$L,ROW())="AS",INDEX($L:$L,ROW())="AC",INDEX($L:$L,ROW())="AN",INDEX($L:$L,ROW())="RC",INDEX($L:$L,ROW())="RA",INDEX($L:$L,ROW())="Submitted",INDEX($L:$L,ROW())="REV"))</formula>
    </cfRule>
  </conditionalFormatting>
  <conditionalFormatting sqref="B3:L9000">
    <cfRule type="expression" dxfId="104" priority="3">
      <formula>OR(INDEX($L:$L,ROW())="NCR",INDEX($L:$L,ROW())="NR",INDEX($L:$L,ROW())="AS")</formula>
    </cfRule>
  </conditionalFormatting>
  <conditionalFormatting sqref="B3:L9000">
    <cfRule type="expression" dxfId="103" priority="2">
      <formula>OR(INDEX($L:$L,ROW())="Submitted",INDEX($L:$L,ROW())="REV")</formula>
    </cfRule>
  </conditionalFormatting>
  <conditionalFormatting sqref="B3:L9000">
    <cfRule type="expression" dxfId="102" priority="1">
      <formula>OR(INDEX($L:$L,ROW())="AC",INDEX($L:$L,ROW())="AN",INDEX($L:$L,ROW())="RC",INDEX($L:$L,ROW())="RA")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Q296"/>
  <sheetViews>
    <sheetView zoomScaleNormal="100" workbookViewId="0">
      <selection sqref="A1:A2"/>
    </sheetView>
  </sheetViews>
  <sheetFormatPr defaultRowHeight="15"/>
  <cols>
    <col min="2" max="2" width="11" bestFit="1" customWidth="1"/>
    <col min="4" max="4" width="45" bestFit="1" customWidth="1"/>
    <col min="5" max="5" width="44.28515625" customWidth="1"/>
    <col min="8" max="8" width="71.42578125" customWidth="1"/>
    <col min="9" max="10" width="15.85546875" customWidth="1"/>
    <col min="11" max="11" width="12.7109375" customWidth="1"/>
    <col min="13" max="13" width="1.85546875" customWidth="1"/>
    <col min="18" max="18" width="1.42578125" customWidth="1"/>
  </cols>
  <sheetData>
    <row r="1" spans="1:17" ht="32.450000000000003" customHeight="1">
      <c r="B1" s="805" t="s">
        <v>180</v>
      </c>
      <c r="C1" s="806"/>
      <c r="D1" s="806"/>
      <c r="E1" s="806"/>
      <c r="F1" s="806"/>
      <c r="G1" s="806"/>
      <c r="L1" s="154"/>
      <c r="M1" s="317"/>
      <c r="N1" s="314"/>
      <c r="O1" s="315"/>
      <c r="P1" s="315"/>
      <c r="Q1" s="316"/>
    </row>
    <row r="2" spans="1:17" ht="40.5">
      <c r="A2" s="282" t="s">
        <v>112</v>
      </c>
      <c r="B2" s="282" t="s">
        <v>113</v>
      </c>
      <c r="C2" s="283" t="s">
        <v>114</v>
      </c>
      <c r="D2" s="283" t="s">
        <v>115</v>
      </c>
      <c r="E2" s="283" t="s">
        <v>181</v>
      </c>
      <c r="F2" s="283" t="s">
        <v>117</v>
      </c>
      <c r="G2" s="283" t="s">
        <v>118</v>
      </c>
      <c r="H2" s="283" t="s">
        <v>119</v>
      </c>
      <c r="I2" s="306" t="s">
        <v>120</v>
      </c>
      <c r="J2" s="306" t="s">
        <v>121</v>
      </c>
      <c r="K2" s="306" t="s">
        <v>122</v>
      </c>
      <c r="L2" s="283" t="s">
        <v>123</v>
      </c>
      <c r="M2" s="319"/>
      <c r="N2" s="311" t="s">
        <v>124</v>
      </c>
      <c r="O2" s="293" t="s">
        <v>125</v>
      </c>
      <c r="P2" s="294" t="s">
        <v>126</v>
      </c>
      <c r="Q2" s="295" t="s">
        <v>127</v>
      </c>
    </row>
    <row r="3" spans="1:17" ht="27" customHeight="1">
      <c r="B3" s="270" t="s">
        <v>182</v>
      </c>
      <c r="C3" s="270" t="s">
        <v>183</v>
      </c>
      <c r="D3" s="75" t="s">
        <v>184</v>
      </c>
      <c r="E3" s="75" t="s">
        <v>185</v>
      </c>
      <c r="F3" s="75" t="s">
        <v>186</v>
      </c>
      <c r="G3" s="268">
        <v>1.01</v>
      </c>
      <c r="H3" s="303" t="s">
        <v>187</v>
      </c>
      <c r="I3" s="299">
        <v>45754</v>
      </c>
      <c r="J3" s="299">
        <v>45771</v>
      </c>
      <c r="K3" s="252" t="str" cm="1">
        <f t="array" ref="K3">IF(ISBLANK(J3), IF(ISBLANK(I3), "N/A", _xlfn.IFS(L3="AS", I3+15, L3="NCR", I3+30, L3="submitted", I3+30, TRUE, "N/A")), _xlfn.IFS(L3="AS", J3+15, L3="NCR", J3+30, L3="submitted", J3+30, TRUE, "N/A"))</f>
        <v>N/A</v>
      </c>
      <c r="L3" s="270"/>
      <c r="M3" s="317"/>
      <c r="N3" s="796" t="s">
        <v>133</v>
      </c>
      <c r="O3" s="797"/>
      <c r="P3" s="797"/>
      <c r="Q3" s="798"/>
    </row>
    <row r="4" spans="1:17" ht="15" customHeight="1">
      <c r="B4" s="9"/>
      <c r="C4" s="808" t="s">
        <v>128</v>
      </c>
      <c r="D4" s="818" t="s">
        <v>129</v>
      </c>
      <c r="E4" s="13"/>
      <c r="F4" s="13"/>
      <c r="G4" s="9" t="s">
        <v>131</v>
      </c>
      <c r="H4" s="161" t="s">
        <v>132</v>
      </c>
      <c r="I4" s="142"/>
      <c r="J4" s="142"/>
      <c r="K4" s="252" t="str" cm="1">
        <f t="array" ref="K4">IF(ISBLANK(J4), IF(ISBLANK(I4), "N/A", _xlfn.IFS(L4="AS", I4+15, L4="NCR", I4+30, L4="submitted", I4+30, TRUE, "N/A")), _xlfn.IFS(L4="AS", J4+15, L4="NCR", J4+30, L4="submitted", J4+30, TRUE, "N/A"))</f>
        <v>N/A</v>
      </c>
      <c r="L4" s="11"/>
      <c r="M4" s="317"/>
      <c r="N4" s="799"/>
      <c r="O4" s="800"/>
      <c r="P4" s="800"/>
      <c r="Q4" s="801"/>
    </row>
    <row r="5" spans="1:17" ht="15" customHeight="1">
      <c r="B5" s="9"/>
      <c r="C5" s="808"/>
      <c r="D5" s="818"/>
      <c r="E5" s="13"/>
      <c r="F5" s="13"/>
      <c r="G5" s="9" t="s">
        <v>134</v>
      </c>
      <c r="H5" s="161" t="s">
        <v>135</v>
      </c>
      <c r="I5" s="142"/>
      <c r="J5" s="142"/>
      <c r="K5" s="252" t="str" cm="1">
        <f t="array" ref="K5">IF(ISBLANK(J5), IF(ISBLANK(I5), "N/A", _xlfn.IFS(L5="AS", I5+15, L5="NCR", I5+30, L5="submitted", I5+30, TRUE, "N/A")), _xlfn.IFS(L5="AS", J5+15, L5="NCR", J5+30, L5="submitted", J5+30, TRUE, "N/A"))</f>
        <v>N/A</v>
      </c>
      <c r="L5" s="11"/>
      <c r="M5" s="317"/>
      <c r="N5" s="799"/>
      <c r="O5" s="800"/>
      <c r="P5" s="800"/>
      <c r="Q5" s="801"/>
    </row>
    <row r="6" spans="1:17" ht="15" customHeight="1">
      <c r="B6" s="9"/>
      <c r="C6" s="808"/>
      <c r="D6" s="818"/>
      <c r="E6" s="13"/>
      <c r="F6" s="13"/>
      <c r="G6" s="9" t="s">
        <v>136</v>
      </c>
      <c r="H6" s="161" t="s">
        <v>137</v>
      </c>
      <c r="I6" s="142"/>
      <c r="J6" s="142"/>
      <c r="K6" s="252" t="str" cm="1">
        <f t="array" ref="K6">IF(ISBLANK(J6), IF(ISBLANK(I6), "N/A", _xlfn.IFS(L6="AS", I6+15, L6="NCR", I6+30, L6="submitted", I6+30, TRUE, "N/A")), _xlfn.IFS(L6="AS", J6+15, L6="NCR", J6+30, L6="submitted", J6+30, TRUE, "N/A"))</f>
        <v>N/A</v>
      </c>
      <c r="L6" s="11"/>
      <c r="M6" s="317"/>
      <c r="N6" s="799"/>
      <c r="O6" s="800"/>
      <c r="P6" s="800"/>
      <c r="Q6" s="801"/>
    </row>
    <row r="7" spans="1:17" ht="15" customHeight="1">
      <c r="B7" s="9"/>
      <c r="C7" s="808"/>
      <c r="D7" s="818"/>
      <c r="E7" s="13"/>
      <c r="F7" s="13"/>
      <c r="G7" s="8" t="s">
        <v>138</v>
      </c>
      <c r="H7" s="161" t="s">
        <v>139</v>
      </c>
      <c r="I7" s="142"/>
      <c r="J7" s="142"/>
      <c r="K7" s="252" t="str" cm="1">
        <f t="array" ref="K7">IF(ISBLANK(J7), IF(ISBLANK(I7), "N/A", _xlfn.IFS(L7="AS", I7+15, L7="NCR", I7+30, L7="submitted", I7+30, TRUE, "N/A")), _xlfn.IFS(L7="AS", J7+15, L7="NCR", J7+30, L7="submitted", J7+30, TRUE, "N/A"))</f>
        <v>N/A</v>
      </c>
      <c r="L7" s="11"/>
      <c r="M7" s="317"/>
      <c r="N7" s="802" t="s">
        <v>148</v>
      </c>
      <c r="O7" s="803"/>
      <c r="P7" s="803"/>
      <c r="Q7" s="804"/>
    </row>
    <row r="8" spans="1:17" s="139" customFormat="1" ht="15" customHeight="1">
      <c r="B8" s="172" t="s">
        <v>188</v>
      </c>
      <c r="C8" s="172">
        <v>1150</v>
      </c>
      <c r="D8" s="172" t="s">
        <v>189</v>
      </c>
      <c r="E8" s="152" t="s">
        <v>190</v>
      </c>
      <c r="F8" s="152" t="s">
        <v>191</v>
      </c>
      <c r="G8" s="151" t="s">
        <v>134</v>
      </c>
      <c r="H8" s="162" t="s">
        <v>192</v>
      </c>
      <c r="I8" s="216">
        <v>45805</v>
      </c>
      <c r="J8" s="216">
        <v>45810</v>
      </c>
      <c r="K8" s="252" t="str" cm="1">
        <f t="array" ref="K8">IF(ISBLANK(J8), IF(ISBLANK(I8), "N/A", _xlfn.IFS(L8="AS", I8+15, L8="NCR", I8+30, L8="submitted", I8+30, TRUE, "N/A")), _xlfn.IFS(L8="AS", J8+15, L8="NCR", J8+30, L8="submitted", J8+30, TRUE, "N/A"))</f>
        <v>N/A</v>
      </c>
      <c r="L8" s="172" t="s">
        <v>147</v>
      </c>
      <c r="M8" s="317"/>
      <c r="N8" s="802"/>
      <c r="O8" s="803"/>
      <c r="P8" s="803"/>
      <c r="Q8" s="804"/>
    </row>
    <row r="9" spans="1:17" s="355" customFormat="1" ht="15" customHeight="1">
      <c r="B9" s="348" t="s">
        <v>193</v>
      </c>
      <c r="C9" s="349" t="s">
        <v>194</v>
      </c>
      <c r="D9" s="660" t="s">
        <v>189</v>
      </c>
      <c r="E9" s="352" t="s">
        <v>190</v>
      </c>
      <c r="F9" s="352" t="s">
        <v>191</v>
      </c>
      <c r="G9" s="348" t="s">
        <v>134</v>
      </c>
      <c r="H9" s="353" t="s">
        <v>192</v>
      </c>
      <c r="I9" s="354">
        <v>45835</v>
      </c>
      <c r="J9" s="354">
        <v>45869</v>
      </c>
      <c r="K9" s="252" t="str" cm="1">
        <f t="array" ref="K9">IF(ISBLANK(J9), IF(ISBLANK(I9), "N/A", _xlfn.IFS(L9="AS", I9+15, L9="NCR", I9+30, L9="submitted", I9+30, TRUE, "N/A")), _xlfn.IFS(L9="AS", J9+15, L9="NCR", J9+30, L9="submitted", J9+30, TRUE, "N/A"))</f>
        <v>N/A</v>
      </c>
      <c r="L9" s="350" t="s">
        <v>151</v>
      </c>
      <c r="M9" s="317"/>
      <c r="N9" s="802"/>
      <c r="O9" s="803"/>
      <c r="P9" s="803"/>
      <c r="Q9" s="804"/>
    </row>
    <row r="10" spans="1:17" s="139" customFormat="1" ht="15" customHeight="1">
      <c r="B10" s="151" t="s">
        <v>195</v>
      </c>
      <c r="C10" s="239" t="s">
        <v>194</v>
      </c>
      <c r="D10" s="297" t="s">
        <v>189</v>
      </c>
      <c r="E10" s="152" t="s">
        <v>196</v>
      </c>
      <c r="F10" s="152" t="s">
        <v>197</v>
      </c>
      <c r="G10" s="151" t="s">
        <v>136</v>
      </c>
      <c r="H10" s="162" t="s">
        <v>198</v>
      </c>
      <c r="I10" s="216">
        <v>45772</v>
      </c>
      <c r="J10" s="216">
        <v>45777</v>
      </c>
      <c r="K10" s="252" t="str" cm="1">
        <f t="array" ref="K10">IF(ISBLANK(J10), IF(ISBLANK(I10), "N/A", _xlfn.IFS(L10="AS", I10+15, L10="NCR", I10+30, L10="submitted", I10+30, TRUE, "N/A")), _xlfn.IFS(L10="AS", J10+15, L10="NCR", J10+30, L10="submitted", J10+30, TRUE, "N/A"))</f>
        <v>N/A</v>
      </c>
      <c r="L10" s="172" t="s">
        <v>151</v>
      </c>
      <c r="M10" s="317"/>
      <c r="N10" s="802"/>
      <c r="O10" s="803"/>
      <c r="P10" s="803"/>
      <c r="Q10" s="804"/>
    </row>
    <row r="11" spans="1:17" s="139" customFormat="1" ht="15" customHeight="1">
      <c r="B11" s="151" t="s">
        <v>199</v>
      </c>
      <c r="C11" s="239" t="s">
        <v>194</v>
      </c>
      <c r="D11" s="297" t="s">
        <v>189</v>
      </c>
      <c r="E11" s="152" t="s">
        <v>200</v>
      </c>
      <c r="F11" s="152" t="s">
        <v>201</v>
      </c>
      <c r="G11" s="151" t="s">
        <v>145</v>
      </c>
      <c r="H11" s="162" t="s">
        <v>202</v>
      </c>
      <c r="I11" s="216">
        <v>45796</v>
      </c>
      <c r="J11" s="216">
        <v>45796</v>
      </c>
      <c r="K11" s="252" t="str" cm="1">
        <f t="array" ref="K11">IF(ISBLANK(J11), IF(ISBLANK(I11), "N/A", _xlfn.IFS(L11="AS", I11+15, L11="NCR", I11+30, L11="submitted", I11+30, TRUE, "N/A")), _xlfn.IFS(L11="AS", J11+15, L11="NCR", J11+30, L11="submitted", J11+30, TRUE, "N/A"))</f>
        <v>N/A</v>
      </c>
      <c r="L11" s="172" t="s">
        <v>203</v>
      </c>
      <c r="M11" s="317"/>
      <c r="N11" s="802"/>
      <c r="O11" s="803"/>
      <c r="P11" s="803"/>
      <c r="Q11" s="804"/>
    </row>
    <row r="12" spans="1:17" s="188" customFormat="1" ht="27" customHeight="1">
      <c r="B12" s="187" t="s">
        <v>9</v>
      </c>
      <c r="C12" s="321" t="s">
        <v>204</v>
      </c>
      <c r="D12" s="191" t="s">
        <v>205</v>
      </c>
      <c r="E12" s="191" t="s">
        <v>206</v>
      </c>
      <c r="F12" s="191" t="s">
        <v>207</v>
      </c>
      <c r="G12" s="187" t="s">
        <v>208</v>
      </c>
      <c r="H12" s="322" t="s">
        <v>209</v>
      </c>
      <c r="I12" s="323">
        <v>45800</v>
      </c>
      <c r="J12" s="323">
        <v>45805</v>
      </c>
      <c r="K12" s="252" cm="1">
        <f t="array" ref="K12">IF(ISBLANK(J12), IF(ISBLANK(I12), "N/A", _xlfn.IFS(L12="AS", I12+15, L12="NCR", I12+30, L12="submitted", I12+30, TRUE, "N/A")), _xlfn.IFS(L12="AS", J12+15, L12="NCR", J12+30, L12="submitted", J12+30, TRUE, "N/A"))</f>
        <v>45835</v>
      </c>
      <c r="L12" s="321" t="s">
        <v>157</v>
      </c>
      <c r="M12" s="318"/>
      <c r="N12" s="802"/>
      <c r="O12" s="803"/>
      <c r="P12" s="803"/>
      <c r="Q12" s="804"/>
    </row>
    <row r="13" spans="1:17" ht="28.15" customHeight="1">
      <c r="B13" s="115"/>
      <c r="C13" s="116" t="s">
        <v>210</v>
      </c>
      <c r="D13" s="117" t="s">
        <v>211</v>
      </c>
      <c r="E13" s="117"/>
      <c r="F13" s="117"/>
      <c r="G13" s="118" t="s">
        <v>212</v>
      </c>
      <c r="H13" s="304" t="s">
        <v>213</v>
      </c>
      <c r="I13" s="300"/>
      <c r="J13" s="300"/>
      <c r="K13" s="252" t="str" cm="1">
        <f t="array" ref="K13">IF(ISBLANK(J13), IF(ISBLANK(I13), "N/A", _xlfn.IFS(L13="AS", I13+15, L13="NCR", I13+30, L13="submitted", I13+30, TRUE, "N/A")), _xlfn.IFS(L13="AS", J13+15, L13="NCR", J13+30, L13="submitted", J13+30, TRUE, "N/A"))</f>
        <v>N/A</v>
      </c>
      <c r="L13" s="116"/>
      <c r="M13" s="317"/>
      <c r="N13" s="802"/>
      <c r="O13" s="803"/>
      <c r="P13" s="803"/>
      <c r="Q13" s="804"/>
    </row>
    <row r="14" spans="1:17" s="139" customFormat="1" ht="15" customHeight="1">
      <c r="B14" s="151" t="s">
        <v>214</v>
      </c>
      <c r="C14" s="172" t="s">
        <v>177</v>
      </c>
      <c r="D14" s="152" t="s">
        <v>215</v>
      </c>
      <c r="E14" s="152" t="s">
        <v>216</v>
      </c>
      <c r="F14" s="152" t="s">
        <v>217</v>
      </c>
      <c r="G14" s="151" t="s">
        <v>145</v>
      </c>
      <c r="H14" s="162" t="s">
        <v>218</v>
      </c>
      <c r="I14" s="216">
        <v>45804</v>
      </c>
      <c r="J14" s="216">
        <v>45869</v>
      </c>
      <c r="K14" s="252" t="str" cm="1">
        <f t="array" ref="K14">IF(ISBLANK(J14), IF(ISBLANK(I14), "N/A", _xlfn.IFS(L14="AS", I14+15, L14="NCR", I14+30, L14="submitted", I14+30, TRUE, "N/A")), _xlfn.IFS(L14="AS", J14+15, L14="NCR", J14+30, L14="submitted", J14+30, TRUE, "N/A"))</f>
        <v>N/A</v>
      </c>
      <c r="L14" s="172" t="s">
        <v>203</v>
      </c>
      <c r="M14" s="317"/>
      <c r="N14" s="802"/>
      <c r="O14" s="803"/>
      <c r="P14" s="803"/>
      <c r="Q14" s="804"/>
    </row>
    <row r="15" spans="1:17" ht="15" customHeight="1">
      <c r="B15" s="4"/>
      <c r="C15" s="819" t="s">
        <v>219</v>
      </c>
      <c r="D15" s="816" t="s">
        <v>220</v>
      </c>
      <c r="E15" s="17"/>
      <c r="F15" s="17" t="s">
        <v>161</v>
      </c>
      <c r="G15" s="4" t="s">
        <v>208</v>
      </c>
      <c r="H15" s="160" t="s">
        <v>221</v>
      </c>
      <c r="I15" s="157"/>
      <c r="J15" s="157"/>
      <c r="K15" s="252" t="str" cm="1">
        <f t="array" ref="K15">IF(ISBLANK(J15), IF(ISBLANK(I15), "N/A", _xlfn.IFS(L15="AS", I15+15, L15="NCR", I15+30, L15="submitted", I15+30, TRUE, "N/A")), _xlfn.IFS(L15="AS", J15+15, L15="NCR", J15+30, L15="submitted", J15+30, TRUE, "N/A"))</f>
        <v>N/A</v>
      </c>
      <c r="L15" s="15"/>
      <c r="M15" s="317"/>
      <c r="N15" s="802"/>
      <c r="O15" s="803"/>
      <c r="P15" s="803"/>
      <c r="Q15" s="804"/>
    </row>
    <row r="16" spans="1:17" ht="15" customHeight="1">
      <c r="B16" s="4"/>
      <c r="C16" s="819"/>
      <c r="D16" s="817"/>
      <c r="E16" s="17"/>
      <c r="F16" s="17"/>
      <c r="G16" s="4" t="s">
        <v>222</v>
      </c>
      <c r="H16" s="160" t="s">
        <v>223</v>
      </c>
      <c r="I16" s="157"/>
      <c r="J16" s="157"/>
      <c r="K16" s="252" t="str" cm="1">
        <f t="array" ref="K16">IF(ISBLANK(J16), IF(ISBLANK(I16), "N/A", _xlfn.IFS(L16="AS", I16+15, L16="NCR", I16+30, L16="submitted", I16+30, TRUE, "N/A")), _xlfn.IFS(L16="AS", J16+15, L16="NCR", J16+30, L16="submitted", J16+30, TRUE, "N/A"))</f>
        <v>N/A</v>
      </c>
      <c r="L16" s="15"/>
      <c r="M16" s="317"/>
      <c r="N16" s="802"/>
      <c r="O16" s="803"/>
      <c r="P16" s="803"/>
      <c r="Q16" s="804"/>
    </row>
    <row r="17" spans="2:17" ht="15" customHeight="1">
      <c r="B17" s="9" t="s">
        <v>224</v>
      </c>
      <c r="C17" s="808" t="s">
        <v>225</v>
      </c>
      <c r="D17" s="818" t="s">
        <v>226</v>
      </c>
      <c r="E17" s="13" t="s">
        <v>227</v>
      </c>
      <c r="F17" s="13" t="s">
        <v>228</v>
      </c>
      <c r="G17" s="9" t="s">
        <v>229</v>
      </c>
      <c r="H17" s="161" t="s">
        <v>230</v>
      </c>
      <c r="I17" s="501">
        <v>45931</v>
      </c>
      <c r="J17" s="142"/>
      <c r="K17" s="252" cm="1">
        <f t="array" ref="K17">IF(ISBLANK(J17), IF(ISBLANK(I17), "N/A", _xlfn.IFS(L17="AS", I17+15, L17="NCR", I17+30, L17="submitted", I17+30, TRUE, "N/A")), _xlfn.IFS(L17="AS", J17+15, L17="NCR", J17+30, L17="submitted", J17+30, TRUE, "N/A"))</f>
        <v>45961</v>
      </c>
      <c r="L17" s="11" t="s">
        <v>231</v>
      </c>
      <c r="M17" s="317"/>
      <c r="N17" s="802"/>
      <c r="O17" s="803"/>
      <c r="P17" s="803"/>
      <c r="Q17" s="804"/>
    </row>
    <row r="18" spans="2:17" ht="15" customHeight="1">
      <c r="B18" s="9"/>
      <c r="C18" s="808"/>
      <c r="D18" s="818"/>
      <c r="E18" s="13"/>
      <c r="F18" s="13"/>
      <c r="G18" s="9" t="s">
        <v>232</v>
      </c>
      <c r="H18" s="161" t="s">
        <v>233</v>
      </c>
      <c r="I18" s="142"/>
      <c r="J18" s="142"/>
      <c r="K18" s="252" t="str" cm="1">
        <f t="array" ref="K18">IF(ISBLANK(J18), IF(ISBLANK(I18), "N/A", _xlfn.IFS(L18="AS", I18+15, L18="NCR", I18+30, L18="submitted", I18+30, TRUE, "N/A")), _xlfn.IFS(L18="AS", J18+15, L18="NCR", J18+30, L18="submitted", J18+30, TRUE, "N/A"))</f>
        <v>N/A</v>
      </c>
      <c r="L18" s="11"/>
      <c r="M18" s="317"/>
      <c r="N18" s="802"/>
      <c r="O18" s="803"/>
      <c r="P18" s="803"/>
      <c r="Q18" s="804"/>
    </row>
    <row r="19" spans="2:17" ht="15" customHeight="1">
      <c r="B19" s="9"/>
      <c r="C19" s="808"/>
      <c r="D19" s="818"/>
      <c r="E19" s="13"/>
      <c r="F19" s="13"/>
      <c r="G19" s="9" t="s">
        <v>234</v>
      </c>
      <c r="H19" s="161" t="s">
        <v>235</v>
      </c>
      <c r="I19" s="142"/>
      <c r="J19" s="142"/>
      <c r="K19" s="252" t="str" cm="1">
        <f t="array" ref="K19">IF(ISBLANK(J19), IF(ISBLANK(I19), "N/A", _xlfn.IFS(L19="AS", I19+15, L19="NCR", I19+30, L19="submitted", I19+30, TRUE, "N/A")), _xlfn.IFS(L19="AS", J19+15, L19="NCR", J19+30, L19="submitted", J19+30, TRUE, "N/A"))</f>
        <v>N/A</v>
      </c>
      <c r="L19" s="11"/>
      <c r="M19" s="317"/>
      <c r="N19" s="802"/>
      <c r="O19" s="803"/>
      <c r="P19" s="803"/>
      <c r="Q19" s="804"/>
    </row>
    <row r="20" spans="2:17" ht="27" customHeight="1">
      <c r="B20" s="9"/>
      <c r="C20" s="808"/>
      <c r="D20" s="818"/>
      <c r="E20" s="13"/>
      <c r="F20" s="13"/>
      <c r="G20" s="9" t="s">
        <v>236</v>
      </c>
      <c r="H20" s="164" t="s">
        <v>237</v>
      </c>
      <c r="I20" s="159"/>
      <c r="J20" s="159"/>
      <c r="K20" s="252" t="str" cm="1">
        <f t="array" ref="K20">IF(ISBLANK(J20), IF(ISBLANK(I20), "N/A", _xlfn.IFS(L20="AS", I20+15, L20="NCR", I20+30, L20="submitted", I20+30, TRUE, "N/A")), _xlfn.IFS(L20="AS", J20+15, L20="NCR", J20+30, L20="submitted", J20+30, TRUE, "N/A"))</f>
        <v>N/A</v>
      </c>
      <c r="L20" s="11"/>
      <c r="M20" s="317"/>
      <c r="N20" s="802"/>
      <c r="O20" s="803"/>
      <c r="P20" s="803"/>
      <c r="Q20" s="804"/>
    </row>
    <row r="21" spans="2:17" ht="15" customHeight="1">
      <c r="B21" s="9"/>
      <c r="C21" s="808"/>
      <c r="D21" s="818"/>
      <c r="E21" s="13"/>
      <c r="F21" s="13"/>
      <c r="G21" s="9" t="s">
        <v>238</v>
      </c>
      <c r="H21" s="161" t="s">
        <v>239</v>
      </c>
      <c r="I21" s="142"/>
      <c r="J21" s="142"/>
      <c r="K21" s="252" t="str" cm="1">
        <f t="array" ref="K21">IF(ISBLANK(J21), IF(ISBLANK(I21), "N/A", _xlfn.IFS(L21="AS", I21+15, L21="NCR", I21+30, L21="submitted", I21+30, TRUE, "N/A")), _xlfn.IFS(L21="AS", J21+15, L21="NCR", J21+30, L21="submitted", J21+30, TRUE, "N/A"))</f>
        <v>N/A</v>
      </c>
      <c r="L21" s="11"/>
      <c r="M21" s="317"/>
      <c r="N21" s="802"/>
      <c r="O21" s="803"/>
      <c r="P21" s="803"/>
      <c r="Q21" s="804"/>
    </row>
    <row r="22" spans="2:17" ht="15" customHeight="1">
      <c r="B22" s="9"/>
      <c r="C22" s="808"/>
      <c r="D22" s="818"/>
      <c r="E22" s="13"/>
      <c r="F22" s="13"/>
      <c r="G22" s="9" t="s">
        <v>240</v>
      </c>
      <c r="H22" s="161" t="s">
        <v>241</v>
      </c>
      <c r="I22" s="142"/>
      <c r="J22" s="142"/>
      <c r="K22" s="252" t="str" cm="1">
        <f t="array" ref="K22">IF(ISBLANK(J22), IF(ISBLANK(I22), "N/A", _xlfn.IFS(L22="AS", I22+15, L22="NCR", I22+30, L22="submitted", I22+30, TRUE, "N/A")), _xlfn.IFS(L22="AS", J22+15, L22="NCR", J22+30, L22="submitted", J22+30, TRUE, "N/A"))</f>
        <v>N/A</v>
      </c>
      <c r="L22" s="11"/>
      <c r="M22" s="317"/>
      <c r="N22" s="802"/>
      <c r="O22" s="803"/>
      <c r="P22" s="803"/>
      <c r="Q22" s="804"/>
    </row>
    <row r="23" spans="2:17" ht="15" customHeight="1">
      <c r="B23" s="9"/>
      <c r="C23" s="808"/>
      <c r="D23" s="818"/>
      <c r="E23" s="13"/>
      <c r="F23" s="13"/>
      <c r="G23" s="9" t="s">
        <v>242</v>
      </c>
      <c r="H23" s="161" t="s">
        <v>243</v>
      </c>
      <c r="I23" s="142"/>
      <c r="J23" s="142"/>
      <c r="K23" s="252" t="str" cm="1">
        <f t="array" ref="K23">IF(ISBLANK(J23), IF(ISBLANK(I23), "N/A", _xlfn.IFS(L23="AS", I23+15, L23="NCR", I23+30, L23="submitted", I23+30, TRUE, "N/A")), _xlfn.IFS(L23="AS", J23+15, L23="NCR", J23+30, L23="submitted", J23+30, TRUE, "N/A"))</f>
        <v>N/A</v>
      </c>
      <c r="L23" s="11"/>
      <c r="M23" s="317"/>
      <c r="N23" s="802"/>
      <c r="O23" s="803"/>
      <c r="P23" s="803"/>
      <c r="Q23" s="804"/>
    </row>
    <row r="24" spans="2:17" ht="30" customHeight="1">
      <c r="B24" s="120" t="s">
        <v>244</v>
      </c>
      <c r="C24" s="32" t="s">
        <v>245</v>
      </c>
      <c r="D24" s="38" t="s">
        <v>246</v>
      </c>
      <c r="E24" s="119" t="s">
        <v>247</v>
      </c>
      <c r="F24" s="119" t="s">
        <v>54</v>
      </c>
      <c r="G24" s="115">
        <v>1.1200000000000001</v>
      </c>
      <c r="H24" s="305" t="s">
        <v>248</v>
      </c>
      <c r="I24" s="301">
        <v>45762</v>
      </c>
      <c r="J24" s="301">
        <v>45763</v>
      </c>
      <c r="K24" s="252" t="str" cm="1">
        <f t="array" ref="K24">IF(ISBLANK(J24), IF(ISBLANK(I24), "N/A", _xlfn.IFS(L24="AS", I24+15, L24="NCR", I24+30, L24="submitted", I24+30, TRUE, "N/A")), _xlfn.IFS(L24="AS", J24+15, L24="NCR", J24+30, L24="submitted", J24+30, TRUE, "N/A"))</f>
        <v>N/A</v>
      </c>
      <c r="L24" s="121" t="s">
        <v>147</v>
      </c>
      <c r="M24" s="317"/>
      <c r="N24" s="802"/>
      <c r="O24" s="803"/>
      <c r="P24" s="803"/>
      <c r="Q24" s="804"/>
    </row>
    <row r="25" spans="2:17" ht="30" customHeight="1">
      <c r="B25" s="120" t="s">
        <v>249</v>
      </c>
      <c r="C25" s="324" t="s">
        <v>245</v>
      </c>
      <c r="D25" s="814" t="s">
        <v>246</v>
      </c>
      <c r="E25" s="119" t="s">
        <v>250</v>
      </c>
      <c r="F25" s="119" t="s">
        <v>54</v>
      </c>
      <c r="G25" s="115">
        <v>1.1200000000000001</v>
      </c>
      <c r="H25" s="305" t="s">
        <v>248</v>
      </c>
      <c r="I25" s="301">
        <v>45784</v>
      </c>
      <c r="J25" s="301">
        <v>45790</v>
      </c>
      <c r="K25" s="252" t="str" cm="1">
        <f t="array" ref="K25">IF(ISBLANK(J25), IF(ISBLANK(I25), "N/A", _xlfn.IFS(L25="AS", I25+15, L25="NCR", I25+30, L25="submitted", I25+30, TRUE, "N/A")), _xlfn.IFS(L25="AS", J25+15, L25="NCR", J25+30, L25="submitted", J25+30, TRUE, "N/A"))</f>
        <v>N/A</v>
      </c>
      <c r="L25" s="121" t="s">
        <v>151</v>
      </c>
      <c r="M25" s="317"/>
      <c r="N25" s="802"/>
      <c r="O25" s="803"/>
      <c r="P25" s="803"/>
      <c r="Q25" s="804"/>
    </row>
    <row r="26" spans="2:17" s="139" customFormat="1" ht="27" customHeight="1">
      <c r="B26" s="189" t="s">
        <v>251</v>
      </c>
      <c r="C26" s="32" t="s">
        <v>245</v>
      </c>
      <c r="D26" s="815"/>
      <c r="E26" s="171" t="s">
        <v>252</v>
      </c>
      <c r="F26" s="171" t="s">
        <v>54</v>
      </c>
      <c r="G26" s="151" t="s">
        <v>253</v>
      </c>
      <c r="H26" s="156" t="s">
        <v>254</v>
      </c>
      <c r="I26" s="302">
        <v>45821</v>
      </c>
      <c r="J26" s="302">
        <v>45832</v>
      </c>
      <c r="K26" s="252" t="str" cm="1">
        <f t="array" ref="K26">IF(ISBLANK(J26), IF(ISBLANK(I26), "N/A", _xlfn.IFS(L26="AS", I26+15, L26="NCR", I26+30, L26="submitted", I26+30, TRUE, "N/A")), _xlfn.IFS(L26="AS", J26+15, L26="NCR", J26+30, L26="submitted", J26+30, TRUE, "N/A"))</f>
        <v>N/A</v>
      </c>
      <c r="L26" s="151" t="s">
        <v>203</v>
      </c>
      <c r="M26" s="317"/>
      <c r="N26" s="802"/>
      <c r="O26" s="803"/>
      <c r="P26" s="803"/>
      <c r="Q26" s="804"/>
    </row>
    <row r="27" spans="2:17" s="148" customFormat="1" ht="27" customHeight="1">
      <c r="B27" s="146" t="s">
        <v>255</v>
      </c>
      <c r="C27" s="333" t="s">
        <v>256</v>
      </c>
      <c r="D27" s="334" t="s">
        <v>257</v>
      </c>
      <c r="E27" s="147" t="s">
        <v>258</v>
      </c>
      <c r="F27" s="211" t="s">
        <v>161</v>
      </c>
      <c r="G27" s="146" t="s">
        <v>259</v>
      </c>
      <c r="H27" s="214" t="s">
        <v>260</v>
      </c>
      <c r="I27" s="337">
        <v>45783</v>
      </c>
      <c r="J27" s="337">
        <v>45783</v>
      </c>
      <c r="K27" s="252" t="str" cm="1">
        <f t="array" ref="K27">IF(ISBLANK(J27), IF(ISBLANK(I27), "N/A", _xlfn.IFS(L27="AS", I27+15, L27="NCR", I27+30, L27="submitted", I27+30, TRUE, "N/A")), _xlfn.IFS(L27="AS", J27+15, L27="NCR", J27+30, L27="submitted", J27+30, TRUE, "N/A"))</f>
        <v>N/A</v>
      </c>
      <c r="L27" s="146" t="s">
        <v>147</v>
      </c>
      <c r="M27" s="317"/>
      <c r="N27" s="802"/>
      <c r="O27" s="803"/>
      <c r="P27" s="803"/>
      <c r="Q27" s="804"/>
    </row>
    <row r="28" spans="2:17" s="139" customFormat="1" ht="27" customHeight="1">
      <c r="B28" s="151" t="s">
        <v>261</v>
      </c>
      <c r="C28" s="32" t="s">
        <v>256</v>
      </c>
      <c r="D28" s="38" t="s">
        <v>257</v>
      </c>
      <c r="E28" s="152" t="s">
        <v>262</v>
      </c>
      <c r="F28" s="171" t="s">
        <v>161</v>
      </c>
      <c r="G28" s="151" t="s">
        <v>259</v>
      </c>
      <c r="H28" s="156" t="s">
        <v>260</v>
      </c>
      <c r="I28" s="302">
        <v>45784</v>
      </c>
      <c r="J28" s="302">
        <v>45786</v>
      </c>
      <c r="K28" s="252" t="str" cm="1">
        <f t="array" ref="K28">IF(ISBLANK(J28), IF(ISBLANK(I28), "N/A", _xlfn.IFS(L28="AS", I28+15, L28="NCR", I28+30, L28="submitted", I28+30, TRUE, "N/A")), _xlfn.IFS(L28="AS", J28+15, L28="NCR", J28+30, L28="submitted", J28+30, TRUE, "N/A"))</f>
        <v>N/A</v>
      </c>
      <c r="L28" s="151" t="s">
        <v>203</v>
      </c>
      <c r="M28" s="317"/>
      <c r="N28" s="802"/>
      <c r="O28" s="803"/>
      <c r="P28" s="803"/>
      <c r="Q28" s="804"/>
    </row>
    <row r="29" spans="2:17" s="139" customFormat="1" ht="27" customHeight="1">
      <c r="B29" s="151" t="s">
        <v>263</v>
      </c>
      <c r="C29" s="32" t="s">
        <v>256</v>
      </c>
      <c r="D29" s="38" t="s">
        <v>257</v>
      </c>
      <c r="E29" s="152" t="s">
        <v>264</v>
      </c>
      <c r="F29" s="171" t="s">
        <v>161</v>
      </c>
      <c r="G29" s="151" t="s">
        <v>265</v>
      </c>
      <c r="H29" s="156" t="s">
        <v>266</v>
      </c>
      <c r="I29" s="302">
        <v>45786</v>
      </c>
      <c r="J29" s="302">
        <v>45786</v>
      </c>
      <c r="K29" s="252" t="str" cm="1">
        <f t="array" ref="K29">IF(ISBLANK(J29), IF(ISBLANK(I29), "N/A", _xlfn.IFS(L29="AS", I29+15, L29="NCR", I29+30, L29="submitted", I29+30, TRUE, "N/A")), _xlfn.IFS(L29="AS", J29+15, L29="NCR", J29+30, L29="submitted", J29+30, TRUE, "N/A"))</f>
        <v>N/A</v>
      </c>
      <c r="L29" s="151" t="s">
        <v>203</v>
      </c>
      <c r="M29" s="317"/>
      <c r="N29" s="802"/>
      <c r="O29" s="803"/>
      <c r="P29" s="803"/>
      <c r="Q29" s="804"/>
    </row>
    <row r="30" spans="2:17" s="150" customFormat="1" ht="27" customHeight="1">
      <c r="B30" s="22"/>
      <c r="C30" s="32" t="s">
        <v>256</v>
      </c>
      <c r="D30" s="38" t="s">
        <v>257</v>
      </c>
      <c r="E30" s="24" t="s">
        <v>267</v>
      </c>
      <c r="F30" s="326" t="s">
        <v>161</v>
      </c>
      <c r="G30" s="22" t="s">
        <v>145</v>
      </c>
      <c r="H30" s="327" t="s">
        <v>268</v>
      </c>
      <c r="I30" s="328">
        <v>45817</v>
      </c>
      <c r="J30" s="329"/>
      <c r="K30" s="252" t="str" cm="1">
        <f t="array" ref="K30">IF(ISBLANK(J30), IF(ISBLANK(I30), "N/A", _xlfn.IFS(L30="AS", I30+15, L30="NCR", I30+30, L30="submitted", I30+30, TRUE, "N/A")), _xlfn.IFS(L30="AS", J30+15, L30="NCR", J30+30, L30="submitted", J30+30, TRUE, "N/A"))</f>
        <v>N/A</v>
      </c>
      <c r="L30" s="325"/>
      <c r="M30" s="317"/>
      <c r="N30" s="802"/>
      <c r="O30" s="803"/>
      <c r="P30" s="803"/>
      <c r="Q30" s="804"/>
    </row>
    <row r="31" spans="2:17" s="150" customFormat="1" ht="25.5" customHeight="1">
      <c r="B31" s="22"/>
      <c r="C31" s="32" t="s">
        <v>256</v>
      </c>
      <c r="D31" s="38" t="s">
        <v>257</v>
      </c>
      <c r="E31" s="24" t="s">
        <v>267</v>
      </c>
      <c r="F31" s="326"/>
      <c r="G31" s="26" t="s">
        <v>269</v>
      </c>
      <c r="H31" s="330" t="s">
        <v>270</v>
      </c>
      <c r="I31" s="328">
        <v>45817</v>
      </c>
      <c r="J31" s="329"/>
      <c r="K31" s="252" t="str" cm="1">
        <f t="array" ref="K31">IF(ISBLANK(J31), IF(ISBLANK(I31), "N/A", _xlfn.IFS(L31="AS", I31+15, L31="NCR", I31+30, L31="submitted", I31+30, TRUE, "N/A")), _xlfn.IFS(L31="AS", J31+15, L31="NCR", J31+30, L31="submitted", J31+30, TRUE, "N/A"))</f>
        <v>N/A</v>
      </c>
      <c r="L31" s="325"/>
      <c r="M31" s="317"/>
      <c r="N31" s="802"/>
      <c r="O31" s="803"/>
      <c r="P31" s="803"/>
      <c r="Q31" s="804"/>
    </row>
    <row r="32" spans="2:17" s="150" customFormat="1" ht="25.5" customHeight="1">
      <c r="B32" s="22"/>
      <c r="C32" s="32" t="s">
        <v>256</v>
      </c>
      <c r="D32" s="38" t="s">
        <v>257</v>
      </c>
      <c r="E32" s="24" t="s">
        <v>267</v>
      </c>
      <c r="F32" s="28"/>
      <c r="G32" s="22"/>
      <c r="H32" s="331" t="s">
        <v>266</v>
      </c>
      <c r="I32" s="328">
        <v>45817</v>
      </c>
      <c r="J32" s="329"/>
      <c r="K32" s="252" t="str" cm="1">
        <f t="array" ref="K32">IF(ISBLANK(J32), IF(ISBLANK(I32), "N/A", _xlfn.IFS(L32="AS", I32+15, L32="NCR", I32+30, L32="submitted", I32+30, TRUE, "N/A")), _xlfn.IFS(L32="AS", J32+15, L32="NCR", J32+30, L32="submitted", J32+30, TRUE, "N/A"))</f>
        <v>N/A</v>
      </c>
      <c r="L32" s="325"/>
      <c r="M32" s="317"/>
      <c r="N32" s="802"/>
      <c r="O32" s="803"/>
      <c r="P32" s="803"/>
      <c r="Q32" s="804"/>
    </row>
    <row r="33" spans="2:17" s="139" customFormat="1" ht="15" customHeight="1">
      <c r="B33" s="151" t="s">
        <v>271</v>
      </c>
      <c r="C33" s="239" t="s">
        <v>272</v>
      </c>
      <c r="D33" s="297" t="s">
        <v>273</v>
      </c>
      <c r="E33" s="170" t="s">
        <v>161</v>
      </c>
      <c r="F33" s="151" t="s">
        <v>161</v>
      </c>
      <c r="G33" s="151" t="s">
        <v>208</v>
      </c>
      <c r="H33" s="162" t="s">
        <v>274</v>
      </c>
      <c r="I33" s="216">
        <v>45782</v>
      </c>
      <c r="J33" s="216">
        <v>45790</v>
      </c>
      <c r="K33" s="252" t="str" cm="1">
        <f t="array" ref="K33">IF(ISBLANK(J33), IF(ISBLANK(I33), "N/A", _xlfn.IFS(L33="AS", I33+15, L33="NCR", I33+30, L33="submitted", I33+30, TRUE, "N/A")), _xlfn.IFS(L33="AS", J33+15, L33="NCR", J33+30, L33="submitted", J33+30, TRUE, "N/A"))</f>
        <v>N/A</v>
      </c>
      <c r="L33" s="2"/>
      <c r="M33" s="317"/>
      <c r="N33" s="802"/>
      <c r="O33" s="803"/>
      <c r="P33" s="803"/>
      <c r="Q33" s="804"/>
    </row>
    <row r="34" spans="2:17" s="139" customFormat="1" ht="25.5" customHeight="1">
      <c r="B34" s="151" t="s">
        <v>275</v>
      </c>
      <c r="C34" s="611" t="s">
        <v>272</v>
      </c>
      <c r="D34" s="297" t="s">
        <v>273</v>
      </c>
      <c r="E34" s="170" t="s">
        <v>161</v>
      </c>
      <c r="F34" s="151" t="s">
        <v>161</v>
      </c>
      <c r="G34" s="151" t="s">
        <v>222</v>
      </c>
      <c r="H34" s="156" t="s">
        <v>276</v>
      </c>
      <c r="I34" s="216">
        <v>45782</v>
      </c>
      <c r="J34" s="302">
        <v>45790</v>
      </c>
      <c r="K34" s="252" t="str" cm="1">
        <f t="array" ref="K34">IF(ISBLANK(J34), IF(ISBLANK(I34), "N/A", _xlfn.IFS(L34="AS", I34+15, L34="NCR", I34+30, L34="submitted", I34+30, TRUE, "N/A")), _xlfn.IFS(L34="AS", J34+15, L34="NCR", J34+30, L34="submitted", J34+30, TRUE, "N/A"))</f>
        <v>N/A</v>
      </c>
      <c r="L34" s="2"/>
      <c r="M34" s="317"/>
      <c r="N34" s="802"/>
      <c r="O34" s="803"/>
      <c r="P34" s="803"/>
      <c r="Q34" s="804"/>
    </row>
    <row r="35" spans="2:17" ht="27.75" customHeight="1">
      <c r="B35" s="4"/>
      <c r="C35" s="54" t="s">
        <v>277</v>
      </c>
      <c r="D35" s="34"/>
      <c r="E35" s="130"/>
      <c r="F35" s="4" t="s">
        <v>161</v>
      </c>
      <c r="G35" s="4" t="s">
        <v>278</v>
      </c>
      <c r="H35" s="160" t="s">
        <v>279</v>
      </c>
      <c r="I35" s="157"/>
      <c r="J35" s="157"/>
      <c r="K35" s="252" t="str" cm="1">
        <f t="array" ref="K35">IF(ISBLANK(J35), IF(ISBLANK(I35), "N/A", _xlfn.IFS(L35="AS", I35+15, L35="NCR", I35+30, L35="submitted", I35+30, TRUE, "N/A")), _xlfn.IFS(L35="AS", J35+15, L35="NCR", J35+30, L35="submitted", J35+30, TRUE, "N/A"))</f>
        <v>N/A</v>
      </c>
      <c r="L35" s="55"/>
      <c r="M35" s="317"/>
      <c r="N35" s="802"/>
      <c r="O35" s="803"/>
      <c r="P35" s="803"/>
      <c r="Q35" s="804"/>
    </row>
    <row r="36" spans="2:17" ht="15" customHeight="1">
      <c r="B36" s="19"/>
      <c r="C36" s="56"/>
      <c r="D36" s="35"/>
      <c r="E36" s="131"/>
      <c r="F36" s="4" t="s">
        <v>161</v>
      </c>
      <c r="G36" s="19" t="s">
        <v>265</v>
      </c>
      <c r="H36" s="130" t="s">
        <v>280</v>
      </c>
      <c r="I36" s="143"/>
      <c r="J36" s="143"/>
      <c r="K36" s="252" t="str" cm="1">
        <f t="array" ref="K36">IF(ISBLANK(J36), IF(ISBLANK(I36), "N/A", _xlfn.IFS(L36="AS", I36+15, L36="NCR", I36+30, L36="submitted", I36+30, TRUE, "N/A")), _xlfn.IFS(L36="AS", J36+15, L36="NCR", J36+30, L36="submitted", J36+30, TRUE, "N/A"))</f>
        <v>N/A</v>
      </c>
      <c r="L36" s="57"/>
      <c r="M36" s="317"/>
      <c r="N36" s="802"/>
      <c r="O36" s="803"/>
      <c r="P36" s="803"/>
      <c r="Q36" s="804"/>
    </row>
    <row r="37" spans="2:17" ht="15" customHeight="1">
      <c r="B37" s="19"/>
      <c r="C37" s="58"/>
      <c r="D37" s="35"/>
      <c r="E37" s="131"/>
      <c r="F37" s="4" t="s">
        <v>161</v>
      </c>
      <c r="G37" s="19" t="s">
        <v>281</v>
      </c>
      <c r="H37" s="130" t="s">
        <v>282</v>
      </c>
      <c r="I37" s="143"/>
      <c r="J37" s="143"/>
      <c r="K37" s="252" t="str" cm="1">
        <f t="array" ref="K37">IF(ISBLANK(J37), IF(ISBLANK(I37), "N/A", _xlfn.IFS(L37="AS", I37+15, L37="NCR", I37+30, L37="submitted", I37+30, TRUE, "N/A")), _xlfn.IFS(L37="AS", J37+15, L37="NCR", J37+30, L37="submitted", J37+30, TRUE, "N/A"))</f>
        <v>N/A</v>
      </c>
      <c r="L37" s="31"/>
      <c r="M37" s="317"/>
      <c r="N37" s="802"/>
      <c r="O37" s="803"/>
      <c r="P37" s="803"/>
      <c r="Q37" s="804"/>
    </row>
    <row r="38" spans="2:17" ht="15" customHeight="1">
      <c r="M38" s="317"/>
      <c r="N38" s="802"/>
      <c r="O38" s="803"/>
      <c r="P38" s="803"/>
      <c r="Q38" s="804"/>
    </row>
    <row r="39" spans="2:17" ht="15" customHeight="1">
      <c r="M39" s="317"/>
      <c r="N39" s="811"/>
      <c r="O39" s="812"/>
      <c r="P39" s="812"/>
      <c r="Q39" s="813"/>
    </row>
    <row r="40" spans="2:17" ht="15" customHeight="1">
      <c r="M40" s="317"/>
      <c r="N40" s="796" t="s">
        <v>133</v>
      </c>
      <c r="O40" s="797"/>
      <c r="P40" s="797"/>
      <c r="Q40" s="798"/>
    </row>
    <row r="41" spans="2:17" ht="15" customHeight="1">
      <c r="M41" s="317"/>
      <c r="N41" s="799"/>
      <c r="O41" s="800"/>
      <c r="P41" s="800"/>
      <c r="Q41" s="801"/>
    </row>
    <row r="42" spans="2:17" ht="15" customHeight="1">
      <c r="M42" s="317"/>
      <c r="N42" s="799"/>
      <c r="O42" s="800"/>
      <c r="P42" s="800"/>
      <c r="Q42" s="801"/>
    </row>
    <row r="43" spans="2:17" ht="15" customHeight="1">
      <c r="M43" s="317"/>
      <c r="N43" s="799"/>
      <c r="O43" s="800"/>
      <c r="P43" s="800"/>
      <c r="Q43" s="801"/>
    </row>
    <row r="44" spans="2:17" ht="15" customHeight="1">
      <c r="M44" s="317"/>
      <c r="N44" s="799"/>
      <c r="O44" s="800"/>
      <c r="P44" s="800"/>
      <c r="Q44" s="801"/>
    </row>
    <row r="45" spans="2:17" ht="15" customHeight="1">
      <c r="M45" s="317"/>
      <c r="N45" s="799"/>
      <c r="O45" s="800"/>
      <c r="P45" s="800"/>
      <c r="Q45" s="801"/>
    </row>
    <row r="46" spans="2:17" ht="15" customHeight="1">
      <c r="M46" s="317"/>
      <c r="N46" s="799"/>
      <c r="O46" s="800"/>
      <c r="P46" s="800"/>
      <c r="Q46" s="801"/>
    </row>
    <row r="47" spans="2:17" ht="15" customHeight="1">
      <c r="M47" s="317"/>
      <c r="N47" s="799"/>
      <c r="O47" s="800"/>
      <c r="P47" s="800"/>
      <c r="Q47" s="801"/>
    </row>
    <row r="48" spans="2:17" ht="15" customHeight="1">
      <c r="M48" s="317"/>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c r="N82" s="802"/>
      <c r="O82" s="803"/>
      <c r="P82" s="803"/>
      <c r="Q82" s="804"/>
    </row>
    <row r="83" spans="14:17">
      <c r="N83" s="802"/>
      <c r="O83" s="803"/>
      <c r="P83" s="803"/>
      <c r="Q83" s="804"/>
    </row>
    <row r="84" spans="14:17">
      <c r="N84" s="802"/>
      <c r="O84" s="803"/>
      <c r="P84" s="803"/>
      <c r="Q84" s="804"/>
    </row>
    <row r="85" spans="14:17">
      <c r="N85" s="802"/>
      <c r="O85" s="803"/>
      <c r="P85" s="803"/>
      <c r="Q85" s="804"/>
    </row>
    <row r="86" spans="14:17">
      <c r="N86" s="802"/>
      <c r="O86" s="803"/>
      <c r="P86" s="803"/>
      <c r="Q86" s="804"/>
    </row>
    <row r="87" spans="14:17">
      <c r="N87" s="802"/>
      <c r="O87" s="803"/>
      <c r="P87" s="803"/>
      <c r="Q87" s="804"/>
    </row>
    <row r="88" spans="14:17">
      <c r="N88" s="802"/>
      <c r="O88" s="803"/>
      <c r="P88" s="803"/>
      <c r="Q88" s="804"/>
    </row>
    <row r="89" spans="14:17">
      <c r="N89" s="802"/>
      <c r="O89" s="803"/>
      <c r="P89" s="803"/>
      <c r="Q89" s="804"/>
    </row>
    <row r="90" spans="14:17">
      <c r="N90" s="802"/>
      <c r="O90" s="803"/>
      <c r="P90" s="803"/>
      <c r="Q90" s="804"/>
    </row>
    <row r="91" spans="14:17">
      <c r="N91" s="802"/>
      <c r="O91" s="803"/>
      <c r="P91" s="803"/>
      <c r="Q91" s="804"/>
    </row>
    <row r="92" spans="14:17">
      <c r="N92" s="802"/>
      <c r="O92" s="803"/>
      <c r="P92" s="803"/>
      <c r="Q92" s="804"/>
    </row>
    <row r="93" spans="14:17">
      <c r="N93" s="802"/>
      <c r="O93" s="803"/>
      <c r="P93" s="803"/>
      <c r="Q93" s="804"/>
    </row>
    <row r="94" spans="14:17">
      <c r="N94" s="802"/>
      <c r="O94" s="803"/>
      <c r="P94" s="803"/>
      <c r="Q94" s="804"/>
    </row>
    <row r="95" spans="14:17">
      <c r="N95" s="802"/>
      <c r="O95" s="803"/>
      <c r="P95" s="803"/>
      <c r="Q95" s="804"/>
    </row>
    <row r="96" spans="14: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15">
    <mergeCell ref="N120:Q127"/>
    <mergeCell ref="N128:Q202"/>
    <mergeCell ref="N203:Q210"/>
    <mergeCell ref="B1:G1"/>
    <mergeCell ref="D25:D26"/>
    <mergeCell ref="D15:D16"/>
    <mergeCell ref="C4:C7"/>
    <mergeCell ref="D4:D7"/>
    <mergeCell ref="C15:C16"/>
    <mergeCell ref="C17:C23"/>
    <mergeCell ref="D17:D23"/>
    <mergeCell ref="N3:Q6"/>
    <mergeCell ref="N7:Q39"/>
    <mergeCell ref="N40:Q47"/>
    <mergeCell ref="N48:Q119"/>
  </mergeCells>
  <conditionalFormatting sqref="B3:L9000">
    <cfRule type="expression" dxfId="101" priority="4">
      <formula>OR(INDEX($L:$L,ROW())="NCR",INDEX($L:$L,ROW())="NR",INDEX($L:$L,ROW())="AS")</formula>
    </cfRule>
  </conditionalFormatting>
  <conditionalFormatting sqref="B3:L9000">
    <cfRule type="expression" dxfId="100" priority="3">
      <formula>OR(INDEX($L:$L,ROW())="AC",INDEX($L:$L,ROW())="AN",INDEX($L:$L,ROW())="RC",INDEX($L:$L,ROW())="RA")</formula>
    </cfRule>
  </conditionalFormatting>
  <conditionalFormatting sqref="B3:L9000">
    <cfRule type="expression" dxfId="99" priority="2">
      <formula>OR(INDEX($L:$L,ROW())="Submitted",INDEX($L:$L,ROW())="REV")</formula>
    </cfRule>
  </conditionalFormatting>
  <conditionalFormatting sqref="B3:L9000">
    <cfRule type="expression" dxfId="98" priority="1">
      <formula>NOT(OR(INDEX($L:$L,ROW())="NCR",INDEX($L:$L,ROW())="NR",INDEX($L:$L,ROW())="AS",INDEX($L:$L,ROW())="AC",INDEX($L:$L,ROW())="AN",INDEX($L:$L,ROW())="RC",INDEX($L:$L,ROW())="RA",INDEX($L:$L,ROW())="Submitted",INDEX($L:$L,ROW())="REV"))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R350"/>
  <sheetViews>
    <sheetView zoomScale="90" zoomScaleNormal="90" workbookViewId="0">
      <pane ySplit="2" topLeftCell="A205" activePane="bottomLeft" state="frozen"/>
      <selection pane="bottomLeft" activeCell="G177" sqref="G177"/>
    </sheetView>
  </sheetViews>
  <sheetFormatPr defaultRowHeight="15"/>
  <cols>
    <col min="1" max="1" width="15.85546875" customWidth="1"/>
    <col min="2" max="2" width="12.140625" bestFit="1" customWidth="1"/>
    <col min="3" max="3" width="11.7109375" style="154" customWidth="1"/>
    <col min="4" max="4" width="40" style="373" customWidth="1"/>
    <col min="5" max="5" width="19" customWidth="1"/>
    <col min="6" max="6" width="10.5703125" customWidth="1"/>
    <col min="7" max="7" width="11" customWidth="1"/>
    <col min="8" max="8" width="88" customWidth="1"/>
    <col min="9" max="9" width="11.42578125" customWidth="1"/>
    <col min="10" max="10" width="9.5703125" bestFit="1" customWidth="1"/>
    <col min="11" max="11" width="12.140625" customWidth="1"/>
    <col min="13" max="13" width="1.85546875" style="317" customWidth="1"/>
    <col min="18" max="18" width="1.7109375" style="317" customWidth="1"/>
  </cols>
  <sheetData>
    <row r="1" spans="1:17" ht="47.45" customHeight="1">
      <c r="B1" s="805" t="s">
        <v>283</v>
      </c>
      <c r="C1" s="806"/>
      <c r="D1" s="806"/>
      <c r="E1" s="806"/>
      <c r="F1" s="806"/>
      <c r="G1" s="806"/>
      <c r="H1" s="806"/>
      <c r="N1" s="314"/>
      <c r="O1" s="315"/>
      <c r="P1" s="315"/>
      <c r="Q1" s="316"/>
    </row>
    <row r="2" spans="1:17" ht="30.75">
      <c r="A2" s="282" t="s">
        <v>284</v>
      </c>
      <c r="B2" s="292" t="s">
        <v>113</v>
      </c>
      <c r="C2" s="285" t="s">
        <v>114</v>
      </c>
      <c r="D2" s="285" t="s">
        <v>115</v>
      </c>
      <c r="E2" s="285" t="s">
        <v>116</v>
      </c>
      <c r="F2" s="285" t="s">
        <v>117</v>
      </c>
      <c r="G2" s="285" t="s">
        <v>118</v>
      </c>
      <c r="H2" s="285" t="s">
        <v>119</v>
      </c>
      <c r="I2" s="290" t="s">
        <v>120</v>
      </c>
      <c r="J2" s="290" t="s">
        <v>121</v>
      </c>
      <c r="K2" s="290" t="s">
        <v>122</v>
      </c>
      <c r="L2" s="291" t="s">
        <v>123</v>
      </c>
      <c r="M2" s="319"/>
      <c r="N2" s="311" t="s">
        <v>124</v>
      </c>
      <c r="O2" s="293" t="s">
        <v>125</v>
      </c>
      <c r="P2" s="294" t="s">
        <v>126</v>
      </c>
      <c r="Q2" s="295" t="s">
        <v>127</v>
      </c>
    </row>
    <row r="3" spans="1:17" s="1" customFormat="1" ht="108" customHeight="1">
      <c r="B3" s="21"/>
      <c r="C3" s="97" t="s">
        <v>285</v>
      </c>
      <c r="D3" s="46" t="s">
        <v>286</v>
      </c>
      <c r="E3" s="10"/>
      <c r="F3" s="10" t="s">
        <v>287</v>
      </c>
      <c r="G3" s="21" t="s">
        <v>208</v>
      </c>
      <c r="H3" s="52" t="s">
        <v>288</v>
      </c>
      <c r="I3" s="74"/>
      <c r="J3" s="74"/>
      <c r="K3" s="557" t="str" cm="1">
        <f t="array" ref="K3">IF(ISBLANK(J3), IF(ISBLANK(I3), "N/A", _xlfn.IFS(L3="AS", I3+15, L3="NCR", I3+30, L3="submitted", I3+30, TRUE, "N/A")), _xlfn.IFS(L3="AS", J3+15, L3="NCR", J3+30, L3="submitted", J3+30, TRUE, "N/A"))</f>
        <v>N/A</v>
      </c>
      <c r="L3"/>
      <c r="M3" s="317"/>
      <c r="N3" s="796" t="s">
        <v>133</v>
      </c>
      <c r="O3" s="797"/>
      <c r="P3" s="797"/>
      <c r="Q3" s="798"/>
    </row>
    <row r="4" spans="1:17" s="5" customFormat="1">
      <c r="B4" s="4"/>
      <c r="C4" s="825" t="s">
        <v>289</v>
      </c>
      <c r="D4" s="827" t="s">
        <v>290</v>
      </c>
      <c r="E4" s="34"/>
      <c r="F4" s="34"/>
      <c r="G4" s="4" t="s">
        <v>291</v>
      </c>
      <c r="H4" s="3" t="s">
        <v>292</v>
      </c>
      <c r="I4" s="18"/>
      <c r="J4" s="18"/>
      <c r="K4" s="557" t="str" cm="1">
        <f t="array" ref="K4">IF(ISBLANK(J4), IF(ISBLANK(I4), "N/A", _xlfn.IFS(L4="AS", I4+15, L4="NCR", I4+30, L4="submitted", I4+30, TRUE, "N/A")), _xlfn.IFS(L4="AS", J4+15, L4="NCR", J4+30, L4="submitted", J4+30, TRUE, "N/A"))</f>
        <v>N/A</v>
      </c>
      <c r="L4"/>
      <c r="M4" s="317"/>
      <c r="N4" s="799"/>
      <c r="O4" s="800"/>
      <c r="P4" s="800"/>
      <c r="Q4" s="801"/>
    </row>
    <row r="5" spans="1:17" s="1" customFormat="1">
      <c r="B5" s="4"/>
      <c r="C5" s="829"/>
      <c r="D5" s="830"/>
      <c r="E5" s="35"/>
      <c r="F5" s="35"/>
      <c r="G5" s="4" t="s">
        <v>293</v>
      </c>
      <c r="H5" s="17" t="s">
        <v>294</v>
      </c>
      <c r="I5" s="18"/>
      <c r="J5" s="18"/>
      <c r="K5" s="557" t="str" cm="1">
        <f t="array" ref="K5">IF(ISBLANK(J5), IF(ISBLANK(I5), "N/A", _xlfn.IFS(L5="AS", I5+15, L5="NCR", I5+30, L5="submitted", I5+30, TRUE, "N/A")), _xlfn.IFS(L5="AS", J5+15, L5="NCR", J5+30, L5="submitted", J5+30, TRUE, "N/A"))</f>
        <v>N/A</v>
      </c>
      <c r="L5"/>
      <c r="M5" s="317"/>
      <c r="N5" s="799"/>
      <c r="O5" s="800"/>
      <c r="P5" s="800"/>
      <c r="Q5" s="801"/>
    </row>
    <row r="6" spans="1:17" s="1" customFormat="1">
      <c r="B6" s="4"/>
      <c r="C6" s="826"/>
      <c r="D6" s="828"/>
      <c r="E6" s="36"/>
      <c r="F6" s="36"/>
      <c r="G6" s="4" t="s">
        <v>134</v>
      </c>
      <c r="H6" s="3" t="s">
        <v>295</v>
      </c>
      <c r="I6" s="18"/>
      <c r="J6" s="18"/>
      <c r="K6" s="557" t="str" cm="1">
        <f t="array" ref="K6">IF(ISBLANK(J6), IF(ISBLANK(I6), "N/A", _xlfn.IFS(L6="AS", I6+15, L6="NCR", I6+30, L6="submitted", I6+30, TRUE, "N/A")), _xlfn.IFS(L6="AS", J6+15, L6="NCR", J6+30, L6="submitted", J6+30, TRUE, "N/A"))</f>
        <v>N/A</v>
      </c>
      <c r="L6"/>
      <c r="M6" s="317"/>
      <c r="N6" s="799"/>
      <c r="O6" s="800"/>
      <c r="P6" s="800"/>
      <c r="Q6" s="801"/>
    </row>
    <row r="7" spans="1:17" s="26" customFormat="1" ht="27" customHeight="1">
      <c r="B7" s="22" t="s">
        <v>83</v>
      </c>
      <c r="C7" s="190" t="s">
        <v>296</v>
      </c>
      <c r="D7" s="24" t="s">
        <v>297</v>
      </c>
      <c r="E7" s="24" t="s">
        <v>298</v>
      </c>
      <c r="F7" s="24" t="s">
        <v>299</v>
      </c>
      <c r="G7" s="22" t="s">
        <v>212</v>
      </c>
      <c r="H7" s="28" t="s">
        <v>300</v>
      </c>
      <c r="I7" s="25">
        <v>45873</v>
      </c>
      <c r="J7" s="25">
        <v>45916</v>
      </c>
      <c r="K7" s="557" t="str" cm="1">
        <f t="array" ref="K7">IF(ISBLANK(J7), IF(ISBLANK(I7), "N/A", _xlfn.IFS(L7="AS", I7+15, L7="NCR", I7+30, L7="submitted", I7+30, TRUE, "N/A")), _xlfn.IFS(L7="AS", J7+15, L7="NCR", J7+30, L7="submitted", J7+30, TRUE, "N/A"))</f>
        <v>N/A</v>
      </c>
      <c r="L7" s="150" t="s">
        <v>301</v>
      </c>
      <c r="M7" s="317"/>
      <c r="N7" s="802" t="s">
        <v>148</v>
      </c>
      <c r="O7" s="803"/>
      <c r="P7" s="803"/>
      <c r="Q7" s="804"/>
    </row>
    <row r="8" spans="1:17" s="149" customFormat="1" ht="27" customHeight="1">
      <c r="B8" s="842" t="s">
        <v>302</v>
      </c>
      <c r="C8" s="836" t="s">
        <v>303</v>
      </c>
      <c r="D8" s="839" t="s">
        <v>304</v>
      </c>
      <c r="E8" s="147" t="s">
        <v>304</v>
      </c>
      <c r="F8" s="231" t="s">
        <v>305</v>
      </c>
      <c r="G8" s="146" t="s">
        <v>134</v>
      </c>
      <c r="H8" s="193" t="s">
        <v>306</v>
      </c>
      <c r="I8" s="233">
        <v>45768</v>
      </c>
      <c r="J8" s="430">
        <v>45768</v>
      </c>
      <c r="K8" s="557" t="str" cm="1">
        <f t="array" ref="K8">IF(ISBLANK(J8), IF(ISBLANK(I8), "N/A", _xlfn.IFS(L8="AS", I8+15, L8="NCR", I8+30, L8="submitted", I8+30, TRUE, "N/A")), _xlfn.IFS(L8="AS", J8+15, L8="NCR", J8+30, L8="submitted", J8+30, TRUE, "N/A"))</f>
        <v>N/A</v>
      </c>
      <c r="L8" s="271" t="s">
        <v>307</v>
      </c>
      <c r="M8" s="317"/>
      <c r="N8" s="802"/>
      <c r="O8" s="803"/>
      <c r="P8" s="803"/>
      <c r="Q8" s="804"/>
    </row>
    <row r="9" spans="1:17" s="149" customFormat="1" ht="25.5" customHeight="1">
      <c r="B9" s="843"/>
      <c r="C9" s="837"/>
      <c r="D9" s="840"/>
      <c r="E9" s="147" t="s">
        <v>304</v>
      </c>
      <c r="F9" s="231" t="s">
        <v>305</v>
      </c>
      <c r="G9" s="146" t="s">
        <v>136</v>
      </c>
      <c r="H9" s="193" t="s">
        <v>308</v>
      </c>
      <c r="I9" s="233">
        <v>45768</v>
      </c>
      <c r="J9" s="430">
        <v>45768</v>
      </c>
      <c r="K9" s="557" t="str" cm="1">
        <f t="array" ref="K9">IF(ISBLANK(J9), IF(ISBLANK(I9), "N/A", _xlfn.IFS(L9="AS", I9+15, L9="NCR", I9+30, L9="submitted", I9+30, TRUE, "N/A")), _xlfn.IFS(L9="AS", J9+15, L9="NCR", J9+30, L9="submitted", J9+30, TRUE, "N/A"))</f>
        <v>N/A</v>
      </c>
      <c r="L9" s="271" t="s">
        <v>307</v>
      </c>
      <c r="M9" s="317"/>
      <c r="N9" s="802"/>
      <c r="O9" s="803"/>
      <c r="P9" s="803"/>
      <c r="Q9" s="804"/>
    </row>
    <row r="10" spans="1:17" s="149" customFormat="1" ht="25.5" customHeight="1">
      <c r="B10" s="843"/>
      <c r="C10" s="837"/>
      <c r="D10" s="840"/>
      <c r="E10" s="147" t="s">
        <v>304</v>
      </c>
      <c r="F10" s="231" t="s">
        <v>305</v>
      </c>
      <c r="G10" s="146" t="s">
        <v>138</v>
      </c>
      <c r="H10" s="193" t="s">
        <v>309</v>
      </c>
      <c r="I10" s="233">
        <v>45768</v>
      </c>
      <c r="J10" s="430">
        <v>45768</v>
      </c>
      <c r="K10" s="557" t="str" cm="1">
        <f t="array" ref="K10">IF(ISBLANK(J10), IF(ISBLANK(I10), "N/A", _xlfn.IFS(L10="AS", I10+15, L10="NCR", I10+30, L10="submitted", I10+30, TRUE, "N/A")), _xlfn.IFS(L10="AS", J10+15, L10="NCR", J10+30, L10="submitted", J10+30, TRUE, "N/A"))</f>
        <v>N/A</v>
      </c>
      <c r="L10" s="271" t="s">
        <v>307</v>
      </c>
      <c r="M10" s="317"/>
      <c r="N10" s="802"/>
      <c r="O10" s="803"/>
      <c r="P10" s="803"/>
      <c r="Q10" s="804"/>
    </row>
    <row r="11" spans="1:17" s="149" customFormat="1" ht="25.5" customHeight="1">
      <c r="B11" s="843"/>
      <c r="C11" s="837"/>
      <c r="D11" s="840"/>
      <c r="E11" s="147" t="s">
        <v>304</v>
      </c>
      <c r="F11" s="231" t="s">
        <v>305</v>
      </c>
      <c r="G11" s="146" t="s">
        <v>166</v>
      </c>
      <c r="H11" s="193" t="s">
        <v>310</v>
      </c>
      <c r="I11" s="233">
        <v>45768</v>
      </c>
      <c r="J11" s="430">
        <v>45768</v>
      </c>
      <c r="K11" s="557" t="str" cm="1">
        <f t="array" ref="K11">IF(ISBLANK(J11), IF(ISBLANK(I11), "N/A", _xlfn.IFS(L11="AS", I11+15, L11="NCR", I11+30, L11="submitted", I11+30, TRUE, "N/A")), _xlfn.IFS(L11="AS", J11+15, L11="NCR", J11+30, L11="submitted", J11+30, TRUE, "N/A"))</f>
        <v>N/A</v>
      </c>
      <c r="L11" s="271" t="s">
        <v>307</v>
      </c>
      <c r="M11" s="317"/>
      <c r="N11" s="802"/>
      <c r="O11" s="803"/>
      <c r="P11" s="803"/>
      <c r="Q11" s="804"/>
    </row>
    <row r="12" spans="1:17" s="149" customFormat="1" ht="15" customHeight="1">
      <c r="B12" s="843"/>
      <c r="C12" s="837"/>
      <c r="D12" s="840"/>
      <c r="E12" s="147" t="s">
        <v>304</v>
      </c>
      <c r="F12" s="231" t="s">
        <v>305</v>
      </c>
      <c r="G12" s="146" t="s">
        <v>169</v>
      </c>
      <c r="H12" s="147" t="s">
        <v>311</v>
      </c>
      <c r="I12" s="233">
        <v>45768</v>
      </c>
      <c r="J12" s="430">
        <v>45768</v>
      </c>
      <c r="K12" s="557" t="str" cm="1">
        <f t="array" ref="K12">IF(ISBLANK(J12), IF(ISBLANK(I12), "N/A", _xlfn.IFS(L12="AS", I12+15, L12="NCR", I12+30, L12="submitted", I12+30, TRUE, "N/A")), _xlfn.IFS(L12="AS", J12+15, L12="NCR", J12+30, L12="submitted", J12+30, TRUE, "N/A"))</f>
        <v>N/A</v>
      </c>
      <c r="L12" s="271" t="s">
        <v>307</v>
      </c>
      <c r="M12" s="318"/>
      <c r="N12" s="802"/>
      <c r="O12" s="803"/>
      <c r="P12" s="803"/>
      <c r="Q12" s="804"/>
    </row>
    <row r="13" spans="1:17" s="149" customFormat="1" ht="25.5" customHeight="1">
      <c r="B13" s="843"/>
      <c r="C13" s="837"/>
      <c r="D13" s="840"/>
      <c r="E13" s="147" t="s">
        <v>304</v>
      </c>
      <c r="F13" s="231" t="s">
        <v>305</v>
      </c>
      <c r="G13" s="146" t="s">
        <v>312</v>
      </c>
      <c r="H13" s="193" t="s">
        <v>313</v>
      </c>
      <c r="I13" s="233">
        <v>45768</v>
      </c>
      <c r="J13" s="430">
        <v>45768</v>
      </c>
      <c r="K13" s="557" t="str" cm="1">
        <f t="array" ref="K13">IF(ISBLANK(J13), IF(ISBLANK(I13), "N/A", _xlfn.IFS(L13="AS", I13+15, L13="NCR", I13+30, L13="submitted", I13+30, TRUE, "N/A")), _xlfn.IFS(L13="AS", J13+15, L13="NCR", J13+30, L13="submitted", J13+30, TRUE, "N/A"))</f>
        <v>N/A</v>
      </c>
      <c r="L13" s="271" t="s">
        <v>307</v>
      </c>
      <c r="M13" s="317"/>
      <c r="N13" s="802"/>
      <c r="O13" s="803"/>
      <c r="P13" s="803"/>
      <c r="Q13" s="804"/>
    </row>
    <row r="14" spans="1:17" s="149" customFormat="1" ht="25.5" customHeight="1">
      <c r="B14" s="843"/>
      <c r="C14" s="837"/>
      <c r="D14" s="840"/>
      <c r="E14" s="147" t="s">
        <v>304</v>
      </c>
      <c r="F14" s="231" t="s">
        <v>305</v>
      </c>
      <c r="G14" s="146" t="s">
        <v>314</v>
      </c>
      <c r="H14" s="193" t="s">
        <v>315</v>
      </c>
      <c r="I14" s="233">
        <v>45768</v>
      </c>
      <c r="J14" s="430">
        <v>45768</v>
      </c>
      <c r="K14" s="557" t="str" cm="1">
        <f t="array" ref="K14">IF(ISBLANK(J14), IF(ISBLANK(I14), "N/A", _xlfn.IFS(L14="AS", I14+15, L14="NCR", I14+30, L14="submitted", I14+30, TRUE, "N/A")), _xlfn.IFS(L14="AS", J14+15, L14="NCR", J14+30, L14="submitted", J14+30, TRUE, "N/A"))</f>
        <v>N/A</v>
      </c>
      <c r="L14" s="271" t="s">
        <v>307</v>
      </c>
      <c r="M14" s="317"/>
      <c r="N14" s="802"/>
      <c r="O14" s="803"/>
      <c r="P14" s="803"/>
      <c r="Q14" s="804"/>
    </row>
    <row r="15" spans="1:17" s="149" customFormat="1" ht="25.5" customHeight="1">
      <c r="B15" s="844"/>
      <c r="C15" s="838"/>
      <c r="D15" s="841"/>
      <c r="E15" s="147" t="s">
        <v>304</v>
      </c>
      <c r="F15" s="231" t="s">
        <v>305</v>
      </c>
      <c r="G15" s="146" t="s">
        <v>316</v>
      </c>
      <c r="H15" s="193" t="s">
        <v>317</v>
      </c>
      <c r="I15" s="233">
        <v>45768</v>
      </c>
      <c r="J15" s="430">
        <v>45768</v>
      </c>
      <c r="K15" s="557" t="str" cm="1">
        <f t="array" ref="K15">IF(ISBLANK(J15), IF(ISBLANK(I15), "N/A", _xlfn.IFS(L15="AS", I15+15, L15="NCR", I15+30, L15="submitted", I15+30, TRUE, "N/A")), _xlfn.IFS(L15="AS", J15+15, L15="NCR", J15+30, L15="submitted", J15+30, TRUE, "N/A"))</f>
        <v>N/A</v>
      </c>
      <c r="L15" s="271" t="s">
        <v>307</v>
      </c>
      <c r="M15" s="317"/>
      <c r="N15" s="802"/>
      <c r="O15" s="803"/>
      <c r="P15" s="803"/>
      <c r="Q15" s="804"/>
    </row>
    <row r="16" spans="1:17" s="149" customFormat="1" ht="27" customHeight="1">
      <c r="B16" s="842" t="s">
        <v>85</v>
      </c>
      <c r="C16" s="836" t="s">
        <v>303</v>
      </c>
      <c r="D16" s="839" t="s">
        <v>304</v>
      </c>
      <c r="E16" s="147" t="s">
        <v>304</v>
      </c>
      <c r="F16" s="231" t="s">
        <v>305</v>
      </c>
      <c r="G16" s="146" t="s">
        <v>134</v>
      </c>
      <c r="H16" s="193" t="s">
        <v>306</v>
      </c>
      <c r="I16" s="233">
        <v>45821</v>
      </c>
      <c r="J16" s="430">
        <v>45903</v>
      </c>
      <c r="K16" s="557" t="str" cm="1">
        <f t="array" ref="K16">IF(ISBLANK(J16), IF(ISBLANK(I16), "N/A", _xlfn.IFS(L16="AS", I16+15, L16="NCR", I16+30, L16="submitted", I16+30, TRUE, "N/A")), _xlfn.IFS(L16="AS", J16+15, L16="NCR", J16+30, L16="submitted", J16+30, TRUE, "N/A"))</f>
        <v>N/A</v>
      </c>
      <c r="L16" s="271" t="s">
        <v>307</v>
      </c>
      <c r="M16" s="317"/>
      <c r="N16" s="802"/>
      <c r="O16" s="803"/>
      <c r="P16" s="803"/>
      <c r="Q16" s="804"/>
    </row>
    <row r="17" spans="1:17" s="149" customFormat="1" ht="25.5" customHeight="1">
      <c r="B17" s="843"/>
      <c r="C17" s="837"/>
      <c r="D17" s="840"/>
      <c r="E17" s="147" t="s">
        <v>304</v>
      </c>
      <c r="F17" s="231" t="s">
        <v>305</v>
      </c>
      <c r="G17" s="146" t="s">
        <v>136</v>
      </c>
      <c r="H17" s="193" t="s">
        <v>308</v>
      </c>
      <c r="I17" s="233">
        <v>45821</v>
      </c>
      <c r="J17" s="430">
        <v>45903</v>
      </c>
      <c r="K17" s="557" t="str" cm="1">
        <f t="array" ref="K17">IF(ISBLANK(J17), IF(ISBLANK(I17), "N/A", _xlfn.IFS(L17="AS", I17+15, L17="NCR", I17+30, L17="submitted", I17+30, TRUE, "N/A")), _xlfn.IFS(L17="AS", J17+15, L17="NCR", J17+30, L17="submitted", J17+30, TRUE, "N/A"))</f>
        <v>N/A</v>
      </c>
      <c r="L17" s="271" t="s">
        <v>307</v>
      </c>
      <c r="M17" s="317"/>
      <c r="N17" s="802"/>
      <c r="O17" s="803"/>
      <c r="P17" s="803"/>
      <c r="Q17" s="804"/>
    </row>
    <row r="18" spans="1:17" s="149" customFormat="1" ht="25.5" customHeight="1">
      <c r="B18" s="843"/>
      <c r="C18" s="837"/>
      <c r="D18" s="840"/>
      <c r="E18" s="147" t="s">
        <v>304</v>
      </c>
      <c r="F18" s="231" t="s">
        <v>305</v>
      </c>
      <c r="G18" s="146" t="s">
        <v>138</v>
      </c>
      <c r="H18" s="193" t="s">
        <v>309</v>
      </c>
      <c r="I18" s="233">
        <v>45821</v>
      </c>
      <c r="J18" s="430">
        <v>45903</v>
      </c>
      <c r="K18" s="557" t="str" cm="1">
        <f t="array" ref="K18">IF(ISBLANK(J18), IF(ISBLANK(I18), "N/A", _xlfn.IFS(L18="AS", I18+15, L18="NCR", I18+30, L18="submitted", I18+30, TRUE, "N/A")), _xlfn.IFS(L18="AS", J18+15, L18="NCR", J18+30, L18="submitted", J18+30, TRUE, "N/A"))</f>
        <v>N/A</v>
      </c>
      <c r="L18" s="271" t="s">
        <v>307</v>
      </c>
      <c r="M18" s="317"/>
      <c r="N18" s="802"/>
      <c r="O18" s="803"/>
      <c r="P18" s="803"/>
      <c r="Q18" s="804"/>
    </row>
    <row r="19" spans="1:17" s="149" customFormat="1" ht="25.5" customHeight="1">
      <c r="B19" s="843"/>
      <c r="C19" s="837"/>
      <c r="D19" s="840"/>
      <c r="E19" s="147" t="s">
        <v>304</v>
      </c>
      <c r="F19" s="231" t="s">
        <v>305</v>
      </c>
      <c r="G19" s="146" t="s">
        <v>166</v>
      </c>
      <c r="H19" s="193" t="s">
        <v>310</v>
      </c>
      <c r="I19" s="233">
        <v>45821</v>
      </c>
      <c r="J19" s="430">
        <v>45903</v>
      </c>
      <c r="K19" s="557" t="str" cm="1">
        <f t="array" ref="K19">IF(ISBLANK(J19), IF(ISBLANK(I19), "N/A", _xlfn.IFS(L19="AS", I19+15, L19="NCR", I19+30, L19="submitted", I19+30, TRUE, "N/A")), _xlfn.IFS(L19="AS", J19+15, L19="NCR", J19+30, L19="submitted", J19+30, TRUE, "N/A"))</f>
        <v>N/A</v>
      </c>
      <c r="L19" s="271" t="s">
        <v>307</v>
      </c>
      <c r="M19" s="317"/>
      <c r="N19" s="802"/>
      <c r="O19" s="803"/>
      <c r="P19" s="803"/>
      <c r="Q19" s="804"/>
    </row>
    <row r="20" spans="1:17" s="149" customFormat="1" ht="15" customHeight="1">
      <c r="B20" s="843"/>
      <c r="C20" s="837"/>
      <c r="D20" s="840"/>
      <c r="E20" s="147" t="s">
        <v>304</v>
      </c>
      <c r="F20" s="231" t="s">
        <v>305</v>
      </c>
      <c r="G20" s="146" t="s">
        <v>169</v>
      </c>
      <c r="H20" s="147" t="s">
        <v>311</v>
      </c>
      <c r="I20" s="233">
        <v>45821</v>
      </c>
      <c r="J20" s="430">
        <v>45903</v>
      </c>
      <c r="K20" s="557" t="str" cm="1">
        <f t="array" ref="K20">IF(ISBLANK(J20), IF(ISBLANK(I20), "N/A", _xlfn.IFS(L20="AS", I20+15, L20="NCR", I20+30, L20="submitted", I20+30, TRUE, "N/A")), _xlfn.IFS(L20="AS", J20+15, L20="NCR", J20+30, L20="submitted", J20+30, TRUE, "N/A"))</f>
        <v>N/A</v>
      </c>
      <c r="L20" s="271" t="s">
        <v>307</v>
      </c>
      <c r="M20" s="317"/>
      <c r="N20" s="802"/>
      <c r="O20" s="803"/>
      <c r="P20" s="803"/>
      <c r="Q20" s="804"/>
    </row>
    <row r="21" spans="1:17" s="149" customFormat="1" ht="25.5" customHeight="1">
      <c r="B21" s="843"/>
      <c r="C21" s="837"/>
      <c r="D21" s="840"/>
      <c r="E21" s="147" t="s">
        <v>304</v>
      </c>
      <c r="F21" s="231" t="s">
        <v>305</v>
      </c>
      <c r="G21" s="146" t="s">
        <v>312</v>
      </c>
      <c r="H21" s="193" t="s">
        <v>313</v>
      </c>
      <c r="I21" s="233">
        <v>45821</v>
      </c>
      <c r="J21" s="430">
        <v>45903</v>
      </c>
      <c r="K21" s="557" t="str" cm="1">
        <f t="array" ref="K21">IF(ISBLANK(J21), IF(ISBLANK(I21), "N/A", _xlfn.IFS(L21="AS", I21+15, L21="NCR", I21+30, L21="submitted", I21+30, TRUE, "N/A")), _xlfn.IFS(L21="AS", J21+15, L21="NCR", J21+30, L21="submitted", J21+30, TRUE, "N/A"))</f>
        <v>N/A</v>
      </c>
      <c r="L21" s="271" t="s">
        <v>307</v>
      </c>
      <c r="M21" s="317"/>
      <c r="N21" s="802"/>
      <c r="O21" s="803"/>
      <c r="P21" s="803"/>
      <c r="Q21" s="804"/>
    </row>
    <row r="22" spans="1:17" s="149" customFormat="1" ht="25.5" customHeight="1">
      <c r="B22" s="843"/>
      <c r="C22" s="837"/>
      <c r="D22" s="840"/>
      <c r="E22" s="147" t="s">
        <v>304</v>
      </c>
      <c r="F22" s="231" t="s">
        <v>305</v>
      </c>
      <c r="G22" s="146" t="s">
        <v>314</v>
      </c>
      <c r="H22" s="193" t="s">
        <v>315</v>
      </c>
      <c r="I22" s="233">
        <v>45821</v>
      </c>
      <c r="J22" s="430">
        <v>45903</v>
      </c>
      <c r="K22" s="557" t="str" cm="1">
        <f t="array" ref="K22">IF(ISBLANK(J22), IF(ISBLANK(I22), "N/A", _xlfn.IFS(L22="AS", I22+15, L22="NCR", I22+30, L22="submitted", I22+30, TRUE, "N/A")), _xlfn.IFS(L22="AS", J22+15, L22="NCR", J22+30, L22="submitted", J22+30, TRUE, "N/A"))</f>
        <v>N/A</v>
      </c>
      <c r="L22" s="271" t="s">
        <v>307</v>
      </c>
      <c r="M22" s="317"/>
      <c r="N22" s="802"/>
      <c r="O22" s="803"/>
      <c r="P22" s="803"/>
      <c r="Q22" s="804"/>
    </row>
    <row r="23" spans="1:17" s="149" customFormat="1" ht="25.5" customHeight="1">
      <c r="B23" s="844"/>
      <c r="C23" s="838"/>
      <c r="D23" s="841"/>
      <c r="E23" s="147" t="s">
        <v>304</v>
      </c>
      <c r="F23" s="231" t="s">
        <v>305</v>
      </c>
      <c r="G23" s="146" t="s">
        <v>316</v>
      </c>
      <c r="H23" s="193" t="s">
        <v>317</v>
      </c>
      <c r="I23" s="233">
        <v>45821</v>
      </c>
      <c r="J23" s="430">
        <v>45903</v>
      </c>
      <c r="K23" s="557" t="str" cm="1">
        <f t="array" ref="K23">IF(ISBLANK(J23), IF(ISBLANK(I23), "N/A", _xlfn.IFS(L23="AS", I23+15, L23="NCR", I23+30, L23="submitted", I23+30, TRUE, "N/A")), _xlfn.IFS(L23="AS", J23+15, L23="NCR", J23+30, L23="submitted", J23+30, TRUE, "N/A"))</f>
        <v>N/A</v>
      </c>
      <c r="L23" s="271" t="s">
        <v>307</v>
      </c>
      <c r="M23" s="317"/>
      <c r="N23" s="802"/>
      <c r="O23" s="803"/>
      <c r="P23" s="803"/>
      <c r="Q23" s="804"/>
    </row>
    <row r="24" spans="1:17" s="149" customFormat="1" ht="27" customHeight="1">
      <c r="A24" s="820" t="s">
        <v>318</v>
      </c>
      <c r="B24" s="833" t="s">
        <v>319</v>
      </c>
      <c r="C24" s="836" t="s">
        <v>303</v>
      </c>
      <c r="D24" s="839" t="s">
        <v>304</v>
      </c>
      <c r="E24" s="147" t="s">
        <v>304</v>
      </c>
      <c r="F24" s="231" t="s">
        <v>305</v>
      </c>
      <c r="G24" s="146" t="s">
        <v>134</v>
      </c>
      <c r="H24" s="193" t="s">
        <v>306</v>
      </c>
      <c r="I24" s="233">
        <v>45910</v>
      </c>
      <c r="J24" s="430"/>
      <c r="K24" s="557" cm="1">
        <f t="array" ref="K24">IF(ISBLANK(J24), IF(ISBLANK(I24), "N/A", _xlfn.IFS(L24="AS", I24+15, L24="NCR", I24+30, L24="submitted", I24+30, TRUE, "N/A")), _xlfn.IFS(L24="AS", J24+15, L24="NCR", J24+30, L24="submitted", J24+30, TRUE, "N/A"))</f>
        <v>45940</v>
      </c>
      <c r="L24" s="272" t="s">
        <v>231</v>
      </c>
      <c r="M24" s="317"/>
      <c r="N24" s="802"/>
      <c r="O24" s="803"/>
      <c r="P24" s="803"/>
      <c r="Q24" s="804"/>
    </row>
    <row r="25" spans="1:17" s="149" customFormat="1" ht="25.5" customHeight="1">
      <c r="A25" s="820"/>
      <c r="B25" s="834"/>
      <c r="C25" s="837"/>
      <c r="D25" s="840"/>
      <c r="E25" s="147" t="s">
        <v>304</v>
      </c>
      <c r="F25" s="231" t="s">
        <v>305</v>
      </c>
      <c r="G25" s="146" t="s">
        <v>136</v>
      </c>
      <c r="H25" s="193" t="s">
        <v>308</v>
      </c>
      <c r="I25" s="233">
        <v>45910</v>
      </c>
      <c r="J25" s="430"/>
      <c r="K25" s="557" cm="1">
        <f t="array" ref="K25">IF(ISBLANK(J25), IF(ISBLANK(I25), "N/A", _xlfn.IFS(L25="AS", I25+15, L25="NCR", I25+30, L25="submitted", I25+30, TRUE, "N/A")), _xlfn.IFS(L25="AS", J25+15, L25="NCR", J25+30, L25="submitted", J25+30, TRUE, "N/A"))</f>
        <v>45940</v>
      </c>
      <c r="L25" s="272" t="s">
        <v>231</v>
      </c>
      <c r="M25" s="317"/>
      <c r="N25" s="802"/>
      <c r="O25" s="803"/>
      <c r="P25" s="803"/>
      <c r="Q25" s="804"/>
    </row>
    <row r="26" spans="1:17" s="149" customFormat="1" ht="25.5" customHeight="1">
      <c r="A26" s="820"/>
      <c r="B26" s="834"/>
      <c r="C26" s="837"/>
      <c r="D26" s="840"/>
      <c r="E26" s="147" t="s">
        <v>304</v>
      </c>
      <c r="F26" s="231" t="s">
        <v>305</v>
      </c>
      <c r="G26" s="146" t="s">
        <v>138</v>
      </c>
      <c r="H26" s="193" t="s">
        <v>309</v>
      </c>
      <c r="I26" s="233">
        <v>45910</v>
      </c>
      <c r="J26" s="430"/>
      <c r="K26" s="557" cm="1">
        <f t="array" ref="K26">IF(ISBLANK(J26), IF(ISBLANK(I26), "N/A", _xlfn.IFS(L26="AS", I26+15, L26="NCR", I26+30, L26="submitted", I26+30, TRUE, "N/A")), _xlfn.IFS(L26="AS", J26+15, L26="NCR", J26+30, L26="submitted", J26+30, TRUE, "N/A"))</f>
        <v>45940</v>
      </c>
      <c r="L26" s="272" t="s">
        <v>231</v>
      </c>
      <c r="M26" s="317"/>
      <c r="N26" s="802"/>
      <c r="O26" s="803"/>
      <c r="P26" s="803"/>
      <c r="Q26" s="804"/>
    </row>
    <row r="27" spans="1:17" s="149" customFormat="1" ht="25.5" customHeight="1">
      <c r="A27" s="820"/>
      <c r="B27" s="834"/>
      <c r="C27" s="837"/>
      <c r="D27" s="840"/>
      <c r="E27" s="147" t="s">
        <v>304</v>
      </c>
      <c r="F27" s="231" t="s">
        <v>305</v>
      </c>
      <c r="G27" s="146" t="s">
        <v>166</v>
      </c>
      <c r="H27" s="193" t="s">
        <v>310</v>
      </c>
      <c r="I27" s="233">
        <v>45910</v>
      </c>
      <c r="J27" s="430"/>
      <c r="K27" s="557" cm="1">
        <f t="array" ref="K27">IF(ISBLANK(J27), IF(ISBLANK(I27), "N/A", _xlfn.IFS(L27="AS", I27+15, L27="NCR", I27+30, L27="submitted", I27+30, TRUE, "N/A")), _xlfn.IFS(L27="AS", J27+15, L27="NCR", J27+30, L27="submitted", J27+30, TRUE, "N/A"))</f>
        <v>45940</v>
      </c>
      <c r="L27" s="272" t="s">
        <v>231</v>
      </c>
      <c r="M27" s="317"/>
      <c r="N27" s="802"/>
      <c r="O27" s="803"/>
      <c r="P27" s="803"/>
      <c r="Q27" s="804"/>
    </row>
    <row r="28" spans="1:17" s="149" customFormat="1" ht="15" customHeight="1">
      <c r="A28" s="820"/>
      <c r="B28" s="834"/>
      <c r="C28" s="837"/>
      <c r="D28" s="840"/>
      <c r="E28" s="147" t="s">
        <v>304</v>
      </c>
      <c r="F28" s="231" t="s">
        <v>305</v>
      </c>
      <c r="G28" s="146" t="s">
        <v>169</v>
      </c>
      <c r="H28" s="147" t="s">
        <v>311</v>
      </c>
      <c r="I28" s="233">
        <v>45910</v>
      </c>
      <c r="J28" s="430"/>
      <c r="K28" s="557" cm="1">
        <f t="array" ref="K28">IF(ISBLANK(J28), IF(ISBLANK(I28), "N/A", _xlfn.IFS(L28="AS", I28+15, L28="NCR", I28+30, L28="submitted", I28+30, TRUE, "N/A")), _xlfn.IFS(L28="AS", J28+15, L28="NCR", J28+30, L28="submitted", J28+30, TRUE, "N/A"))</f>
        <v>45940</v>
      </c>
      <c r="L28" s="272" t="s">
        <v>231</v>
      </c>
      <c r="M28" s="317"/>
      <c r="N28" s="802"/>
      <c r="O28" s="803"/>
      <c r="P28" s="803"/>
      <c r="Q28" s="804"/>
    </row>
    <row r="29" spans="1:17" s="149" customFormat="1" ht="25.5" customHeight="1">
      <c r="A29" s="820"/>
      <c r="B29" s="834"/>
      <c r="C29" s="837"/>
      <c r="D29" s="840"/>
      <c r="E29" s="147" t="s">
        <v>304</v>
      </c>
      <c r="F29" s="231" t="s">
        <v>305</v>
      </c>
      <c r="G29" s="146" t="s">
        <v>312</v>
      </c>
      <c r="H29" s="193" t="s">
        <v>313</v>
      </c>
      <c r="I29" s="233">
        <v>45910</v>
      </c>
      <c r="J29" s="430"/>
      <c r="K29" s="557" cm="1">
        <f t="array" ref="K29">IF(ISBLANK(J29), IF(ISBLANK(I29), "N/A", _xlfn.IFS(L29="AS", I29+15, L29="NCR", I29+30, L29="submitted", I29+30, TRUE, "N/A")), _xlfn.IFS(L29="AS", J29+15, L29="NCR", J29+30, L29="submitted", J29+30, TRUE, "N/A"))</f>
        <v>45940</v>
      </c>
      <c r="L29" s="272" t="s">
        <v>231</v>
      </c>
      <c r="M29" s="317"/>
      <c r="N29" s="802"/>
      <c r="O29" s="803"/>
      <c r="P29" s="803"/>
      <c r="Q29" s="804"/>
    </row>
    <row r="30" spans="1:17" s="149" customFormat="1" ht="25.5" customHeight="1">
      <c r="A30" s="820"/>
      <c r="B30" s="834"/>
      <c r="C30" s="837"/>
      <c r="D30" s="840"/>
      <c r="E30" s="147" t="s">
        <v>304</v>
      </c>
      <c r="F30" s="231" t="s">
        <v>305</v>
      </c>
      <c r="G30" s="146" t="s">
        <v>314</v>
      </c>
      <c r="H30" s="193" t="s">
        <v>315</v>
      </c>
      <c r="I30" s="233">
        <v>45910</v>
      </c>
      <c r="J30" s="430"/>
      <c r="K30" s="557" cm="1">
        <f t="array" ref="K30">IF(ISBLANK(J30), IF(ISBLANK(I30), "N/A", _xlfn.IFS(L30="AS", I30+15, L30="NCR", I30+30, L30="submitted", I30+30, TRUE, "N/A")), _xlfn.IFS(L30="AS", J30+15, L30="NCR", J30+30, L30="submitted", J30+30, TRUE, "N/A"))</f>
        <v>45940</v>
      </c>
      <c r="L30" s="272" t="s">
        <v>231</v>
      </c>
      <c r="M30" s="317"/>
      <c r="N30" s="802"/>
      <c r="O30" s="803"/>
      <c r="P30" s="803"/>
      <c r="Q30" s="804"/>
    </row>
    <row r="31" spans="1:17" s="149" customFormat="1" ht="25.5" customHeight="1">
      <c r="A31" s="820"/>
      <c r="B31" s="835"/>
      <c r="C31" s="838"/>
      <c r="D31" s="841"/>
      <c r="E31" s="147" t="s">
        <v>304</v>
      </c>
      <c r="F31" s="231" t="s">
        <v>305</v>
      </c>
      <c r="G31" s="146" t="s">
        <v>316</v>
      </c>
      <c r="H31" s="193" t="s">
        <v>317</v>
      </c>
      <c r="I31" s="233">
        <v>45910</v>
      </c>
      <c r="J31" s="430"/>
      <c r="K31" s="557" cm="1">
        <f t="array" ref="K31">IF(ISBLANK(J31), IF(ISBLANK(I31), "N/A", _xlfn.IFS(L31="AS", I31+15, L31="NCR", I31+30, L31="submitted", I31+30, TRUE, "N/A")), _xlfn.IFS(L31="AS", J31+15, L31="NCR", J31+30, L31="submitted", J31+30, TRUE, "N/A"))</f>
        <v>45940</v>
      </c>
      <c r="L31" s="272" t="s">
        <v>231</v>
      </c>
      <c r="M31" s="317"/>
      <c r="N31" s="802"/>
      <c r="O31" s="803"/>
      <c r="P31" s="803"/>
      <c r="Q31" s="804"/>
    </row>
    <row r="32" spans="1:17" s="266" customFormat="1" ht="15.75" customHeight="1">
      <c r="B32" s="685" t="s">
        <v>78</v>
      </c>
      <c r="C32" s="522" t="s">
        <v>320</v>
      </c>
      <c r="D32" s="686" t="s">
        <v>321</v>
      </c>
      <c r="E32" s="263" t="s">
        <v>79</v>
      </c>
      <c r="F32" s="263" t="s">
        <v>322</v>
      </c>
      <c r="G32" s="685" t="s">
        <v>134</v>
      </c>
      <c r="H32" s="263" t="s">
        <v>235</v>
      </c>
      <c r="I32" s="687">
        <v>45813</v>
      </c>
      <c r="J32" s="687">
        <v>45903</v>
      </c>
      <c r="K32" s="557" cm="1">
        <f t="array" ref="K32">IF(ISBLANK(J32), IF(ISBLANK(I32), "N/A", _xlfn.IFS(L32="AS", I32+15, L32="NCR", I32+30, L32="submitted", I32+30, TRUE, "N/A")), _xlfn.IFS(L32="AS", J32+15, L32="NCR", J32+30, L32="submitted", J32+30, TRUE, "N/A"))</f>
        <v>45933</v>
      </c>
      <c r="L32" s="688" t="s">
        <v>157</v>
      </c>
      <c r="M32" s="317"/>
      <c r="N32" s="802"/>
      <c r="O32" s="803"/>
      <c r="P32" s="803"/>
      <c r="Q32" s="804"/>
    </row>
    <row r="33" spans="1:17" s="22" customFormat="1" ht="15.75" customHeight="1">
      <c r="A33" s="78"/>
      <c r="B33" s="78" t="s">
        <v>80</v>
      </c>
      <c r="C33" s="374" t="s">
        <v>320</v>
      </c>
      <c r="D33" s="384" t="s">
        <v>321</v>
      </c>
      <c r="E33" s="237" t="s">
        <v>81</v>
      </c>
      <c r="F33" s="27" t="s">
        <v>322</v>
      </c>
      <c r="G33" s="22" t="s">
        <v>136</v>
      </c>
      <c r="H33" s="24" t="s">
        <v>282</v>
      </c>
      <c r="I33" s="25">
        <v>45824</v>
      </c>
      <c r="J33" s="588">
        <v>45939</v>
      </c>
      <c r="K33" s="557" cm="1">
        <f t="array" ref="K33">IF(ISBLANK(J33), IF(ISBLANK(I33), "N/A", _xlfn.IFS(L33="AS", I33+15, L33="NCR", I33+30, L33="submitted", I33+30, TRUE, "N/A")), _xlfn.IFS(L33="AS", J33+15, L33="NCR", J33+30, L33="submitted", J33+30, TRUE, "N/A"))</f>
        <v>45969</v>
      </c>
      <c r="L33" s="272" t="s">
        <v>157</v>
      </c>
      <c r="M33" s="317"/>
      <c r="N33" s="802"/>
      <c r="O33" s="803"/>
      <c r="P33" s="803"/>
      <c r="Q33" s="804"/>
    </row>
    <row r="34" spans="1:17" s="9" customFormat="1" ht="15.75" customHeight="1">
      <c r="C34" s="374" t="s">
        <v>320</v>
      </c>
      <c r="D34" s="384" t="s">
        <v>321</v>
      </c>
      <c r="E34" s="39"/>
      <c r="F34" s="39"/>
      <c r="G34" s="9" t="s">
        <v>138</v>
      </c>
      <c r="H34" s="13" t="s">
        <v>323</v>
      </c>
      <c r="K34" s="557" t="str" cm="1">
        <f t="array" ref="K34">IF(ISBLANK(J34), IF(ISBLANK(I34), "N/A", _xlfn.IFS(L34="AS", I34+15, L34="NCR", I34+30, L34="submitted", I34+30, TRUE, "N/A")), _xlfn.IFS(L34="AS", J34+15, L34="NCR", J34+30, L34="submitted", J34+30, TRUE, "N/A"))</f>
        <v>N/A</v>
      </c>
      <c r="L34" s="21"/>
      <c r="M34" s="317"/>
      <c r="N34" s="802"/>
      <c r="O34" s="803"/>
      <c r="P34" s="803"/>
      <c r="Q34" s="804"/>
    </row>
    <row r="35" spans="1:17" s="9" customFormat="1" ht="15.75" customHeight="1">
      <c r="C35" s="374" t="s">
        <v>320</v>
      </c>
      <c r="D35" s="384" t="s">
        <v>321</v>
      </c>
      <c r="E35" s="39"/>
      <c r="F35" s="39"/>
      <c r="G35" s="9" t="s">
        <v>166</v>
      </c>
      <c r="H35" s="13" t="s">
        <v>324</v>
      </c>
      <c r="K35" s="557" t="str" cm="1">
        <f t="array" ref="K35">IF(ISBLANK(J35), IF(ISBLANK(I35), "N/A", _xlfn.IFS(L35="AS", I35+15, L35="NCR", I35+30, L35="submitted", I35+30, TRUE, "N/A")), _xlfn.IFS(L35="AS", J35+15, L35="NCR", J35+30, L35="submitted", J35+30, TRUE, "N/A"))</f>
        <v>N/A</v>
      </c>
      <c r="M35" s="317"/>
      <c r="N35" s="802"/>
      <c r="O35" s="803"/>
      <c r="P35" s="803"/>
      <c r="Q35" s="804"/>
    </row>
    <row r="36" spans="1:17" s="184" customFormat="1" ht="15.75" customHeight="1">
      <c r="C36" s="374" t="s">
        <v>320</v>
      </c>
      <c r="D36" s="384" t="s">
        <v>321</v>
      </c>
      <c r="E36" s="185"/>
      <c r="F36" s="185"/>
      <c r="G36" s="184" t="s">
        <v>169</v>
      </c>
      <c r="H36" s="186" t="s">
        <v>325</v>
      </c>
      <c r="K36" s="557" t="str" cm="1">
        <f t="array" ref="K36">IF(ISBLANK(J36), IF(ISBLANK(I36), "N/A", _xlfn.IFS(L36="AS", I36+15, L36="NCR", I36+30, L36="submitted", I36+30, TRUE, "N/A")), _xlfn.IFS(L36="AS", J36+15, L36="NCR", J36+30, L36="submitted", J36+30, TRUE, "N/A"))</f>
        <v>N/A</v>
      </c>
      <c r="M36" s="317"/>
      <c r="N36" s="802"/>
      <c r="O36" s="803"/>
      <c r="P36" s="803"/>
      <c r="Q36" s="804"/>
    </row>
    <row r="37" spans="1:17" s="73" customFormat="1" ht="26.25" customHeight="1">
      <c r="C37" s="111" t="s">
        <v>326</v>
      </c>
      <c r="D37" s="59" t="s">
        <v>327</v>
      </c>
      <c r="E37" s="59"/>
      <c r="G37" s="73" t="s">
        <v>281</v>
      </c>
      <c r="H37" s="36" t="s">
        <v>328</v>
      </c>
      <c r="K37" s="557" t="str" cm="1">
        <f t="array" ref="K37">IF(ISBLANK(J37), IF(ISBLANK(I37), "N/A", _xlfn.IFS(L37="AS", I37+15, L37="NCR", I37+30, L37="submitted", I37+30, TRUE, "N/A")), _xlfn.IFS(L37="AS", J37+15, L37="NCR", J37+30, L37="submitted", J37+30, TRUE, "N/A"))</f>
        <v>N/A</v>
      </c>
      <c r="L37" s="74"/>
      <c r="M37" s="317"/>
      <c r="N37" s="802"/>
      <c r="O37" s="803"/>
      <c r="P37" s="803"/>
      <c r="Q37" s="804"/>
    </row>
    <row r="38" spans="1:17" s="5" customFormat="1" ht="15" customHeight="1">
      <c r="B38" s="73"/>
      <c r="C38" s="95"/>
      <c r="D38" s="75"/>
      <c r="E38" s="75"/>
      <c r="G38" s="73" t="s">
        <v>329</v>
      </c>
      <c r="H38" s="36" t="s">
        <v>330</v>
      </c>
      <c r="I38" s="73"/>
      <c r="J38" s="73"/>
      <c r="K38" s="557" t="str" cm="1">
        <f t="array" ref="K38">IF(ISBLANK(J38), IF(ISBLANK(I38), "N/A", _xlfn.IFS(L38="AS", I38+15, L38="NCR", I38+30, L38="submitted", I38+30, TRUE, "N/A")), _xlfn.IFS(L38="AS", J38+15, L38="NCR", J38+30, L38="submitted", J38+30, TRUE, "N/A"))</f>
        <v>N/A</v>
      </c>
      <c r="L38" s="74"/>
      <c r="M38" s="317"/>
      <c r="N38" s="802"/>
      <c r="O38" s="803"/>
      <c r="P38" s="803"/>
      <c r="Q38" s="804"/>
    </row>
    <row r="39" spans="1:17" s="149" customFormat="1" ht="15" customHeight="1">
      <c r="B39" s="146" t="s">
        <v>331</v>
      </c>
      <c r="C39" s="425" t="s">
        <v>332</v>
      </c>
      <c r="D39" s="231" t="s">
        <v>333</v>
      </c>
      <c r="E39" s="231" t="s">
        <v>334</v>
      </c>
      <c r="F39" s="149" t="s">
        <v>335</v>
      </c>
      <c r="G39" s="146" t="s">
        <v>336</v>
      </c>
      <c r="H39" s="147" t="s">
        <v>235</v>
      </c>
      <c r="I39" s="233">
        <v>45898</v>
      </c>
      <c r="J39" s="233">
        <v>45908</v>
      </c>
      <c r="K39" s="557" cm="1">
        <f t="array" ref="K39">IF(ISBLANK(J39), IF(ISBLANK(I39), "N/A", _xlfn.IFS(L39="AS", I39+15, L39="NCR", I39+30, L39="submitted", I39+30, TRUE, "N/A")), _xlfn.IFS(L39="AS", J39+15, L39="NCR", J39+30, L39="submitted", J39+30, TRUE, "N/A"))</f>
        <v>45938</v>
      </c>
      <c r="L39" s="146" t="s">
        <v>157</v>
      </c>
      <c r="M39" s="317"/>
      <c r="N39" s="811"/>
      <c r="O39" s="812"/>
      <c r="P39" s="812"/>
      <c r="Q39" s="813"/>
    </row>
    <row r="40" spans="1:17" s="149" customFormat="1">
      <c r="B40" s="146" t="s">
        <v>331</v>
      </c>
      <c r="C40" s="425" t="s">
        <v>332</v>
      </c>
      <c r="D40" s="231" t="s">
        <v>333</v>
      </c>
      <c r="E40" s="231" t="s">
        <v>334</v>
      </c>
      <c r="F40" s="149" t="s">
        <v>335</v>
      </c>
      <c r="G40" s="146" t="s">
        <v>337</v>
      </c>
      <c r="H40" s="147" t="s">
        <v>328</v>
      </c>
      <c r="I40" s="233">
        <v>45898</v>
      </c>
      <c r="J40" s="233">
        <v>45908</v>
      </c>
      <c r="K40" s="557" cm="1">
        <f t="array" ref="K40">IF(ISBLANK(J40), IF(ISBLANK(I40), "N/A", _xlfn.IFS(L40="AS", I40+15, L40="NCR", I40+30, L40="submitted", I40+30, TRUE, "N/A")), _xlfn.IFS(L40="AS", J40+15, L40="NCR", J40+30, L40="submitted", J40+30, TRUE, "N/A"))</f>
        <v>45938</v>
      </c>
      <c r="L40" s="146" t="s">
        <v>157</v>
      </c>
      <c r="M40" s="317"/>
      <c r="N40" s="796" t="s">
        <v>133</v>
      </c>
      <c r="O40" s="797"/>
      <c r="P40" s="797"/>
      <c r="Q40" s="798"/>
    </row>
    <row r="41" spans="1:17" s="1" customFormat="1" ht="27">
      <c r="B41" s="9"/>
      <c r="C41" s="32" t="s">
        <v>332</v>
      </c>
      <c r="D41" s="37" t="s">
        <v>333</v>
      </c>
      <c r="E41" s="39"/>
      <c r="G41" s="9" t="s">
        <v>338</v>
      </c>
      <c r="H41" s="7" t="s">
        <v>339</v>
      </c>
      <c r="I41" s="9"/>
      <c r="J41" s="9"/>
      <c r="K41" s="557" t="str" cm="1">
        <f t="array" ref="K41">IF(ISBLANK(J41), IF(ISBLANK(I41), "N/A", _xlfn.IFS(L41="AS", I41+15, L41="NCR", I41+30, L41="submitted", I41+30, TRUE, "N/A")), _xlfn.IFS(L41="AS", J41+15, L41="NCR", J41+30, L41="submitted", J41+30, TRUE, "N/A"))</f>
        <v>N/A</v>
      </c>
      <c r="L41" s="14"/>
      <c r="M41" s="317"/>
      <c r="N41" s="799"/>
      <c r="O41" s="800"/>
      <c r="P41" s="800"/>
      <c r="Q41" s="801"/>
    </row>
    <row r="42" spans="1:17" s="1" customFormat="1">
      <c r="B42" s="9"/>
      <c r="C42" s="32" t="s">
        <v>332</v>
      </c>
      <c r="D42" s="37" t="s">
        <v>333</v>
      </c>
      <c r="E42" s="39"/>
      <c r="G42" s="9" t="s">
        <v>340</v>
      </c>
      <c r="H42" s="13" t="s">
        <v>341</v>
      </c>
      <c r="I42" s="9"/>
      <c r="J42" s="9"/>
      <c r="K42" s="557" t="str" cm="1">
        <f t="array" ref="K42">IF(ISBLANK(J42), IF(ISBLANK(I42), "N/A", _xlfn.IFS(L42="AS", I42+15, L42="NCR", I42+30, L42="submitted", I42+30, TRUE, "N/A")), _xlfn.IFS(L42="AS", J42+15, L42="NCR", J42+30, L42="submitted", J42+30, TRUE, "N/A"))</f>
        <v>N/A</v>
      </c>
      <c r="L42" s="14"/>
      <c r="M42" s="317"/>
      <c r="N42" s="799"/>
      <c r="O42" s="800"/>
      <c r="P42" s="800"/>
      <c r="Q42" s="801"/>
    </row>
    <row r="43" spans="1:17" s="1" customFormat="1">
      <c r="B43" s="9"/>
      <c r="C43" s="32" t="s">
        <v>332</v>
      </c>
      <c r="D43" s="37" t="s">
        <v>333</v>
      </c>
      <c r="E43" s="39"/>
      <c r="G43" s="9" t="s">
        <v>342</v>
      </c>
      <c r="H43" s="13" t="s">
        <v>343</v>
      </c>
      <c r="I43" s="9"/>
      <c r="J43" s="9"/>
      <c r="K43" s="557" t="str" cm="1">
        <f t="array" ref="K43">IF(ISBLANK(J43), IF(ISBLANK(I43), "N/A", _xlfn.IFS(L43="AS", I43+15, L43="NCR", I43+30, L43="submitted", I43+30, TRUE, "N/A")), _xlfn.IFS(L43="AS", J43+15, L43="NCR", J43+30, L43="submitted", J43+30, TRUE, "N/A"))</f>
        <v>N/A</v>
      </c>
      <c r="L43" s="14"/>
      <c r="M43" s="317"/>
      <c r="N43" s="799"/>
      <c r="O43" s="800"/>
      <c r="P43" s="800"/>
      <c r="Q43" s="801"/>
    </row>
    <row r="44" spans="1:17" s="1" customFormat="1">
      <c r="B44" s="9"/>
      <c r="C44" s="32" t="s">
        <v>332</v>
      </c>
      <c r="D44" s="37" t="s">
        <v>333</v>
      </c>
      <c r="E44" s="39"/>
      <c r="G44" s="9" t="s">
        <v>344</v>
      </c>
      <c r="H44" s="7" t="s">
        <v>345</v>
      </c>
      <c r="I44" s="9"/>
      <c r="J44" s="9"/>
      <c r="K44" s="557" t="str" cm="1">
        <f t="array" ref="K44">IF(ISBLANK(J44), IF(ISBLANK(I44), "N/A", _xlfn.IFS(L44="AS", I44+15, L44="NCR", I44+30, L44="submitted", I44+30, TRUE, "N/A")), _xlfn.IFS(L44="AS", J44+15, L44="NCR", J44+30, L44="submitted", J44+30, TRUE, "N/A"))</f>
        <v>N/A</v>
      </c>
      <c r="L44" s="14"/>
      <c r="M44" s="317"/>
      <c r="N44" s="799"/>
      <c r="O44" s="800"/>
      <c r="P44" s="800"/>
      <c r="Q44" s="801"/>
    </row>
    <row r="45" spans="1:17" s="1" customFormat="1" ht="27">
      <c r="B45" s="9"/>
      <c r="C45" s="32" t="s">
        <v>332</v>
      </c>
      <c r="D45" s="37" t="s">
        <v>333</v>
      </c>
      <c r="E45" s="46"/>
      <c r="G45" s="9" t="s">
        <v>346</v>
      </c>
      <c r="H45" s="7" t="s">
        <v>347</v>
      </c>
      <c r="I45" s="9"/>
      <c r="J45" s="9"/>
      <c r="K45" s="557" t="str" cm="1">
        <f t="array" ref="K45">IF(ISBLANK(J45), IF(ISBLANK(I45), "N/A", _xlfn.IFS(L45="AS", I45+15, L45="NCR", I45+30, L45="submitted", I45+30, TRUE, "N/A")), _xlfn.IFS(L45="AS", J45+15, L45="NCR", J45+30, L45="submitted", J45+30, TRUE, "N/A"))</f>
        <v>N/A</v>
      </c>
      <c r="L45" s="14"/>
      <c r="M45" s="317"/>
      <c r="N45" s="799"/>
      <c r="O45" s="800"/>
      <c r="P45" s="800"/>
      <c r="Q45" s="801"/>
    </row>
    <row r="46" spans="1:17" s="5" customFormat="1" ht="27">
      <c r="B46" s="4"/>
      <c r="C46" s="86" t="s">
        <v>348</v>
      </c>
      <c r="D46" s="34" t="s">
        <v>349</v>
      </c>
      <c r="E46" s="34"/>
      <c r="G46" s="4" t="s">
        <v>281</v>
      </c>
      <c r="H46" s="3" t="s">
        <v>350</v>
      </c>
      <c r="I46" s="4"/>
      <c r="J46" s="4"/>
      <c r="K46" s="557" t="str" cm="1">
        <f t="array" ref="K46">IF(ISBLANK(J46), IF(ISBLANK(I46), "N/A", _xlfn.IFS(L46="AS", I46+15, L46="NCR", I46+30, L46="submitted", I46+30, TRUE, "N/A")), _xlfn.IFS(L46="AS", J46+15, L46="NCR", J46+30, L46="submitted", J46+30, TRUE, "N/A"))</f>
        <v>N/A</v>
      </c>
      <c r="L46" s="18"/>
      <c r="M46" s="317"/>
      <c r="N46" s="799"/>
      <c r="O46" s="800"/>
      <c r="P46" s="800"/>
      <c r="Q46" s="801"/>
    </row>
    <row r="47" spans="1:17" s="5" customFormat="1">
      <c r="B47" s="4"/>
      <c r="C47" s="86" t="s">
        <v>348</v>
      </c>
      <c r="D47" s="34" t="s">
        <v>349</v>
      </c>
      <c r="E47" s="35"/>
      <c r="G47" s="4" t="s">
        <v>269</v>
      </c>
      <c r="H47" s="17" t="s">
        <v>351</v>
      </c>
      <c r="I47" s="4"/>
      <c r="J47" s="4"/>
      <c r="K47" s="557" t="str" cm="1">
        <f t="array" ref="K47">IF(ISBLANK(J47), IF(ISBLANK(I47), "N/A", _xlfn.IFS(L47="AS", I47+15, L47="NCR", I47+30, L47="submitted", I47+30, TRUE, "N/A")), _xlfn.IFS(L47="AS", J47+15, L47="NCR", J47+30, L47="submitted", J47+30, TRUE, "N/A"))</f>
        <v>N/A</v>
      </c>
      <c r="L47" s="18"/>
      <c r="M47" s="317"/>
      <c r="N47" s="799"/>
      <c r="O47" s="800"/>
      <c r="P47" s="800"/>
      <c r="Q47" s="801"/>
    </row>
    <row r="48" spans="1:17" s="5" customFormat="1">
      <c r="B48" s="4"/>
      <c r="C48" s="86" t="s">
        <v>348</v>
      </c>
      <c r="D48" s="34" t="s">
        <v>349</v>
      </c>
      <c r="E48" s="35"/>
      <c r="G48" s="4" t="s">
        <v>259</v>
      </c>
      <c r="H48" s="17" t="s">
        <v>282</v>
      </c>
      <c r="I48" s="4"/>
      <c r="J48" s="4"/>
      <c r="K48" s="557" t="str" cm="1">
        <f t="array" ref="K48">IF(ISBLANK(J48), IF(ISBLANK(I48), "N/A", _xlfn.IFS(L48="AS", I48+15, L48="NCR", I48+30, L48="submitted", I48+30, TRUE, "N/A")), _xlfn.IFS(L48="AS", J48+15, L48="NCR", J48+30, L48="submitted", J48+30, TRUE, "N/A"))</f>
        <v>N/A</v>
      </c>
      <c r="L48" s="18"/>
      <c r="M48" s="317"/>
      <c r="N48" s="802" t="s">
        <v>148</v>
      </c>
      <c r="O48" s="803"/>
      <c r="P48" s="803"/>
      <c r="Q48" s="804"/>
    </row>
    <row r="49" spans="2:17" s="5" customFormat="1">
      <c r="B49" s="4"/>
      <c r="C49" s="86" t="s">
        <v>348</v>
      </c>
      <c r="D49" s="34" t="s">
        <v>349</v>
      </c>
      <c r="E49" s="35"/>
      <c r="G49" s="4" t="s">
        <v>352</v>
      </c>
      <c r="H49" s="17" t="s">
        <v>353</v>
      </c>
      <c r="I49" s="4"/>
      <c r="J49" s="4"/>
      <c r="K49" s="557"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c r="B50" s="4"/>
      <c r="C50" s="86" t="s">
        <v>348</v>
      </c>
      <c r="D50" s="34" t="s">
        <v>349</v>
      </c>
      <c r="E50" s="35"/>
      <c r="G50" s="4" t="s">
        <v>354</v>
      </c>
      <c r="H50" s="17" t="s">
        <v>355</v>
      </c>
      <c r="I50" s="4"/>
      <c r="J50" s="4"/>
      <c r="K50" s="557" t="str" cm="1">
        <f t="array" ref="K50">IF(ISBLANK(J50), IF(ISBLANK(I50), "N/A", _xlfn.IFS(L50="AS", I50+15, L50="NCR", I50+30, L50="submitted", I50+30, TRUE, "N/A")), _xlfn.IFS(L50="AS", J50+15, L50="NCR", J50+30, L50="submitted", J50+30, TRUE, "N/A"))</f>
        <v>N/A</v>
      </c>
      <c r="L50" s="18"/>
      <c r="M50" s="317"/>
      <c r="N50" s="802"/>
      <c r="O50" s="803"/>
      <c r="P50" s="803"/>
      <c r="Q50" s="804"/>
    </row>
    <row r="51" spans="2:17" s="5" customFormat="1">
      <c r="B51" s="4"/>
      <c r="C51" s="86" t="s">
        <v>348</v>
      </c>
      <c r="D51" s="34" t="s">
        <v>349</v>
      </c>
      <c r="E51" s="35"/>
      <c r="G51" s="4" t="s">
        <v>356</v>
      </c>
      <c r="H51" s="17" t="s">
        <v>357</v>
      </c>
      <c r="I51" s="4"/>
      <c r="J51" s="4"/>
      <c r="K51" s="557" t="str" cm="1">
        <f t="array" ref="K51">IF(ISBLANK(J51), IF(ISBLANK(I51), "N/A", _xlfn.IFS(L51="AS", I51+15, L51="NCR", I51+30, L51="submitted", I51+30, TRUE, "N/A")), _xlfn.IFS(L51="AS", J51+15, L51="NCR", J51+30, L51="submitted", J51+30, TRUE, "N/A"))</f>
        <v>N/A</v>
      </c>
      <c r="L51" s="18"/>
      <c r="M51" s="317"/>
      <c r="N51" s="802"/>
      <c r="O51" s="803"/>
      <c r="P51" s="803"/>
      <c r="Q51" s="804"/>
    </row>
    <row r="52" spans="2:17" s="5" customFormat="1" ht="27">
      <c r="B52" s="4"/>
      <c r="C52" s="86" t="s">
        <v>348</v>
      </c>
      <c r="D52" s="34" t="s">
        <v>349</v>
      </c>
      <c r="E52" s="35"/>
      <c r="G52" s="4" t="s">
        <v>358</v>
      </c>
      <c r="H52" s="3" t="s">
        <v>359</v>
      </c>
      <c r="I52" s="4"/>
      <c r="J52" s="4"/>
      <c r="K52" s="557" t="str" cm="1">
        <f t="array" ref="K52">IF(ISBLANK(J52), IF(ISBLANK(I52), "N/A", _xlfn.IFS(L52="AS", I52+15, L52="NCR", I52+30, L52="submitted", I52+30, TRUE, "N/A")), _xlfn.IFS(L52="AS", J52+15, L52="NCR", J52+30, L52="submitted", J52+30, TRUE, "N/A"))</f>
        <v>N/A</v>
      </c>
      <c r="L52" s="18"/>
      <c r="M52" s="317"/>
      <c r="N52" s="802"/>
      <c r="O52" s="803"/>
      <c r="P52" s="803"/>
      <c r="Q52" s="804"/>
    </row>
    <row r="53" spans="2:17" s="5" customFormat="1">
      <c r="B53" s="4"/>
      <c r="C53" s="86" t="s">
        <v>348</v>
      </c>
      <c r="D53" s="34" t="s">
        <v>349</v>
      </c>
      <c r="E53" s="35"/>
      <c r="G53" s="4" t="s">
        <v>360</v>
      </c>
      <c r="H53" s="17" t="s">
        <v>361</v>
      </c>
      <c r="I53" s="4"/>
      <c r="J53" s="4"/>
      <c r="K53" s="557"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27">
      <c r="B54" s="4"/>
      <c r="C54" s="86" t="s">
        <v>348</v>
      </c>
      <c r="D54" s="34" t="s">
        <v>349</v>
      </c>
      <c r="E54" s="35"/>
      <c r="G54" s="4" t="s">
        <v>362</v>
      </c>
      <c r="H54" s="3" t="s">
        <v>363</v>
      </c>
      <c r="I54" s="4"/>
      <c r="J54" s="4"/>
      <c r="K54" s="557" t="str" cm="1">
        <f t="array" ref="K54">IF(ISBLANK(J54), IF(ISBLANK(I54), "N/A", _xlfn.IFS(L54="AS", I54+15, L54="NCR", I54+30, L54="submitted", I54+30, TRUE, "N/A")), _xlfn.IFS(L54="AS", J54+15, L54="NCR", J54+30, L54="submitted", J54+30, TRUE, "N/A"))</f>
        <v>N/A</v>
      </c>
      <c r="L54" s="18"/>
      <c r="M54" s="317"/>
      <c r="N54" s="802"/>
      <c r="O54" s="803"/>
      <c r="P54" s="803"/>
      <c r="Q54" s="804"/>
    </row>
    <row r="55" spans="2:17" s="5" customFormat="1">
      <c r="B55" s="4"/>
      <c r="C55" s="86" t="s">
        <v>348</v>
      </c>
      <c r="D55" s="34" t="s">
        <v>349</v>
      </c>
      <c r="E55" s="35"/>
      <c r="G55" s="4" t="s">
        <v>364</v>
      </c>
      <c r="H55" s="17" t="s">
        <v>365</v>
      </c>
      <c r="I55" s="4"/>
      <c r="J55" s="4"/>
      <c r="K55" s="557" t="str" cm="1">
        <f t="array" ref="K55">IF(ISBLANK(J55), IF(ISBLANK(I55), "N/A", _xlfn.IFS(L55="AS", I55+15, L55="NCR", I55+30, L55="submitted", I55+30, TRUE, "N/A")), _xlfn.IFS(L55="AS", J55+15, L55="NCR", J55+30, L55="submitted", J55+30, TRUE, "N/A"))</f>
        <v>N/A</v>
      </c>
      <c r="L55" s="18"/>
      <c r="M55" s="317"/>
      <c r="N55" s="802"/>
      <c r="O55" s="803"/>
      <c r="P55" s="803"/>
      <c r="Q55" s="804"/>
    </row>
    <row r="56" spans="2:17" s="5" customFormat="1">
      <c r="B56" s="4"/>
      <c r="C56" s="86" t="s">
        <v>348</v>
      </c>
      <c r="D56" s="34" t="s">
        <v>349</v>
      </c>
      <c r="E56" s="36"/>
      <c r="G56" s="4" t="s">
        <v>366</v>
      </c>
      <c r="H56" s="17" t="s">
        <v>367</v>
      </c>
      <c r="I56" s="4"/>
      <c r="J56" s="4"/>
      <c r="K56" s="557" t="str" cm="1">
        <f t="array" ref="K56">IF(ISBLANK(J56), IF(ISBLANK(I56), "N/A", _xlfn.IFS(L56="AS", I56+15, L56="NCR", I56+30, L56="submitted", I56+30, TRUE, "N/A")), _xlfn.IFS(L56="AS", J56+15, L56="NCR", J56+30, L56="submitted", J56+30, TRUE, "N/A"))</f>
        <v>N/A</v>
      </c>
      <c r="L56" s="18"/>
      <c r="M56" s="317"/>
      <c r="N56" s="802"/>
      <c r="O56" s="803"/>
      <c r="P56" s="803"/>
      <c r="Q56" s="804"/>
    </row>
    <row r="57" spans="2:17" s="26" customFormat="1" ht="27">
      <c r="B57" s="22"/>
      <c r="C57" s="310" t="s">
        <v>368</v>
      </c>
      <c r="D57" s="23" t="s">
        <v>369</v>
      </c>
      <c r="E57" s="28"/>
      <c r="F57" s="26" t="s">
        <v>370</v>
      </c>
      <c r="G57" s="22" t="s">
        <v>208</v>
      </c>
      <c r="H57" s="28" t="s">
        <v>371</v>
      </c>
      <c r="I57" s="22"/>
      <c r="J57" s="22"/>
      <c r="K57" s="557" t="str" cm="1">
        <f t="array" ref="K57">IF(ISBLANK(J57), IF(ISBLANK(I57), "N/A", _xlfn.IFS(L57="AS", I57+15, L57="NCR", I57+30, L57="submitted", I57+30, TRUE, "N/A")), _xlfn.IFS(L57="AS", J57+15, L57="NCR", J57+30, L57="submitted", J57+30, TRUE, "N/A"))</f>
        <v>N/A</v>
      </c>
      <c r="L57" s="25"/>
      <c r="M57" s="317"/>
      <c r="N57" s="802"/>
      <c r="O57" s="803"/>
      <c r="P57" s="803"/>
      <c r="Q57" s="804"/>
    </row>
    <row r="58" spans="2:17" s="26" customFormat="1" ht="27">
      <c r="B58" s="22"/>
      <c r="C58" s="310" t="s">
        <v>368</v>
      </c>
      <c r="D58" s="23" t="s">
        <v>369</v>
      </c>
      <c r="E58" s="28"/>
      <c r="G58" s="22" t="s">
        <v>281</v>
      </c>
      <c r="H58" s="24" t="s">
        <v>282</v>
      </c>
      <c r="I58" s="22"/>
      <c r="J58" s="22"/>
      <c r="K58" s="557" t="str" cm="1">
        <f t="array" ref="K58">IF(ISBLANK(J58), IF(ISBLANK(I58), "N/A", _xlfn.IFS(L58="AS", I58+15, L58="NCR", I58+30, L58="submitted", I58+30, TRUE, "N/A")), _xlfn.IFS(L58="AS", J58+15, L58="NCR", J58+30, L58="submitted", J58+30, TRUE, "N/A"))</f>
        <v>N/A</v>
      </c>
      <c r="L58" s="25"/>
      <c r="M58" s="317"/>
      <c r="N58" s="802"/>
      <c r="O58" s="803"/>
      <c r="P58" s="803"/>
      <c r="Q58" s="804"/>
    </row>
    <row r="59" spans="2:17" s="26" customFormat="1" ht="27">
      <c r="B59" s="22"/>
      <c r="C59" s="310" t="s">
        <v>368</v>
      </c>
      <c r="D59" s="23" t="s">
        <v>369</v>
      </c>
      <c r="E59" s="28"/>
      <c r="G59" s="22" t="s">
        <v>269</v>
      </c>
      <c r="H59" s="24" t="s">
        <v>353</v>
      </c>
      <c r="I59" s="22"/>
      <c r="J59" s="22"/>
      <c r="K59" s="557" t="str" cm="1">
        <f t="array" ref="K59">IF(ISBLANK(J59), IF(ISBLANK(I59), "N/A", _xlfn.IFS(L59="AS", I59+15, L59="NCR", I59+30, L59="submitted", I59+30, TRUE, "N/A")), _xlfn.IFS(L59="AS", J59+15, L59="NCR", J59+30, L59="submitted", J59+30, TRUE, "N/A"))</f>
        <v>N/A</v>
      </c>
      <c r="L59" s="25"/>
      <c r="M59" s="317"/>
      <c r="N59" s="802"/>
      <c r="O59" s="803"/>
      <c r="P59" s="803"/>
      <c r="Q59" s="804"/>
    </row>
    <row r="60" spans="2:17" s="26" customFormat="1" ht="27">
      <c r="B60" s="22"/>
      <c r="C60" s="310" t="s">
        <v>368</v>
      </c>
      <c r="D60" s="23" t="s">
        <v>369</v>
      </c>
      <c r="E60" s="28" t="s">
        <v>161</v>
      </c>
      <c r="G60" s="22" t="s">
        <v>372</v>
      </c>
      <c r="H60" s="24" t="s">
        <v>373</v>
      </c>
      <c r="I60" s="22"/>
      <c r="J60" s="22"/>
      <c r="K60" s="557" t="str" cm="1">
        <f t="array" ref="K60">IF(ISBLANK(J60), IF(ISBLANK(I60), "N/A", _xlfn.IFS(L60="AS", I60+15, L60="NCR", I60+30, L60="submitted", I60+30, TRUE, "N/A")), _xlfn.IFS(L60="AS", J60+15, L60="NCR", J60+30, L60="submitted", J60+30, TRUE, "N/A"))</f>
        <v>N/A</v>
      </c>
      <c r="L60" s="25"/>
      <c r="M60" s="317"/>
      <c r="N60" s="802"/>
      <c r="O60" s="803"/>
      <c r="P60" s="803"/>
      <c r="Q60" s="804"/>
    </row>
    <row r="61" spans="2:17" s="26" customFormat="1" ht="27">
      <c r="B61" s="22"/>
      <c r="C61" s="310" t="s">
        <v>368</v>
      </c>
      <c r="D61" s="23" t="s">
        <v>369</v>
      </c>
      <c r="E61" s="28" t="s">
        <v>161</v>
      </c>
      <c r="G61" s="22" t="s">
        <v>374</v>
      </c>
      <c r="H61" s="24" t="s">
        <v>375</v>
      </c>
      <c r="I61" s="22"/>
      <c r="J61" s="22"/>
      <c r="K61" s="557" t="str" cm="1">
        <f t="array" ref="K61">IF(ISBLANK(J61), IF(ISBLANK(I61), "N/A", _xlfn.IFS(L61="AS", I61+15, L61="NCR", I61+30, L61="submitted", I61+30, TRUE, "N/A")), _xlfn.IFS(L61="AS", J61+15, L61="NCR", J61+30, L61="submitted", J61+30, TRUE, "N/A"))</f>
        <v>N/A</v>
      </c>
      <c r="L61" s="25"/>
      <c r="M61" s="317"/>
      <c r="N61" s="802"/>
      <c r="O61" s="803"/>
      <c r="P61" s="803"/>
      <c r="Q61" s="804"/>
    </row>
    <row r="62" spans="2:17" s="26" customFormat="1" ht="27">
      <c r="B62" s="22"/>
      <c r="C62" s="310" t="s">
        <v>368</v>
      </c>
      <c r="D62" s="23" t="s">
        <v>369</v>
      </c>
      <c r="E62" s="28" t="s">
        <v>161</v>
      </c>
      <c r="G62" s="22" t="s">
        <v>376</v>
      </c>
      <c r="H62" s="28" t="s">
        <v>377</v>
      </c>
      <c r="I62" s="22"/>
      <c r="J62" s="22"/>
      <c r="K62" s="557" t="str" cm="1">
        <f t="array" ref="K62">IF(ISBLANK(J62), IF(ISBLANK(I62), "N/A", _xlfn.IFS(L62="AS", I62+15, L62="NCR", I62+30, L62="submitted", I62+30, TRUE, "N/A")), _xlfn.IFS(L62="AS", J62+15, L62="NCR", J62+30, L62="submitted", J62+30, TRUE, "N/A"))</f>
        <v>N/A</v>
      </c>
      <c r="L62" s="25"/>
      <c r="M62" s="317"/>
      <c r="N62" s="802"/>
      <c r="O62" s="803"/>
      <c r="P62" s="803"/>
      <c r="Q62" s="804"/>
    </row>
    <row r="63" spans="2:17" s="26" customFormat="1" ht="27">
      <c r="B63" s="22"/>
      <c r="C63" s="310" t="s">
        <v>368</v>
      </c>
      <c r="D63" s="23" t="s">
        <v>369</v>
      </c>
      <c r="E63" s="28" t="s">
        <v>161</v>
      </c>
      <c r="G63" s="22" t="s">
        <v>378</v>
      </c>
      <c r="H63" s="28" t="s">
        <v>379</v>
      </c>
      <c r="I63" s="22"/>
      <c r="J63" s="22"/>
      <c r="K63" s="557" t="str" cm="1">
        <f t="array" ref="K63">IF(ISBLANK(J63), IF(ISBLANK(I63), "N/A", _xlfn.IFS(L63="AS", I63+15, L63="NCR", I63+30, L63="submitted", I63+30, TRUE, "N/A")), _xlfn.IFS(L63="AS", J63+15, L63="NCR", J63+30, L63="submitted", J63+30, TRUE, "N/A"))</f>
        <v>N/A</v>
      </c>
      <c r="L63" s="25"/>
      <c r="M63" s="317"/>
      <c r="N63" s="802"/>
      <c r="O63" s="803"/>
      <c r="P63" s="803"/>
      <c r="Q63" s="804"/>
    </row>
    <row r="64" spans="2:17" s="26" customFormat="1" ht="27">
      <c r="B64" s="22"/>
      <c r="C64" s="310" t="s">
        <v>368</v>
      </c>
      <c r="D64" s="23" t="s">
        <v>369</v>
      </c>
      <c r="E64" s="28"/>
      <c r="G64" s="22" t="s">
        <v>352</v>
      </c>
      <c r="H64" s="24" t="s">
        <v>380</v>
      </c>
      <c r="I64" s="22"/>
      <c r="J64" s="22"/>
      <c r="K64" s="557" t="str" cm="1">
        <f t="array" ref="K64">IF(ISBLANK(J64), IF(ISBLANK(I64), "N/A", _xlfn.IFS(L64="AS", I64+15, L64="NCR", I64+30, L64="submitted", I64+30, TRUE, "N/A")), _xlfn.IFS(L64="AS", J64+15, L64="NCR", J64+30, L64="submitted", J64+30, TRUE, "N/A"))</f>
        <v>N/A</v>
      </c>
      <c r="L64" s="25"/>
      <c r="M64" s="317"/>
      <c r="N64" s="802"/>
      <c r="O64" s="803"/>
      <c r="P64" s="803"/>
      <c r="Q64" s="804"/>
    </row>
    <row r="65" spans="2:17" s="26" customFormat="1" ht="27">
      <c r="B65" s="22"/>
      <c r="C65" s="310" t="s">
        <v>368</v>
      </c>
      <c r="D65" s="23" t="s">
        <v>369</v>
      </c>
      <c r="E65" s="28" t="s">
        <v>381</v>
      </c>
      <c r="G65" s="22" t="s">
        <v>382</v>
      </c>
      <c r="H65" s="28" t="s">
        <v>383</v>
      </c>
      <c r="I65" s="22"/>
      <c r="J65" s="22"/>
      <c r="K65" s="557" t="str" cm="1">
        <f t="array" ref="K65">IF(ISBLANK(J65), IF(ISBLANK(I65), "N/A", _xlfn.IFS(L65="AS", I65+15, L65="NCR", I65+30, L65="submitted", I65+30, TRUE, "N/A")), _xlfn.IFS(L65="AS", J65+15, L65="NCR", J65+30, L65="submitted", J65+30, TRUE, "N/A"))</f>
        <v>N/A</v>
      </c>
      <c r="L65" s="25"/>
      <c r="M65" s="317"/>
      <c r="N65" s="802"/>
      <c r="O65" s="803"/>
      <c r="P65" s="803"/>
      <c r="Q65" s="804"/>
    </row>
    <row r="66" spans="2:17" s="26" customFormat="1" ht="27">
      <c r="B66" s="22"/>
      <c r="C66" s="310" t="s">
        <v>368</v>
      </c>
      <c r="D66" s="23" t="s">
        <v>369</v>
      </c>
      <c r="E66" s="28" t="s">
        <v>381</v>
      </c>
      <c r="G66" s="22" t="s">
        <v>384</v>
      </c>
      <c r="H66" s="28" t="s">
        <v>385</v>
      </c>
      <c r="I66" s="22"/>
      <c r="J66" s="22"/>
      <c r="K66" s="557" t="str" cm="1">
        <f t="array" ref="K66">IF(ISBLANK(J66), IF(ISBLANK(I66), "N/A", _xlfn.IFS(L66="AS", I66+15, L66="NCR", I66+30, L66="submitted", I66+30, TRUE, "N/A")), _xlfn.IFS(L66="AS", J66+15, L66="NCR", J66+30, L66="submitted", J66+30, TRUE, "N/A"))</f>
        <v>N/A</v>
      </c>
      <c r="L66" s="25"/>
      <c r="M66" s="317"/>
      <c r="N66" s="802"/>
      <c r="O66" s="803"/>
      <c r="P66" s="803"/>
      <c r="Q66" s="804"/>
    </row>
    <row r="67" spans="2:17" s="26" customFormat="1" ht="27">
      <c r="B67" s="22"/>
      <c r="C67" s="310" t="s">
        <v>368</v>
      </c>
      <c r="D67" s="23" t="s">
        <v>369</v>
      </c>
      <c r="E67" s="28"/>
      <c r="G67" s="22" t="s">
        <v>356</v>
      </c>
      <c r="H67" s="24" t="s">
        <v>341</v>
      </c>
      <c r="I67" s="22"/>
      <c r="J67" s="22"/>
      <c r="K67" s="557" t="str" cm="1">
        <f t="array" ref="K67">IF(ISBLANK(J67), IF(ISBLANK(I67), "N/A", _xlfn.IFS(L67="AS", I67+15, L67="NCR", I67+30, L67="submitted", I67+30, TRUE, "N/A")), _xlfn.IFS(L67="AS", J67+15, L67="NCR", J67+30, L67="submitted", J67+30, TRUE, "N/A"))</f>
        <v>N/A</v>
      </c>
      <c r="L67" s="25"/>
      <c r="M67" s="317"/>
      <c r="N67" s="802"/>
      <c r="O67" s="803"/>
      <c r="P67" s="803"/>
      <c r="Q67" s="804"/>
    </row>
    <row r="68" spans="2:17" s="26" customFormat="1" ht="27">
      <c r="B68" s="22"/>
      <c r="C68" s="310" t="s">
        <v>368</v>
      </c>
      <c r="D68" s="23" t="s">
        <v>369</v>
      </c>
      <c r="E68" s="28"/>
      <c r="G68" s="22" t="s">
        <v>358</v>
      </c>
      <c r="H68" s="28" t="s">
        <v>386</v>
      </c>
      <c r="I68" s="22"/>
      <c r="J68" s="22"/>
      <c r="K68" s="557" t="str" cm="1">
        <f t="array" ref="K68">IF(ISBLANK(J68), IF(ISBLANK(I68), "N/A", _xlfn.IFS(L68="AS", I68+15, L68="NCR", I68+30, L68="submitted", I68+30, TRUE, "N/A")), _xlfn.IFS(L68="AS", J68+15, L68="NCR", J68+30, L68="submitted", J68+30, TRUE, "N/A"))</f>
        <v>N/A</v>
      </c>
      <c r="L68" s="25"/>
      <c r="M68" s="317"/>
      <c r="N68" s="802"/>
      <c r="O68" s="803"/>
      <c r="P68" s="803"/>
      <c r="Q68" s="804"/>
    </row>
    <row r="69" spans="2:17" s="26" customFormat="1" ht="27">
      <c r="B69" s="22"/>
      <c r="C69" s="310" t="s">
        <v>387</v>
      </c>
      <c r="D69" s="76" t="s">
        <v>388</v>
      </c>
      <c r="E69" s="76"/>
      <c r="F69" s="26" t="s">
        <v>370</v>
      </c>
      <c r="G69" s="22" t="s">
        <v>208</v>
      </c>
      <c r="H69" s="28" t="s">
        <v>371</v>
      </c>
      <c r="I69" s="22"/>
      <c r="J69" s="22"/>
      <c r="K69" s="557" t="str" cm="1">
        <f t="array" ref="K69">IF(ISBLANK(J69), IF(ISBLANK(I69), "N/A", _xlfn.IFS(L69="AS", I69+15, L69="NCR", I69+30, L69="submitted", I69+30, TRUE, "N/A")), _xlfn.IFS(L69="AS", J69+15, L69="NCR", J69+30, L69="submitted", J69+30, TRUE, "N/A"))</f>
        <v>N/A</v>
      </c>
      <c r="L69" s="25"/>
      <c r="M69" s="317"/>
      <c r="N69" s="802"/>
      <c r="O69" s="803"/>
      <c r="P69" s="803"/>
      <c r="Q69" s="804"/>
    </row>
    <row r="70" spans="2:17" s="26" customFormat="1">
      <c r="B70" s="22"/>
      <c r="C70" s="96"/>
      <c r="D70" s="27"/>
      <c r="E70" s="27"/>
      <c r="G70" s="22" t="s">
        <v>281</v>
      </c>
      <c r="H70" s="28" t="s">
        <v>235</v>
      </c>
      <c r="I70" s="22"/>
      <c r="J70" s="22"/>
      <c r="K70" s="557" t="str" cm="1">
        <f t="array" ref="K70">IF(ISBLANK(J70), IF(ISBLANK(I70), "N/A", _xlfn.IFS(L70="AS", I70+15, L70="NCR", I70+30, L70="submitted", I70+30, TRUE, "N/A")), _xlfn.IFS(L70="AS", J70+15, L70="NCR", J70+30, L70="submitted", J70+30, TRUE, "N/A"))</f>
        <v>N/A</v>
      </c>
      <c r="L70" s="25"/>
      <c r="M70" s="317"/>
      <c r="N70" s="802"/>
      <c r="O70" s="803"/>
      <c r="P70" s="803"/>
      <c r="Q70" s="804"/>
    </row>
    <row r="71" spans="2:17" s="26" customFormat="1">
      <c r="B71" s="22"/>
      <c r="C71" s="368"/>
      <c r="D71" s="29"/>
      <c r="E71" s="29"/>
      <c r="G71" s="22" t="s">
        <v>269</v>
      </c>
      <c r="H71" s="28" t="s">
        <v>282</v>
      </c>
      <c r="I71" s="22"/>
      <c r="J71" s="22"/>
      <c r="K71" s="557" t="str" cm="1">
        <f t="array" ref="K71">IF(ISBLANK(J71), IF(ISBLANK(I71), "N/A", _xlfn.IFS(L71="AS", I71+15, L71="NCR", I71+30, L71="submitted", I71+30, TRUE, "N/A")), _xlfn.IFS(L71="AS", J71+15, L71="NCR", J71+30, L71="submitted", J71+30, TRUE, "N/A"))</f>
        <v>N/A</v>
      </c>
      <c r="L71" s="25"/>
      <c r="M71" s="317"/>
      <c r="N71" s="802"/>
      <c r="O71" s="803"/>
      <c r="P71" s="803"/>
      <c r="Q71" s="804"/>
    </row>
    <row r="72" spans="2:17" s="1" customFormat="1">
      <c r="B72" s="9"/>
      <c r="C72" s="32" t="s">
        <v>389</v>
      </c>
      <c r="D72" s="37" t="s">
        <v>390</v>
      </c>
      <c r="E72" s="37"/>
      <c r="G72" s="9" t="s">
        <v>391</v>
      </c>
      <c r="H72" s="13" t="s">
        <v>392</v>
      </c>
      <c r="I72" s="9"/>
      <c r="J72" s="9"/>
      <c r="K72" s="557" t="str" cm="1">
        <f t="array" ref="K72">IF(ISBLANK(J72), IF(ISBLANK(I72), "N/A", _xlfn.IFS(L72="AS", I72+15, L72="NCR", I72+30, L72="submitted", I72+30, TRUE, "N/A")), _xlfn.IFS(L72="AS", J72+15, L72="NCR", J72+30, L72="submitted", J72+30, TRUE, "N/A"))</f>
        <v>N/A</v>
      </c>
      <c r="L72" s="14"/>
      <c r="M72" s="317"/>
      <c r="N72" s="802"/>
      <c r="O72" s="803"/>
      <c r="P72" s="803"/>
      <c r="Q72" s="804"/>
    </row>
    <row r="73" spans="2:17" s="1" customFormat="1">
      <c r="B73" s="9"/>
      <c r="C73" s="97"/>
      <c r="D73" s="46"/>
      <c r="E73" s="46"/>
      <c r="G73" s="9" t="s">
        <v>393</v>
      </c>
      <c r="H73" s="13" t="s">
        <v>394</v>
      </c>
      <c r="I73" s="9"/>
      <c r="J73" s="9"/>
      <c r="K73" s="557" t="str" cm="1">
        <f t="array" ref="K73">IF(ISBLANK(J73), IF(ISBLANK(I73), "N/A", _xlfn.IFS(L73="AS", I73+15, L73="NCR", I73+30, L73="submitted", I73+30, TRUE, "N/A")), _xlfn.IFS(L73="AS", J73+15, L73="NCR", J73+30, L73="submitted", J73+30, TRUE, "N/A"))</f>
        <v>N/A</v>
      </c>
      <c r="L73" s="14"/>
      <c r="M73" s="317"/>
      <c r="N73" s="802"/>
      <c r="O73" s="803"/>
      <c r="P73" s="803"/>
      <c r="Q73" s="804"/>
    </row>
    <row r="74" spans="2:17" s="5" customFormat="1" ht="40.5">
      <c r="B74" s="4"/>
      <c r="C74" s="86" t="s">
        <v>395</v>
      </c>
      <c r="D74" s="34" t="s">
        <v>396</v>
      </c>
      <c r="E74" s="34"/>
      <c r="G74" s="4" t="s">
        <v>208</v>
      </c>
      <c r="H74" s="3" t="s">
        <v>397</v>
      </c>
      <c r="I74" s="4"/>
      <c r="J74" s="4"/>
      <c r="K74" s="557" t="str" cm="1">
        <f t="array" ref="K74">IF(ISBLANK(J74), IF(ISBLANK(I74), "N/A", _xlfn.IFS(L74="AS", I74+15, L74="NCR", I74+30, L74="submitted", I74+30, TRUE, "N/A")), _xlfn.IFS(L74="AS", J74+15, L74="NCR", J74+30, L74="submitted", J74+30, TRUE, "N/A"))</f>
        <v>N/A</v>
      </c>
      <c r="L74" s="18"/>
      <c r="M74" s="317"/>
      <c r="N74" s="802"/>
      <c r="O74" s="803"/>
      <c r="P74" s="803"/>
      <c r="Q74" s="804"/>
    </row>
    <row r="75" spans="2:17" s="5" customFormat="1" ht="27">
      <c r="B75" s="4"/>
      <c r="C75" s="95"/>
      <c r="D75" s="36"/>
      <c r="E75" s="36"/>
      <c r="G75" s="4" t="s">
        <v>281</v>
      </c>
      <c r="H75" s="3" t="s">
        <v>398</v>
      </c>
      <c r="I75" s="4"/>
      <c r="J75" s="4"/>
      <c r="K75" s="557" t="str" cm="1">
        <f t="array" ref="K75">IF(ISBLANK(J75), IF(ISBLANK(I75), "N/A", _xlfn.IFS(L75="AS", I75+15, L75="NCR", I75+30, L75="submitted", I75+30, TRUE, "N/A")), _xlfn.IFS(L75="AS", J75+15, L75="NCR", J75+30, L75="submitted", J75+30, TRUE, "N/A"))</f>
        <v>N/A</v>
      </c>
      <c r="L75" s="18"/>
      <c r="M75" s="317"/>
      <c r="N75" s="802"/>
      <c r="O75" s="803"/>
      <c r="P75" s="803"/>
      <c r="Q75" s="804"/>
    </row>
    <row r="76" spans="2:17" s="1" customFormat="1">
      <c r="B76" s="9"/>
      <c r="C76" s="11" t="s">
        <v>399</v>
      </c>
      <c r="D76" s="13" t="s">
        <v>400</v>
      </c>
      <c r="E76" s="13"/>
      <c r="G76" s="9" t="s">
        <v>208</v>
      </c>
      <c r="H76" s="13" t="s">
        <v>282</v>
      </c>
      <c r="I76" s="9"/>
      <c r="J76" s="9"/>
      <c r="K76" s="557" t="str" cm="1">
        <f t="array" ref="K76">IF(ISBLANK(J76), IF(ISBLANK(I76), "N/A", _xlfn.IFS(L76="AS", I76+15, L76="NCR", I76+30, L76="submitted", I76+30, TRUE, "N/A")), _xlfn.IFS(L76="AS", J76+15, L76="NCR", J76+30, L76="submitted", J76+30, TRUE, "N/A"))</f>
        <v>N/A</v>
      </c>
      <c r="L76" s="14"/>
      <c r="M76" s="317"/>
      <c r="N76" s="802"/>
      <c r="O76" s="803"/>
      <c r="P76" s="803"/>
      <c r="Q76" s="804"/>
    </row>
    <row r="77" spans="2:17" s="5" customFormat="1" ht="27">
      <c r="B77" s="4"/>
      <c r="C77" s="86" t="s">
        <v>401</v>
      </c>
      <c r="D77" s="34" t="s">
        <v>402</v>
      </c>
      <c r="E77" s="34"/>
      <c r="G77" s="4" t="s">
        <v>336</v>
      </c>
      <c r="H77" s="3" t="s">
        <v>403</v>
      </c>
      <c r="I77" s="4"/>
      <c r="J77" s="4"/>
      <c r="K77" s="557" t="str" cm="1">
        <f t="array" ref="K77">IF(ISBLANK(J77), IF(ISBLANK(I77), "N/A", _xlfn.IFS(L77="AS", I77+15, L77="NCR", I77+30, L77="submitted", I77+30, TRUE, "N/A")), _xlfn.IFS(L77="AS", J77+15, L77="NCR", J77+30, L77="submitted", J77+30, TRUE, "N/A"))</f>
        <v>N/A</v>
      </c>
      <c r="L77" s="18"/>
      <c r="M77" s="317"/>
      <c r="N77" s="802"/>
      <c r="O77" s="803"/>
      <c r="P77" s="803"/>
      <c r="Q77" s="804"/>
    </row>
    <row r="78" spans="2:17" s="5" customFormat="1">
      <c r="B78" s="19"/>
      <c r="C78" s="111"/>
      <c r="D78" s="35"/>
      <c r="E78" s="35"/>
      <c r="G78" s="19" t="s">
        <v>337</v>
      </c>
      <c r="H78" s="34" t="s">
        <v>235</v>
      </c>
      <c r="I78" s="19"/>
      <c r="J78" s="19"/>
      <c r="K78" s="557" t="str" cm="1">
        <f t="array" ref="K78">IF(ISBLANK(J78), IF(ISBLANK(I78), "N/A", _xlfn.IFS(L78="AS", I78+15, L78="NCR", I78+30, L78="submitted", I78+30, TRUE, "N/A")), _xlfn.IFS(L78="AS", J78+15, L78="NCR", J78+30, L78="submitted", J78+30, TRUE, "N/A"))</f>
        <v>N/A</v>
      </c>
      <c r="L78" s="30"/>
      <c r="M78" s="317"/>
      <c r="N78" s="802"/>
      <c r="O78" s="803"/>
      <c r="P78" s="803"/>
      <c r="Q78" s="804"/>
    </row>
    <row r="79" spans="2:17" s="5" customFormat="1">
      <c r="B79" s="19"/>
      <c r="C79" s="111"/>
      <c r="D79" s="35"/>
      <c r="E79" s="35"/>
      <c r="G79" s="19" t="s">
        <v>404</v>
      </c>
      <c r="H79" s="34" t="s">
        <v>282</v>
      </c>
      <c r="I79" s="19"/>
      <c r="J79" s="19"/>
      <c r="K79" s="557" t="str" cm="1">
        <f t="array" ref="K79">IF(ISBLANK(J79), IF(ISBLANK(I79), "N/A", _xlfn.IFS(L79="AS", I79+15, L79="NCR", I79+30, L79="submitted", I79+30, TRUE, "N/A")), _xlfn.IFS(L79="AS", J79+15, L79="NCR", J79+30, L79="submitted", J79+30, TRUE, "N/A"))</f>
        <v>N/A</v>
      </c>
      <c r="L79" s="30"/>
      <c r="M79" s="317"/>
      <c r="N79" s="802"/>
      <c r="O79" s="803"/>
      <c r="P79" s="803"/>
      <c r="Q79" s="804"/>
    </row>
    <row r="80" spans="2:17" s="5" customFormat="1">
      <c r="B80" s="19"/>
      <c r="C80" s="111"/>
      <c r="D80" s="35"/>
      <c r="E80" s="35"/>
      <c r="G80" s="19" t="s">
        <v>405</v>
      </c>
      <c r="H80" s="34" t="s">
        <v>353</v>
      </c>
      <c r="I80" s="19"/>
      <c r="J80" s="19"/>
      <c r="K80" s="557" t="str" cm="1">
        <f t="array" ref="K80">IF(ISBLANK(J80), IF(ISBLANK(I80), "N/A", _xlfn.IFS(L80="AS", I80+15, L80="NCR", I80+30, L80="submitted", I80+30, TRUE, "N/A")), _xlfn.IFS(L80="AS", J80+15, L80="NCR", J80+30, L80="submitted", J80+30, TRUE, "N/A"))</f>
        <v>N/A</v>
      </c>
      <c r="L80" s="30"/>
      <c r="M80" s="317"/>
      <c r="N80" s="802"/>
      <c r="O80" s="803"/>
      <c r="P80" s="803"/>
      <c r="Q80" s="804"/>
    </row>
    <row r="81" spans="2:17" s="5" customFormat="1" ht="40.5">
      <c r="B81" s="19"/>
      <c r="C81" s="111"/>
      <c r="D81" s="35"/>
      <c r="E81" s="35"/>
      <c r="G81" s="19" t="s">
        <v>406</v>
      </c>
      <c r="H81" s="53" t="s">
        <v>407</v>
      </c>
      <c r="I81" s="19"/>
      <c r="J81" s="19"/>
      <c r="K81" s="557" t="str" cm="1">
        <f t="array" ref="K81">IF(ISBLANK(J81), IF(ISBLANK(I81), "N/A", _xlfn.IFS(L81="AS", I81+15, L81="NCR", I81+30, L81="submitted", I81+30, TRUE, "N/A")), _xlfn.IFS(L81="AS", J81+15, L81="NCR", J81+30, L81="submitted", J81+30, TRUE, "N/A"))</f>
        <v>N/A</v>
      </c>
      <c r="L81" s="30"/>
      <c r="M81" s="317"/>
      <c r="N81" s="802"/>
      <c r="O81" s="803"/>
      <c r="P81" s="803"/>
      <c r="Q81" s="804"/>
    </row>
    <row r="82" spans="2:17" s="5" customFormat="1" ht="27">
      <c r="B82" s="19"/>
      <c r="C82" s="111"/>
      <c r="D82" s="35"/>
      <c r="E82" s="35"/>
      <c r="G82" s="19" t="s">
        <v>408</v>
      </c>
      <c r="H82" s="53" t="s">
        <v>409</v>
      </c>
      <c r="I82" s="19"/>
      <c r="J82" s="19"/>
      <c r="K82" s="557" t="str" cm="1">
        <f t="array" ref="K82">IF(ISBLANK(J82), IF(ISBLANK(I82), "N/A", _xlfn.IFS(L82="AS", I82+15, L82="NCR", I82+30, L82="submitted", I82+30, TRUE, "N/A")), _xlfn.IFS(L82="AS", J82+15, L82="NCR", J82+30, L82="submitted", J82+30, TRUE, "N/A"))</f>
        <v>N/A</v>
      </c>
      <c r="L82" s="30"/>
      <c r="M82" s="317"/>
      <c r="N82" s="802"/>
      <c r="O82" s="803"/>
      <c r="P82" s="803"/>
      <c r="Q82" s="804"/>
    </row>
    <row r="83" spans="2:17" s="5" customFormat="1" ht="27">
      <c r="B83" s="19"/>
      <c r="C83" s="111"/>
      <c r="D83" s="35"/>
      <c r="E83" s="35"/>
      <c r="G83" s="19" t="s">
        <v>410</v>
      </c>
      <c r="H83" s="53" t="s">
        <v>411</v>
      </c>
      <c r="I83" s="19"/>
      <c r="J83" s="19"/>
      <c r="K83" s="557" t="str" cm="1">
        <f t="array" ref="K83">IF(ISBLANK(J83), IF(ISBLANK(I83), "N/A", _xlfn.IFS(L83="AS", I83+15, L83="NCR", I83+30, L83="submitted", I83+30, TRUE, "N/A")), _xlfn.IFS(L83="AS", J83+15, L83="NCR", J83+30, L83="submitted", J83+30, TRUE, "N/A"))</f>
        <v>N/A</v>
      </c>
      <c r="L83" s="30"/>
      <c r="M83" s="317"/>
      <c r="N83" s="802"/>
      <c r="O83" s="803"/>
      <c r="P83" s="803"/>
      <c r="Q83" s="804"/>
    </row>
    <row r="84" spans="2:17" s="5" customFormat="1" ht="27">
      <c r="B84" s="19"/>
      <c r="C84" s="111"/>
      <c r="D84" s="35"/>
      <c r="E84" s="35"/>
      <c r="G84" s="19" t="s">
        <v>412</v>
      </c>
      <c r="H84" s="53" t="s">
        <v>413</v>
      </c>
      <c r="I84" s="19"/>
      <c r="J84" s="19"/>
      <c r="K84" s="557" t="str" cm="1">
        <f t="array" ref="K84">IF(ISBLANK(J84), IF(ISBLANK(I84), "N/A", _xlfn.IFS(L84="AS", I84+15, L84="NCR", I84+30, L84="submitted", I84+30, TRUE, "N/A")), _xlfn.IFS(L84="AS", J84+15, L84="NCR", J84+30, L84="submitted", J84+30, TRUE, "N/A"))</f>
        <v>N/A</v>
      </c>
      <c r="L84" s="30"/>
      <c r="M84" s="317"/>
      <c r="N84" s="802"/>
      <c r="O84" s="803"/>
      <c r="P84" s="803"/>
      <c r="Q84" s="804"/>
    </row>
    <row r="85" spans="2:17" s="5" customFormat="1" ht="27">
      <c r="B85" s="19"/>
      <c r="C85" s="95"/>
      <c r="D85" s="36"/>
      <c r="E85" s="35"/>
      <c r="G85" s="19" t="s">
        <v>414</v>
      </c>
      <c r="H85" s="53" t="s">
        <v>415</v>
      </c>
      <c r="I85" s="19"/>
      <c r="J85" s="19"/>
      <c r="K85" s="557" t="str" cm="1">
        <f t="array" ref="K85">IF(ISBLANK(J85), IF(ISBLANK(I85), "N/A", _xlfn.IFS(L85="AS", I85+15, L85="NCR", I85+30, L85="submitted", I85+30, TRUE, "N/A")), _xlfn.IFS(L85="AS", J85+15, L85="NCR", J85+30, L85="submitted", J85+30, TRUE, "N/A"))</f>
        <v>N/A</v>
      </c>
      <c r="L85" s="30"/>
      <c r="M85" s="317"/>
      <c r="N85" s="802"/>
      <c r="O85" s="803"/>
      <c r="P85" s="803"/>
      <c r="Q85" s="804"/>
    </row>
    <row r="86" spans="2:17" s="1" customFormat="1">
      <c r="B86" s="38"/>
      <c r="C86" s="32" t="s">
        <v>416</v>
      </c>
      <c r="D86" s="37" t="s">
        <v>417</v>
      </c>
      <c r="E86" s="37"/>
      <c r="G86" s="38" t="s">
        <v>336</v>
      </c>
      <c r="H86" s="40" t="s">
        <v>235</v>
      </c>
      <c r="I86" s="38"/>
      <c r="J86" s="38"/>
      <c r="K86" s="557" t="str" cm="1">
        <f t="array" ref="K86">IF(ISBLANK(J86), IF(ISBLANK(I86), "N/A", _xlfn.IFS(L86="AS", I86+15, L86="NCR", I86+30, L86="submitted", I86+30, TRUE, "N/A")), _xlfn.IFS(L86="AS", J86+15, L86="NCR", J86+30, L86="submitted", J86+30, TRUE, "N/A"))</f>
        <v>N/A</v>
      </c>
      <c r="L86" s="41"/>
      <c r="M86" s="317"/>
      <c r="N86" s="802"/>
      <c r="O86" s="803"/>
      <c r="P86" s="803"/>
      <c r="Q86" s="804"/>
    </row>
    <row r="87" spans="2:17" s="1" customFormat="1" ht="15.75" customHeight="1">
      <c r="B87" s="38"/>
      <c r="C87" s="33"/>
      <c r="D87" s="39"/>
      <c r="E87" s="39"/>
      <c r="G87" s="38" t="s">
        <v>240</v>
      </c>
      <c r="H87" s="40" t="s">
        <v>418</v>
      </c>
      <c r="I87" s="38"/>
      <c r="J87" s="38"/>
      <c r="K87" s="557" t="str" cm="1">
        <f t="array" ref="K87">IF(ISBLANK(J87), IF(ISBLANK(I87), "N/A", _xlfn.IFS(L87="AS", I87+15, L87="NCR", I87+30, L87="submitted", I87+30, TRUE, "N/A")), _xlfn.IFS(L87="AS", J87+15, L87="NCR", J87+30, L87="submitted", J87+30, TRUE, "N/A"))</f>
        <v>N/A</v>
      </c>
      <c r="L87" s="41"/>
      <c r="M87" s="317"/>
      <c r="N87" s="802"/>
      <c r="O87" s="803"/>
      <c r="P87" s="803"/>
      <c r="Q87" s="804"/>
    </row>
    <row r="88" spans="2:17" s="1" customFormat="1" ht="15" customHeight="1">
      <c r="B88" s="38"/>
      <c r="C88" s="33"/>
      <c r="D88" s="39"/>
      <c r="E88" s="39"/>
      <c r="G88" s="38" t="s">
        <v>242</v>
      </c>
      <c r="H88" s="40" t="s">
        <v>419</v>
      </c>
      <c r="I88" s="38"/>
      <c r="J88" s="38"/>
      <c r="K88" s="557" t="str" cm="1">
        <f t="array" ref="K88">IF(ISBLANK(J88), IF(ISBLANK(I88), "N/A", _xlfn.IFS(L88="AS", I88+15, L88="NCR", I88+30, L88="submitted", I88+30, TRUE, "N/A")), _xlfn.IFS(L88="AS", J88+15, L88="NCR", J88+30, L88="submitted", J88+30, TRUE, "N/A"))</f>
        <v>N/A</v>
      </c>
      <c r="L88" s="41"/>
      <c r="M88" s="317"/>
      <c r="N88" s="802"/>
      <c r="O88" s="803"/>
      <c r="P88" s="803"/>
      <c r="Q88" s="804"/>
    </row>
    <row r="89" spans="2:17" s="1" customFormat="1" ht="15" customHeight="1">
      <c r="B89" s="38"/>
      <c r="C89" s="33"/>
      <c r="D89" s="39"/>
      <c r="E89" s="39"/>
      <c r="G89" s="38" t="s">
        <v>404</v>
      </c>
      <c r="H89" s="40" t="s">
        <v>420</v>
      </c>
      <c r="I89" s="38"/>
      <c r="J89" s="38"/>
      <c r="K89" s="557" t="str" cm="1">
        <f t="array" ref="K89">IF(ISBLANK(J89), IF(ISBLANK(I89), "N/A", _xlfn.IFS(L89="AS", I89+15, L89="NCR", I89+30, L89="submitted", I89+30, TRUE, "N/A")), _xlfn.IFS(L89="AS", J89+15, L89="NCR", J89+30, L89="submitted", J89+30, TRUE, "N/A"))</f>
        <v>N/A</v>
      </c>
      <c r="L89" s="41"/>
      <c r="M89" s="317"/>
      <c r="N89" s="802"/>
      <c r="O89" s="803"/>
      <c r="P89" s="803"/>
      <c r="Q89" s="804"/>
    </row>
    <row r="90" spans="2:17" s="1" customFormat="1" ht="15" customHeight="1">
      <c r="B90" s="38"/>
      <c r="C90" s="33"/>
      <c r="D90" s="39"/>
      <c r="E90" s="39"/>
      <c r="G90" s="38" t="s">
        <v>421</v>
      </c>
      <c r="H90" s="40" t="s">
        <v>422</v>
      </c>
      <c r="I90" s="38"/>
      <c r="J90" s="38"/>
      <c r="K90" s="557" t="str" cm="1">
        <f t="array" ref="K90">IF(ISBLANK(J90), IF(ISBLANK(I90), "N/A", _xlfn.IFS(L90="AS", I90+15, L90="NCR", I90+30, L90="submitted", I90+30, TRUE, "N/A")), _xlfn.IFS(L90="AS", J90+15, L90="NCR", J90+30, L90="submitted", J90+30, TRUE, "N/A"))</f>
        <v>N/A</v>
      </c>
      <c r="L90" s="41"/>
      <c r="M90" s="317"/>
      <c r="N90" s="802"/>
      <c r="O90" s="803"/>
      <c r="P90" s="803"/>
      <c r="Q90" s="804"/>
    </row>
    <row r="91" spans="2:17" s="1" customFormat="1" ht="15" customHeight="1">
      <c r="B91" s="38"/>
      <c r="C91" s="33"/>
      <c r="D91" s="39"/>
      <c r="E91" s="39"/>
      <c r="G91" s="38" t="s">
        <v>423</v>
      </c>
      <c r="H91" s="40" t="s">
        <v>424</v>
      </c>
      <c r="I91" s="38"/>
      <c r="J91" s="38"/>
      <c r="K91" s="557" t="str" cm="1">
        <f t="array" ref="K91">IF(ISBLANK(J91), IF(ISBLANK(I91), "N/A", _xlfn.IFS(L91="AS", I91+15, L91="NCR", I91+30, L91="submitted", I91+30, TRUE, "N/A")), _xlfn.IFS(L91="AS", J91+15, L91="NCR", J91+30, L91="submitted", J91+30, TRUE, "N/A"))</f>
        <v>N/A</v>
      </c>
      <c r="L91" s="41"/>
      <c r="M91" s="317"/>
      <c r="N91" s="802"/>
      <c r="O91" s="803"/>
      <c r="P91" s="803"/>
      <c r="Q91" s="804"/>
    </row>
    <row r="92" spans="2:17" s="1" customFormat="1" ht="15" customHeight="1">
      <c r="B92" s="38"/>
      <c r="C92" s="33"/>
      <c r="D92" s="39"/>
      <c r="E92" s="39"/>
      <c r="G92" s="38" t="s">
        <v>425</v>
      </c>
      <c r="H92" s="40" t="s">
        <v>426</v>
      </c>
      <c r="I92" s="38"/>
      <c r="J92" s="38"/>
      <c r="K92" s="557" t="str" cm="1">
        <f t="array" ref="K92">IF(ISBLANK(J92), IF(ISBLANK(I92), "N/A", _xlfn.IFS(L92="AS", I92+15, L92="NCR", I92+30, L92="submitted", I92+30, TRUE, "N/A")), _xlfn.IFS(L92="AS", J92+15, L92="NCR", J92+30, L92="submitted", J92+30, TRUE, "N/A"))</f>
        <v>N/A</v>
      </c>
      <c r="L92" s="41"/>
      <c r="M92" s="317"/>
      <c r="N92" s="802"/>
      <c r="O92" s="803"/>
      <c r="P92" s="803"/>
      <c r="Q92" s="804"/>
    </row>
    <row r="93" spans="2:17" s="1" customFormat="1" ht="15" customHeight="1">
      <c r="B93" s="38"/>
      <c r="C93" s="33"/>
      <c r="D93" s="39"/>
      <c r="E93" s="39"/>
      <c r="G93" s="38" t="s">
        <v>427</v>
      </c>
      <c r="H93" s="40" t="s">
        <v>428</v>
      </c>
      <c r="I93" s="38"/>
      <c r="J93" s="38"/>
      <c r="K93" s="557" t="str" cm="1">
        <f t="array" ref="K93">IF(ISBLANK(J93), IF(ISBLANK(I93), "N/A", _xlfn.IFS(L93="AS", I93+15, L93="NCR", I93+30, L93="submitted", I93+30, TRUE, "N/A")), _xlfn.IFS(L93="AS", J93+15, L93="NCR", J93+30, L93="submitted", J93+30, TRUE, "N/A"))</f>
        <v>N/A</v>
      </c>
      <c r="L93" s="41"/>
      <c r="M93" s="317"/>
      <c r="N93" s="802"/>
      <c r="O93" s="803"/>
      <c r="P93" s="803"/>
      <c r="Q93" s="804"/>
    </row>
    <row r="94" spans="2:17" s="1" customFormat="1" ht="15" customHeight="1">
      <c r="B94" s="38"/>
      <c r="C94" s="33"/>
      <c r="D94" s="39"/>
      <c r="E94" s="39"/>
      <c r="G94" s="38" t="s">
        <v>429</v>
      </c>
      <c r="H94" s="40" t="s">
        <v>430</v>
      </c>
      <c r="I94" s="38"/>
      <c r="J94" s="38"/>
      <c r="K94" s="557" t="str" cm="1">
        <f t="array" ref="K94">IF(ISBLANK(J94), IF(ISBLANK(I94), "N/A", _xlfn.IFS(L94="AS", I94+15, L94="NCR", I94+30, L94="submitted", I94+30, TRUE, "N/A")), _xlfn.IFS(L94="AS", J94+15, L94="NCR", J94+30, L94="submitted", J94+30, TRUE, "N/A"))</f>
        <v>N/A</v>
      </c>
      <c r="L94" s="41"/>
      <c r="M94" s="317"/>
      <c r="N94" s="802"/>
      <c r="O94" s="803"/>
      <c r="P94" s="803"/>
      <c r="Q94" s="804"/>
    </row>
    <row r="95" spans="2:17" s="1" customFormat="1" ht="15" customHeight="1">
      <c r="B95" s="38"/>
      <c r="C95" s="33"/>
      <c r="D95" s="39"/>
      <c r="E95" s="39"/>
      <c r="G95" s="38" t="s">
        <v>431</v>
      </c>
      <c r="H95" s="40" t="s">
        <v>432</v>
      </c>
      <c r="I95" s="38"/>
      <c r="J95" s="38"/>
      <c r="K95" s="557" t="str" cm="1">
        <f t="array" ref="K95">IF(ISBLANK(J95), IF(ISBLANK(I95), "N/A", _xlfn.IFS(L95="AS", I95+15, L95="NCR", I95+30, L95="submitted", I95+30, TRUE, "N/A")), _xlfn.IFS(L95="AS", J95+15, L95="NCR", J95+30, L95="submitted", J95+30, TRUE, "N/A"))</f>
        <v>N/A</v>
      </c>
      <c r="L95" s="41"/>
      <c r="M95" s="317"/>
      <c r="N95" s="802"/>
      <c r="O95" s="803"/>
      <c r="P95" s="803"/>
      <c r="Q95" s="804"/>
    </row>
    <row r="96" spans="2:17" s="94" customFormat="1" ht="27">
      <c r="B96" s="90"/>
      <c r="C96" s="371"/>
      <c r="D96" s="91"/>
      <c r="E96" s="39"/>
      <c r="G96" s="90" t="s">
        <v>346</v>
      </c>
      <c r="H96" s="92" t="s">
        <v>433</v>
      </c>
      <c r="I96" s="90"/>
      <c r="J96" s="90"/>
      <c r="K96" s="557" t="str" cm="1">
        <f t="array" ref="K96">IF(ISBLANK(J96), IF(ISBLANK(I96), "N/A", _xlfn.IFS(L96="AS", I96+15, L96="NCR", I96+30, L96="submitted", I96+30, TRUE, "N/A")), _xlfn.IFS(L96="AS", J96+15, L96="NCR", J96+30, L96="submitted", J96+30, TRUE, "N/A"))</f>
        <v>N/A</v>
      </c>
      <c r="L96" s="93"/>
      <c r="M96" s="317"/>
      <c r="N96" s="802"/>
      <c r="O96" s="803"/>
      <c r="P96" s="803"/>
      <c r="Q96" s="804"/>
    </row>
    <row r="97" spans="2:17" s="5" customFormat="1">
      <c r="B97" s="73"/>
      <c r="C97" s="369" t="s">
        <v>434</v>
      </c>
      <c r="D97" s="370" t="s">
        <v>435</v>
      </c>
      <c r="E97" s="17"/>
      <c r="G97" s="73" t="s">
        <v>336</v>
      </c>
      <c r="H97" s="36" t="s">
        <v>436</v>
      </c>
      <c r="I97" s="73"/>
      <c r="J97" s="73"/>
      <c r="K97" s="557" t="str" cm="1">
        <f t="array" ref="K97">IF(ISBLANK(J97), IF(ISBLANK(I97), "N/A", _xlfn.IFS(L97="AS", I97+15, L97="NCR", I97+30, L97="submitted", I97+30, TRUE, "N/A")), _xlfn.IFS(L97="AS", J97+15, L97="NCR", J97+30, L97="submitted", J97+30, TRUE, "N/A"))</f>
        <v>N/A</v>
      </c>
      <c r="L97" s="74"/>
      <c r="M97" s="317"/>
      <c r="N97" s="802"/>
      <c r="O97" s="803"/>
      <c r="P97" s="803"/>
      <c r="Q97" s="804"/>
    </row>
    <row r="98" spans="2:17" s="5" customFormat="1">
      <c r="B98" s="73"/>
      <c r="C98" s="111"/>
      <c r="D98" s="35"/>
      <c r="E98" s="17"/>
      <c r="G98" s="73" t="s">
        <v>337</v>
      </c>
      <c r="H98" s="36" t="s">
        <v>437</v>
      </c>
      <c r="I98" s="73"/>
      <c r="J98" s="73"/>
      <c r="K98" s="557" t="str" cm="1">
        <f t="array" ref="K98">IF(ISBLANK(J98), IF(ISBLANK(I98), "N/A", _xlfn.IFS(L98="AS", I98+15, L98="NCR", I98+30, L98="submitted", I98+30, TRUE, "N/A")), _xlfn.IFS(L98="AS", J98+15, L98="NCR", J98+30, L98="submitted", J98+30, TRUE, "N/A"))</f>
        <v>N/A</v>
      </c>
      <c r="L98" s="74"/>
      <c r="M98" s="317"/>
      <c r="N98" s="802"/>
      <c r="O98" s="803"/>
      <c r="P98" s="803"/>
      <c r="Q98" s="804"/>
    </row>
    <row r="99" spans="2:17" s="5" customFormat="1">
      <c r="B99" s="73"/>
      <c r="C99" s="111"/>
      <c r="D99" s="35"/>
      <c r="E99" s="17"/>
      <c r="G99" s="73" t="s">
        <v>404</v>
      </c>
      <c r="H99" s="36" t="s">
        <v>328</v>
      </c>
      <c r="I99" s="73"/>
      <c r="J99" s="73"/>
      <c r="K99" s="557" t="str" cm="1">
        <f t="array" ref="K99">IF(ISBLANK(J99), IF(ISBLANK(I99), "N/A", _xlfn.IFS(L99="AS", I99+15, L99="NCR", I99+30, L99="submitted", I99+30, TRUE, "N/A")), _xlfn.IFS(L99="AS", J99+15, L99="NCR", J99+30, L99="submitted", J99+30, TRUE, "N/A"))</f>
        <v>N/A</v>
      </c>
      <c r="L99" s="74"/>
      <c r="M99" s="317"/>
      <c r="N99" s="802"/>
      <c r="O99" s="803"/>
      <c r="P99" s="803"/>
      <c r="Q99" s="804"/>
    </row>
    <row r="100" spans="2:17" s="5" customFormat="1">
      <c r="B100" s="73"/>
      <c r="C100" s="111"/>
      <c r="D100" s="35"/>
      <c r="E100" s="17"/>
      <c r="G100" s="73" t="s">
        <v>405</v>
      </c>
      <c r="H100" s="36" t="s">
        <v>438</v>
      </c>
      <c r="I100" s="73"/>
      <c r="J100" s="73"/>
      <c r="K100" s="557" t="str" cm="1">
        <f t="array" ref="K100">IF(ISBLANK(J100), IF(ISBLANK(I100), "N/A", _xlfn.IFS(L100="AS", I100+15, L100="NCR", I100+30, L100="submitted", I100+30, TRUE, "N/A")), _xlfn.IFS(L100="AS", J100+15, L100="NCR", J100+30, L100="submitted", J100+30, TRUE, "N/A"))</f>
        <v>N/A</v>
      </c>
      <c r="L100" s="74"/>
      <c r="M100" s="317"/>
      <c r="N100" s="802"/>
      <c r="O100" s="803"/>
      <c r="P100" s="803"/>
      <c r="Q100" s="804"/>
    </row>
    <row r="101" spans="2:17" s="5" customFormat="1">
      <c r="B101" s="73"/>
      <c r="C101" s="111"/>
      <c r="D101" s="35"/>
      <c r="E101" s="17"/>
      <c r="G101" s="73" t="s">
        <v>406</v>
      </c>
      <c r="H101" s="36" t="s">
        <v>439</v>
      </c>
      <c r="I101" s="73"/>
      <c r="J101" s="73"/>
      <c r="K101" s="557" t="str" cm="1">
        <f t="array" ref="K101">IF(ISBLANK(J101), IF(ISBLANK(I101), "N/A", _xlfn.IFS(L101="AS", I101+15, L101="NCR", I101+30, L101="submitted", I101+30, TRUE, "N/A")), _xlfn.IFS(L101="AS", J101+15, L101="NCR", J101+30, L101="submitted", J101+30, TRUE, "N/A"))</f>
        <v>N/A</v>
      </c>
      <c r="L101" s="74"/>
      <c r="M101" s="317"/>
      <c r="N101" s="802"/>
      <c r="O101" s="803"/>
      <c r="P101" s="803"/>
      <c r="Q101" s="804"/>
    </row>
    <row r="102" spans="2:17" s="5" customFormat="1">
      <c r="B102" s="73"/>
      <c r="C102" s="111"/>
      <c r="D102" s="35"/>
      <c r="E102" s="17"/>
      <c r="G102" s="73" t="s">
        <v>408</v>
      </c>
      <c r="H102" s="36" t="s">
        <v>440</v>
      </c>
      <c r="I102" s="73"/>
      <c r="J102" s="73"/>
      <c r="K102" s="557" t="str" cm="1">
        <f t="array" ref="K102">IF(ISBLANK(J102), IF(ISBLANK(I102), "N/A", _xlfn.IFS(L102="AS", I102+15, L102="NCR", I102+30, L102="submitted", I102+30, TRUE, "N/A")), _xlfn.IFS(L102="AS", J102+15, L102="NCR", J102+30, L102="submitted", J102+30, TRUE, "N/A"))</f>
        <v>N/A</v>
      </c>
      <c r="L102" s="74"/>
      <c r="M102" s="317"/>
      <c r="N102" s="802"/>
      <c r="O102" s="803"/>
      <c r="P102" s="803"/>
      <c r="Q102" s="804"/>
    </row>
    <row r="103" spans="2:17" s="5" customFormat="1" ht="27">
      <c r="B103" s="73"/>
      <c r="C103" s="111"/>
      <c r="D103" s="35"/>
      <c r="E103" s="17"/>
      <c r="G103" s="73" t="s">
        <v>441</v>
      </c>
      <c r="H103" s="75" t="s">
        <v>442</v>
      </c>
      <c r="I103" s="73"/>
      <c r="J103" s="73"/>
      <c r="K103" s="557" t="str" cm="1">
        <f t="array" ref="K103">IF(ISBLANK(J103), IF(ISBLANK(I103), "N/A", _xlfn.IFS(L103="AS", I103+15, L103="NCR", I103+30, L103="submitted", I103+30, TRUE, "N/A")), _xlfn.IFS(L103="AS", J103+15, L103="NCR", J103+30, L103="submitted", J103+30, TRUE, "N/A"))</f>
        <v>N/A</v>
      </c>
      <c r="L103" s="74"/>
      <c r="M103" s="317"/>
      <c r="N103" s="802"/>
      <c r="O103" s="803"/>
      <c r="P103" s="803"/>
      <c r="Q103" s="804"/>
    </row>
    <row r="104" spans="2:17" s="5" customFormat="1">
      <c r="B104" s="73"/>
      <c r="C104" s="111"/>
      <c r="D104" s="35"/>
      <c r="E104" s="17"/>
      <c r="G104" s="73" t="s">
        <v>443</v>
      </c>
      <c r="H104" s="36" t="s">
        <v>444</v>
      </c>
      <c r="I104" s="73"/>
      <c r="J104" s="73"/>
      <c r="K104" s="557" t="str" cm="1">
        <f t="array" ref="K104">IF(ISBLANK(J104), IF(ISBLANK(I104), "N/A", _xlfn.IFS(L104="AS", I104+15, L104="NCR", I104+30, L104="submitted", I104+30, TRUE, "N/A")), _xlfn.IFS(L104="AS", J104+15, L104="NCR", J104+30, L104="submitted", J104+30, TRUE, "N/A"))</f>
        <v>N/A</v>
      </c>
      <c r="L104" s="74"/>
      <c r="M104" s="317"/>
      <c r="N104" s="802"/>
      <c r="O104" s="803"/>
      <c r="P104" s="803"/>
      <c r="Q104" s="804"/>
    </row>
    <row r="105" spans="2:17" s="5" customFormat="1">
      <c r="B105" s="73"/>
      <c r="C105" s="111"/>
      <c r="D105" s="35"/>
      <c r="E105" s="17"/>
      <c r="G105" s="73" t="s">
        <v>445</v>
      </c>
      <c r="H105" s="36" t="s">
        <v>446</v>
      </c>
      <c r="I105" s="73"/>
      <c r="J105" s="73"/>
      <c r="K105" s="557" t="str" cm="1">
        <f t="array" ref="K105">IF(ISBLANK(J105), IF(ISBLANK(I105), "N/A", _xlfn.IFS(L105="AS", I105+15, L105="NCR", I105+30, L105="submitted", I105+30, TRUE, "N/A")), _xlfn.IFS(L105="AS", J105+15, L105="NCR", J105+30, L105="submitted", J105+30, TRUE, "N/A"))</f>
        <v>N/A</v>
      </c>
      <c r="L105" s="74"/>
      <c r="M105" s="317"/>
      <c r="N105" s="802"/>
      <c r="O105" s="803"/>
      <c r="P105" s="803"/>
      <c r="Q105" s="804"/>
    </row>
    <row r="106" spans="2:17" s="5" customFormat="1">
      <c r="B106" s="73"/>
      <c r="C106" s="111"/>
      <c r="D106" s="35"/>
      <c r="E106" s="17" t="s">
        <v>161</v>
      </c>
      <c r="G106" s="73" t="s">
        <v>447</v>
      </c>
      <c r="H106" s="75" t="s">
        <v>448</v>
      </c>
      <c r="I106" s="73"/>
      <c r="J106" s="73"/>
      <c r="K106" s="557" t="str" cm="1">
        <f t="array" ref="K106">IF(ISBLANK(J106), IF(ISBLANK(I106), "N/A", _xlfn.IFS(L106="AS", I106+15, L106="NCR", I106+30, L106="submitted", I106+30, TRUE, "N/A")), _xlfn.IFS(L106="AS", J106+15, L106="NCR", J106+30, L106="submitted", J106+30, TRUE, "N/A"))</f>
        <v>N/A</v>
      </c>
      <c r="L106" s="74"/>
      <c r="M106" s="317"/>
      <c r="N106" s="802"/>
      <c r="O106" s="803"/>
      <c r="P106" s="803"/>
      <c r="Q106" s="804"/>
    </row>
    <row r="107" spans="2:17" s="5" customFormat="1">
      <c r="B107" s="73"/>
      <c r="C107" s="111"/>
      <c r="D107" s="35"/>
      <c r="E107" s="17" t="s">
        <v>161</v>
      </c>
      <c r="G107" s="73" t="s">
        <v>449</v>
      </c>
      <c r="H107" s="75" t="s">
        <v>450</v>
      </c>
      <c r="I107" s="73"/>
      <c r="J107" s="73"/>
      <c r="K107" s="557" t="str" cm="1">
        <f t="array" ref="K107">IF(ISBLANK(J107), IF(ISBLANK(I107), "N/A", _xlfn.IFS(L107="AS", I107+15, L107="NCR", I107+30, L107="submitted", I107+30, TRUE, "N/A")), _xlfn.IFS(L107="AS", J107+15, L107="NCR", J107+30, L107="submitted", J107+30, TRUE, "N/A"))</f>
        <v>N/A</v>
      </c>
      <c r="L107" s="74"/>
      <c r="M107" s="317"/>
      <c r="N107" s="802"/>
      <c r="O107" s="803"/>
      <c r="P107" s="803"/>
      <c r="Q107" s="804"/>
    </row>
    <row r="108" spans="2:17" s="5" customFormat="1" ht="27">
      <c r="B108" s="73"/>
      <c r="C108" s="111"/>
      <c r="D108" s="35"/>
      <c r="E108" s="17" t="s">
        <v>161</v>
      </c>
      <c r="G108" s="73" t="s">
        <v>451</v>
      </c>
      <c r="H108" s="75" t="s">
        <v>452</v>
      </c>
      <c r="I108" s="73"/>
      <c r="J108" s="73"/>
      <c r="K108" s="557" t="str" cm="1">
        <f t="array" ref="K108">IF(ISBLANK(J108), IF(ISBLANK(I108), "N/A", _xlfn.IFS(L108="AS", I108+15, L108="NCR", I108+30, L108="submitted", I108+30, TRUE, "N/A")), _xlfn.IFS(L108="AS", J108+15, L108="NCR", J108+30, L108="submitted", J108+30, TRUE, "N/A"))</f>
        <v>N/A</v>
      </c>
      <c r="L108" s="74"/>
      <c r="M108" s="317"/>
      <c r="N108" s="802"/>
      <c r="O108" s="803"/>
      <c r="P108" s="803"/>
      <c r="Q108" s="804"/>
    </row>
    <row r="109" spans="2:17" s="5" customFormat="1" ht="27">
      <c r="B109" s="73"/>
      <c r="C109" s="111"/>
      <c r="D109" s="35"/>
      <c r="E109" s="17" t="s">
        <v>161</v>
      </c>
      <c r="G109" s="73" t="s">
        <v>453</v>
      </c>
      <c r="H109" s="75" t="s">
        <v>454</v>
      </c>
      <c r="I109" s="73"/>
      <c r="J109" s="73"/>
      <c r="K109" s="557" t="str" cm="1">
        <f t="array" ref="K109">IF(ISBLANK(J109), IF(ISBLANK(I109), "N/A", _xlfn.IFS(L109="AS", I109+15, L109="NCR", I109+30, L109="submitted", I109+30, TRUE, "N/A")), _xlfn.IFS(L109="AS", J109+15, L109="NCR", J109+30, L109="submitted", J109+30, TRUE, "N/A"))</f>
        <v>N/A</v>
      </c>
      <c r="L109" s="74"/>
      <c r="M109" s="317"/>
      <c r="N109" s="802"/>
      <c r="O109" s="803"/>
      <c r="P109" s="803"/>
      <c r="Q109" s="804"/>
    </row>
    <row r="110" spans="2:17" s="5" customFormat="1">
      <c r="B110" s="73"/>
      <c r="C110" s="111"/>
      <c r="D110" s="35"/>
      <c r="E110" s="17"/>
      <c r="G110" s="73" t="s">
        <v>455</v>
      </c>
      <c r="H110" s="75" t="s">
        <v>456</v>
      </c>
      <c r="I110" s="73"/>
      <c r="J110" s="73"/>
      <c r="K110" s="557" t="str" cm="1">
        <f t="array" ref="K110">IF(ISBLANK(J110), IF(ISBLANK(I110), "N/A", _xlfn.IFS(L110="AS", I110+15, L110="NCR", I110+30, L110="submitted", I110+30, TRUE, "N/A")), _xlfn.IFS(L110="AS", J110+15, L110="NCR", J110+30, L110="submitted", J110+30, TRUE, "N/A"))</f>
        <v>N/A</v>
      </c>
      <c r="L110" s="74"/>
      <c r="M110" s="317"/>
      <c r="N110" s="802"/>
      <c r="O110" s="803"/>
      <c r="P110" s="803"/>
      <c r="Q110" s="804"/>
    </row>
    <row r="111" spans="2:17" s="5" customFormat="1">
      <c r="B111" s="73"/>
      <c r="C111" s="111"/>
      <c r="D111" s="35"/>
      <c r="E111" s="17"/>
      <c r="G111" s="73" t="s">
        <v>457</v>
      </c>
      <c r="H111" s="36" t="s">
        <v>458</v>
      </c>
      <c r="I111" s="73"/>
      <c r="J111" s="73"/>
      <c r="K111" s="557" t="str" cm="1">
        <f t="array" ref="K111">IF(ISBLANK(J111), IF(ISBLANK(I111), "N/A", _xlfn.IFS(L111="AS", I111+15, L111="NCR", I111+30, L111="submitted", I111+30, TRUE, "N/A")), _xlfn.IFS(L111="AS", J111+15, L111="NCR", J111+30, L111="submitted", J111+30, TRUE, "N/A"))</f>
        <v>N/A</v>
      </c>
      <c r="L111" s="74"/>
      <c r="M111" s="317"/>
      <c r="N111" s="802"/>
      <c r="O111" s="803"/>
      <c r="P111" s="803"/>
      <c r="Q111" s="804"/>
    </row>
    <row r="112" spans="2:17" s="5" customFormat="1">
      <c r="B112" s="73"/>
      <c r="C112" s="111"/>
      <c r="D112" s="35"/>
      <c r="E112" s="17"/>
      <c r="G112" s="73" t="s">
        <v>459</v>
      </c>
      <c r="H112" s="36" t="s">
        <v>460</v>
      </c>
      <c r="I112" s="73"/>
      <c r="J112" s="73"/>
      <c r="K112" s="557" t="str" cm="1">
        <f t="array" ref="K112">IF(ISBLANK(J112), IF(ISBLANK(I112), "N/A", _xlfn.IFS(L112="AS", I112+15, L112="NCR", I112+30, L112="submitted", I112+30, TRUE, "N/A")), _xlfn.IFS(L112="AS", J112+15, L112="NCR", J112+30, L112="submitted", J112+30, TRUE, "N/A"))</f>
        <v>N/A</v>
      </c>
      <c r="L112" s="74"/>
      <c r="M112" s="317"/>
      <c r="N112" s="802"/>
      <c r="O112" s="803"/>
      <c r="P112" s="803"/>
      <c r="Q112" s="804"/>
    </row>
    <row r="113" spans="2:17" s="5" customFormat="1" ht="27">
      <c r="B113" s="73"/>
      <c r="C113" s="95"/>
      <c r="D113" s="36"/>
      <c r="E113" s="17"/>
      <c r="G113" s="73" t="s">
        <v>461</v>
      </c>
      <c r="H113" s="75" t="s">
        <v>462</v>
      </c>
      <c r="I113" s="73"/>
      <c r="J113" s="73"/>
      <c r="K113" s="557" t="str" cm="1">
        <f t="array" ref="K113">IF(ISBLANK(J113), IF(ISBLANK(I113), "N/A", _xlfn.IFS(L113="AS", I113+15, L113="NCR", I113+30, L113="submitted", I113+30, TRUE, "N/A")), _xlfn.IFS(L113="AS", J113+15, L113="NCR", J113+30, L113="submitted", J113+30, TRUE, "N/A"))</f>
        <v>N/A</v>
      </c>
      <c r="L113" s="74"/>
      <c r="M113" s="317"/>
      <c r="N113" s="802"/>
      <c r="O113" s="803"/>
      <c r="P113" s="803"/>
      <c r="Q113" s="804"/>
    </row>
    <row r="114" spans="2:17" s="1" customFormat="1" ht="27">
      <c r="B114" s="9"/>
      <c r="C114" s="32" t="s">
        <v>463</v>
      </c>
      <c r="D114" s="37" t="s">
        <v>464</v>
      </c>
      <c r="E114" s="37"/>
      <c r="G114" s="9" t="s">
        <v>336</v>
      </c>
      <c r="H114" s="7" t="s">
        <v>465</v>
      </c>
      <c r="I114" s="9"/>
      <c r="J114" s="9"/>
      <c r="K114" s="557"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1" customFormat="1">
      <c r="B115" s="9"/>
      <c r="C115" s="33"/>
      <c r="D115" s="39"/>
      <c r="E115" s="39"/>
      <c r="G115" s="9" t="s">
        <v>337</v>
      </c>
      <c r="H115" s="13" t="s">
        <v>436</v>
      </c>
      <c r="I115" s="9"/>
      <c r="J115" s="9"/>
      <c r="K115" s="557" t="str" cm="1">
        <f t="array" ref="K115">IF(ISBLANK(J115), IF(ISBLANK(I115), "N/A", _xlfn.IFS(L115="AS", I115+15, L115="NCR", I115+30, L115="submitted", I115+30, TRUE, "N/A")), _xlfn.IFS(L115="AS", J115+15, L115="NCR", J115+30, L115="submitted", J115+30, TRUE, "N/A"))</f>
        <v>N/A</v>
      </c>
      <c r="L115" s="14"/>
      <c r="M115" s="317"/>
      <c r="N115" s="802"/>
      <c r="O115" s="803"/>
      <c r="P115" s="803"/>
      <c r="Q115" s="804"/>
    </row>
    <row r="116" spans="2:17" s="1" customFormat="1">
      <c r="B116" s="9"/>
      <c r="C116" s="33"/>
      <c r="D116" s="39"/>
      <c r="E116" s="39"/>
      <c r="G116" s="9" t="s">
        <v>404</v>
      </c>
      <c r="H116" s="13" t="s">
        <v>328</v>
      </c>
      <c r="I116" s="9"/>
      <c r="J116" s="9"/>
      <c r="K116" s="557" t="str" cm="1">
        <f t="array" ref="K116">IF(ISBLANK(J116), IF(ISBLANK(I116), "N/A", _xlfn.IFS(L116="AS", I116+15, L116="NCR", I116+30, L116="submitted", I116+30, TRUE, "N/A")), _xlfn.IFS(L116="AS", J116+15, L116="NCR", J116+30, L116="submitted", J116+30, TRUE, "N/A"))</f>
        <v>N/A</v>
      </c>
      <c r="L116" s="14"/>
      <c r="M116" s="317"/>
      <c r="N116" s="802"/>
      <c r="O116" s="803"/>
      <c r="P116" s="803"/>
      <c r="Q116" s="804"/>
    </row>
    <row r="117" spans="2:17" s="1" customFormat="1">
      <c r="B117" s="9"/>
      <c r="C117" s="33"/>
      <c r="D117" s="39"/>
      <c r="E117" s="39"/>
      <c r="G117" s="9" t="s">
        <v>405</v>
      </c>
      <c r="H117" s="13" t="s">
        <v>438</v>
      </c>
      <c r="I117" s="9"/>
      <c r="J117" s="9"/>
      <c r="K117" s="557" t="str" cm="1">
        <f t="array" ref="K117">IF(ISBLANK(J117), IF(ISBLANK(I117), "N/A", _xlfn.IFS(L117="AS", I117+15, L117="NCR", I117+30, L117="submitted", I117+30, TRUE, "N/A")), _xlfn.IFS(L117="AS", J117+15, L117="NCR", J117+30, L117="submitted", J117+30, TRUE, "N/A"))</f>
        <v>N/A</v>
      </c>
      <c r="L117" s="14"/>
      <c r="M117" s="317"/>
      <c r="N117" s="802"/>
      <c r="O117" s="803"/>
      <c r="P117" s="803"/>
      <c r="Q117" s="804"/>
    </row>
    <row r="118" spans="2:17" s="1" customFormat="1">
      <c r="B118" s="9"/>
      <c r="C118" s="33"/>
      <c r="D118" s="39"/>
      <c r="E118" s="39"/>
      <c r="G118" s="9" t="s">
        <v>406</v>
      </c>
      <c r="H118" s="13" t="s">
        <v>466</v>
      </c>
      <c r="I118" s="9"/>
      <c r="J118" s="9"/>
      <c r="K118" s="557" t="str" cm="1">
        <f t="array" ref="K118">IF(ISBLANK(J118), IF(ISBLANK(I118), "N/A", _xlfn.IFS(L118="AS", I118+15, L118="NCR", I118+30, L118="submitted", I118+30, TRUE, "N/A")), _xlfn.IFS(L118="AS", J118+15, L118="NCR", J118+30, L118="submitted", J118+30, TRUE, "N/A"))</f>
        <v>N/A</v>
      </c>
      <c r="L118" s="14"/>
      <c r="M118" s="317"/>
      <c r="N118" s="802"/>
      <c r="O118" s="803"/>
      <c r="P118" s="803"/>
      <c r="Q118" s="804"/>
    </row>
    <row r="119" spans="2:17" s="1" customFormat="1">
      <c r="B119" s="9"/>
      <c r="C119" s="33"/>
      <c r="D119" s="39"/>
      <c r="E119" s="39"/>
      <c r="G119" s="9" t="s">
        <v>408</v>
      </c>
      <c r="H119" s="13" t="s">
        <v>467</v>
      </c>
      <c r="I119" s="9"/>
      <c r="J119" s="9"/>
      <c r="K119" s="557"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 r="B120" s="9"/>
      <c r="C120" s="33"/>
      <c r="D120" s="39"/>
      <c r="E120" s="39"/>
      <c r="G120" s="9" t="s">
        <v>441</v>
      </c>
      <c r="H120" s="7" t="s">
        <v>468</v>
      </c>
      <c r="I120" s="9"/>
      <c r="J120" s="9"/>
      <c r="K120" s="557"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1" customFormat="1" ht="40.5" customHeight="1">
      <c r="B121" s="9"/>
      <c r="C121" s="33"/>
      <c r="D121" s="39"/>
      <c r="E121" s="39" t="s">
        <v>161</v>
      </c>
      <c r="G121" s="9" t="s">
        <v>443</v>
      </c>
      <c r="H121" s="7" t="s">
        <v>469</v>
      </c>
      <c r="I121" s="9"/>
      <c r="J121" s="9"/>
      <c r="K121" s="557" t="str" cm="1">
        <f t="array" ref="K121">IF(ISBLANK(J121), IF(ISBLANK(I121), "N/A", _xlfn.IFS(L121="AS", I121+15, L121="NCR", I121+30, L121="submitted", I121+30, TRUE, "N/A")), _xlfn.IFS(L121="AS", J121+15, L121="NCR", J121+30, L121="submitted", J121+30, TRUE, "N/A"))</f>
        <v>N/A</v>
      </c>
      <c r="L121" s="14"/>
      <c r="M121" s="317"/>
      <c r="N121" s="799"/>
      <c r="O121" s="800"/>
      <c r="P121" s="800"/>
      <c r="Q121" s="801"/>
    </row>
    <row r="122" spans="2:17" s="1" customFormat="1">
      <c r="B122" s="9"/>
      <c r="C122" s="33"/>
      <c r="D122" s="39"/>
      <c r="E122" s="39"/>
      <c r="G122" s="9" t="s">
        <v>445</v>
      </c>
      <c r="H122" s="13" t="s">
        <v>341</v>
      </c>
      <c r="I122" s="9"/>
      <c r="J122" s="9"/>
      <c r="K122" s="557" t="str" cm="1">
        <f t="array" ref="K122">IF(ISBLANK(J122), IF(ISBLANK(I122), "N/A", _xlfn.IFS(L122="AS", I122+15, L122="NCR", I122+30, L122="submitted", I122+30, TRUE, "N/A")), _xlfn.IFS(L122="AS", J122+15, L122="NCR", J122+30, L122="submitted", J122+30, TRUE, "N/A"))</f>
        <v>N/A</v>
      </c>
      <c r="L122" s="14"/>
      <c r="M122" s="317"/>
      <c r="N122" s="799"/>
      <c r="O122" s="800"/>
      <c r="P122" s="800"/>
      <c r="Q122" s="801"/>
    </row>
    <row r="123" spans="2:17" s="1" customFormat="1" ht="111.75" customHeight="1">
      <c r="B123" s="9"/>
      <c r="C123" s="97"/>
      <c r="D123" s="46"/>
      <c r="E123" s="46"/>
      <c r="G123" s="9" t="s">
        <v>470</v>
      </c>
      <c r="H123" s="7" t="s">
        <v>471</v>
      </c>
      <c r="I123" s="9"/>
      <c r="J123" s="9"/>
      <c r="K123" s="557" t="str" cm="1">
        <f t="array" ref="K123">IF(ISBLANK(J123), IF(ISBLANK(I123), "N/A", _xlfn.IFS(L123="AS", I123+15, L123="NCR", I123+30, L123="submitted", I123+30, TRUE, "N/A")), _xlfn.IFS(L123="AS", J123+15, L123="NCR", J123+30, L123="submitted", J123+30, TRUE, "N/A"))</f>
        <v>N/A</v>
      </c>
      <c r="L123" s="14"/>
      <c r="M123" s="317"/>
      <c r="N123" s="799"/>
      <c r="O123" s="800"/>
      <c r="P123" s="800"/>
      <c r="Q123" s="801"/>
    </row>
    <row r="124" spans="2:17" s="5" customFormat="1" ht="27">
      <c r="B124" s="4"/>
      <c r="C124" s="15" t="s">
        <v>472</v>
      </c>
      <c r="D124" s="17" t="s">
        <v>473</v>
      </c>
      <c r="E124" s="17"/>
      <c r="G124" s="4" t="s">
        <v>336</v>
      </c>
      <c r="H124" s="3" t="s">
        <v>474</v>
      </c>
      <c r="I124" s="4"/>
      <c r="J124" s="4"/>
      <c r="K124" s="557"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c r="B125" s="9"/>
      <c r="C125" s="32" t="s">
        <v>475</v>
      </c>
      <c r="D125" s="37" t="s">
        <v>476</v>
      </c>
      <c r="E125" s="37"/>
      <c r="G125" s="9" t="s">
        <v>134</v>
      </c>
      <c r="H125" s="13" t="s">
        <v>235</v>
      </c>
      <c r="I125" s="9"/>
      <c r="J125" s="9"/>
      <c r="K125" s="557"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c r="B126" s="9"/>
      <c r="C126" s="33"/>
      <c r="D126" s="39"/>
      <c r="E126" s="39"/>
      <c r="G126" s="9" t="s">
        <v>136</v>
      </c>
      <c r="H126" s="13" t="s">
        <v>477</v>
      </c>
      <c r="I126" s="9"/>
      <c r="J126" s="9"/>
      <c r="K126" s="557"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27">
      <c r="B127" s="9"/>
      <c r="C127" s="33"/>
      <c r="D127" s="39"/>
      <c r="E127" s="39"/>
      <c r="G127" s="9" t="s">
        <v>478</v>
      </c>
      <c r="H127" s="7" t="s">
        <v>385</v>
      </c>
      <c r="I127" s="9"/>
      <c r="J127" s="9"/>
      <c r="K127" s="557"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27">
      <c r="B128" s="9"/>
      <c r="C128" s="97"/>
      <c r="D128" s="46"/>
      <c r="E128" s="46"/>
      <c r="G128" s="9" t="s">
        <v>479</v>
      </c>
      <c r="H128" s="7" t="s">
        <v>480</v>
      </c>
      <c r="I128" s="9"/>
      <c r="J128" s="9"/>
      <c r="K128" s="557"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5" customFormat="1">
      <c r="B129" s="4"/>
      <c r="C129" s="86" t="s">
        <v>481</v>
      </c>
      <c r="D129" s="34" t="s">
        <v>482</v>
      </c>
      <c r="E129" s="34"/>
      <c r="G129" s="4" t="s">
        <v>483</v>
      </c>
      <c r="H129" s="17" t="s">
        <v>484</v>
      </c>
      <c r="I129" s="4"/>
      <c r="J129" s="4"/>
      <c r="K129" s="557" t="str" cm="1">
        <f t="array" ref="K129">IF(ISBLANK(J129), IF(ISBLANK(I129), "N/A", _xlfn.IFS(L129="AS", I129+15, L129="NCR", I129+30, L129="submitted", I129+30, TRUE, "N/A")), _xlfn.IFS(L129="AS", J129+15, L129="NCR", J129+30, L129="submitted", J129+30, TRUE, "N/A"))</f>
        <v>N/A</v>
      </c>
      <c r="L129" s="18"/>
      <c r="M129" s="317"/>
      <c r="N129" s="802"/>
      <c r="O129" s="803"/>
      <c r="P129" s="803"/>
      <c r="Q129" s="804"/>
    </row>
    <row r="130" spans="2:17" s="5" customFormat="1">
      <c r="B130" s="4"/>
      <c r="C130" s="111"/>
      <c r="D130" s="35"/>
      <c r="E130" s="35"/>
      <c r="G130" s="4" t="s">
        <v>485</v>
      </c>
      <c r="H130" s="17" t="s">
        <v>282</v>
      </c>
      <c r="I130" s="4"/>
      <c r="J130" s="4"/>
      <c r="K130" s="557" t="str" cm="1">
        <f t="array" ref="K130">IF(ISBLANK(J130), IF(ISBLANK(I130), "N/A", _xlfn.IFS(L130="AS", I130+15, L130="NCR", I130+30, L130="submitted", I130+30, TRUE, "N/A")), _xlfn.IFS(L130="AS", J130+15, L130="NCR", J130+30, L130="submitted", J130+30, TRUE, "N/A"))</f>
        <v>N/A</v>
      </c>
      <c r="L130" s="18"/>
      <c r="M130" s="317"/>
      <c r="N130" s="802"/>
      <c r="O130" s="803"/>
      <c r="P130" s="803"/>
      <c r="Q130" s="804"/>
    </row>
    <row r="131" spans="2:17" s="5" customFormat="1">
      <c r="B131" s="4"/>
      <c r="C131" s="111"/>
      <c r="D131" s="35"/>
      <c r="E131" s="35"/>
      <c r="G131" s="4" t="s">
        <v>486</v>
      </c>
      <c r="H131" s="17" t="s">
        <v>353</v>
      </c>
      <c r="I131" s="4"/>
      <c r="J131" s="4"/>
      <c r="K131" s="557"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27">
      <c r="B132" s="4"/>
      <c r="C132" s="111"/>
      <c r="D132" s="35"/>
      <c r="E132" s="35"/>
      <c r="G132" s="4" t="s">
        <v>487</v>
      </c>
      <c r="H132" s="3" t="s">
        <v>385</v>
      </c>
      <c r="I132" s="4"/>
      <c r="J132" s="4"/>
      <c r="K132" s="557"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27">
      <c r="B133" s="4"/>
      <c r="C133" s="111"/>
      <c r="D133" s="35"/>
      <c r="E133" s="35"/>
      <c r="G133" s="4" t="s">
        <v>488</v>
      </c>
      <c r="H133" s="3" t="s">
        <v>480</v>
      </c>
      <c r="I133" s="4"/>
      <c r="J133" s="4"/>
      <c r="K133" s="557"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c r="B134" s="4"/>
      <c r="C134" s="95"/>
      <c r="D134" s="36"/>
      <c r="E134" s="36"/>
      <c r="G134" s="4" t="s">
        <v>489</v>
      </c>
      <c r="H134" s="17" t="s">
        <v>490</v>
      </c>
      <c r="I134" s="4"/>
      <c r="J134" s="4"/>
      <c r="K134" s="557"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1" customFormat="1">
      <c r="B135" s="9"/>
      <c r="C135" s="32" t="s">
        <v>491</v>
      </c>
      <c r="D135" s="37" t="s">
        <v>492</v>
      </c>
      <c r="E135" s="37"/>
      <c r="G135" s="9" t="s">
        <v>483</v>
      </c>
      <c r="H135" s="13" t="s">
        <v>235</v>
      </c>
      <c r="I135" s="9"/>
      <c r="J135" s="9"/>
      <c r="K135" s="557"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s="1" customFormat="1">
      <c r="B136" s="9"/>
      <c r="C136" s="33"/>
      <c r="D136" s="39"/>
      <c r="E136" s="39"/>
      <c r="G136" s="9" t="s">
        <v>485</v>
      </c>
      <c r="H136" s="13" t="s">
        <v>353</v>
      </c>
      <c r="I136" s="9"/>
      <c r="J136" s="9"/>
      <c r="K136" s="557"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s="1" customFormat="1">
      <c r="B137" s="9"/>
      <c r="C137" s="33"/>
      <c r="D137" s="39"/>
      <c r="E137" s="39"/>
      <c r="G137" s="9" t="s">
        <v>486</v>
      </c>
      <c r="H137" s="13" t="s">
        <v>282</v>
      </c>
      <c r="I137" s="9"/>
      <c r="J137" s="9"/>
      <c r="K137" s="557" t="str" cm="1">
        <f t="array" ref="K137">IF(ISBLANK(J137), IF(ISBLANK(I137), "N/A", _xlfn.IFS(L137="AS", I137+15, L137="NCR", I137+30, L137="submitted", I137+30, TRUE, "N/A")), _xlfn.IFS(L137="AS", J137+15, L137="NCR", J137+30, L137="submitted", J137+30, TRUE, "N/A"))</f>
        <v>N/A</v>
      </c>
      <c r="L137" s="14"/>
      <c r="M137" s="317"/>
      <c r="N137" s="802"/>
      <c r="O137" s="803"/>
      <c r="P137" s="803"/>
      <c r="Q137" s="804"/>
    </row>
    <row r="138" spans="2:17" s="1" customFormat="1" ht="27">
      <c r="B138" s="9"/>
      <c r="C138" s="33"/>
      <c r="D138" s="39"/>
      <c r="E138" s="39"/>
      <c r="G138" s="9" t="s">
        <v>487</v>
      </c>
      <c r="H138" s="7" t="s">
        <v>493</v>
      </c>
      <c r="I138" s="9"/>
      <c r="J138" s="9"/>
      <c r="K138" s="557"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c r="B139" s="9"/>
      <c r="C139" s="33"/>
      <c r="D139" s="39"/>
      <c r="E139" s="39"/>
      <c r="G139" s="9" t="s">
        <v>494</v>
      </c>
      <c r="H139" s="7" t="s">
        <v>495</v>
      </c>
      <c r="I139" s="9"/>
      <c r="J139" s="9"/>
      <c r="K139" s="557"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27">
      <c r="B140" s="9"/>
      <c r="C140" s="33"/>
      <c r="D140" s="39"/>
      <c r="E140" s="39"/>
      <c r="G140" s="9" t="s">
        <v>496</v>
      </c>
      <c r="H140" s="7" t="s">
        <v>385</v>
      </c>
      <c r="I140" s="9"/>
      <c r="J140" s="9"/>
      <c r="K140" s="557"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c r="B141" s="9"/>
      <c r="C141" s="33"/>
      <c r="D141" s="39"/>
      <c r="E141" s="39"/>
      <c r="G141" s="9" t="s">
        <v>497</v>
      </c>
      <c r="H141" s="13" t="s">
        <v>498</v>
      </c>
      <c r="I141" s="9"/>
      <c r="J141" s="9"/>
      <c r="K141" s="557"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c r="B142" s="9"/>
      <c r="C142" s="33"/>
      <c r="D142" s="39"/>
      <c r="E142" s="39"/>
      <c r="G142" s="9" t="s">
        <v>489</v>
      </c>
      <c r="H142" s="13" t="s">
        <v>490</v>
      </c>
      <c r="I142" s="9"/>
      <c r="J142" s="9"/>
      <c r="K142" s="557"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27">
      <c r="B143" s="9"/>
      <c r="C143" s="97"/>
      <c r="D143" s="46"/>
      <c r="E143" s="46"/>
      <c r="G143" s="9" t="s">
        <v>499</v>
      </c>
      <c r="H143" s="7" t="s">
        <v>500</v>
      </c>
      <c r="I143" s="9"/>
      <c r="J143" s="9"/>
      <c r="K143" s="557"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5" customFormat="1">
      <c r="B144" s="4"/>
      <c r="C144" s="86" t="s">
        <v>501</v>
      </c>
      <c r="D144" s="34" t="s">
        <v>502</v>
      </c>
      <c r="E144" s="34"/>
      <c r="G144" s="4" t="s">
        <v>281</v>
      </c>
      <c r="H144" s="17" t="s">
        <v>235</v>
      </c>
      <c r="I144" s="4"/>
      <c r="J144" s="4"/>
      <c r="K144" s="557"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s="5" customFormat="1">
      <c r="B145" s="19"/>
      <c r="C145" s="111"/>
      <c r="D145" s="35"/>
      <c r="E145" s="35"/>
      <c r="G145" s="19" t="s">
        <v>269</v>
      </c>
      <c r="H145" s="34" t="s">
        <v>477</v>
      </c>
      <c r="I145" s="19"/>
      <c r="J145" s="19"/>
      <c r="K145" s="557" t="str" cm="1">
        <f t="array" ref="K145">IF(ISBLANK(J145), IF(ISBLANK(I145), "N/A", _xlfn.IFS(L145="AS", I145+15, L145="NCR", I145+30, L145="submitted", I145+30, TRUE, "N/A")), _xlfn.IFS(L145="AS", J145+15, L145="NCR", J145+30, L145="submitted", J145+30, TRUE, "N/A"))</f>
        <v>N/A</v>
      </c>
      <c r="L145" s="30"/>
      <c r="M145" s="317"/>
      <c r="N145" s="802"/>
      <c r="O145" s="803"/>
      <c r="P145" s="803"/>
      <c r="Q145" s="804"/>
    </row>
    <row r="146" spans="2:17" s="5" customFormat="1" ht="27">
      <c r="B146" s="19"/>
      <c r="C146" s="111"/>
      <c r="D146" s="35"/>
      <c r="E146" s="35"/>
      <c r="G146" s="19" t="s">
        <v>372</v>
      </c>
      <c r="H146" s="53" t="s">
        <v>385</v>
      </c>
      <c r="I146" s="19"/>
      <c r="J146" s="19"/>
      <c r="K146" s="557" t="str" cm="1">
        <f t="array" ref="K146">IF(ISBLANK(J146), IF(ISBLANK(I146), "N/A", _xlfn.IFS(L146="AS", I146+15, L146="NCR", I146+30, L146="submitted", I146+30, TRUE, "N/A")), _xlfn.IFS(L146="AS", J146+15, L146="NCR", J146+30, L146="submitted", J146+30, TRUE, "N/A"))</f>
        <v>N/A</v>
      </c>
      <c r="L146" s="30"/>
      <c r="M146" s="317"/>
      <c r="N146" s="802"/>
      <c r="O146" s="803"/>
      <c r="P146" s="803"/>
      <c r="Q146" s="804"/>
    </row>
    <row r="147" spans="2:17" s="5" customFormat="1" ht="27">
      <c r="B147" s="19"/>
      <c r="C147" s="95"/>
      <c r="D147" s="36"/>
      <c r="E147" s="35"/>
      <c r="G147" s="19" t="s">
        <v>503</v>
      </c>
      <c r="H147" s="53" t="s">
        <v>480</v>
      </c>
      <c r="I147" s="19"/>
      <c r="J147" s="19"/>
      <c r="K147" s="557" t="str" cm="1">
        <f t="array" ref="K147">IF(ISBLANK(J147), IF(ISBLANK(I147), "N/A", _xlfn.IFS(L147="AS", I147+15, L147="NCR", I147+30, L147="submitted", I147+30, TRUE, "N/A")), _xlfn.IFS(L147="AS", J147+15, L147="NCR", J147+30, L147="submitted", J147+30, TRUE, "N/A"))</f>
        <v>N/A</v>
      </c>
      <c r="L147" s="30"/>
      <c r="M147" s="317"/>
      <c r="N147" s="802"/>
      <c r="O147" s="803"/>
      <c r="P147" s="803"/>
      <c r="Q147" s="804"/>
    </row>
    <row r="148" spans="2:17" s="1" customFormat="1">
      <c r="B148" s="38"/>
      <c r="C148" s="32" t="s">
        <v>504</v>
      </c>
      <c r="D148" s="37" t="s">
        <v>505</v>
      </c>
      <c r="E148" s="37"/>
      <c r="G148" s="38" t="s">
        <v>281</v>
      </c>
      <c r="H148" s="40" t="s">
        <v>235</v>
      </c>
      <c r="I148" s="38"/>
      <c r="J148" s="38"/>
      <c r="K148" s="557" t="str" cm="1">
        <f t="array" ref="K148">IF(ISBLANK(J148), IF(ISBLANK(I148), "N/A", _xlfn.IFS(L148="AS", I148+15, L148="NCR", I148+30, L148="submitted", I148+30, TRUE, "N/A")), _xlfn.IFS(L148="AS", J148+15, L148="NCR", J148+30, L148="submitted", J148+30, TRUE, "N/A"))</f>
        <v>N/A</v>
      </c>
      <c r="L148" s="41"/>
      <c r="M148" s="317"/>
      <c r="N148" s="802"/>
      <c r="O148" s="803"/>
      <c r="P148" s="803"/>
      <c r="Q148" s="804"/>
    </row>
    <row r="149" spans="2:17" s="1" customFormat="1" ht="15.75" customHeight="1">
      <c r="B149" s="38"/>
      <c r="C149" s="33"/>
      <c r="D149" s="39"/>
      <c r="E149" s="39"/>
      <c r="G149" s="38" t="s">
        <v>269</v>
      </c>
      <c r="H149" s="40" t="s">
        <v>506</v>
      </c>
      <c r="I149" s="38"/>
      <c r="J149" s="38"/>
      <c r="K149" s="557" t="str" cm="1">
        <f t="array" ref="K149">IF(ISBLANK(J149), IF(ISBLANK(I149), "N/A", _xlfn.IFS(L149="AS", I149+15, L149="NCR", I149+30, L149="submitted", I149+30, TRUE, "N/A")), _xlfn.IFS(L149="AS", J149+15, L149="NCR", J149+30, L149="submitted", J149+30, TRUE, "N/A"))</f>
        <v>N/A</v>
      </c>
      <c r="L149" s="41"/>
      <c r="M149" s="317"/>
      <c r="N149" s="802"/>
      <c r="O149" s="803"/>
      <c r="P149" s="803"/>
      <c r="Q149" s="804"/>
    </row>
    <row r="150" spans="2:17" s="1" customFormat="1" ht="15" customHeight="1">
      <c r="B150" s="38"/>
      <c r="C150" s="33"/>
      <c r="D150" s="39"/>
      <c r="E150" s="39"/>
      <c r="G150" s="38" t="s">
        <v>259</v>
      </c>
      <c r="H150" s="40" t="s">
        <v>507</v>
      </c>
      <c r="I150" s="38"/>
      <c r="J150" s="38"/>
      <c r="K150" s="557" t="str" cm="1">
        <f t="array" ref="K150">IF(ISBLANK(J150), IF(ISBLANK(I150), "N/A", _xlfn.IFS(L150="AS", I150+15, L150="NCR", I150+30, L150="submitted", I150+30, TRUE, "N/A")), _xlfn.IFS(L150="AS", J150+15, L150="NCR", J150+30, L150="submitted", J150+30, TRUE, "N/A"))</f>
        <v>N/A</v>
      </c>
      <c r="L150" s="41"/>
      <c r="M150" s="317"/>
      <c r="N150" s="802"/>
      <c r="O150" s="803"/>
      <c r="P150" s="803"/>
      <c r="Q150" s="804"/>
    </row>
    <row r="151" spans="2:17" s="1" customFormat="1" ht="15" customHeight="1">
      <c r="B151" s="38"/>
      <c r="C151" s="33"/>
      <c r="D151" s="39"/>
      <c r="E151" s="39"/>
      <c r="G151" s="38" t="s">
        <v>352</v>
      </c>
      <c r="H151" s="40" t="s">
        <v>341</v>
      </c>
      <c r="I151" s="38"/>
      <c r="J151" s="38"/>
      <c r="K151" s="557" t="str" cm="1">
        <f t="array" ref="K151">IF(ISBLANK(J151), IF(ISBLANK(I151), "N/A", _xlfn.IFS(L151="AS", I151+15, L151="NCR", I151+30, L151="submitted", I151+30, TRUE, "N/A")), _xlfn.IFS(L151="AS", J151+15, L151="NCR", J151+30, L151="submitted", J151+30, TRUE, "N/A"))</f>
        <v>N/A</v>
      </c>
      <c r="L151" s="41"/>
      <c r="M151" s="317"/>
      <c r="N151" s="802"/>
      <c r="O151" s="803"/>
      <c r="P151" s="803"/>
      <c r="Q151" s="804"/>
    </row>
    <row r="152" spans="2:17" s="1" customFormat="1" ht="27">
      <c r="B152" s="38"/>
      <c r="C152" s="33"/>
      <c r="D152" s="39"/>
      <c r="E152" s="39"/>
      <c r="G152" s="38" t="s">
        <v>354</v>
      </c>
      <c r="H152" s="40" t="s">
        <v>508</v>
      </c>
      <c r="I152" s="38"/>
      <c r="J152" s="38"/>
      <c r="K152" s="557" t="str" cm="1">
        <f t="array" ref="K152">IF(ISBLANK(J152), IF(ISBLANK(I152), "N/A", _xlfn.IFS(L152="AS", I152+15, L152="NCR", I152+30, L152="submitted", I152+30, TRUE, "N/A")), _xlfn.IFS(L152="AS", J152+15, L152="NCR", J152+30, L152="submitted", J152+30, TRUE, "N/A"))</f>
        <v>N/A</v>
      </c>
      <c r="L152" s="41"/>
      <c r="M152" s="317"/>
      <c r="N152" s="802"/>
      <c r="O152" s="803"/>
      <c r="P152" s="803"/>
      <c r="Q152" s="804"/>
    </row>
    <row r="153" spans="2:17" s="1" customFormat="1" ht="15" customHeight="1">
      <c r="B153" s="38"/>
      <c r="C153" s="33"/>
      <c r="D153" s="39"/>
      <c r="E153" s="39"/>
      <c r="G153" s="38" t="s">
        <v>356</v>
      </c>
      <c r="H153" s="40" t="s">
        <v>282</v>
      </c>
      <c r="I153" s="38"/>
      <c r="J153" s="38"/>
      <c r="K153" s="557" t="str" cm="1">
        <f t="array" ref="K153">IF(ISBLANK(J153), IF(ISBLANK(I153), "N/A", _xlfn.IFS(L153="AS", I153+15, L153="NCR", I153+30, L153="submitted", I153+30, TRUE, "N/A")), _xlfn.IFS(L153="AS", J153+15, L153="NCR", J153+30, L153="submitted", J153+30, TRUE, "N/A"))</f>
        <v>N/A</v>
      </c>
      <c r="L153" s="41"/>
      <c r="M153" s="317"/>
      <c r="N153" s="802"/>
      <c r="O153" s="803"/>
      <c r="P153" s="803"/>
      <c r="Q153" s="804"/>
    </row>
    <row r="154" spans="2:17" s="1" customFormat="1" ht="15" customHeight="1">
      <c r="B154" s="38"/>
      <c r="C154" s="33"/>
      <c r="D154" s="39"/>
      <c r="E154" s="39"/>
      <c r="G154" s="38" t="s">
        <v>358</v>
      </c>
      <c r="H154" s="40" t="s">
        <v>484</v>
      </c>
      <c r="I154" s="38"/>
      <c r="J154" s="38"/>
      <c r="K154" s="557" t="str" cm="1">
        <f t="array" ref="K154">IF(ISBLANK(J154), IF(ISBLANK(I154), "N/A", _xlfn.IFS(L154="AS", I154+15, L154="NCR", I154+30, L154="submitted", I154+30, TRUE, "N/A")), _xlfn.IFS(L154="AS", J154+15, L154="NCR", J154+30, L154="submitted", J154+30, TRUE, "N/A"))</f>
        <v>N/A</v>
      </c>
      <c r="L154" s="41"/>
      <c r="M154" s="317"/>
      <c r="N154" s="802"/>
      <c r="O154" s="803"/>
      <c r="P154" s="803"/>
      <c r="Q154" s="804"/>
    </row>
    <row r="155" spans="2:17" s="94" customFormat="1" ht="15.75" customHeight="1">
      <c r="B155" s="90"/>
      <c r="C155" s="371"/>
      <c r="D155" s="91"/>
      <c r="E155" s="91"/>
      <c r="G155" s="90" t="s">
        <v>362</v>
      </c>
      <c r="H155" s="98" t="s">
        <v>509</v>
      </c>
      <c r="I155" s="90"/>
      <c r="J155" s="90"/>
      <c r="K155" s="557" t="str" cm="1">
        <f t="array" ref="K155">IF(ISBLANK(J155), IF(ISBLANK(I155), "N/A", _xlfn.IFS(L155="AS", I155+15, L155="NCR", I155+30, L155="submitted", I155+30, TRUE, "N/A")), _xlfn.IFS(L155="AS", J155+15, L155="NCR", J155+30, L155="submitted", J155+30, TRUE, "N/A"))</f>
        <v>N/A</v>
      </c>
      <c r="L155" s="93"/>
      <c r="M155" s="317"/>
      <c r="N155" s="802"/>
      <c r="O155" s="803"/>
      <c r="P155" s="803"/>
      <c r="Q155" s="804"/>
    </row>
    <row r="156" spans="2:17" s="5" customFormat="1">
      <c r="B156" s="73"/>
      <c r="C156" s="831" t="s">
        <v>510</v>
      </c>
      <c r="D156" s="832" t="s">
        <v>511</v>
      </c>
      <c r="E156" s="35"/>
      <c r="F156" s="35"/>
      <c r="G156" s="73" t="s">
        <v>512</v>
      </c>
      <c r="H156" s="36" t="s">
        <v>235</v>
      </c>
      <c r="I156" s="18"/>
      <c r="J156" s="18"/>
      <c r="K156" s="557" t="str" cm="1">
        <f t="array" ref="K156">IF(ISBLANK(J156), IF(ISBLANK(I156), "N/A", _xlfn.IFS(L156="AS", I156+15, L156="NCR", I156+30, L156="submitted", I156+30, TRUE, "N/A")), _xlfn.IFS(L156="AS", J156+15, L156="NCR", J156+30, L156="submitted", J156+30, TRUE, "N/A"))</f>
        <v>N/A</v>
      </c>
      <c r="L156"/>
      <c r="M156" s="317"/>
      <c r="N156" s="802"/>
      <c r="O156" s="803"/>
      <c r="P156" s="803"/>
      <c r="Q156" s="804"/>
    </row>
    <row r="157" spans="2:17" s="5" customFormat="1">
      <c r="B157" s="73"/>
      <c r="C157" s="829"/>
      <c r="D157" s="830"/>
      <c r="E157" s="35"/>
      <c r="F157" s="35"/>
      <c r="G157" s="73" t="s">
        <v>513</v>
      </c>
      <c r="H157" s="36" t="s">
        <v>282</v>
      </c>
      <c r="I157" s="18"/>
      <c r="J157" s="18"/>
      <c r="K157" s="557" t="str" cm="1">
        <f t="array" ref="K157">IF(ISBLANK(J157), IF(ISBLANK(I157), "N/A", _xlfn.IFS(L157="AS", I157+15, L157="NCR", I157+30, L157="submitted", I157+30, TRUE, "N/A")), _xlfn.IFS(L157="AS", J157+15, L157="NCR", J157+30, L157="submitted", J157+30, TRUE, "N/A"))</f>
        <v>N/A</v>
      </c>
      <c r="L157"/>
      <c r="M157" s="317"/>
      <c r="N157" s="802"/>
      <c r="O157" s="803"/>
      <c r="P157" s="803"/>
      <c r="Q157" s="804"/>
    </row>
    <row r="158" spans="2:17" s="5" customFormat="1">
      <c r="B158" s="73"/>
      <c r="C158" s="829"/>
      <c r="D158" s="830"/>
      <c r="E158" s="35"/>
      <c r="F158" s="35"/>
      <c r="G158" s="73" t="s">
        <v>514</v>
      </c>
      <c r="H158" s="36" t="s">
        <v>353</v>
      </c>
      <c r="I158" s="18"/>
      <c r="J158" s="18"/>
      <c r="K158" s="557" t="str" cm="1">
        <f t="array" ref="K158">IF(ISBLANK(J158), IF(ISBLANK(I158), "N/A", _xlfn.IFS(L158="AS", I158+15, L158="NCR", I158+30, L158="submitted", I158+30, TRUE, "N/A")), _xlfn.IFS(L158="AS", J158+15, L158="NCR", J158+30, L158="submitted", J158+30, TRUE, "N/A"))</f>
        <v>N/A</v>
      </c>
      <c r="L158"/>
      <c r="M158" s="317"/>
      <c r="N158" s="802"/>
      <c r="O158" s="803"/>
      <c r="P158" s="803"/>
      <c r="Q158" s="804"/>
    </row>
    <row r="159" spans="2:17" s="5" customFormat="1">
      <c r="B159" s="73"/>
      <c r="C159" s="829"/>
      <c r="D159" s="830"/>
      <c r="E159" s="35"/>
      <c r="F159" s="35"/>
      <c r="G159" s="73" t="s">
        <v>515</v>
      </c>
      <c r="H159" s="36" t="s">
        <v>380</v>
      </c>
      <c r="I159" s="18"/>
      <c r="J159" s="18"/>
      <c r="K159" s="557" t="str" cm="1">
        <f t="array" ref="K159">IF(ISBLANK(J159), IF(ISBLANK(I159), "N/A", _xlfn.IFS(L159="AS", I159+15, L159="NCR", I159+30, L159="submitted", I159+30, TRUE, "N/A")), _xlfn.IFS(L159="AS", J159+15, L159="NCR", J159+30, L159="submitted", J159+30, TRUE, "N/A"))</f>
        <v>N/A</v>
      </c>
      <c r="L159"/>
      <c r="M159" s="317"/>
      <c r="N159" s="802"/>
      <c r="O159" s="803"/>
      <c r="P159" s="803"/>
      <c r="Q159" s="804"/>
    </row>
    <row r="160" spans="2:17" s="5" customFormat="1">
      <c r="B160" s="73"/>
      <c r="C160" s="829"/>
      <c r="D160" s="830"/>
      <c r="E160" s="35"/>
      <c r="F160" s="35"/>
      <c r="G160" s="73" t="s">
        <v>516</v>
      </c>
      <c r="H160" s="36" t="s">
        <v>517</v>
      </c>
      <c r="I160" s="18"/>
      <c r="J160" s="18"/>
      <c r="K160" s="557" t="str" cm="1">
        <f t="array" ref="K160">IF(ISBLANK(J160), IF(ISBLANK(I160), "N/A", _xlfn.IFS(L160="AS", I160+15, L160="NCR", I160+30, L160="submitted", I160+30, TRUE, "N/A")), _xlfn.IFS(L160="AS", J160+15, L160="NCR", J160+30, L160="submitted", J160+30, TRUE, "N/A"))</f>
        <v>N/A</v>
      </c>
      <c r="L160"/>
      <c r="M160" s="317"/>
      <c r="N160" s="802"/>
      <c r="O160" s="803"/>
      <c r="P160" s="803"/>
      <c r="Q160" s="804"/>
    </row>
    <row r="161" spans="2:17" s="5" customFormat="1">
      <c r="B161" s="73"/>
      <c r="C161" s="826"/>
      <c r="D161" s="828"/>
      <c r="E161" s="36"/>
      <c r="F161" s="36"/>
      <c r="G161" s="73" t="s">
        <v>518</v>
      </c>
      <c r="H161" s="36" t="s">
        <v>519</v>
      </c>
      <c r="I161" s="18"/>
      <c r="J161" s="18"/>
      <c r="K161" s="557" t="str" cm="1">
        <f t="array" ref="K161">IF(ISBLANK(J161), IF(ISBLANK(I161), "N/A", _xlfn.IFS(L161="AS", I161+15, L161="NCR", I161+30, L161="submitted", I161+30, TRUE, "N/A")), _xlfn.IFS(L161="AS", J161+15, L161="NCR", J161+30, L161="submitted", J161+30, TRUE, "N/A"))</f>
        <v>N/A</v>
      </c>
      <c r="L161"/>
      <c r="M161" s="317"/>
      <c r="N161" s="802"/>
      <c r="O161" s="803"/>
      <c r="P161" s="803"/>
      <c r="Q161" s="804"/>
    </row>
    <row r="162" spans="2:17" s="1" customFormat="1">
      <c r="B162" s="9" t="s">
        <v>520</v>
      </c>
      <c r="C162" s="32" t="s">
        <v>521</v>
      </c>
      <c r="D162" s="2" t="s">
        <v>522</v>
      </c>
      <c r="E162" s="37" t="s">
        <v>523</v>
      </c>
      <c r="F162" s="37" t="s">
        <v>524</v>
      </c>
      <c r="G162" s="9" t="s">
        <v>336</v>
      </c>
      <c r="H162" s="13" t="s">
        <v>235</v>
      </c>
      <c r="I162" s="18">
        <v>45929</v>
      </c>
      <c r="J162" s="18"/>
      <c r="K162" s="557" cm="1">
        <f t="array" ref="K162">IF(ISBLANK(J162), IF(ISBLANK(I162), "N/A", _xlfn.IFS(L162="AS", I162+15, L162="NCR", I162+30, L162="submitted", I162+30, TRUE, "N/A")), _xlfn.IFS(L162="AS", J162+15, L162="NCR", J162+30, L162="submitted", J162+30, TRUE, "N/A"))</f>
        <v>45959</v>
      </c>
      <c r="L162" t="s">
        <v>231</v>
      </c>
      <c r="M162" s="317"/>
      <c r="N162" s="802"/>
      <c r="O162" s="803"/>
      <c r="P162" s="803"/>
      <c r="Q162" s="804"/>
    </row>
    <row r="163" spans="2:17" s="525" customFormat="1">
      <c r="B163" s="523" t="s">
        <v>67</v>
      </c>
      <c r="C163" s="537" t="s">
        <v>521</v>
      </c>
      <c r="D163" s="531" t="s">
        <v>522</v>
      </c>
      <c r="E163" s="610" t="s">
        <v>68</v>
      </c>
      <c r="F163" s="610"/>
      <c r="G163" s="523" t="s">
        <v>525</v>
      </c>
      <c r="H163" s="532" t="s">
        <v>526</v>
      </c>
      <c r="I163" s="533">
        <v>45888</v>
      </c>
      <c r="J163" s="533">
        <v>45910</v>
      </c>
      <c r="K163" s="557" t="str" cm="1">
        <f t="array" ref="K163">IF(ISBLANK(J163), IF(ISBLANK(I163), "N/A", _xlfn.IFS(L163="AS", I163+15, L163="NCR", I163+30, L163="submitted", I163+30, TRUE, "N/A")), _xlfn.IFS(L163="AS", J163+15, L163="NCR", J163+30, L163="submitted", J163+30, TRUE, "N/A"))</f>
        <v>N/A</v>
      </c>
      <c r="L163" s="528" t="s">
        <v>147</v>
      </c>
      <c r="M163" s="317"/>
      <c r="N163" s="802"/>
      <c r="O163" s="803"/>
      <c r="P163" s="803"/>
      <c r="Q163" s="804"/>
    </row>
    <row r="164" spans="2:17" s="525" customFormat="1">
      <c r="B164" s="523" t="s">
        <v>527</v>
      </c>
      <c r="C164" s="537" t="s">
        <v>521</v>
      </c>
      <c r="D164" s="531" t="s">
        <v>522</v>
      </c>
      <c r="E164" s="610" t="s">
        <v>68</v>
      </c>
      <c r="F164" s="610"/>
      <c r="G164" s="523" t="s">
        <v>525</v>
      </c>
      <c r="H164" s="532" t="s">
        <v>526</v>
      </c>
      <c r="I164" s="533">
        <v>45911</v>
      </c>
      <c r="J164" s="533"/>
      <c r="K164" s="557" cm="1">
        <f t="array" ref="K164">IF(ISBLANK(J164), IF(ISBLANK(I164), "N/A", _xlfn.IFS(L164="AS", I164+15, L164="NCR", I164+30, L164="submitted", I164+30, TRUE, "N/A")), _xlfn.IFS(L164="AS", J164+15, L164="NCR", J164+30, L164="submitted", J164+30, TRUE, "N/A"))</f>
        <v>45941</v>
      </c>
      <c r="L164" s="528" t="s">
        <v>231</v>
      </c>
      <c r="M164" s="317"/>
      <c r="N164" s="802"/>
      <c r="O164" s="803"/>
      <c r="P164" s="803"/>
      <c r="Q164" s="804"/>
    </row>
    <row r="165" spans="2:17" s="1" customFormat="1">
      <c r="B165" s="9"/>
      <c r="C165" s="32" t="s">
        <v>521</v>
      </c>
      <c r="D165" s="2" t="s">
        <v>522</v>
      </c>
      <c r="E165" s="46"/>
      <c r="F165" s="46"/>
      <c r="G165" s="9" t="s">
        <v>337</v>
      </c>
      <c r="H165" s="13" t="s">
        <v>353</v>
      </c>
      <c r="I165" s="18"/>
      <c r="J165" s="18"/>
      <c r="K165" s="557" t="str" cm="1">
        <f t="array" ref="K165">IF(ISBLANK(J165), IF(ISBLANK(I165), "N/A", _xlfn.IFS(L165="AS", I165+15, L165="NCR", I165+30, L165="submitted", I165+30, TRUE, "N/A")), _xlfn.IFS(L165="AS", J165+15, L165="NCR", J165+30, L165="submitted", J165+30, TRUE, "N/A"))</f>
        <v>N/A</v>
      </c>
      <c r="L165"/>
      <c r="M165" s="317"/>
      <c r="N165" s="802"/>
      <c r="O165" s="803"/>
      <c r="P165" s="803"/>
      <c r="Q165" s="804"/>
    </row>
    <row r="166" spans="2:17" s="5" customFormat="1">
      <c r="B166" s="4"/>
      <c r="C166" s="825" t="s">
        <v>528</v>
      </c>
      <c r="D166" s="827" t="s">
        <v>529</v>
      </c>
      <c r="E166" s="34"/>
      <c r="F166" s="34"/>
      <c r="G166" s="4" t="s">
        <v>208</v>
      </c>
      <c r="H166" s="17" t="s">
        <v>484</v>
      </c>
      <c r="I166" s="18"/>
      <c r="J166" s="18"/>
      <c r="K166" s="557" t="str" cm="1">
        <f t="array" ref="K166">IF(ISBLANK(J166), IF(ISBLANK(I166), "N/A", _xlfn.IFS(L166="AS", I166+15, L166="NCR", I166+30, L166="submitted", I166+30, TRUE, "N/A")), _xlfn.IFS(L166="AS", J166+15, L166="NCR", J166+30, L166="submitted", J166+30, TRUE, "N/A"))</f>
        <v>N/A</v>
      </c>
      <c r="L166"/>
      <c r="M166" s="317"/>
      <c r="N166" s="802"/>
      <c r="O166" s="803"/>
      <c r="P166" s="803"/>
      <c r="Q166" s="804"/>
    </row>
    <row r="167" spans="2:17" s="5" customFormat="1">
      <c r="B167" s="4"/>
      <c r="C167" s="829"/>
      <c r="D167" s="830"/>
      <c r="E167" s="35"/>
      <c r="F167" s="35"/>
      <c r="G167" s="4" t="s">
        <v>281</v>
      </c>
      <c r="H167" s="17" t="s">
        <v>530</v>
      </c>
      <c r="I167" s="18"/>
      <c r="J167" s="18"/>
      <c r="K167" s="557" t="str" cm="1">
        <f t="array" ref="K167">IF(ISBLANK(J167), IF(ISBLANK(I167), "N/A", _xlfn.IFS(L167="AS", I167+15, L167="NCR", I167+30, L167="submitted", I167+30, TRUE, "N/A")), _xlfn.IFS(L167="AS", J167+15, L167="NCR", J167+30, L167="submitted", J167+30, TRUE, "N/A"))</f>
        <v>N/A</v>
      </c>
      <c r="L167"/>
      <c r="M167" s="317"/>
      <c r="N167" s="802"/>
      <c r="O167" s="803"/>
      <c r="P167" s="803"/>
      <c r="Q167" s="804"/>
    </row>
    <row r="168" spans="2:17" s="5" customFormat="1">
      <c r="B168" s="4"/>
      <c r="C168" s="826"/>
      <c r="D168" s="828"/>
      <c r="E168" s="36"/>
      <c r="F168" s="36"/>
      <c r="G168" s="4" t="s">
        <v>269</v>
      </c>
      <c r="H168" s="17" t="s">
        <v>531</v>
      </c>
      <c r="I168" s="18"/>
      <c r="J168" s="18"/>
      <c r="K168" s="557" t="str" cm="1">
        <f t="array" ref="K168">IF(ISBLANK(J168), IF(ISBLANK(I168), "N/A", _xlfn.IFS(L168="AS", I168+15, L168="NCR", I168+30, L168="submitted", I168+30, TRUE, "N/A")), _xlfn.IFS(L168="AS", J168+15, L168="NCR", J168+30, L168="submitted", J168+30, TRUE, "N/A"))</f>
        <v>N/A</v>
      </c>
      <c r="L168"/>
      <c r="M168" s="317"/>
      <c r="N168" s="802"/>
      <c r="O168" s="803"/>
      <c r="P168" s="803"/>
      <c r="Q168" s="804"/>
    </row>
    <row r="169" spans="2:17" s="1" customFormat="1">
      <c r="B169" s="9"/>
      <c r="C169" s="11" t="s">
        <v>532</v>
      </c>
      <c r="D169" s="13" t="s">
        <v>533</v>
      </c>
      <c r="E169" s="13"/>
      <c r="F169" s="13"/>
      <c r="G169" s="9" t="s">
        <v>281</v>
      </c>
      <c r="H169" s="13" t="s">
        <v>484</v>
      </c>
      <c r="I169" s="18"/>
      <c r="J169" s="18"/>
      <c r="K169" s="557" t="str" cm="1">
        <f t="array" ref="K169">IF(ISBLANK(J169), IF(ISBLANK(I169), "N/A", _xlfn.IFS(L169="AS", I169+15, L169="NCR", I169+30, L169="submitted", I169+30, TRUE, "N/A")), _xlfn.IFS(L169="AS", J169+15, L169="NCR", J169+30, L169="submitted", J169+30, TRUE, "N/A"))</f>
        <v>N/A</v>
      </c>
      <c r="L169"/>
      <c r="M169" s="317"/>
      <c r="N169" s="802"/>
      <c r="O169" s="803"/>
      <c r="P169" s="803"/>
      <c r="Q169" s="804"/>
    </row>
    <row r="170" spans="2:17" s="5" customFormat="1">
      <c r="B170" s="4"/>
      <c r="C170" s="825" t="s">
        <v>534</v>
      </c>
      <c r="D170" s="827" t="s">
        <v>535</v>
      </c>
      <c r="E170" s="34"/>
      <c r="F170" s="34"/>
      <c r="G170" s="4" t="s">
        <v>281</v>
      </c>
      <c r="H170" s="17" t="s">
        <v>484</v>
      </c>
      <c r="I170" s="18"/>
      <c r="J170" s="18"/>
      <c r="K170" s="557" t="str" cm="1">
        <f t="array" ref="K170">IF(ISBLANK(J170), IF(ISBLANK(I170), "N/A", _xlfn.IFS(L170="AS", I170+15, L170="NCR", I170+30, L170="submitted", I170+30, TRUE, "N/A")), _xlfn.IFS(L170="AS", J170+15, L170="NCR", J170+30, L170="submitted", J170+30, TRUE, "N/A"))</f>
        <v>N/A</v>
      </c>
      <c r="L170"/>
      <c r="M170" s="317"/>
      <c r="N170" s="802"/>
      <c r="O170" s="803"/>
      <c r="P170" s="803"/>
      <c r="Q170" s="804"/>
    </row>
    <row r="171" spans="2:17" s="5" customFormat="1">
      <c r="B171" s="4"/>
      <c r="C171" s="829"/>
      <c r="D171" s="830"/>
      <c r="E171" s="35"/>
      <c r="F171" s="35"/>
      <c r="G171" s="19" t="s">
        <v>269</v>
      </c>
      <c r="H171" s="34" t="s">
        <v>353</v>
      </c>
      <c r="I171" s="18"/>
      <c r="J171" s="18"/>
      <c r="K171" s="557" t="str" cm="1">
        <f t="array" ref="K171">IF(ISBLANK(J171), IF(ISBLANK(I171), "N/A", _xlfn.IFS(L171="AS", I171+15, L171="NCR", I171+30, L171="submitted", I171+30, TRUE, "N/A")), _xlfn.IFS(L171="AS", J171+15, L171="NCR", J171+30, L171="submitted", J171+30, TRUE, "N/A"))</f>
        <v>N/A</v>
      </c>
      <c r="L171"/>
      <c r="M171" s="317"/>
      <c r="N171" s="802"/>
      <c r="O171" s="803"/>
      <c r="P171" s="803"/>
      <c r="Q171" s="804"/>
    </row>
    <row r="172" spans="2:17" s="5" customFormat="1">
      <c r="B172" s="4"/>
      <c r="C172" s="826"/>
      <c r="D172" s="828"/>
      <c r="E172" s="36"/>
      <c r="F172" s="36"/>
      <c r="G172" s="73"/>
      <c r="H172" s="36"/>
      <c r="I172" s="18"/>
      <c r="J172" s="18"/>
      <c r="K172" s="557" t="str" cm="1">
        <f t="array" ref="K172">IF(ISBLANK(J172), IF(ISBLANK(I172), "N/A", _xlfn.IFS(L172="AS", I172+15, L172="NCR", I172+30, L172="submitted", I172+30, TRUE, "N/A")), _xlfn.IFS(L172="AS", J172+15, L172="NCR", J172+30, L172="submitted", J172+30, TRUE, "N/A"))</f>
        <v>N/A</v>
      </c>
      <c r="L172"/>
      <c r="M172" s="317"/>
      <c r="N172" s="802"/>
      <c r="O172" s="803"/>
      <c r="P172" s="803"/>
      <c r="Q172" s="804"/>
    </row>
    <row r="173" spans="2:17" s="1" customFormat="1">
      <c r="B173" s="9"/>
      <c r="C173" s="821" t="s">
        <v>536</v>
      </c>
      <c r="D173" s="823" t="s">
        <v>537</v>
      </c>
      <c r="E173" s="37"/>
      <c r="F173" s="37"/>
      <c r="G173" s="9" t="s">
        <v>281</v>
      </c>
      <c r="H173" s="13" t="s">
        <v>274</v>
      </c>
      <c r="I173" s="18"/>
      <c r="J173" s="18"/>
      <c r="K173" s="557" t="str" cm="1">
        <f t="array" ref="K173">IF(ISBLANK(J173), IF(ISBLANK(I173), "N/A", _xlfn.IFS(L173="AS", I173+15, L173="NCR", I173+30, L173="submitted", I173+30, TRUE, "N/A")), _xlfn.IFS(L173="AS", J173+15, L173="NCR", J173+30, L173="submitted", J173+30, TRUE, "N/A"))</f>
        <v>N/A</v>
      </c>
      <c r="L173"/>
      <c r="M173" s="317"/>
      <c r="N173" s="802"/>
      <c r="O173" s="803"/>
      <c r="P173" s="803"/>
      <c r="Q173" s="804"/>
    </row>
    <row r="174" spans="2:17" s="1" customFormat="1">
      <c r="B174" s="9"/>
      <c r="C174" s="807"/>
      <c r="D174" s="809"/>
      <c r="E174" s="46"/>
      <c r="F174" s="46"/>
      <c r="G174" s="9" t="s">
        <v>269</v>
      </c>
      <c r="H174" s="13" t="s">
        <v>353</v>
      </c>
      <c r="I174" s="18"/>
      <c r="J174" s="18"/>
      <c r="K174" s="557" t="str" cm="1">
        <f t="array" ref="K174">IF(ISBLANK(J174), IF(ISBLANK(I174), "N/A", _xlfn.IFS(L174="AS", I174+15, L174="NCR", I174+30, L174="submitted", I174+30, TRUE, "N/A")), _xlfn.IFS(L174="AS", J174+15, L174="NCR", J174+30, L174="submitted", J174+30, TRUE, "N/A"))</f>
        <v>N/A</v>
      </c>
      <c r="L174"/>
      <c r="M174" s="317"/>
      <c r="N174" s="802"/>
      <c r="O174" s="803"/>
      <c r="P174" s="803"/>
      <c r="Q174" s="804"/>
    </row>
    <row r="175" spans="2:17" s="26" customFormat="1">
      <c r="B175" s="22" t="s">
        <v>538</v>
      </c>
      <c r="C175" s="128" t="s">
        <v>539</v>
      </c>
      <c r="D175" s="129" t="s">
        <v>540</v>
      </c>
      <c r="E175" s="76" t="s">
        <v>541</v>
      </c>
      <c r="F175" s="76" t="s">
        <v>542</v>
      </c>
      <c r="G175" s="22" t="s">
        <v>222</v>
      </c>
      <c r="H175" s="24" t="s">
        <v>484</v>
      </c>
      <c r="I175" s="25">
        <v>45925</v>
      </c>
      <c r="J175" s="25">
        <v>45939</v>
      </c>
      <c r="K175" s="557" cm="1">
        <f t="array" ref="K175">IF(ISBLANK(J175), IF(ISBLANK(I175), "N/A", _xlfn.IFS(L175="AS", I175+15, L175="NCR", I175+30, L175="submitted", I175+30, TRUE, "N/A")), _xlfn.IFS(L175="AS", J175+15, L175="NCR", J175+30, L175="submitted", J175+30, TRUE, "N/A"))</f>
        <v>45969</v>
      </c>
      <c r="L175" s="150" t="s">
        <v>157</v>
      </c>
      <c r="M175" s="317"/>
      <c r="N175" s="802"/>
      <c r="O175" s="803"/>
      <c r="P175" s="803"/>
      <c r="Q175" s="804"/>
    </row>
    <row r="176" spans="2:17" s="5" customFormat="1">
      <c r="B176" s="4"/>
      <c r="C176" s="54" t="s">
        <v>539</v>
      </c>
      <c r="D176" s="55" t="s">
        <v>540</v>
      </c>
      <c r="E176" s="35"/>
      <c r="F176" s="35"/>
      <c r="G176" s="4" t="s">
        <v>543</v>
      </c>
      <c r="H176" s="17" t="s">
        <v>544</v>
      </c>
      <c r="I176" s="18"/>
      <c r="J176" s="18"/>
      <c r="K176" s="557" t="str" cm="1">
        <f t="array" ref="K176">IF(ISBLANK(J176), IF(ISBLANK(I176), "N/A", _xlfn.IFS(L176="AS", I176+15, L176="NCR", I176+30, L176="submitted", I176+30, TRUE, "N/A")), _xlfn.IFS(L176="AS", J176+15, L176="NCR", J176+30, L176="submitted", J176+30, TRUE, "N/A"))</f>
        <v>N/A</v>
      </c>
      <c r="L176"/>
      <c r="M176" s="317"/>
      <c r="N176" s="802"/>
      <c r="O176" s="803"/>
      <c r="P176" s="803"/>
      <c r="Q176" s="804"/>
    </row>
    <row r="177" spans="2:17" s="5" customFormat="1">
      <c r="B177" s="4"/>
      <c r="C177" s="54" t="s">
        <v>539</v>
      </c>
      <c r="D177" s="55" t="s">
        <v>540</v>
      </c>
      <c r="E177" s="35"/>
      <c r="F177" s="35"/>
      <c r="G177" s="4" t="s">
        <v>545</v>
      </c>
      <c r="H177" s="17" t="s">
        <v>341</v>
      </c>
      <c r="I177" s="18"/>
      <c r="J177" s="18"/>
      <c r="K177" s="557" t="str" cm="1">
        <f t="array" ref="K177">IF(ISBLANK(J177), IF(ISBLANK(I177), "N/A", _xlfn.IFS(L177="AS", I177+15, L177="NCR", I177+30, L177="submitted", I177+30, TRUE, "N/A")), _xlfn.IFS(L177="AS", J177+15, L177="NCR", J177+30, L177="submitted", J177+30, TRUE, "N/A"))</f>
        <v>N/A</v>
      </c>
      <c r="L177"/>
      <c r="M177" s="317"/>
      <c r="N177" s="802"/>
      <c r="O177" s="803"/>
      <c r="P177" s="803"/>
      <c r="Q177" s="804"/>
    </row>
    <row r="178" spans="2:17" s="5" customFormat="1">
      <c r="B178" s="4"/>
      <c r="C178" s="54" t="s">
        <v>539</v>
      </c>
      <c r="D178" s="55" t="s">
        <v>540</v>
      </c>
      <c r="E178" s="35"/>
      <c r="F178" s="35"/>
      <c r="G178" s="4" t="s">
        <v>546</v>
      </c>
      <c r="H178" s="17" t="s">
        <v>547</v>
      </c>
      <c r="I178" s="18"/>
      <c r="J178" s="18"/>
      <c r="K178" s="557" t="str" cm="1">
        <f t="array" ref="K178">IF(ISBLANK(J178), IF(ISBLANK(I178), "N/A", _xlfn.IFS(L178="AS", I178+15, L178="NCR", I178+30, L178="submitted", I178+30, TRUE, "N/A")), _xlfn.IFS(L178="AS", J178+15, L178="NCR", J178+30, L178="submitted", J178+30, TRUE, "N/A"))</f>
        <v>N/A</v>
      </c>
      <c r="L178"/>
      <c r="M178" s="317"/>
      <c r="N178" s="802"/>
      <c r="O178" s="803"/>
      <c r="P178" s="803"/>
      <c r="Q178" s="804"/>
    </row>
    <row r="179" spans="2:17" s="5" customFormat="1">
      <c r="B179" s="4"/>
      <c r="C179" s="54" t="s">
        <v>539</v>
      </c>
      <c r="D179" s="55" t="s">
        <v>540</v>
      </c>
      <c r="E179" s="36"/>
      <c r="F179" s="36"/>
      <c r="G179" s="4" t="s">
        <v>548</v>
      </c>
      <c r="H179" s="17" t="s">
        <v>506</v>
      </c>
      <c r="I179" s="18"/>
      <c r="J179" s="18"/>
      <c r="K179" s="557" t="str" cm="1">
        <f t="array" ref="K179">IF(ISBLANK(J179), IF(ISBLANK(I179), "N/A", _xlfn.IFS(L179="AS", I179+15, L179="NCR", I179+30, L179="submitted", I179+30, TRUE, "N/A")), _xlfn.IFS(L179="AS", J179+15, L179="NCR", J179+30, L179="submitted", J179+30, TRUE, "N/A"))</f>
        <v>N/A</v>
      </c>
      <c r="L179"/>
      <c r="M179" s="317"/>
      <c r="N179" s="802"/>
      <c r="O179" s="803"/>
      <c r="P179" s="803"/>
      <c r="Q179" s="804"/>
    </row>
    <row r="180" spans="2:17" s="1" customFormat="1" ht="27">
      <c r="B180" s="9"/>
      <c r="C180" s="11" t="s">
        <v>549</v>
      </c>
      <c r="D180" s="13" t="s">
        <v>550</v>
      </c>
      <c r="E180" s="13"/>
      <c r="F180" s="13" t="s">
        <v>551</v>
      </c>
      <c r="G180" s="9" t="s">
        <v>336</v>
      </c>
      <c r="H180" s="7" t="s">
        <v>552</v>
      </c>
      <c r="I180" s="18"/>
      <c r="J180" s="18"/>
      <c r="K180" s="557" t="str" cm="1">
        <f t="array" ref="K180">IF(ISBLANK(J180), IF(ISBLANK(I180), "N/A", _xlfn.IFS(L180="AS", I180+15, L180="NCR", I180+30, L180="submitted", I180+30, TRUE, "N/A")), _xlfn.IFS(L180="AS", J180+15, L180="NCR", J180+30, L180="submitted", J180+30, TRUE, "N/A"))</f>
        <v>N/A</v>
      </c>
      <c r="L180"/>
      <c r="M180" s="317"/>
      <c r="N180" s="802"/>
      <c r="O180" s="803"/>
      <c r="P180" s="803"/>
      <c r="Q180" s="804"/>
    </row>
    <row r="181" spans="2:17" s="5" customFormat="1" ht="27">
      <c r="B181" s="4"/>
      <c r="C181" s="15" t="s">
        <v>553</v>
      </c>
      <c r="D181" s="17" t="s">
        <v>554</v>
      </c>
      <c r="E181" s="17"/>
      <c r="F181" s="17"/>
      <c r="G181" s="4" t="s">
        <v>281</v>
      </c>
      <c r="H181" s="3" t="s">
        <v>555</v>
      </c>
      <c r="I181" s="18"/>
      <c r="J181" s="18"/>
      <c r="K181" s="557" t="str" cm="1">
        <f t="array" ref="K181">IF(ISBLANK(J181), IF(ISBLANK(I181), "N/A", _xlfn.IFS(L181="AS", I181+15, L181="NCR", I181+30, L181="submitted", I181+30, TRUE, "N/A")), _xlfn.IFS(L181="AS", J181+15, L181="NCR", J181+30, L181="submitted", J181+30, TRUE, "N/A"))</f>
        <v>N/A</v>
      </c>
      <c r="L181"/>
      <c r="M181" s="317"/>
      <c r="N181" s="802"/>
      <c r="O181" s="803"/>
      <c r="P181" s="803"/>
      <c r="Q181" s="804"/>
    </row>
    <row r="182" spans="2:17" s="138" customFormat="1">
      <c r="B182" s="151" t="s">
        <v>87</v>
      </c>
      <c r="C182" s="169" t="s">
        <v>556</v>
      </c>
      <c r="D182" s="260" t="s">
        <v>557</v>
      </c>
      <c r="E182" s="168" t="s">
        <v>558</v>
      </c>
      <c r="F182" s="168"/>
      <c r="G182" s="151" t="s">
        <v>281</v>
      </c>
      <c r="H182" s="152" t="s">
        <v>235</v>
      </c>
      <c r="I182" s="261">
        <v>45813</v>
      </c>
      <c r="J182" s="261">
        <v>45904</v>
      </c>
      <c r="K182" s="557" t="str" cm="1">
        <f t="array" ref="K182">IF(ISBLANK(J182), IF(ISBLANK(I182), "N/A", _xlfn.IFS(L182="AS", I182+15, L182="NCR", I182+30, L182="submitted", I182+30, TRUE, "N/A")), _xlfn.IFS(L182="AS", J182+15, L182="NCR", J182+30, L182="submitted", J182+30, TRUE, "N/A"))</f>
        <v>N/A</v>
      </c>
      <c r="L182" s="139" t="s">
        <v>151</v>
      </c>
      <c r="M182" s="317"/>
      <c r="N182" s="802"/>
      <c r="O182" s="803"/>
      <c r="P182" s="803"/>
      <c r="Q182" s="804"/>
    </row>
    <row r="183" spans="2:17" s="1" customFormat="1" ht="27">
      <c r="B183" s="9"/>
      <c r="C183" s="47" t="s">
        <v>556</v>
      </c>
      <c r="D183" s="2" t="s">
        <v>557</v>
      </c>
      <c r="E183" s="39"/>
      <c r="F183" s="39"/>
      <c r="G183" s="9" t="s">
        <v>269</v>
      </c>
      <c r="H183" s="7" t="s">
        <v>559</v>
      </c>
      <c r="I183" s="18"/>
      <c r="J183" s="18"/>
      <c r="K183" s="557" t="str" cm="1">
        <f t="array" ref="K183">IF(ISBLANK(J183), IF(ISBLANK(I183), "N/A", _xlfn.IFS(L183="AS", I183+15, L183="NCR", I183+30, L183="submitted", I183+30, TRUE, "N/A")), _xlfn.IFS(L183="AS", J183+15, L183="NCR", J183+30, L183="submitted", J183+30, TRUE, "N/A"))</f>
        <v>N/A</v>
      </c>
      <c r="L183"/>
      <c r="M183" s="317"/>
      <c r="N183" s="802"/>
      <c r="O183" s="803"/>
      <c r="P183" s="803"/>
      <c r="Q183" s="804"/>
    </row>
    <row r="184" spans="2:17" s="1" customFormat="1" ht="27">
      <c r="B184" s="9"/>
      <c r="C184" s="47" t="s">
        <v>556</v>
      </c>
      <c r="D184" s="2" t="s">
        <v>557</v>
      </c>
      <c r="E184" s="39"/>
      <c r="F184" s="39"/>
      <c r="G184" s="9" t="s">
        <v>259</v>
      </c>
      <c r="H184" s="7" t="s">
        <v>560</v>
      </c>
      <c r="I184" s="18"/>
      <c r="J184" s="18"/>
      <c r="K184" s="557" t="str" cm="1">
        <f t="array" ref="K184">IF(ISBLANK(J184), IF(ISBLANK(I184), "N/A", _xlfn.IFS(L184="AS", I184+15, L184="NCR", I184+30, L184="submitted", I184+30, TRUE, "N/A")), _xlfn.IFS(L184="AS", J184+15, L184="NCR", J184+30, L184="submitted", J184+30, TRUE, "N/A"))</f>
        <v>N/A</v>
      </c>
      <c r="L184"/>
      <c r="M184" s="317"/>
      <c r="N184" s="802"/>
      <c r="O184" s="803"/>
      <c r="P184" s="803"/>
      <c r="Q184" s="804"/>
    </row>
    <row r="185" spans="2:17" s="1" customFormat="1" ht="27.75" customHeight="1">
      <c r="B185" s="9"/>
      <c r="C185" s="47" t="s">
        <v>556</v>
      </c>
      <c r="D185" s="2" t="s">
        <v>557</v>
      </c>
      <c r="E185" s="46"/>
      <c r="F185" s="46"/>
      <c r="G185" s="9" t="s">
        <v>352</v>
      </c>
      <c r="H185" s="7" t="s">
        <v>561</v>
      </c>
      <c r="I185" s="18"/>
      <c r="J185" s="18"/>
      <c r="K185" s="557" t="str" cm="1">
        <f t="array" ref="K185">IF(ISBLANK(J185), IF(ISBLANK(I185), "N/A", _xlfn.IFS(L185="AS", I185+15, L185="NCR", I185+30, L185="submitted", I185+30, TRUE, "N/A")), _xlfn.IFS(L185="AS", J185+15, L185="NCR", J185+30, L185="submitted", J185+30, TRUE, "N/A"))</f>
        <v>N/A</v>
      </c>
      <c r="L185"/>
      <c r="M185" s="317"/>
      <c r="N185" s="802"/>
      <c r="O185" s="803"/>
      <c r="P185" s="803"/>
      <c r="Q185" s="804"/>
    </row>
    <row r="186" spans="2:17" s="5" customFormat="1">
      <c r="B186" s="4"/>
      <c r="C186" s="825" t="s">
        <v>562</v>
      </c>
      <c r="D186" s="827" t="s">
        <v>563</v>
      </c>
      <c r="E186" s="34"/>
      <c r="F186" s="34"/>
      <c r="G186" s="4" t="s">
        <v>281</v>
      </c>
      <c r="H186" s="17" t="s">
        <v>564</v>
      </c>
      <c r="I186" s="18"/>
      <c r="J186" s="18"/>
      <c r="K186" s="557" t="str" cm="1">
        <f t="array" ref="K186">IF(ISBLANK(J186), IF(ISBLANK(I186), "N/A", _xlfn.IFS(L186="AS", I186+15, L186="NCR", I186+30, L186="submitted", I186+30, TRUE, "N/A")), _xlfn.IFS(L186="AS", J186+15, L186="NCR", J186+30, L186="submitted", J186+30, TRUE, "N/A"))</f>
        <v>N/A</v>
      </c>
      <c r="L186"/>
      <c r="M186" s="317"/>
      <c r="N186" s="802"/>
      <c r="O186" s="803"/>
      <c r="P186" s="803"/>
      <c r="Q186" s="804"/>
    </row>
    <row r="187" spans="2:17" s="5" customFormat="1" ht="40.5">
      <c r="B187" s="4"/>
      <c r="C187" s="829"/>
      <c r="D187" s="830"/>
      <c r="E187" s="35"/>
      <c r="F187" s="35"/>
      <c r="G187" s="4" t="s">
        <v>269</v>
      </c>
      <c r="H187" s="3" t="s">
        <v>565</v>
      </c>
      <c r="I187" s="18"/>
      <c r="J187" s="18"/>
      <c r="K187" s="557" t="str" cm="1">
        <f t="array" ref="K187">IF(ISBLANK(J187), IF(ISBLANK(I187), "N/A", _xlfn.IFS(L187="AS", I187+15, L187="NCR", I187+30, L187="submitted", I187+30, TRUE, "N/A")), _xlfn.IFS(L187="AS", J187+15, L187="NCR", J187+30, L187="submitted", J187+30, TRUE, "N/A"))</f>
        <v>N/A</v>
      </c>
      <c r="L187"/>
      <c r="M187" s="317"/>
      <c r="N187" s="802"/>
      <c r="O187" s="803"/>
      <c r="P187" s="803"/>
      <c r="Q187" s="804"/>
    </row>
    <row r="188" spans="2:17" s="5" customFormat="1" ht="27">
      <c r="B188" s="4"/>
      <c r="C188" s="826"/>
      <c r="D188" s="828"/>
      <c r="E188" s="36"/>
      <c r="F188" s="36"/>
      <c r="G188" s="4" t="s">
        <v>372</v>
      </c>
      <c r="H188" s="3" t="s">
        <v>385</v>
      </c>
      <c r="I188" s="18"/>
      <c r="J188" s="18"/>
      <c r="K188" s="557" t="str" cm="1">
        <f t="array" ref="K188">IF(ISBLANK(J188), IF(ISBLANK(I188), "N/A", _xlfn.IFS(L188="AS", I188+15, L188="NCR", I188+30, L188="submitted", I188+30, TRUE, "N/A")), _xlfn.IFS(L188="AS", J188+15, L188="NCR", J188+30, L188="submitted", J188+30, TRUE, "N/A"))</f>
        <v>N/A</v>
      </c>
      <c r="L188"/>
      <c r="M188" s="317"/>
      <c r="N188" s="802"/>
      <c r="O188" s="803"/>
      <c r="P188" s="803"/>
      <c r="Q188" s="804"/>
    </row>
    <row r="189" spans="2:17" s="1" customFormat="1">
      <c r="B189" s="9"/>
      <c r="C189" s="821" t="s">
        <v>566</v>
      </c>
      <c r="D189" s="823" t="s">
        <v>567</v>
      </c>
      <c r="E189" s="37"/>
      <c r="F189" s="37"/>
      <c r="G189" s="9" t="s">
        <v>281</v>
      </c>
      <c r="H189" s="13" t="s">
        <v>568</v>
      </c>
      <c r="I189" s="18"/>
      <c r="J189" s="18"/>
      <c r="K189" s="557" t="str" cm="1">
        <f t="array" ref="K189">IF(ISBLANK(J189), IF(ISBLANK(I189), "N/A", _xlfn.IFS(L189="AS", I189+15, L189="NCR", I189+30, L189="submitted", I189+30, TRUE, "N/A")), _xlfn.IFS(L189="AS", J189+15, L189="NCR", J189+30, L189="submitted", J189+30, TRUE, "N/A"))</f>
        <v>N/A</v>
      </c>
      <c r="L189"/>
      <c r="M189" s="317"/>
      <c r="N189" s="802"/>
      <c r="O189" s="803"/>
      <c r="P189" s="803"/>
      <c r="Q189" s="804"/>
    </row>
    <row r="190" spans="2:17" s="1" customFormat="1" ht="27">
      <c r="B190" s="9"/>
      <c r="C190" s="807"/>
      <c r="D190" s="809"/>
      <c r="E190" s="46"/>
      <c r="F190" s="46"/>
      <c r="G190" s="9" t="s">
        <v>329</v>
      </c>
      <c r="H190" s="7" t="s">
        <v>385</v>
      </c>
      <c r="I190" s="18"/>
      <c r="J190" s="18"/>
      <c r="K190" s="557" t="str" cm="1">
        <f t="array" ref="K190">IF(ISBLANK(J190), IF(ISBLANK(I190), "N/A", _xlfn.IFS(L190="AS", I190+15, L190="NCR", I190+30, L190="submitted", I190+30, TRUE, "N/A")), _xlfn.IFS(L190="AS", J190+15, L190="NCR", J190+30, L190="submitted", J190+30, TRUE, "N/A"))</f>
        <v>N/A</v>
      </c>
      <c r="L190"/>
      <c r="M190" s="317"/>
      <c r="N190" s="802"/>
      <c r="O190" s="803"/>
      <c r="P190" s="803"/>
      <c r="Q190" s="804"/>
    </row>
    <row r="191" spans="2:17" s="5" customFormat="1">
      <c r="B191" s="4"/>
      <c r="C191" s="825" t="s">
        <v>569</v>
      </c>
      <c r="D191" s="827" t="s">
        <v>570</v>
      </c>
      <c r="E191" s="34"/>
      <c r="F191" s="34"/>
      <c r="G191" s="4" t="s">
        <v>281</v>
      </c>
      <c r="H191" s="17" t="s">
        <v>571</v>
      </c>
      <c r="I191" s="18"/>
      <c r="J191" s="18"/>
      <c r="K191" s="557" t="str" cm="1">
        <f t="array" ref="K191">IF(ISBLANK(J191), IF(ISBLANK(I191), "N/A", _xlfn.IFS(L191="AS", I191+15, L191="NCR", I191+30, L191="submitted", I191+30, TRUE, "N/A")), _xlfn.IFS(L191="AS", J191+15, L191="NCR", J191+30, L191="submitted", J191+30, TRUE, "N/A"))</f>
        <v>N/A</v>
      </c>
      <c r="L191"/>
      <c r="M191" s="317"/>
      <c r="N191" s="802"/>
      <c r="O191" s="803"/>
      <c r="P191" s="803"/>
      <c r="Q191" s="804"/>
    </row>
    <row r="192" spans="2:17" s="5" customFormat="1" ht="27">
      <c r="B192" s="4"/>
      <c r="C192" s="826"/>
      <c r="D192" s="828"/>
      <c r="E192" s="36"/>
      <c r="F192" s="36"/>
      <c r="G192" s="4" t="s">
        <v>329</v>
      </c>
      <c r="H192" s="3" t="s">
        <v>572</v>
      </c>
      <c r="I192" s="18"/>
      <c r="J192" s="18"/>
      <c r="K192" s="557" t="str" cm="1">
        <f t="array" ref="K192">IF(ISBLANK(J192), IF(ISBLANK(I192), "N/A", _xlfn.IFS(L192="AS", I192+15, L192="NCR", I192+30, L192="submitted", I192+30, TRUE, "N/A")), _xlfn.IFS(L192="AS", J192+15, L192="NCR", J192+30, L192="submitted", J192+30, TRUE, "N/A"))</f>
        <v>N/A</v>
      </c>
      <c r="L192"/>
      <c r="M192" s="317"/>
      <c r="N192" s="802"/>
      <c r="O192" s="803"/>
      <c r="P192" s="803"/>
      <c r="Q192" s="804"/>
    </row>
    <row r="193" spans="1:17" s="149" customFormat="1">
      <c r="B193" s="146" t="s">
        <v>573</v>
      </c>
      <c r="C193" s="245" t="s">
        <v>574</v>
      </c>
      <c r="D193" s="332" t="s">
        <v>575</v>
      </c>
      <c r="E193" s="231" t="s">
        <v>576</v>
      </c>
      <c r="F193" s="231" t="s">
        <v>577</v>
      </c>
      <c r="G193" s="146" t="s">
        <v>578</v>
      </c>
      <c r="H193" s="147" t="s">
        <v>579</v>
      </c>
      <c r="I193" s="233">
        <v>45894</v>
      </c>
      <c r="J193" s="233">
        <v>45917</v>
      </c>
      <c r="K193" s="557" t="str" cm="1">
        <f t="array" ref="K193">IF(ISBLANK(J193), IF(ISBLANK(I193), "N/A", _xlfn.IFS(L193="AS", I193+15, L193="NCR", I193+30, L193="submitted", I193+30, TRUE, "N/A")), _xlfn.IFS(L193="AS", J193+15, L193="NCR", J193+30, L193="submitted", J193+30, TRUE, "N/A"))</f>
        <v>N/A</v>
      </c>
      <c r="L193" s="148" t="s">
        <v>147</v>
      </c>
      <c r="M193" s="317"/>
      <c r="N193" s="802"/>
      <c r="O193" s="803"/>
      <c r="P193" s="803"/>
      <c r="Q193" s="804"/>
    </row>
    <row r="194" spans="1:17" s="149" customFormat="1">
      <c r="A194" s="149" t="s">
        <v>318</v>
      </c>
      <c r="B194" s="146" t="s">
        <v>580</v>
      </c>
      <c r="C194" s="245" t="s">
        <v>574</v>
      </c>
      <c r="D194" s="332" t="s">
        <v>575</v>
      </c>
      <c r="E194" s="231" t="s">
        <v>576</v>
      </c>
      <c r="F194" s="231" t="s">
        <v>577</v>
      </c>
      <c r="G194" s="146" t="s">
        <v>578</v>
      </c>
      <c r="H194" s="147" t="s">
        <v>579</v>
      </c>
      <c r="I194" s="233">
        <v>45926</v>
      </c>
      <c r="J194" s="233">
        <v>45917</v>
      </c>
      <c r="K194" s="557" cm="1">
        <f t="array" ref="K194">IF(ISBLANK(J194), IF(ISBLANK(I194), "N/A", _xlfn.IFS(L194="AS", I194+15, L194="NCR", I194+30, L194="submitted", I194+30, TRUE, "N/A")), _xlfn.IFS(L194="AS", J194+15, L194="NCR", J194+30, L194="submitted", J194+30, TRUE, "N/A"))</f>
        <v>45947</v>
      </c>
      <c r="L194" s="148" t="s">
        <v>581</v>
      </c>
      <c r="M194" s="317"/>
      <c r="N194" s="802"/>
      <c r="O194" s="803"/>
      <c r="P194" s="803"/>
      <c r="Q194" s="804"/>
    </row>
    <row r="195" spans="1:17" s="525" customFormat="1">
      <c r="B195" s="523" t="s">
        <v>582</v>
      </c>
      <c r="C195" s="530" t="s">
        <v>574</v>
      </c>
      <c r="D195" s="531" t="s">
        <v>575</v>
      </c>
      <c r="E195" s="524" t="s">
        <v>583</v>
      </c>
      <c r="F195" s="524" t="s">
        <v>584</v>
      </c>
      <c r="G195" s="523" t="s">
        <v>585</v>
      </c>
      <c r="H195" s="532" t="s">
        <v>579</v>
      </c>
      <c r="I195" s="533">
        <v>45917</v>
      </c>
      <c r="J195" s="533">
        <v>45926</v>
      </c>
      <c r="K195" s="557" cm="1">
        <f t="array" ref="K195">IF(ISBLANK(J195), IF(ISBLANK(I195), "N/A", _xlfn.IFS(L195="AS", I195+15, L195="NCR", I195+30, L195="submitted", I195+30, TRUE, "N/A")), _xlfn.IFS(L195="AS", J195+15, L195="NCR", J195+30, L195="submitted", J195+30, TRUE, "N/A"))</f>
        <v>45956</v>
      </c>
      <c r="L195" s="528" t="s">
        <v>157</v>
      </c>
      <c r="M195" s="317"/>
      <c r="N195" s="802"/>
      <c r="O195" s="803"/>
      <c r="P195" s="803"/>
      <c r="Q195" s="804"/>
    </row>
    <row r="196" spans="1:17" s="1" customFormat="1" ht="40.5">
      <c r="B196" s="9"/>
      <c r="C196" s="47" t="s">
        <v>574</v>
      </c>
      <c r="D196" s="2" t="s">
        <v>575</v>
      </c>
      <c r="E196" s="39"/>
      <c r="F196" s="39"/>
      <c r="G196" s="9" t="s">
        <v>269</v>
      </c>
      <c r="H196" s="7" t="s">
        <v>586</v>
      </c>
      <c r="I196" s="18"/>
      <c r="J196" s="18"/>
      <c r="K196" s="557" t="str" cm="1">
        <f t="array" ref="K196">IF(ISBLANK(J196), IF(ISBLANK(I196), "N/A", _xlfn.IFS(L196="AS", I196+15, L196="NCR", I196+30, L196="submitted", I196+30, TRUE, "N/A")), _xlfn.IFS(L196="AS", J196+15, L196="NCR", J196+30, L196="submitted", J196+30, TRUE, "N/A"))</f>
        <v>N/A</v>
      </c>
      <c r="L196"/>
      <c r="M196" s="317"/>
      <c r="N196" s="802"/>
      <c r="O196" s="803"/>
      <c r="P196" s="803"/>
      <c r="Q196" s="804"/>
    </row>
    <row r="197" spans="1:17" s="1" customFormat="1" ht="27">
      <c r="B197" s="9"/>
      <c r="C197" s="47" t="s">
        <v>574</v>
      </c>
      <c r="D197" s="2" t="s">
        <v>575</v>
      </c>
      <c r="E197" s="39"/>
      <c r="F197" s="46"/>
      <c r="G197" s="9" t="s">
        <v>372</v>
      </c>
      <c r="H197" s="7" t="s">
        <v>587</v>
      </c>
      <c r="I197" s="18"/>
      <c r="J197" s="18"/>
      <c r="K197" s="557" t="str" cm="1">
        <f t="array" ref="K197">IF(ISBLANK(J197), IF(ISBLANK(I197), "N/A", _xlfn.IFS(L197="AS", I197+15, L197="NCR", I197+30, L197="submitted", I197+30, TRUE, "N/A")), _xlfn.IFS(L197="AS", J197+15, L197="NCR", J197+30, L197="submitted", J197+30, TRUE, "N/A"))</f>
        <v>N/A</v>
      </c>
      <c r="L197"/>
      <c r="M197" s="317"/>
      <c r="N197" s="802"/>
      <c r="O197" s="803"/>
      <c r="P197" s="803"/>
      <c r="Q197" s="804"/>
    </row>
    <row r="198" spans="1:17" s="5" customFormat="1" ht="53.25">
      <c r="B198" s="4"/>
      <c r="C198" s="54" t="s">
        <v>588</v>
      </c>
      <c r="D198" s="345" t="s">
        <v>589</v>
      </c>
      <c r="E198" s="143"/>
      <c r="F198" s="307" t="s">
        <v>577</v>
      </c>
      <c r="G198" s="4" t="s">
        <v>281</v>
      </c>
      <c r="H198" s="3" t="s">
        <v>590</v>
      </c>
      <c r="I198" s="18"/>
      <c r="J198" s="18"/>
      <c r="K198" s="557" t="str" cm="1">
        <f t="array" ref="K198">IF(ISBLANK(J198), IF(ISBLANK(I198), "N/A", _xlfn.IFS(L198="AS", I198+15, L198="NCR", I198+30, L198="submitted", I198+30, TRUE, "N/A")), _xlfn.IFS(L198="AS", J198+15, L198="NCR", J198+30, L198="submitted", J198+30, TRUE, "N/A"))</f>
        <v>N/A</v>
      </c>
      <c r="L198"/>
      <c r="M198" s="317"/>
      <c r="N198" s="802"/>
      <c r="O198" s="803"/>
      <c r="P198" s="803"/>
      <c r="Q198" s="804"/>
    </row>
    <row r="199" spans="1:17" s="149" customFormat="1">
      <c r="B199" s="658" t="s">
        <v>591</v>
      </c>
      <c r="C199" s="245" t="s">
        <v>588</v>
      </c>
      <c r="D199" s="642" t="s">
        <v>589</v>
      </c>
      <c r="E199" s="167" t="s">
        <v>592</v>
      </c>
      <c r="F199" s="659"/>
      <c r="G199" s="146" t="s">
        <v>269</v>
      </c>
      <c r="H199" s="147" t="s">
        <v>593</v>
      </c>
      <c r="I199" s="233">
        <v>45902</v>
      </c>
      <c r="J199" s="233">
        <v>45922</v>
      </c>
      <c r="K199" s="557" cm="1">
        <f t="array" ref="K199">IF(ISBLANK(J199), IF(ISBLANK(I199), "N/A", _xlfn.IFS(L199="AS", I199+15, L199="NCR", I199+30, L199="submitted", I199+30, TRUE, "N/A")), _xlfn.IFS(L199="AS", J199+15, L199="NCR", J199+30, L199="submitted", J199+30, TRUE, "N/A"))</f>
        <v>45952</v>
      </c>
      <c r="L199" s="148" t="s">
        <v>157</v>
      </c>
      <c r="M199" s="317"/>
      <c r="N199" s="802"/>
      <c r="O199" s="803"/>
      <c r="P199" s="803"/>
      <c r="Q199" s="804"/>
    </row>
    <row r="200" spans="1:17" s="5" customFormat="1">
      <c r="B200" s="4"/>
      <c r="C200" s="54" t="s">
        <v>588</v>
      </c>
      <c r="D200" s="345" t="s">
        <v>589</v>
      </c>
      <c r="E200" s="143"/>
      <c r="F200" s="308"/>
      <c r="G200" s="4" t="s">
        <v>259</v>
      </c>
      <c r="H200" s="17" t="s">
        <v>594</v>
      </c>
      <c r="I200" s="18"/>
      <c r="J200" s="18"/>
      <c r="K200" s="557" t="str" cm="1">
        <f t="array" ref="K200">IF(ISBLANK(J200), IF(ISBLANK(I200), "N/A", _xlfn.IFS(L200="AS", I200+15, L200="NCR", I200+30, L200="submitted", I200+30, TRUE, "N/A")), _xlfn.IFS(L200="AS", J200+15, L200="NCR", J200+30, L200="submitted", J200+30, TRUE, "N/A"))</f>
        <v>N/A</v>
      </c>
      <c r="L200"/>
      <c r="M200" s="317"/>
      <c r="N200" s="802"/>
      <c r="O200" s="803"/>
      <c r="P200" s="803"/>
      <c r="Q200" s="804"/>
    </row>
    <row r="201" spans="1:17" s="5" customFormat="1">
      <c r="B201" s="4"/>
      <c r="C201" s="54" t="s">
        <v>588</v>
      </c>
      <c r="D201" s="345" t="s">
        <v>589</v>
      </c>
      <c r="E201" s="143"/>
      <c r="F201" s="308"/>
      <c r="G201" s="4" t="s">
        <v>352</v>
      </c>
      <c r="H201" s="17" t="s">
        <v>353</v>
      </c>
      <c r="I201" s="18"/>
      <c r="J201" s="18"/>
      <c r="K201" s="557" t="str" cm="1">
        <f t="array" ref="K201">IF(ISBLANK(J201), IF(ISBLANK(I201), "N/A", _xlfn.IFS(L201="AS", I201+15, L201="NCR", I201+30, L201="submitted", I201+30, TRUE, "N/A")), _xlfn.IFS(L201="AS", J201+15, L201="NCR", J201+30, L201="submitted", J201+30, TRUE, "N/A"))</f>
        <v>N/A</v>
      </c>
      <c r="L201"/>
      <c r="M201" s="317"/>
      <c r="N201" s="802"/>
      <c r="O201" s="803"/>
      <c r="P201" s="803"/>
      <c r="Q201" s="804"/>
    </row>
    <row r="202" spans="1:17" s="149" customFormat="1" ht="27">
      <c r="B202" s="658" t="s">
        <v>591</v>
      </c>
      <c r="C202" s="245" t="s">
        <v>588</v>
      </c>
      <c r="D202" s="642" t="s">
        <v>589</v>
      </c>
      <c r="E202" s="167" t="s">
        <v>592</v>
      </c>
      <c r="F202" s="659"/>
      <c r="G202" s="146" t="s">
        <v>354</v>
      </c>
      <c r="H202" s="193" t="s">
        <v>595</v>
      </c>
      <c r="I202" s="233">
        <v>45902</v>
      </c>
      <c r="J202" s="233">
        <v>45922</v>
      </c>
      <c r="K202" s="557" cm="1">
        <f t="array" ref="K202">IF(ISBLANK(J202), IF(ISBLANK(I202), "N/A", _xlfn.IFS(L202="AS", I202+15, L202="NCR", I202+30, L202="submitted", I202+30, TRUE, "N/A")), _xlfn.IFS(L202="AS", J202+15, L202="NCR", J202+30, L202="submitted", J202+30, TRUE, "N/A"))</f>
        <v>45952</v>
      </c>
      <c r="L202" s="148" t="s">
        <v>157</v>
      </c>
      <c r="M202" s="317"/>
      <c r="N202" s="802"/>
      <c r="O202" s="803"/>
      <c r="P202" s="803"/>
      <c r="Q202" s="804"/>
    </row>
    <row r="203" spans="1:17" s="5" customFormat="1" ht="27">
      <c r="B203" s="4"/>
      <c r="C203" s="54" t="s">
        <v>588</v>
      </c>
      <c r="D203" s="345" t="s">
        <v>589</v>
      </c>
      <c r="E203" s="143"/>
      <c r="F203" s="308"/>
      <c r="G203" s="4" t="s">
        <v>596</v>
      </c>
      <c r="H203" s="3" t="s">
        <v>411</v>
      </c>
      <c r="I203" s="18"/>
      <c r="J203" s="18"/>
      <c r="K203" s="557" t="str" cm="1">
        <f t="array" ref="K203">IF(ISBLANK(J203), IF(ISBLANK(I203), "N/A", _xlfn.IFS(L203="AS", I203+15, L203="NCR", I203+30, L203="submitted", I203+30, TRUE, "N/A")), _xlfn.IFS(L203="AS", J203+15, L203="NCR", J203+30, L203="submitted", J203+30, TRUE, "N/A"))</f>
        <v>N/A</v>
      </c>
      <c r="L203"/>
      <c r="M203" s="317"/>
      <c r="N203" s="802"/>
      <c r="O203" s="803"/>
      <c r="P203" s="803"/>
      <c r="Q203" s="804"/>
    </row>
    <row r="204" spans="1:17" s="5" customFormat="1" ht="27">
      <c r="B204" s="4"/>
      <c r="C204" s="54" t="s">
        <v>588</v>
      </c>
      <c r="D204" s="345" t="s">
        <v>589</v>
      </c>
      <c r="E204" s="143"/>
      <c r="F204" s="309"/>
      <c r="G204" s="4" t="s">
        <v>597</v>
      </c>
      <c r="H204" s="3" t="s">
        <v>385</v>
      </c>
      <c r="I204" s="18"/>
      <c r="J204" s="18"/>
      <c r="K204" s="557" t="str" cm="1">
        <f t="array" ref="K204">IF(ISBLANK(J204), IF(ISBLANK(I204), "N/A", _xlfn.IFS(L204="AS", I204+15, L204="NCR", I204+30, L204="submitted", I204+30, TRUE, "N/A")), _xlfn.IFS(L204="AS", J204+15, L204="NCR", J204+30, L204="submitted", J204+30, TRUE, "N/A"))</f>
        <v>N/A</v>
      </c>
      <c r="L204"/>
      <c r="M204" s="317"/>
      <c r="N204" s="796" t="s">
        <v>133</v>
      </c>
      <c r="O204" s="797"/>
      <c r="P204" s="797"/>
      <c r="Q204" s="798"/>
    </row>
    <row r="205" spans="1:17" s="1" customFormat="1">
      <c r="B205" s="9"/>
      <c r="C205" s="821" t="s">
        <v>598</v>
      </c>
      <c r="D205" s="823" t="s">
        <v>599</v>
      </c>
      <c r="E205" s="39"/>
      <c r="F205" s="37"/>
      <c r="G205" s="9" t="s">
        <v>281</v>
      </c>
      <c r="H205" s="13" t="s">
        <v>579</v>
      </c>
      <c r="I205" s="18"/>
      <c r="J205" s="18"/>
      <c r="K205" s="557" t="str" cm="1">
        <f t="array" ref="K205">IF(ISBLANK(J205), IF(ISBLANK(I205), "N/A", _xlfn.IFS(L205="AS", I205+15, L205="NCR", I205+30, L205="submitted", I205+30, TRUE, "N/A")), _xlfn.IFS(L205="AS", J205+15, L205="NCR", J205+30, L205="submitted", J205+30, TRUE, "N/A"))</f>
        <v>N/A</v>
      </c>
      <c r="L205"/>
      <c r="M205" s="317"/>
      <c r="N205" s="799"/>
      <c r="O205" s="800"/>
      <c r="P205" s="800"/>
      <c r="Q205" s="801"/>
    </row>
    <row r="206" spans="1:17" s="1" customFormat="1">
      <c r="B206" s="9"/>
      <c r="C206" s="822"/>
      <c r="D206" s="824"/>
      <c r="E206" s="39"/>
      <c r="F206" s="39"/>
      <c r="G206" s="9" t="s">
        <v>329</v>
      </c>
      <c r="H206" s="13" t="s">
        <v>600</v>
      </c>
      <c r="I206" s="18"/>
      <c r="J206" s="18"/>
      <c r="K206" s="557" t="str" cm="1">
        <f t="array" ref="K206">IF(ISBLANK(J206), IF(ISBLANK(I206), "N/A", _xlfn.IFS(L206="AS", I206+15, L206="NCR", I206+30, L206="submitted", I206+30, TRUE, "N/A")), _xlfn.IFS(L206="AS", J206+15, L206="NCR", J206+30, L206="submitted", J206+30, TRUE, "N/A"))</f>
        <v>N/A</v>
      </c>
      <c r="L206"/>
      <c r="M206" s="317"/>
      <c r="N206" s="799"/>
      <c r="O206" s="800"/>
      <c r="P206" s="800"/>
      <c r="Q206" s="801"/>
    </row>
    <row r="207" spans="1:17" s="1" customFormat="1" ht="27">
      <c r="B207" s="9"/>
      <c r="C207" s="807"/>
      <c r="D207" s="809"/>
      <c r="E207" s="46"/>
      <c r="F207" s="46"/>
      <c r="G207" s="9" t="s">
        <v>601</v>
      </c>
      <c r="H207" s="7" t="s">
        <v>385</v>
      </c>
      <c r="I207" s="18"/>
      <c r="J207" s="18"/>
      <c r="K207" s="557" t="str" cm="1">
        <f t="array" ref="K207">IF(ISBLANK(J207), IF(ISBLANK(I207), "N/A", _xlfn.IFS(L207="AS", I207+15, L207="NCR", I207+30, L207="submitted", I207+30, TRUE, "N/A")), _xlfn.IFS(L207="AS", J207+15, L207="NCR", J207+30, L207="submitted", J207+30, TRUE, "N/A"))</f>
        <v>N/A</v>
      </c>
      <c r="L207"/>
      <c r="M207" s="317"/>
      <c r="N207" s="799"/>
      <c r="O207" s="800"/>
      <c r="P207" s="800"/>
      <c r="Q207" s="801"/>
    </row>
    <row r="208" spans="1:17" s="5" customFormat="1">
      <c r="B208" s="4"/>
      <c r="C208" s="825" t="s">
        <v>602</v>
      </c>
      <c r="D208" s="827" t="s">
        <v>603</v>
      </c>
      <c r="E208" s="34"/>
      <c r="F208" s="34"/>
      <c r="G208" s="4" t="s">
        <v>134</v>
      </c>
      <c r="H208" s="17" t="s">
        <v>579</v>
      </c>
      <c r="I208" s="18"/>
      <c r="J208" s="18"/>
      <c r="K208" s="557" t="str" cm="1">
        <f t="array" ref="K208">IF(ISBLANK(J208), IF(ISBLANK(I208), "N/A", _xlfn.IFS(L208="AS", I208+15, L208="NCR", I208+30, L208="submitted", I208+30, TRUE, "N/A")), _xlfn.IFS(L208="AS", J208+15, L208="NCR", J208+30, L208="submitted", J208+30, TRUE, "N/A"))</f>
        <v>N/A</v>
      </c>
      <c r="L208"/>
      <c r="M208" s="317"/>
      <c r="N208" s="799"/>
      <c r="O208" s="800"/>
      <c r="P208" s="800"/>
      <c r="Q208" s="801"/>
    </row>
    <row r="209" spans="1:17" s="5" customFormat="1" ht="27">
      <c r="B209" s="4"/>
      <c r="C209" s="826"/>
      <c r="D209" s="828"/>
      <c r="E209" s="36"/>
      <c r="F209" s="36"/>
      <c r="G209" s="4" t="s">
        <v>604</v>
      </c>
      <c r="H209" s="3" t="s">
        <v>605</v>
      </c>
      <c r="I209" s="18"/>
      <c r="J209" s="18"/>
      <c r="K209" s="557" t="str" cm="1">
        <f t="array" ref="K209">IF(ISBLANK(J209), IF(ISBLANK(I209), "N/A", _xlfn.IFS(L209="AS", I209+15, L209="NCR", I209+30, L209="submitted", I209+30, TRUE, "N/A")), _xlfn.IFS(L209="AS", J209+15, L209="NCR", J209+30, L209="submitted", J209+30, TRUE, "N/A"))</f>
        <v>N/A</v>
      </c>
      <c r="L209"/>
      <c r="M209" s="317"/>
      <c r="N209" s="799"/>
      <c r="O209" s="800"/>
      <c r="P209" s="800"/>
      <c r="Q209" s="801"/>
    </row>
    <row r="210" spans="1:17" s="1" customFormat="1">
      <c r="B210" s="9"/>
      <c r="C210" s="821" t="s">
        <v>606</v>
      </c>
      <c r="D210" s="823" t="s">
        <v>607</v>
      </c>
      <c r="E210" s="37"/>
      <c r="F210" s="37"/>
      <c r="G210" s="9" t="s">
        <v>281</v>
      </c>
      <c r="H210" s="13" t="s">
        <v>579</v>
      </c>
      <c r="I210" s="18"/>
      <c r="J210" s="18"/>
      <c r="K210" s="557" t="str" cm="1">
        <f t="array" ref="K210">IF(ISBLANK(J210), IF(ISBLANK(I210), "N/A", _xlfn.IFS(L210="AS", I210+15, L210="NCR", I210+30, L210="submitted", I210+30, TRUE, "N/A")), _xlfn.IFS(L210="AS", J210+15, L210="NCR", J210+30, L210="submitted", J210+30, TRUE, "N/A"))</f>
        <v>N/A</v>
      </c>
      <c r="L210"/>
      <c r="M210" s="317"/>
      <c r="N210" s="799"/>
      <c r="O210" s="800"/>
      <c r="P210" s="800"/>
      <c r="Q210" s="801"/>
    </row>
    <row r="211" spans="1:17" s="1" customFormat="1" ht="27">
      <c r="B211" s="9"/>
      <c r="C211" s="807"/>
      <c r="D211" s="809"/>
      <c r="E211" s="46"/>
      <c r="F211" s="46"/>
      <c r="G211" s="9" t="s">
        <v>329</v>
      </c>
      <c r="H211" s="7" t="s">
        <v>385</v>
      </c>
      <c r="I211" s="18"/>
      <c r="J211" s="18"/>
      <c r="K211" s="557" t="str" cm="1">
        <f t="array" ref="K211">IF(ISBLANK(J211), IF(ISBLANK(I211), "N/A", _xlfn.IFS(L211="AS", I211+15, L211="NCR", I211+30, L211="submitted", I211+30, TRUE, "N/A")), _xlfn.IFS(L211="AS", J211+15, L211="NCR", J211+30, L211="submitted", J211+30, TRUE, "N/A"))</f>
        <v>N/A</v>
      </c>
      <c r="L211"/>
      <c r="M211" s="317"/>
      <c r="N211" s="799"/>
      <c r="O211" s="800"/>
      <c r="P211" s="800"/>
      <c r="Q211" s="801"/>
    </row>
    <row r="212" spans="1:17" s="5" customFormat="1" ht="15" customHeight="1">
      <c r="B212" s="4"/>
      <c r="C212" s="86" t="s">
        <v>608</v>
      </c>
      <c r="D212" s="34" t="s">
        <v>609</v>
      </c>
      <c r="E212" s="34"/>
      <c r="F212" s="34"/>
      <c r="G212" s="4" t="s">
        <v>281</v>
      </c>
      <c r="H212" s="17" t="s">
        <v>235</v>
      </c>
      <c r="I212" s="18"/>
      <c r="J212" s="18"/>
      <c r="K212" s="557" t="str" cm="1">
        <f t="array" ref="K212">IF(ISBLANK(J212), IF(ISBLANK(I212), "N/A", _xlfn.IFS(L212="AS", I212+15, L212="NCR", I212+30, L212="submitted", I212+30, TRUE, "N/A")), _xlfn.IFS(L212="AS", J212+15, L212="NCR", J212+30, L212="submitted", J212+30, TRUE, "N/A"))</f>
        <v>N/A</v>
      </c>
      <c r="L212"/>
      <c r="M212" s="317"/>
      <c r="N212" s="747" t="s">
        <v>148</v>
      </c>
      <c r="O212" s="748"/>
      <c r="P212" s="748"/>
      <c r="Q212" s="749"/>
    </row>
    <row r="213" spans="1:17" s="5" customFormat="1" ht="15" customHeight="1">
      <c r="B213" s="4"/>
      <c r="C213" s="111"/>
      <c r="D213" s="35"/>
      <c r="E213" s="35"/>
      <c r="F213" s="35"/>
      <c r="G213" s="4" t="s">
        <v>269</v>
      </c>
      <c r="H213" s="17" t="s">
        <v>353</v>
      </c>
      <c r="I213" s="18"/>
      <c r="J213" s="18"/>
      <c r="K213" s="557" t="str" cm="1">
        <f t="array" ref="K213">IF(ISBLANK(J213), IF(ISBLANK(I213), "N/A", _xlfn.IFS(L213="AS", I213+15, L213="NCR", I213+30, L213="submitted", I213+30, TRUE, "N/A")), _xlfn.IFS(L213="AS", J213+15, L213="NCR", J213+30, L213="submitted", J213+30, TRUE, "N/A"))</f>
        <v>N/A</v>
      </c>
      <c r="L213"/>
      <c r="M213" s="317"/>
      <c r="N213" s="747"/>
      <c r="O213" s="748"/>
      <c r="P213" s="748"/>
      <c r="Q213" s="749"/>
    </row>
    <row r="214" spans="1:17" s="5" customFormat="1" ht="27" customHeight="1">
      <c r="B214" s="4"/>
      <c r="C214" s="95"/>
      <c r="D214" s="36"/>
      <c r="E214" s="36"/>
      <c r="F214" s="36"/>
      <c r="G214" s="4" t="s">
        <v>259</v>
      </c>
      <c r="H214" s="3" t="s">
        <v>610</v>
      </c>
      <c r="I214" s="18"/>
      <c r="J214" s="18"/>
      <c r="K214" s="557" t="str" cm="1">
        <f t="array" ref="K214">IF(ISBLANK(J214), IF(ISBLANK(I214), "N/A", _xlfn.IFS(L214="AS", I214+15, L214="NCR", I214+30, L214="submitted", I214+30, TRUE, "N/A")), _xlfn.IFS(L214="AS", J214+15, L214="NCR", J214+30, L214="submitted", J214+30, TRUE, "N/A"))</f>
        <v>N/A</v>
      </c>
      <c r="L214"/>
      <c r="M214" s="317"/>
      <c r="N214" s="747"/>
      <c r="O214" s="748"/>
      <c r="P214" s="748"/>
      <c r="Q214" s="749"/>
    </row>
    <row r="215" spans="1:17" s="1" customFormat="1" ht="15" customHeight="1">
      <c r="B215" s="9"/>
      <c r="C215" s="32" t="s">
        <v>611</v>
      </c>
      <c r="D215" s="37" t="s">
        <v>612</v>
      </c>
      <c r="E215" s="37"/>
      <c r="F215" s="37"/>
      <c r="G215" s="9" t="s">
        <v>281</v>
      </c>
      <c r="H215" s="13" t="s">
        <v>235</v>
      </c>
      <c r="I215" s="18"/>
      <c r="J215" s="18"/>
      <c r="K215" s="557" t="str" cm="1">
        <f t="array" ref="K215">IF(ISBLANK(J215), IF(ISBLANK(I215), "N/A", _xlfn.IFS(L215="AS", I215+15, L215="NCR", I215+30, L215="submitted", I215+30, TRUE, "N/A")), _xlfn.IFS(L215="AS", J215+15, L215="NCR", J215+30, L215="submitted", J215+30, TRUE, "N/A"))</f>
        <v>N/A</v>
      </c>
      <c r="L215"/>
      <c r="M215" s="317"/>
      <c r="N215" s="747"/>
      <c r="O215" s="748"/>
      <c r="P215" s="748"/>
      <c r="Q215" s="749"/>
    </row>
    <row r="216" spans="1:17" s="1" customFormat="1" ht="15" customHeight="1">
      <c r="B216" s="9"/>
      <c r="C216" s="33"/>
      <c r="D216" s="39"/>
      <c r="E216" s="39"/>
      <c r="F216" s="39"/>
      <c r="G216" s="9" t="s">
        <v>329</v>
      </c>
      <c r="H216" s="7" t="s">
        <v>613</v>
      </c>
      <c r="I216" s="18"/>
      <c r="J216" s="18"/>
      <c r="K216" s="557" t="str" cm="1">
        <f t="array" ref="K216">IF(ISBLANK(J216), IF(ISBLANK(I216), "N/A", _xlfn.IFS(L216="AS", I216+15, L216="NCR", I216+30, L216="submitted", I216+30, TRUE, "N/A")), _xlfn.IFS(L216="AS", J216+15, L216="NCR", J216+30, L216="submitted", J216+30, TRUE, "N/A"))</f>
        <v>N/A</v>
      </c>
      <c r="L216"/>
      <c r="M216" s="317"/>
      <c r="N216" s="747"/>
      <c r="O216" s="748"/>
      <c r="P216" s="748"/>
      <c r="Q216" s="749"/>
    </row>
    <row r="217" spans="1:17" s="1" customFormat="1" ht="27" customHeight="1">
      <c r="B217" s="9"/>
      <c r="C217" s="97"/>
      <c r="D217" s="46"/>
      <c r="E217" s="46"/>
      <c r="F217" s="46"/>
      <c r="G217" s="9" t="s">
        <v>259</v>
      </c>
      <c r="H217" s="7" t="s">
        <v>614</v>
      </c>
      <c r="I217" s="18"/>
      <c r="J217" s="18"/>
      <c r="K217" s="557" t="str" cm="1">
        <f t="array" ref="K217">IF(ISBLANK(J217), IF(ISBLANK(I217), "N/A", _xlfn.IFS(L217="AS", I217+15, L217="NCR", I217+30, L217="submitted", I217+30, TRUE, "N/A")), _xlfn.IFS(L217="AS", J217+15, L217="NCR", J217+30, L217="submitted", J217+30, TRUE, "N/A"))</f>
        <v>N/A</v>
      </c>
      <c r="L217"/>
      <c r="M217" s="318"/>
      <c r="N217" s="747"/>
      <c r="O217" s="748"/>
      <c r="P217" s="748"/>
      <c r="Q217" s="749"/>
    </row>
    <row r="218" spans="1:17" s="5" customFormat="1" ht="15" customHeight="1">
      <c r="B218" s="4"/>
      <c r="C218" s="15" t="s">
        <v>615</v>
      </c>
      <c r="D218" s="17" t="s">
        <v>616</v>
      </c>
      <c r="E218" s="17"/>
      <c r="F218" s="17" t="s">
        <v>161</v>
      </c>
      <c r="G218" s="4" t="s">
        <v>145</v>
      </c>
      <c r="H218" s="17"/>
      <c r="I218" s="18"/>
      <c r="J218" s="18"/>
      <c r="K218" s="557" t="str" cm="1">
        <f t="array" ref="K218">IF(ISBLANK(J218), IF(ISBLANK(I218), "N/A", _xlfn.IFS(L218="AS", I218+15, L218="NCR", I218+30, L218="submitted", I218+30, TRUE, "N/A")), _xlfn.IFS(L218="AS", J218+15, L218="NCR", J218+30, L218="submitted", J218+30, TRUE, "N/A"))</f>
        <v>N/A</v>
      </c>
      <c r="L218"/>
      <c r="M218" s="317"/>
      <c r="N218" s="747"/>
      <c r="O218" s="748"/>
      <c r="P218" s="748"/>
      <c r="Q218" s="749"/>
    </row>
    <row r="219" spans="1:17" s="1" customFormat="1" ht="27" customHeight="1">
      <c r="B219" s="9"/>
      <c r="C219" s="11" t="s">
        <v>617</v>
      </c>
      <c r="D219" s="13" t="s">
        <v>618</v>
      </c>
      <c r="E219" s="13"/>
      <c r="F219" s="13"/>
      <c r="G219" s="9" t="s">
        <v>281</v>
      </c>
      <c r="H219" s="7" t="s">
        <v>619</v>
      </c>
      <c r="I219" s="18"/>
      <c r="J219" s="18"/>
      <c r="K219" s="557" t="str" cm="1">
        <f t="array" ref="K219">IF(ISBLANK(J219), IF(ISBLANK(I219), "N/A", _xlfn.IFS(L219="AS", I219+15, L219="NCR", I219+30, L219="submitted", I219+30, TRUE, "N/A")), _xlfn.IFS(L219="AS", J219+15, L219="NCR", J219+30, L219="submitted", J219+30, TRUE, "N/A"))</f>
        <v>N/A</v>
      </c>
      <c r="L219"/>
      <c r="M219" s="317"/>
      <c r="N219" s="747"/>
      <c r="O219" s="748"/>
      <c r="P219" s="748"/>
      <c r="Q219" s="749"/>
    </row>
    <row r="220" spans="1:17" s="149" customFormat="1" ht="27" customHeight="1">
      <c r="B220" s="146" t="s">
        <v>89</v>
      </c>
      <c r="C220" s="425" t="s">
        <v>620</v>
      </c>
      <c r="D220" s="231" t="s">
        <v>621</v>
      </c>
      <c r="E220" s="231" t="s">
        <v>90</v>
      </c>
      <c r="F220" s="231" t="s">
        <v>622</v>
      </c>
      <c r="G220" s="146" t="s">
        <v>281</v>
      </c>
      <c r="H220" s="193" t="s">
        <v>619</v>
      </c>
      <c r="I220" s="233">
        <v>45874</v>
      </c>
      <c r="J220" s="233">
        <v>45923</v>
      </c>
      <c r="K220" s="557" cm="1">
        <f t="array" ref="K220">IF(ISBLANK(J220), IF(ISBLANK(I220), "N/A", _xlfn.IFS(L220="AS", I220+15, L220="NCR", I220+30, L220="submitted", I220+30, TRUE, "N/A")), _xlfn.IFS(L220="AS", J220+15, L220="NCR", J220+30, L220="submitted", J220+30, TRUE, "N/A"))</f>
        <v>45953</v>
      </c>
      <c r="L220" s="148" t="s">
        <v>157</v>
      </c>
      <c r="M220" s="317"/>
      <c r="N220" s="747"/>
      <c r="O220" s="748"/>
      <c r="P220" s="748"/>
      <c r="Q220" s="749"/>
    </row>
    <row r="221" spans="1:17" s="149" customFormat="1" ht="27" customHeight="1">
      <c r="B221" s="4" t="s">
        <v>623</v>
      </c>
      <c r="C221" s="425" t="s">
        <v>620</v>
      </c>
      <c r="D221" s="231" t="s">
        <v>621</v>
      </c>
      <c r="E221" s="35" t="s">
        <v>624</v>
      </c>
      <c r="F221" s="35" t="s">
        <v>625</v>
      </c>
      <c r="G221" s="146" t="s">
        <v>281</v>
      </c>
      <c r="H221" s="193" t="s">
        <v>619</v>
      </c>
      <c r="I221" s="233">
        <v>45936</v>
      </c>
      <c r="J221" s="233"/>
      <c r="K221" s="557"/>
      <c r="L221" s="148" t="s">
        <v>147</v>
      </c>
      <c r="M221" s="317"/>
      <c r="N221" s="747"/>
      <c r="O221" s="748"/>
      <c r="P221" s="748"/>
      <c r="Q221" s="749"/>
    </row>
    <row r="222" spans="1:17" s="149" customFormat="1" ht="27" customHeight="1">
      <c r="A222" s="149" t="s">
        <v>318</v>
      </c>
      <c r="B222" s="4" t="s">
        <v>623</v>
      </c>
      <c r="C222" s="425" t="s">
        <v>620</v>
      </c>
      <c r="D222" s="231" t="s">
        <v>621</v>
      </c>
      <c r="E222" s="35" t="s">
        <v>624</v>
      </c>
      <c r="F222" s="35" t="s">
        <v>625</v>
      </c>
      <c r="G222" s="146" t="s">
        <v>281</v>
      </c>
      <c r="H222" s="193" t="s">
        <v>619</v>
      </c>
      <c r="I222" s="233">
        <v>45939</v>
      </c>
      <c r="J222" s="233"/>
      <c r="K222" s="557"/>
      <c r="L222" s="148" t="s">
        <v>581</v>
      </c>
      <c r="M222" s="317"/>
      <c r="N222" s="747"/>
      <c r="O222" s="748"/>
      <c r="P222" s="748"/>
      <c r="Q222" s="749"/>
    </row>
    <row r="223" spans="1:17" s="5" customFormat="1" ht="15" customHeight="1">
      <c r="B223" s="4"/>
      <c r="C223" s="111">
        <v>15211</v>
      </c>
      <c r="D223" s="231" t="s">
        <v>621</v>
      </c>
      <c r="E223" s="35"/>
      <c r="F223" s="35"/>
      <c r="G223" s="4" t="s">
        <v>269</v>
      </c>
      <c r="H223" s="17" t="s">
        <v>626</v>
      </c>
      <c r="I223" s="18"/>
      <c r="J223" s="18"/>
      <c r="K223" s="557" t="str" cm="1">
        <f t="array" ref="K223">IF(ISBLANK(J223), IF(ISBLANK(I223), "N/A", _xlfn.IFS(L223="AS", I223+15, L223="NCR", I223+30, L223="submitted", I223+30, TRUE, "N/A")), _xlfn.IFS(L223="AS", J223+15, L223="NCR", J223+30, L223="submitted", J223+30, TRUE, "N/A"))</f>
        <v>N/A</v>
      </c>
      <c r="L223"/>
      <c r="M223" s="317"/>
      <c r="N223" s="747"/>
      <c r="O223" s="748"/>
      <c r="P223" s="748"/>
      <c r="Q223" s="749"/>
    </row>
    <row r="224" spans="1:17" s="5" customFormat="1" ht="37.5" customHeight="1">
      <c r="B224" s="4"/>
      <c r="C224" s="111"/>
      <c r="D224" s="35"/>
      <c r="E224" s="35"/>
      <c r="F224" s="35"/>
      <c r="G224" s="4" t="s">
        <v>259</v>
      </c>
      <c r="H224" s="17" t="s">
        <v>627</v>
      </c>
      <c r="I224" s="18"/>
      <c r="J224" s="18"/>
      <c r="K224" s="557" t="str" cm="1">
        <f t="array" ref="K224">IF(ISBLANK(J224), IF(ISBLANK(I224), "N/A", _xlfn.IFS(L224="AS", I224+15, L224="NCR", I224+30, L224="submitted", I224+30, TRUE, "N/A")), _xlfn.IFS(L224="AS", J224+15, L224="NCR", J224+30, L224="submitted", J224+30, TRUE, "N/A"))</f>
        <v>N/A</v>
      </c>
      <c r="L224"/>
      <c r="M224" s="317"/>
      <c r="N224" s="747"/>
      <c r="O224" s="748"/>
      <c r="P224" s="748"/>
      <c r="Q224" s="749"/>
    </row>
    <row r="225" spans="2:17" s="5" customFormat="1" ht="45.75" customHeight="1">
      <c r="B225" s="4"/>
      <c r="C225" s="111"/>
      <c r="D225" s="35"/>
      <c r="E225" s="35"/>
      <c r="F225" s="35"/>
      <c r="G225" s="4" t="s">
        <v>352</v>
      </c>
      <c r="H225" s="17" t="s">
        <v>282</v>
      </c>
      <c r="I225" s="18"/>
      <c r="J225" s="18"/>
      <c r="K225" s="557" t="str" cm="1">
        <f t="array" ref="K225">IF(ISBLANK(J225), IF(ISBLANK(I225), "N/A", _xlfn.IFS(L225="AS", I225+15, L225="NCR", I225+30, L225="submitted", I225+30, TRUE, "N/A")), _xlfn.IFS(L225="AS", J225+15, L225="NCR", J225+30, L225="submitted", J225+30, TRUE, "N/A"))</f>
        <v>N/A</v>
      </c>
      <c r="L225"/>
      <c r="M225" s="317"/>
      <c r="N225" s="747"/>
      <c r="O225" s="748"/>
      <c r="P225" s="748"/>
      <c r="Q225" s="749"/>
    </row>
    <row r="226" spans="2:17" s="5" customFormat="1" ht="44.25" customHeight="1">
      <c r="B226" s="4"/>
      <c r="C226" s="95"/>
      <c r="D226" s="36"/>
      <c r="E226" s="36"/>
      <c r="F226" s="36"/>
      <c r="G226" s="4" t="s">
        <v>354</v>
      </c>
      <c r="H226" s="17" t="s">
        <v>628</v>
      </c>
      <c r="I226" s="18"/>
      <c r="J226" s="18"/>
      <c r="K226" s="557" t="str" cm="1">
        <f t="array" ref="K226">IF(ISBLANK(J226), IF(ISBLANK(I226), "N/A", _xlfn.IFS(L226="AS", I226+15, L226="NCR", I226+30, L226="submitted", I226+30, TRUE, "N/A")), _xlfn.IFS(L226="AS", J226+15, L226="NCR", J226+30, L226="submitted", J226+30, TRUE, "N/A"))</f>
        <v>N/A</v>
      </c>
      <c r="L226"/>
      <c r="M226" s="317"/>
      <c r="N226" s="747"/>
      <c r="O226" s="748"/>
      <c r="P226" s="748"/>
      <c r="Q226" s="749"/>
    </row>
    <row r="227" spans="2:17" s="652" customFormat="1" ht="118.5" customHeight="1">
      <c r="B227" s="645" t="s">
        <v>91</v>
      </c>
      <c r="C227" s="646" t="s">
        <v>629</v>
      </c>
      <c r="D227" s="647" t="s">
        <v>630</v>
      </c>
      <c r="E227" s="342" t="s">
        <v>631</v>
      </c>
      <c r="F227" s="647" t="s">
        <v>577</v>
      </c>
      <c r="G227" s="645" t="s">
        <v>632</v>
      </c>
      <c r="H227" s="648" t="s">
        <v>633</v>
      </c>
      <c r="I227" s="649">
        <v>45805</v>
      </c>
      <c r="J227" s="650">
        <v>45903</v>
      </c>
      <c r="K227" s="557" t="str" cm="1">
        <f t="array" ref="K227">IF(ISBLANK(J227), IF(ISBLANK(I227), "N/A", _xlfn.IFS(L227="AS", I227+15, L227="NCR", I227+30, L227="submitted", I227+30, TRUE, "N/A")), _xlfn.IFS(L227="AS", J227+15, L227="NCR", J227+30, L227="submitted", J227+30, TRUE, "N/A"))</f>
        <v>N/A</v>
      </c>
      <c r="L227" s="651" t="s">
        <v>147</v>
      </c>
    </row>
    <row r="228" spans="2:17" s="26" customFormat="1" ht="118.5" customHeight="1">
      <c r="B228" s="335" t="s">
        <v>634</v>
      </c>
      <c r="C228" s="310" t="s">
        <v>629</v>
      </c>
      <c r="D228" s="76" t="s">
        <v>630</v>
      </c>
      <c r="E228" s="23" t="s">
        <v>631</v>
      </c>
      <c r="F228" s="76" t="s">
        <v>577</v>
      </c>
      <c r="G228" s="335" t="s">
        <v>632</v>
      </c>
      <c r="H228" s="28" t="s">
        <v>633</v>
      </c>
      <c r="I228" s="25">
        <v>45912</v>
      </c>
      <c r="J228" s="588">
        <v>45926</v>
      </c>
      <c r="K228" s="557" cm="1">
        <f t="array" ref="K228">IF(ISBLANK(J228), IF(ISBLANK(I228), "N/A", _xlfn.IFS(L228="AS", I228+15, L228="NCR", I228+30, L228="submitted", I228+30, TRUE, "N/A")), _xlfn.IFS(L228="AS", J228+15, L228="NCR", J228+30, L228="submitted", J228+30, TRUE, "N/A"))</f>
        <v>45956</v>
      </c>
      <c r="L228" s="591" t="s">
        <v>157</v>
      </c>
    </row>
    <row r="229" spans="2:17" s="149" customFormat="1" ht="81" customHeight="1">
      <c r="B229" s="543" t="s">
        <v>93</v>
      </c>
      <c r="C229" s="333">
        <v>15230</v>
      </c>
      <c r="D229" s="219" t="s">
        <v>630</v>
      </c>
      <c r="E229" s="604" t="s">
        <v>635</v>
      </c>
      <c r="F229" s="219" t="s">
        <v>577</v>
      </c>
      <c r="G229" s="543" t="s">
        <v>336</v>
      </c>
      <c r="H229" s="193" t="s">
        <v>636</v>
      </c>
      <c r="I229" s="233">
        <v>45807</v>
      </c>
      <c r="J229" s="430">
        <v>45903</v>
      </c>
      <c r="K229" s="557" t="str" cm="1">
        <f t="array" ref="K229">IF(ISBLANK(J229), IF(ISBLANK(I229), "N/A", _xlfn.IFS(L229="AS", I229+15, L229="NCR", I229+30, L229="submitted", I229+30, TRUE, "N/A")), _xlfn.IFS(L229="AS", J229+15, L229="NCR", J229+30, L229="submitted", J229+30, TRUE, "N/A"))</f>
        <v>N/A</v>
      </c>
      <c r="L229" s="590" t="s">
        <v>147</v>
      </c>
    </row>
    <row r="230" spans="2:17" s="26" customFormat="1" ht="81" customHeight="1">
      <c r="B230" s="335" t="s">
        <v>637</v>
      </c>
      <c r="C230" s="96">
        <v>15230</v>
      </c>
      <c r="D230" s="27" t="s">
        <v>630</v>
      </c>
      <c r="E230" s="336" t="s">
        <v>635</v>
      </c>
      <c r="F230" s="27" t="s">
        <v>577</v>
      </c>
      <c r="G230" s="335" t="s">
        <v>336</v>
      </c>
      <c r="H230" s="28" t="s">
        <v>636</v>
      </c>
      <c r="I230" s="25">
        <v>45911</v>
      </c>
      <c r="J230" s="588">
        <v>45926</v>
      </c>
      <c r="K230" s="557" t="str" cm="1">
        <f t="array" ref="K230">IF(ISBLANK(J230), IF(ISBLANK(I230), "N/A", _xlfn.IFS(L230="AS", I230+15, L230="NCR", I230+30, L230="submitted", I230+30, TRUE, "N/A")), _xlfn.IFS(L230="AS", J230+15, L230="NCR", J230+30, L230="submitted", J230+30, TRUE, "N/A"))</f>
        <v>N/A</v>
      </c>
      <c r="L230" s="591" t="s">
        <v>638</v>
      </c>
    </row>
    <row r="231" spans="2:17" s="1" customFormat="1" ht="27.75" customHeight="1">
      <c r="B231" s="9"/>
      <c r="C231" s="33">
        <v>15230</v>
      </c>
      <c r="D231" s="46"/>
      <c r="E231" s="46"/>
      <c r="F231" s="46"/>
      <c r="G231" s="9" t="s">
        <v>337</v>
      </c>
      <c r="H231" s="13" t="s">
        <v>328</v>
      </c>
      <c r="I231" s="18"/>
      <c r="J231" s="594"/>
      <c r="K231" s="557" t="str" cm="1">
        <f t="array" ref="K231">IF(ISBLANK(J231), IF(ISBLANK(I231), "N/A", _xlfn.IFS(L231="AS", I231+15, L231="NCR", I231+30, L231="submitted", I231+30, TRUE, "N/A")), _xlfn.IFS(L231="AS", J231+15, L231="NCR", J231+30, L231="submitted", J231+30, TRUE, "N/A"))</f>
        <v>N/A</v>
      </c>
      <c r="L231" s="592"/>
    </row>
    <row r="232" spans="2:17" s="149" customFormat="1" ht="27.75" customHeight="1">
      <c r="B232" s="146" t="s">
        <v>95</v>
      </c>
      <c r="C232" s="333">
        <v>15230</v>
      </c>
      <c r="D232" s="219" t="s">
        <v>630</v>
      </c>
      <c r="E232" s="219" t="s">
        <v>639</v>
      </c>
      <c r="F232" s="219" t="s">
        <v>640</v>
      </c>
      <c r="G232" s="146" t="s">
        <v>336</v>
      </c>
      <c r="H232" s="147" t="s">
        <v>641</v>
      </c>
      <c r="I232" s="233">
        <v>45868</v>
      </c>
      <c r="J232" s="430">
        <v>45925</v>
      </c>
      <c r="K232" s="557" t="str" cm="1">
        <f t="array" ref="K232">IF(ISBLANK(J232), IF(ISBLANK(I232), "N/A", _xlfn.IFS(L232="AS", I232+15, L232="NCR", I232+30, L232="submitted", I232+30, TRUE, "N/A")), _xlfn.IFS(L232="AS", J232+15, L232="NCR", J232+30, L232="submitted", J232+30, TRUE, "N/A"))</f>
        <v>N/A</v>
      </c>
      <c r="L232" s="590" t="s">
        <v>147</v>
      </c>
    </row>
    <row r="233" spans="2:17" s="149" customFormat="1" ht="27.75" customHeight="1">
      <c r="B233" s="146" t="s">
        <v>642</v>
      </c>
      <c r="C233" s="333">
        <v>15230</v>
      </c>
      <c r="D233" s="219" t="s">
        <v>630</v>
      </c>
      <c r="E233" s="219" t="s">
        <v>639</v>
      </c>
      <c r="F233" s="219" t="s">
        <v>640</v>
      </c>
      <c r="G233" s="146" t="s">
        <v>336</v>
      </c>
      <c r="H233" s="147" t="s">
        <v>641</v>
      </c>
      <c r="I233" s="233">
        <v>45926</v>
      </c>
      <c r="J233" s="430">
        <v>45939</v>
      </c>
      <c r="K233" s="557" t="str" cm="1">
        <f t="array" ref="K233">IF(ISBLANK(J233), IF(ISBLANK(I233), "N/A", _xlfn.IFS(L233="AS", I233+15, L233="NCR", I233+30, L233="submitted", I233+30, TRUE, "N/A")), _xlfn.IFS(L233="AS", J233+15, L233="NCR", J233+30, L233="submitted", J233+30, TRUE, "N/A"))</f>
        <v>N/A</v>
      </c>
      <c r="L233" s="590" t="s">
        <v>151</v>
      </c>
    </row>
    <row r="234" spans="2:17" s="266" customFormat="1" ht="27.75" customHeight="1">
      <c r="B234" s="262" t="s">
        <v>643</v>
      </c>
      <c r="C234" s="522">
        <v>15230</v>
      </c>
      <c r="D234" s="263" t="s">
        <v>630</v>
      </c>
      <c r="E234" s="263" t="s">
        <v>644</v>
      </c>
      <c r="F234" s="263" t="s">
        <v>645</v>
      </c>
      <c r="G234" s="262" t="s">
        <v>646</v>
      </c>
      <c r="H234" s="264" t="s">
        <v>647</v>
      </c>
      <c r="I234" s="265">
        <v>45889</v>
      </c>
      <c r="J234" s="595">
        <v>45894</v>
      </c>
      <c r="K234" s="557" cm="1">
        <f t="array" ref="K234">IF(ISBLANK(J234), IF(ISBLANK(I234), "N/A", _xlfn.IFS(L234="AS", I234+15, L234="NCR", I234+30, L234="submitted", I234+30, TRUE, "N/A")), _xlfn.IFS(L234="AS", J234+15, L234="NCR", J234+30, L234="submitted", J234+30, TRUE, "N/A"))</f>
        <v>45924</v>
      </c>
      <c r="L234" s="593" t="s">
        <v>157</v>
      </c>
    </row>
    <row r="235" spans="2:17" s="26" customFormat="1" ht="27" customHeight="1">
      <c r="B235" s="22"/>
      <c r="C235" s="310" t="s">
        <v>648</v>
      </c>
      <c r="D235" s="76" t="s">
        <v>649</v>
      </c>
      <c r="E235" s="76"/>
      <c r="F235" s="76"/>
      <c r="G235" s="22" t="s">
        <v>336</v>
      </c>
      <c r="H235" s="28" t="s">
        <v>650</v>
      </c>
      <c r="I235" s="18"/>
      <c r="J235" s="18"/>
      <c r="K235" s="557" t="str" cm="1">
        <f t="array" ref="K235">IF(ISBLANK(J235), IF(ISBLANK(I235), "N/A", _xlfn.IFS(L235="AS", I235+15, L235="NCR", I235+30, L235="submitted", I235+30, TRUE, "N/A")), _xlfn.IFS(L235="AS", J235+15, L235="NCR", J235+30, L235="submitted", J235+30, TRUE, "N/A"))</f>
        <v>N/A</v>
      </c>
      <c r="L235"/>
    </row>
    <row r="236" spans="2:17" s="26" customFormat="1" ht="15" customHeight="1">
      <c r="B236" s="22"/>
      <c r="C236" s="96"/>
      <c r="D236" s="27"/>
      <c r="E236" s="27"/>
      <c r="F236" s="27"/>
      <c r="G236" s="22" t="s">
        <v>337</v>
      </c>
      <c r="H236" s="24" t="s">
        <v>282</v>
      </c>
      <c r="I236" s="18"/>
      <c r="J236" s="18"/>
      <c r="K236" s="557" t="str" cm="1">
        <f t="array" ref="K236">IF(ISBLANK(J236), IF(ISBLANK(I236), "N/A", _xlfn.IFS(L236="AS", I236+15, L236="NCR", I236+30, L236="submitted", I236+30, TRUE, "N/A")), _xlfn.IFS(L236="AS", J236+15, L236="NCR", J236+30, L236="submitted", J236+30, TRUE, "N/A"))</f>
        <v>N/A</v>
      </c>
      <c r="L236"/>
    </row>
    <row r="237" spans="2:17" s="26" customFormat="1" ht="15" customHeight="1">
      <c r="B237" s="22"/>
      <c r="C237" s="96"/>
      <c r="D237" s="27"/>
      <c r="E237" s="29"/>
      <c r="F237" s="29"/>
      <c r="G237" s="22" t="s">
        <v>404</v>
      </c>
      <c r="H237" s="24" t="s">
        <v>353</v>
      </c>
      <c r="I237" s="18"/>
      <c r="J237" s="18"/>
      <c r="K237" s="557" t="str" cm="1">
        <f t="array" ref="K237">IF(ISBLANK(J237), IF(ISBLANK(I237), "N/A", _xlfn.IFS(L237="AS", I237+15, L237="NCR", I237+30, L237="submitted", I237+30, TRUE, "N/A")), _xlfn.IFS(L237="AS", J237+15, L237="NCR", J237+30, L237="submitted", J237+30, TRUE, "N/A"))</f>
        <v>N/A</v>
      </c>
      <c r="L237"/>
    </row>
    <row r="238" spans="2:17" s="250" customFormat="1" ht="42" customHeight="1">
      <c r="B238" s="362"/>
      <c r="C238" s="363">
        <v>15241</v>
      </c>
      <c r="D238" s="273" t="s">
        <v>651</v>
      </c>
      <c r="E238" s="364"/>
      <c r="F238" s="365"/>
      <c r="G238" s="366" t="s">
        <v>336</v>
      </c>
      <c r="H238" s="367" t="s">
        <v>282</v>
      </c>
      <c r="I238" s="248"/>
      <c r="J238" s="248"/>
      <c r="K238" s="557" t="str" cm="1">
        <f t="array" ref="K238">IF(ISBLANK(J238), IF(ISBLANK(I238), "N/A", _xlfn.IFS(L238="AS", I238+15, L238="NCR", I238+30, L238="submitted", I238+30, TRUE, "N/A")), _xlfn.IFS(L238="AS", J238+15, L238="NCR", J238+30, L238="submitted", J238+30, TRUE, "N/A"))</f>
        <v>N/A</v>
      </c>
      <c r="L238" s="249"/>
    </row>
    <row r="239" spans="2:17" s="5" customFormat="1" ht="48.75" customHeight="1">
      <c r="B239" s="194" t="s">
        <v>26</v>
      </c>
      <c r="C239" s="344">
        <v>15241</v>
      </c>
      <c r="D239" s="167" t="s">
        <v>651</v>
      </c>
      <c r="E239" s="494" t="s">
        <v>652</v>
      </c>
      <c r="F239" s="334" t="s">
        <v>577</v>
      </c>
      <c r="G239" s="146" t="s">
        <v>337</v>
      </c>
      <c r="H239" s="193" t="s">
        <v>619</v>
      </c>
      <c r="I239" s="233">
        <v>45817</v>
      </c>
      <c r="J239" s="233">
        <v>45818</v>
      </c>
      <c r="K239" s="557" t="str" cm="1">
        <f t="array" ref="K239">IF(ISBLANK(J239), IF(ISBLANK(I239), "N/A", _xlfn.IFS(L239="AS", I239+15, L239="NCR", I239+30, L239="submitted", I239+30, TRUE, "N/A")), _xlfn.IFS(L239="AS", J239+15, L239="NCR", J239+30, L239="submitted", J239+30, TRUE, "N/A"))</f>
        <v>N/A</v>
      </c>
      <c r="L239" s="148" t="s">
        <v>147</v>
      </c>
    </row>
    <row r="240" spans="2:17" s="5" customFormat="1" ht="56.25" customHeight="1">
      <c r="B240" s="496" t="s">
        <v>26</v>
      </c>
      <c r="C240" s="497">
        <v>15241</v>
      </c>
      <c r="D240" s="167" t="s">
        <v>651</v>
      </c>
      <c r="E240" s="495"/>
      <c r="F240" s="240"/>
      <c r="G240" s="146" t="s">
        <v>404</v>
      </c>
      <c r="H240" s="193" t="s">
        <v>653</v>
      </c>
      <c r="I240" s="233">
        <v>45817</v>
      </c>
      <c r="J240" s="233">
        <v>45818</v>
      </c>
      <c r="K240" s="557" t="str" cm="1">
        <f t="array" ref="K240">IF(ISBLANK(J240), IF(ISBLANK(I240), "N/A", _xlfn.IFS(L240="AS", I240+15, L240="NCR", I240+30, L240="submitted", I240+30, TRUE, "N/A")), _xlfn.IFS(L240="AS", J240+15, L240="NCR", J240+30, L240="submitted", J240+30, TRUE, "N/A"))</f>
        <v>N/A</v>
      </c>
      <c r="L240" s="148" t="s">
        <v>147</v>
      </c>
    </row>
    <row r="241" spans="2:12" s="138" customFormat="1" ht="56.25" customHeight="1">
      <c r="B241" s="197" t="s">
        <v>654</v>
      </c>
      <c r="C241" s="661">
        <v>15241</v>
      </c>
      <c r="D241" s="662" t="s">
        <v>651</v>
      </c>
      <c r="E241" s="663" t="s">
        <v>655</v>
      </c>
      <c r="F241" s="133" t="s">
        <v>577</v>
      </c>
      <c r="G241" s="151"/>
      <c r="H241" s="153" t="s">
        <v>656</v>
      </c>
      <c r="I241" s="261">
        <v>45891</v>
      </c>
      <c r="J241" s="261"/>
      <c r="K241" s="557" t="str" cm="1">
        <f t="array" ref="K241">IF(ISBLANK(J241), IF(ISBLANK(I241), "N/A", _xlfn.IFS(L241="AS", I241+15, L241="NCR", I241+30, L241="submitted", I241+30, TRUE, "N/A")), _xlfn.IFS(L241="AS", J241+15, L241="NCR", J241+30, L241="submitted", J241+30, TRUE, "N/A"))</f>
        <v>N/A</v>
      </c>
      <c r="L241" s="139" t="s">
        <v>638</v>
      </c>
    </row>
    <row r="242" spans="2:12" s="1" customFormat="1" ht="47.25" customHeight="1">
      <c r="B242" s="21"/>
      <c r="C242" s="97" t="s">
        <v>657</v>
      </c>
      <c r="D242" s="46" t="s">
        <v>658</v>
      </c>
      <c r="E242" s="13"/>
      <c r="F242" s="13"/>
      <c r="G242" s="9" t="s">
        <v>281</v>
      </c>
      <c r="H242" s="7" t="s">
        <v>619</v>
      </c>
      <c r="I242" s="18"/>
      <c r="J242" s="18"/>
      <c r="K242" s="557" t="str" cm="1">
        <f t="array" ref="K242">IF(ISBLANK(J242), IF(ISBLANK(I242), "N/A", _xlfn.IFS(L242="AS", I242+15, L242="NCR", I242+30, L242="submitted", I242+30, TRUE, "N/A")), _xlfn.IFS(L242="AS", J242+15, L242="NCR", J242+30, L242="submitted", J242+30, TRUE, "N/A"))</f>
        <v>N/A</v>
      </c>
      <c r="L242"/>
    </row>
    <row r="243" spans="2:12" s="5" customFormat="1" ht="43.5" customHeight="1">
      <c r="B243" s="4"/>
      <c r="C243" s="86" t="s">
        <v>659</v>
      </c>
      <c r="D243" s="34" t="s">
        <v>660</v>
      </c>
      <c r="E243" s="34"/>
      <c r="F243" s="34"/>
      <c r="G243" s="4" t="s">
        <v>281</v>
      </c>
      <c r="H243" s="3" t="s">
        <v>619</v>
      </c>
      <c r="I243" s="18"/>
      <c r="J243" s="18"/>
      <c r="K243" s="557" t="str" cm="1">
        <f t="array" ref="K243">IF(ISBLANK(J243), IF(ISBLANK(I243), "N/A", _xlfn.IFS(L243="AS", I243+15, L243="NCR", I243+30, L243="submitted", I243+30, TRUE, "N/A")), _xlfn.IFS(L243="AS", J243+15, L243="NCR", J243+30, L243="submitted", J243+30, TRUE, "N/A"))</f>
        <v>N/A</v>
      </c>
      <c r="L243"/>
    </row>
    <row r="244" spans="2:12" s="5" customFormat="1" ht="15" customHeight="1">
      <c r="B244" s="4"/>
      <c r="C244" s="111"/>
      <c r="D244" s="35"/>
      <c r="E244" s="35"/>
      <c r="F244" s="35"/>
      <c r="G244" s="4" t="s">
        <v>269</v>
      </c>
      <c r="H244" s="17" t="s">
        <v>626</v>
      </c>
      <c r="I244" s="18"/>
      <c r="J244" s="18"/>
      <c r="K244" s="557" t="str" cm="1">
        <f t="array" ref="K244">IF(ISBLANK(J244), IF(ISBLANK(I244), "N/A", _xlfn.IFS(L244="AS", I244+15, L244="NCR", I244+30, L244="submitted", I244+30, TRUE, "N/A")), _xlfn.IFS(L244="AS", J244+15, L244="NCR", J244+30, L244="submitted", J244+30, TRUE, "N/A"))</f>
        <v>N/A</v>
      </c>
      <c r="L244"/>
    </row>
    <row r="245" spans="2:12" s="5" customFormat="1" ht="15" customHeight="1">
      <c r="B245" s="4"/>
      <c r="C245" s="95"/>
      <c r="D245" s="36"/>
      <c r="E245" s="36"/>
      <c r="F245" s="36"/>
      <c r="G245" s="4" t="s">
        <v>259</v>
      </c>
      <c r="H245" s="17" t="s">
        <v>627</v>
      </c>
      <c r="I245" s="18"/>
      <c r="J245" s="18"/>
      <c r="K245" s="557" t="str" cm="1">
        <f t="array" ref="K245">IF(ISBLANK(J245), IF(ISBLANK(I245), "N/A", _xlfn.IFS(L245="AS", I245+15, L245="NCR", I245+30, L245="submitted", I245+30, TRUE, "N/A")), _xlfn.IFS(L245="AS", J245+15, L245="NCR", J245+30, L245="submitted", J245+30, TRUE, "N/A"))</f>
        <v>N/A</v>
      </c>
      <c r="L245"/>
    </row>
    <row r="246" spans="2:12" s="1" customFormat="1" ht="27" customHeight="1">
      <c r="B246" s="9"/>
      <c r="C246" s="32" t="s">
        <v>661</v>
      </c>
      <c r="D246" s="37" t="s">
        <v>662</v>
      </c>
      <c r="E246" s="37"/>
      <c r="F246" s="37"/>
      <c r="G246" s="9" t="s">
        <v>336</v>
      </c>
      <c r="H246" s="7" t="s">
        <v>663</v>
      </c>
      <c r="I246" s="18"/>
      <c r="J246" s="18"/>
      <c r="K246" s="557" t="str" cm="1">
        <f t="array" ref="K246">IF(ISBLANK(J246), IF(ISBLANK(I246), "N/A", _xlfn.IFS(L246="AS", I246+15, L246="NCR", I246+30, L246="submitted", I246+30, TRUE, "N/A")), _xlfn.IFS(L246="AS", J246+15, L246="NCR", J246+30, L246="submitted", J246+30, TRUE, "N/A"))</f>
        <v>N/A</v>
      </c>
      <c r="L246"/>
    </row>
    <row r="247" spans="2:12" s="1" customFormat="1" ht="15" customHeight="1">
      <c r="B247" s="9"/>
      <c r="C247" s="33"/>
      <c r="D247" s="39"/>
      <c r="E247" s="39"/>
      <c r="F247" s="39"/>
      <c r="G247" s="9" t="s">
        <v>337</v>
      </c>
      <c r="H247" s="13" t="s">
        <v>664</v>
      </c>
      <c r="I247" s="18"/>
      <c r="J247" s="18"/>
      <c r="K247" s="557" t="str" cm="1">
        <f t="array" ref="K247">IF(ISBLANK(J247), IF(ISBLANK(I247), "N/A", _xlfn.IFS(L247="AS", I247+15, L247="NCR", I247+30, L247="submitted", I247+30, TRUE, "N/A")), _xlfn.IFS(L247="AS", J247+15, L247="NCR", J247+30, L247="submitted", J247+30, TRUE, "N/A"))</f>
        <v>N/A</v>
      </c>
      <c r="L247"/>
    </row>
    <row r="248" spans="2:12" s="1" customFormat="1" ht="30.75" customHeight="1">
      <c r="B248" s="9"/>
      <c r="C248" s="33"/>
      <c r="D248" s="39"/>
      <c r="E248" s="39"/>
      <c r="F248" s="39"/>
      <c r="G248" s="9" t="s">
        <v>404</v>
      </c>
      <c r="H248" s="7" t="s">
        <v>665</v>
      </c>
      <c r="I248" s="18"/>
      <c r="J248" s="18"/>
      <c r="K248" s="557" t="str" cm="1">
        <f t="array" ref="K248">IF(ISBLANK(J248), IF(ISBLANK(I248), "N/A", _xlfn.IFS(L248="AS", I248+15, L248="NCR", I248+30, L248="submitted", I248+30, TRUE, "N/A")), _xlfn.IFS(L248="AS", J248+15, L248="NCR", J248+30, L248="submitted", J248+30, TRUE, "N/A"))</f>
        <v>N/A</v>
      </c>
      <c r="L248"/>
    </row>
    <row r="249" spans="2:12" s="1" customFormat="1" ht="27" customHeight="1">
      <c r="B249" s="9"/>
      <c r="C249" s="33"/>
      <c r="D249" s="39"/>
      <c r="E249" s="39"/>
      <c r="F249" s="39"/>
      <c r="G249" s="9" t="s">
        <v>405</v>
      </c>
      <c r="H249" s="7" t="s">
        <v>666</v>
      </c>
      <c r="I249" s="18"/>
      <c r="J249" s="18"/>
      <c r="K249" s="557" t="str" cm="1">
        <f t="array" ref="K249">IF(ISBLANK(J249), IF(ISBLANK(I249), "N/A", _xlfn.IFS(L249="AS", I249+15, L249="NCR", I249+30, L249="submitted", I249+30, TRUE, "N/A")), _xlfn.IFS(L249="AS", J249+15, L249="NCR", J249+30, L249="submitted", J249+30, TRUE, "N/A"))</f>
        <v>N/A</v>
      </c>
      <c r="L249"/>
    </row>
    <row r="250" spans="2:12" s="1" customFormat="1" ht="15" customHeight="1">
      <c r="B250" s="9"/>
      <c r="C250" s="33"/>
      <c r="D250" s="39"/>
      <c r="E250" s="39"/>
      <c r="F250" s="39"/>
      <c r="G250" s="9" t="s">
        <v>406</v>
      </c>
      <c r="H250" s="13" t="s">
        <v>667</v>
      </c>
      <c r="I250" s="18"/>
      <c r="J250" s="18"/>
      <c r="K250" s="557" t="str" cm="1">
        <f t="array" ref="K250">IF(ISBLANK(J250), IF(ISBLANK(I250), "N/A", _xlfn.IFS(L250="AS", I250+15, L250="NCR", I250+30, L250="submitted", I250+30, TRUE, "N/A")), _xlfn.IFS(L250="AS", J250+15, L250="NCR", J250+30, L250="submitted", J250+30, TRUE, "N/A"))</f>
        <v>N/A</v>
      </c>
      <c r="L250"/>
    </row>
    <row r="251" spans="2:12" s="1" customFormat="1" ht="15" customHeight="1">
      <c r="B251" s="9"/>
      <c r="C251" s="97"/>
      <c r="D251" s="46"/>
      <c r="E251" s="46"/>
      <c r="F251" s="46"/>
      <c r="G251" s="9" t="s">
        <v>408</v>
      </c>
      <c r="H251" s="13" t="s">
        <v>668</v>
      </c>
      <c r="I251" s="18"/>
      <c r="J251" s="18"/>
      <c r="K251" s="557" t="str" cm="1">
        <f t="array" ref="K251">IF(ISBLANK(J251), IF(ISBLANK(I251), "N/A", _xlfn.IFS(L251="AS", I251+15, L251="NCR", I251+30, L251="submitted", I251+30, TRUE, "N/A")), _xlfn.IFS(L251="AS", J251+15, L251="NCR", J251+30, L251="submitted", J251+30, TRUE, "N/A"))</f>
        <v>N/A</v>
      </c>
      <c r="L251"/>
    </row>
    <row r="252" spans="2:12" s="5" customFormat="1" ht="48" customHeight="1">
      <c r="B252" s="4"/>
      <c r="C252" s="15" t="s">
        <v>669</v>
      </c>
      <c r="D252" s="17" t="s">
        <v>670</v>
      </c>
      <c r="E252" s="17"/>
      <c r="F252" s="17"/>
      <c r="G252" s="4" t="s">
        <v>281</v>
      </c>
      <c r="H252" s="3" t="s">
        <v>619</v>
      </c>
      <c r="I252" s="18"/>
      <c r="J252" s="18"/>
      <c r="K252" s="557" t="str" cm="1">
        <f t="array" ref="K252">IF(ISBLANK(J252), IF(ISBLANK(I252), "N/A", _xlfn.IFS(L252="AS", I252+15, L252="NCR", I252+30, L252="submitted", I252+30, TRUE, "N/A")), _xlfn.IFS(L252="AS", J252+15, L252="NCR", J252+30, L252="submitted", J252+30, TRUE, "N/A"))</f>
        <v>N/A</v>
      </c>
      <c r="L252"/>
    </row>
    <row r="253" spans="2:12" s="1" customFormat="1" ht="42.75" customHeight="1">
      <c r="B253" s="9"/>
      <c r="C253" s="32" t="s">
        <v>671</v>
      </c>
      <c r="D253" s="37" t="s">
        <v>672</v>
      </c>
      <c r="E253" s="37"/>
      <c r="F253" s="37"/>
      <c r="G253" s="9" t="s">
        <v>336</v>
      </c>
      <c r="H253" s="7" t="s">
        <v>619</v>
      </c>
      <c r="I253" s="18"/>
      <c r="J253" s="18"/>
      <c r="K253" s="557" t="str" cm="1">
        <f t="array" ref="K253">IF(ISBLANK(J253), IF(ISBLANK(I253), "N/A", _xlfn.IFS(L253="AS", I253+15, L253="NCR", I253+30, L253="submitted", I253+30, TRUE, "N/A")), _xlfn.IFS(L253="AS", J253+15, L253="NCR", J253+30, L253="submitted", J253+30, TRUE, "N/A"))</f>
        <v>N/A</v>
      </c>
      <c r="L253"/>
    </row>
    <row r="254" spans="2:12" s="1" customFormat="1" ht="15" customHeight="1">
      <c r="B254" s="9"/>
      <c r="C254" s="33"/>
      <c r="D254" s="39"/>
      <c r="E254" s="39"/>
      <c r="F254" s="39"/>
      <c r="G254" s="9" t="s">
        <v>337</v>
      </c>
      <c r="H254" s="13" t="s">
        <v>282</v>
      </c>
      <c r="I254" s="18"/>
      <c r="J254" s="18"/>
      <c r="K254" s="557" t="str" cm="1">
        <f t="array" ref="K254">IF(ISBLANK(J254), IF(ISBLANK(I254), "N/A", _xlfn.IFS(L254="AS", I254+15, L254="NCR", I254+30, L254="submitted", I254+30, TRUE, "N/A")), _xlfn.IFS(L254="AS", J254+15, L254="NCR", J254+30, L254="submitted", J254+30, TRUE, "N/A"))</f>
        <v>N/A</v>
      </c>
      <c r="L254"/>
    </row>
    <row r="255" spans="2:12" s="1" customFormat="1" ht="15" customHeight="1">
      <c r="B255" s="9"/>
      <c r="C255" s="97"/>
      <c r="D255" s="46"/>
      <c r="E255" s="46"/>
      <c r="F255" s="46"/>
      <c r="G255" s="9" t="s">
        <v>338</v>
      </c>
      <c r="H255" s="7" t="s">
        <v>673</v>
      </c>
      <c r="I255" s="18"/>
      <c r="J255" s="18"/>
      <c r="K255" s="557" t="str" cm="1">
        <f t="array" ref="K255">IF(ISBLANK(J255), IF(ISBLANK(I255), "N/A", _xlfn.IFS(L255="AS", I255+15, L255="NCR", I255+30, L255="submitted", I255+30, TRUE, "N/A")), _xlfn.IFS(L255="AS", J255+15, L255="NCR", J255+30, L255="submitted", J255+30, TRUE, "N/A"))</f>
        <v>N/A</v>
      </c>
      <c r="L255"/>
    </row>
    <row r="256" spans="2:12" s="5" customFormat="1" ht="15" customHeight="1">
      <c r="B256" s="4"/>
      <c r="C256" s="86" t="s">
        <v>674</v>
      </c>
      <c r="D256" s="34" t="s">
        <v>675</v>
      </c>
      <c r="E256" s="34"/>
      <c r="F256" s="34"/>
      <c r="G256" s="4" t="s">
        <v>208</v>
      </c>
      <c r="H256" s="17" t="s">
        <v>484</v>
      </c>
      <c r="I256" s="18"/>
      <c r="J256" s="18"/>
      <c r="K256" s="557" t="str" cm="1">
        <f t="array" ref="K256">IF(ISBLANK(J256), IF(ISBLANK(I256), "N/A", _xlfn.IFS(L256="AS", I256+15, L256="NCR", I256+30, L256="submitted", I256+30, TRUE, "N/A")), _xlfn.IFS(L256="AS", J256+15, L256="NCR", J256+30, L256="submitted", J256+30, TRUE, "N/A"))</f>
        <v>N/A</v>
      </c>
      <c r="L256"/>
    </row>
    <row r="257" spans="2:12" s="5" customFormat="1" ht="15" customHeight="1">
      <c r="B257" s="4"/>
      <c r="C257" s="111"/>
      <c r="D257" s="35"/>
      <c r="E257" s="35"/>
      <c r="F257" s="35"/>
      <c r="G257" s="4" t="s">
        <v>281</v>
      </c>
      <c r="H257" s="17" t="s">
        <v>676</v>
      </c>
      <c r="I257" s="18"/>
      <c r="J257" s="18"/>
      <c r="K257" s="557" t="str" cm="1">
        <f t="array" ref="K257">IF(ISBLANK(J257), IF(ISBLANK(I257), "N/A", _xlfn.IFS(L257="AS", I257+15, L257="NCR", I257+30, L257="submitted", I257+30, TRUE, "N/A")), _xlfn.IFS(L257="AS", J257+15, L257="NCR", J257+30, L257="submitted", J257+30, TRUE, "N/A"))</f>
        <v>N/A</v>
      </c>
      <c r="L257"/>
    </row>
    <row r="258" spans="2:12" s="5" customFormat="1" ht="15" customHeight="1">
      <c r="B258" s="4"/>
      <c r="C258" s="95"/>
      <c r="D258" s="36"/>
      <c r="E258" s="36"/>
      <c r="F258" s="36"/>
      <c r="G258" s="4" t="s">
        <v>269</v>
      </c>
      <c r="H258" s="17" t="s">
        <v>677</v>
      </c>
      <c r="I258" s="18"/>
      <c r="J258" s="18"/>
      <c r="K258" s="557" t="str" cm="1">
        <f t="array" ref="K258">IF(ISBLANK(J258), IF(ISBLANK(I258), "N/A", _xlfn.IFS(L258="AS", I258+15, L258="NCR", I258+30, L258="submitted", I258+30, TRUE, "N/A")), _xlfn.IFS(L258="AS", J258+15, L258="NCR", J258+30, L258="submitted", J258+30, TRUE, "N/A"))</f>
        <v>N/A</v>
      </c>
      <c r="L258"/>
    </row>
    <row r="259" spans="2:12" s="1" customFormat="1" ht="40.5" customHeight="1">
      <c r="B259" s="9"/>
      <c r="C259" s="11" t="s">
        <v>678</v>
      </c>
      <c r="D259" s="13" t="s">
        <v>679</v>
      </c>
      <c r="E259" s="13"/>
      <c r="F259" s="13"/>
      <c r="G259" s="9" t="s">
        <v>483</v>
      </c>
      <c r="H259" s="7" t="s">
        <v>650</v>
      </c>
      <c r="I259" s="18"/>
      <c r="J259" s="18"/>
      <c r="K259" s="557" t="str" cm="1">
        <f t="array" ref="K259">IF(ISBLANK(J259), IF(ISBLANK(I259), "N/A", _xlfn.IFS(L259="AS", I259+15, L259="NCR", I259+30, L259="submitted", I259+30, TRUE, "N/A")), _xlfn.IFS(L259="AS", J259+15, L259="NCR", J259+30, L259="submitted", J259+30, TRUE, "N/A"))</f>
        <v>N/A</v>
      </c>
      <c r="L259"/>
    </row>
    <row r="260" spans="2:12" s="5" customFormat="1" ht="43.5" customHeight="1">
      <c r="B260" s="4"/>
      <c r="C260" s="15" t="s">
        <v>680</v>
      </c>
      <c r="D260" s="17" t="s">
        <v>681</v>
      </c>
      <c r="E260" s="17"/>
      <c r="F260" s="17"/>
      <c r="G260" s="4" t="s">
        <v>212</v>
      </c>
      <c r="H260" s="3" t="s">
        <v>682</v>
      </c>
      <c r="I260" s="18"/>
      <c r="J260" s="18"/>
      <c r="K260" s="557" t="str" cm="1">
        <f t="array" ref="K260">IF(ISBLANK(J260), IF(ISBLANK(I260), "N/A", _xlfn.IFS(L260="AS", I260+15, L260="NCR", I260+30, L260="submitted", I260+30, TRUE, "N/A")), _xlfn.IFS(L260="AS", J260+15, L260="NCR", J260+30, L260="submitted", J260+30, TRUE, "N/A"))</f>
        <v>N/A</v>
      </c>
      <c r="L260"/>
    </row>
    <row r="261" spans="2:12" s="1" customFormat="1" ht="40.5" customHeight="1">
      <c r="B261" s="9"/>
      <c r="C261" s="32" t="s">
        <v>683</v>
      </c>
      <c r="D261" s="37" t="s">
        <v>684</v>
      </c>
      <c r="E261" s="37"/>
      <c r="F261" s="37"/>
      <c r="G261" s="9" t="s">
        <v>212</v>
      </c>
      <c r="H261" s="7" t="s">
        <v>685</v>
      </c>
      <c r="I261" s="18"/>
      <c r="J261" s="18"/>
      <c r="K261" s="557" t="str" cm="1">
        <f t="array" ref="K261">IF(ISBLANK(J261), IF(ISBLANK(I261), "N/A", _xlfn.IFS(L261="AS", I261+15, L261="NCR", I261+30, L261="submitted", I261+30, TRUE, "N/A")), _xlfn.IFS(L261="AS", J261+15, L261="NCR", J261+30, L261="submitted", J261+30, TRUE, "N/A"))</f>
        <v>N/A</v>
      </c>
      <c r="L261"/>
    </row>
    <row r="262" spans="2:12" s="1" customFormat="1" ht="27" customHeight="1">
      <c r="B262" s="9"/>
      <c r="C262" s="33"/>
      <c r="D262" s="39"/>
      <c r="E262" s="39"/>
      <c r="F262" s="39"/>
      <c r="G262" s="9" t="s">
        <v>236</v>
      </c>
      <c r="H262" s="7" t="s">
        <v>686</v>
      </c>
      <c r="I262" s="18"/>
      <c r="J262" s="18"/>
      <c r="K262" s="557" t="str" cm="1">
        <f t="array" ref="K262">IF(ISBLANK(J262), IF(ISBLANK(I262), "N/A", _xlfn.IFS(L262="AS", I262+15, L262="NCR", I262+30, L262="submitted", I262+30, TRUE, "N/A")), _xlfn.IFS(L262="AS", J262+15, L262="NCR", J262+30, L262="submitted", J262+30, TRUE, "N/A"))</f>
        <v>N/A</v>
      </c>
      <c r="L262"/>
    </row>
    <row r="263" spans="2:12" s="1" customFormat="1" ht="27" customHeight="1">
      <c r="B263" s="9"/>
      <c r="C263" s="97"/>
      <c r="D263" s="46"/>
      <c r="E263" s="46"/>
      <c r="F263" s="46"/>
      <c r="G263" s="9" t="s">
        <v>238</v>
      </c>
      <c r="H263" s="102" t="s">
        <v>687</v>
      </c>
      <c r="I263" s="18"/>
      <c r="J263" s="18"/>
      <c r="K263" s="557" t="str" cm="1">
        <f t="array" ref="K263">IF(ISBLANK(J263), IF(ISBLANK(I263), "N/A", _xlfn.IFS(L263="AS", I263+15, L263="NCR", I263+30, L263="submitted", I263+30, TRUE, "N/A")), _xlfn.IFS(L263="AS", J263+15, L263="NCR", J263+30, L263="submitted", J263+30, TRUE, "N/A"))</f>
        <v>N/A</v>
      </c>
      <c r="L263"/>
    </row>
    <row r="264" spans="2:12" s="5" customFormat="1" ht="15" customHeight="1">
      <c r="B264" s="4"/>
      <c r="C264" s="86" t="s">
        <v>688</v>
      </c>
      <c r="D264" s="34" t="s">
        <v>689</v>
      </c>
      <c r="E264" s="34"/>
      <c r="F264" s="34"/>
      <c r="G264" s="4" t="s">
        <v>208</v>
      </c>
      <c r="H264" s="17" t="s">
        <v>282</v>
      </c>
      <c r="I264" s="18"/>
      <c r="J264" s="18"/>
      <c r="K264" s="557" t="str" cm="1">
        <f t="array" ref="K264">IF(ISBLANK(J264), IF(ISBLANK(I264), "N/A", _xlfn.IFS(L264="AS", I264+15, L264="NCR", I264+30, L264="submitted", I264+30, TRUE, "N/A")), _xlfn.IFS(L264="AS", J264+15, L264="NCR", J264+30, L264="submitted", J264+30, TRUE, "N/A"))</f>
        <v>N/A</v>
      </c>
      <c r="L264"/>
    </row>
    <row r="265" spans="2:12" s="5" customFormat="1" ht="15" customHeight="1">
      <c r="B265" s="4"/>
      <c r="C265" s="111"/>
      <c r="D265" s="35"/>
      <c r="E265" s="35"/>
      <c r="F265" s="35"/>
      <c r="G265" s="4" t="s">
        <v>222</v>
      </c>
      <c r="H265" s="17" t="s">
        <v>690</v>
      </c>
      <c r="I265" s="18"/>
      <c r="J265" s="18"/>
      <c r="K265" s="557" t="str" cm="1">
        <f t="array" ref="K265">IF(ISBLANK(J265), IF(ISBLANK(I265), "N/A", _xlfn.IFS(L265="AS", I265+15, L265="NCR", I265+30, L265="submitted", I265+30, TRUE, "N/A")), _xlfn.IFS(L265="AS", J265+15, L265="NCR", J265+30, L265="submitted", J265+30, TRUE, "N/A"))</f>
        <v>N/A</v>
      </c>
      <c r="L265"/>
    </row>
    <row r="266" spans="2:12" s="5" customFormat="1" ht="15" customHeight="1">
      <c r="B266" s="4"/>
      <c r="C266" s="111"/>
      <c r="D266" s="35"/>
      <c r="E266" s="35"/>
      <c r="F266" s="35"/>
      <c r="G266" s="4" t="s">
        <v>543</v>
      </c>
      <c r="H266" s="17" t="s">
        <v>691</v>
      </c>
      <c r="I266" s="18"/>
      <c r="J266" s="18"/>
      <c r="K266" s="557" t="str" cm="1">
        <f t="array" ref="K266">IF(ISBLANK(J266), IF(ISBLANK(I266), "N/A", _xlfn.IFS(L266="AS", I266+15, L266="NCR", I266+30, L266="submitted", I266+30, TRUE, "N/A")), _xlfn.IFS(L266="AS", J266+15, L266="NCR", J266+30, L266="submitted", J266+30, TRUE, "N/A"))</f>
        <v>N/A</v>
      </c>
      <c r="L266"/>
    </row>
    <row r="267" spans="2:12" s="5" customFormat="1" ht="15" customHeight="1">
      <c r="B267" s="4"/>
      <c r="C267" s="111"/>
      <c r="D267" s="35"/>
      <c r="E267" s="103"/>
      <c r="F267" s="103"/>
      <c r="G267" s="5" t="s">
        <v>545</v>
      </c>
      <c r="H267" s="3" t="s">
        <v>692</v>
      </c>
      <c r="I267" s="18"/>
      <c r="J267" s="18"/>
      <c r="K267" s="557" t="str" cm="1">
        <f t="array" ref="K267">IF(ISBLANK(J267), IF(ISBLANK(I267), "N/A", _xlfn.IFS(L267="AS", I267+15, L267="NCR", I267+30, L267="submitted", I267+30, TRUE, "N/A")), _xlfn.IFS(L267="AS", J267+15, L267="NCR", J267+30, L267="submitted", J267+30, TRUE, "N/A"))</f>
        <v>N/A</v>
      </c>
      <c r="L267"/>
    </row>
    <row r="268" spans="2:12" s="5" customFormat="1" ht="15" customHeight="1">
      <c r="B268" s="4"/>
      <c r="C268" s="111"/>
      <c r="D268" s="35"/>
      <c r="E268" s="35"/>
      <c r="F268" s="35"/>
      <c r="G268" s="4" t="s">
        <v>693</v>
      </c>
      <c r="H268" s="3" t="s">
        <v>694</v>
      </c>
      <c r="I268" s="18"/>
      <c r="J268" s="18"/>
      <c r="K268" s="557" t="str" cm="1">
        <f t="array" ref="K268">IF(ISBLANK(J268), IF(ISBLANK(I268), "N/A", _xlfn.IFS(L268="AS", I268+15, L268="NCR", I268+30, L268="submitted", I268+30, TRUE, "N/A")), _xlfn.IFS(L268="AS", J268+15, L268="NCR", J268+30, L268="submitted", J268+30, TRUE, "N/A"))</f>
        <v>N/A</v>
      </c>
      <c r="L268"/>
    </row>
    <row r="269" spans="2:12" s="5" customFormat="1" ht="40.5" customHeight="1">
      <c r="B269" s="4"/>
      <c r="C269" s="111"/>
      <c r="D269" s="35"/>
      <c r="E269" s="35"/>
      <c r="F269" s="35"/>
      <c r="G269" s="4" t="s">
        <v>269</v>
      </c>
      <c r="H269" s="3" t="s">
        <v>695</v>
      </c>
      <c r="I269" s="18"/>
      <c r="J269" s="18"/>
      <c r="K269" s="557" t="str" cm="1">
        <f t="array" ref="K269">IF(ISBLANK(J269), IF(ISBLANK(I269), "N/A", _xlfn.IFS(L269="AS", I269+15, L269="NCR", I269+30, L269="submitted", I269+30, TRUE, "N/A")), _xlfn.IFS(L269="AS", J269+15, L269="NCR", J269+30, L269="submitted", J269+30, TRUE, "N/A"))</f>
        <v>N/A</v>
      </c>
      <c r="L269"/>
    </row>
    <row r="270" spans="2:12" s="5" customFormat="1" ht="15" customHeight="1">
      <c r="B270" s="4"/>
      <c r="C270" s="95"/>
      <c r="D270" s="36"/>
      <c r="E270" s="36"/>
      <c r="F270" s="36"/>
      <c r="G270" s="4" t="s">
        <v>259</v>
      </c>
      <c r="H270" s="17" t="s">
        <v>696</v>
      </c>
      <c r="I270" s="18"/>
      <c r="J270" s="18"/>
      <c r="K270" s="557" t="str" cm="1">
        <f t="array" ref="K270">IF(ISBLANK(J270), IF(ISBLANK(I270), "N/A", _xlfn.IFS(L270="AS", I270+15, L270="NCR", I270+30, L270="submitted", I270+30, TRUE, "N/A")), _xlfn.IFS(L270="AS", J270+15, L270="NCR", J270+30, L270="submitted", J270+30, TRUE, "N/A"))</f>
        <v>N/A</v>
      </c>
      <c r="L270"/>
    </row>
    <row r="271" spans="2:12" s="1" customFormat="1" ht="15" customHeight="1">
      <c r="B271" s="9"/>
      <c r="C271" s="32" t="s">
        <v>697</v>
      </c>
      <c r="D271" s="37" t="s">
        <v>698</v>
      </c>
      <c r="E271" s="37"/>
      <c r="F271" s="37"/>
      <c r="G271" s="9" t="s">
        <v>281</v>
      </c>
      <c r="H271" s="13" t="s">
        <v>235</v>
      </c>
      <c r="I271" s="18"/>
      <c r="J271" s="18"/>
      <c r="K271" s="557" t="str" cm="1">
        <f t="array" ref="K271">IF(ISBLANK(J271), IF(ISBLANK(I271), "N/A", _xlfn.IFS(L271="AS", I271+15, L271="NCR", I271+30, L271="submitted", I271+30, TRUE, "N/A")), _xlfn.IFS(L271="AS", J271+15, L271="NCR", J271+30, L271="submitted", J271+30, TRUE, "N/A"))</f>
        <v>N/A</v>
      </c>
      <c r="L271"/>
    </row>
    <row r="272" spans="2:12" s="1" customFormat="1" ht="15" customHeight="1">
      <c r="B272" s="9"/>
      <c r="C272" s="33"/>
      <c r="D272" s="39"/>
      <c r="E272" s="39"/>
      <c r="F272" s="39"/>
      <c r="G272" s="9" t="s">
        <v>269</v>
      </c>
      <c r="H272" s="13" t="s">
        <v>282</v>
      </c>
      <c r="I272" s="18"/>
      <c r="J272" s="18"/>
      <c r="K272" s="557" t="str" cm="1">
        <f t="array" ref="K272">IF(ISBLANK(J272), IF(ISBLANK(I272), "N/A", _xlfn.IFS(L272="AS", I272+15, L272="NCR", I272+30, L272="submitted", I272+30, TRUE, "N/A")), _xlfn.IFS(L272="AS", J272+15, L272="NCR", J272+30, L272="submitted", J272+30, TRUE, "N/A"))</f>
        <v>N/A</v>
      </c>
      <c r="L272"/>
    </row>
    <row r="273" spans="2:12" s="1" customFormat="1" ht="15" customHeight="1">
      <c r="B273" s="9"/>
      <c r="C273" s="33"/>
      <c r="D273" s="39"/>
      <c r="E273" s="39"/>
      <c r="F273" s="39"/>
      <c r="G273" s="9" t="s">
        <v>259</v>
      </c>
      <c r="H273" s="13" t="s">
        <v>699</v>
      </c>
      <c r="I273" s="18"/>
      <c r="J273" s="18"/>
      <c r="K273" s="557" t="str" cm="1">
        <f t="array" ref="K273">IF(ISBLANK(J273), IF(ISBLANK(I273), "N/A", _xlfn.IFS(L273="AS", I273+15, L273="NCR", I273+30, L273="submitted", I273+30, TRUE, "N/A")), _xlfn.IFS(L273="AS", J273+15, L273="NCR", J273+30, L273="submitted", J273+30, TRUE, "N/A"))</f>
        <v>N/A</v>
      </c>
      <c r="L273"/>
    </row>
    <row r="274" spans="2:12" s="1" customFormat="1" ht="27" customHeight="1">
      <c r="B274" s="9"/>
      <c r="C274" s="33"/>
      <c r="D274" s="39"/>
      <c r="E274" s="39"/>
      <c r="F274" s="39"/>
      <c r="G274" s="9" t="s">
        <v>352</v>
      </c>
      <c r="H274" s="7" t="s">
        <v>700</v>
      </c>
      <c r="I274" s="18"/>
      <c r="J274" s="18"/>
      <c r="K274" s="557" t="str" cm="1">
        <f t="array" ref="K274">IF(ISBLANK(J274), IF(ISBLANK(I274), "N/A", _xlfn.IFS(L274="AS", I274+15, L274="NCR", I274+30, L274="submitted", I274+30, TRUE, "N/A")), _xlfn.IFS(L274="AS", J274+15, L274="NCR", J274+30, L274="submitted", J274+30, TRUE, "N/A"))</f>
        <v>N/A</v>
      </c>
      <c r="L274"/>
    </row>
    <row r="275" spans="2:12" s="1" customFormat="1" ht="53.25">
      <c r="B275" s="9"/>
      <c r="C275" s="33"/>
      <c r="D275" s="39"/>
      <c r="E275" s="39"/>
      <c r="F275" s="39"/>
      <c r="G275" s="9" t="s">
        <v>354</v>
      </c>
      <c r="H275" s="7" t="s">
        <v>701</v>
      </c>
      <c r="I275" s="18"/>
      <c r="J275" s="18"/>
      <c r="K275" s="557" t="str" cm="1">
        <f t="array" ref="K275">IF(ISBLANK(J275), IF(ISBLANK(I275), "N/A", _xlfn.IFS(L275="AS", I275+15, L275="NCR", I275+30, L275="submitted", I275+30, TRUE, "N/A")), _xlfn.IFS(L275="AS", J275+15, L275="NCR", J275+30, L275="submitted", J275+30, TRUE, "N/A"))</f>
        <v>N/A</v>
      </c>
      <c r="L275"/>
    </row>
    <row r="276" spans="2:12" s="1" customFormat="1" ht="53.25">
      <c r="B276" s="9"/>
      <c r="C276" s="33"/>
      <c r="D276" s="39"/>
      <c r="E276" s="39"/>
      <c r="F276" s="39"/>
      <c r="G276" s="9" t="s">
        <v>356</v>
      </c>
      <c r="H276" s="7" t="s">
        <v>702</v>
      </c>
      <c r="I276" s="18"/>
      <c r="J276" s="18"/>
      <c r="K276" s="557" t="str" cm="1">
        <f t="array" ref="K276">IF(ISBLANK(J276), IF(ISBLANK(I276), "N/A", _xlfn.IFS(L276="AS", I276+15, L276="NCR", I276+30, L276="submitted", I276+30, TRUE, "N/A")), _xlfn.IFS(L276="AS", J276+15, L276="NCR", J276+30, L276="submitted", J276+30, TRUE, "N/A"))</f>
        <v>N/A</v>
      </c>
      <c r="L276"/>
    </row>
    <row r="277" spans="2:12" s="1" customFormat="1" ht="40.5" customHeight="1">
      <c r="B277" s="9"/>
      <c r="C277" s="33"/>
      <c r="D277" s="39"/>
      <c r="E277" s="39"/>
      <c r="F277" s="39"/>
      <c r="G277" s="9" t="s">
        <v>358</v>
      </c>
      <c r="H277" s="7" t="s">
        <v>703</v>
      </c>
      <c r="I277" s="18"/>
      <c r="J277" s="18"/>
      <c r="K277" s="557" t="str" cm="1">
        <f t="array" ref="K277">IF(ISBLANK(J277), IF(ISBLANK(I277), "N/A", _xlfn.IFS(L277="AS", I277+15, L277="NCR", I277+30, L277="submitted", I277+30, TRUE, "N/A")), _xlfn.IFS(L277="AS", J277+15, L277="NCR", J277+30, L277="submitted", J277+30, TRUE, "N/A"))</f>
        <v>N/A</v>
      </c>
      <c r="L277"/>
    </row>
    <row r="278" spans="2:12" s="1" customFormat="1" ht="27" customHeight="1">
      <c r="B278" s="9"/>
      <c r="C278" s="33"/>
      <c r="D278" s="39"/>
      <c r="E278" s="39"/>
      <c r="F278" s="39"/>
      <c r="G278" s="9" t="s">
        <v>360</v>
      </c>
      <c r="H278" s="7" t="s">
        <v>704</v>
      </c>
      <c r="I278" s="18"/>
      <c r="J278" s="18"/>
      <c r="K278" s="557" t="str" cm="1">
        <f t="array" ref="K278">IF(ISBLANK(J278), IF(ISBLANK(I278), "N/A", _xlfn.IFS(L278="AS", I278+15, L278="NCR", I278+30, L278="submitted", I278+30, TRUE, "N/A")), _xlfn.IFS(L278="AS", J278+15, L278="NCR", J278+30, L278="submitted", J278+30, TRUE, "N/A"))</f>
        <v>N/A</v>
      </c>
      <c r="L278"/>
    </row>
    <row r="279" spans="2:12" s="1" customFormat="1" ht="27" customHeight="1">
      <c r="B279" s="9"/>
      <c r="C279" s="33"/>
      <c r="D279" s="39"/>
      <c r="E279" s="39"/>
      <c r="F279" s="39"/>
      <c r="G279" s="9" t="s">
        <v>362</v>
      </c>
      <c r="H279" s="7" t="s">
        <v>705</v>
      </c>
      <c r="I279" s="18"/>
      <c r="J279" s="18"/>
      <c r="K279" s="557" t="str" cm="1">
        <f t="array" ref="K279">IF(ISBLANK(J279), IF(ISBLANK(I279), "N/A", _xlfn.IFS(L279="AS", I279+15, L279="NCR", I279+30, L279="submitted", I279+30, TRUE, "N/A")), _xlfn.IFS(L279="AS", J279+15, L279="NCR", J279+30, L279="submitted", J279+30, TRUE, "N/A"))</f>
        <v>N/A</v>
      </c>
      <c r="L279"/>
    </row>
    <row r="280" spans="2:12" s="1" customFormat="1" ht="15" customHeight="1">
      <c r="B280" s="9"/>
      <c r="C280" s="33"/>
      <c r="D280" s="39"/>
      <c r="E280" s="39"/>
      <c r="F280" s="39"/>
      <c r="G280" s="9" t="s">
        <v>364</v>
      </c>
      <c r="H280" s="13" t="s">
        <v>706</v>
      </c>
      <c r="I280" s="18"/>
      <c r="J280" s="18"/>
      <c r="K280" s="557" t="str" cm="1">
        <f t="array" ref="K280">IF(ISBLANK(J280), IF(ISBLANK(I280), "N/A", _xlfn.IFS(L280="AS", I280+15, L280="NCR", I280+30, L280="submitted", I280+30, TRUE, "N/A")), _xlfn.IFS(L280="AS", J280+15, L280="NCR", J280+30, L280="submitted", J280+30, TRUE, "N/A"))</f>
        <v>N/A</v>
      </c>
      <c r="L280"/>
    </row>
    <row r="281" spans="2:12" s="1" customFormat="1" ht="15" customHeight="1">
      <c r="B281" s="9"/>
      <c r="C281" s="33"/>
      <c r="D281" s="39"/>
      <c r="E281" s="39"/>
      <c r="F281" s="39"/>
      <c r="G281" s="9" t="s">
        <v>366</v>
      </c>
      <c r="H281" s="13" t="s">
        <v>707</v>
      </c>
      <c r="I281" s="18"/>
      <c r="J281" s="18"/>
      <c r="K281" s="557" t="str" cm="1">
        <f t="array" ref="K281">IF(ISBLANK(J281), IF(ISBLANK(I281), "N/A", _xlfn.IFS(L281="AS", I281+15, L281="NCR", I281+30, L281="submitted", I281+30, TRUE, "N/A")), _xlfn.IFS(L281="AS", J281+15, L281="NCR", J281+30, L281="submitted", J281+30, TRUE, "N/A"))</f>
        <v>N/A</v>
      </c>
      <c r="L281"/>
    </row>
    <row r="282" spans="2:12" s="1" customFormat="1" ht="27" customHeight="1">
      <c r="B282" s="9"/>
      <c r="C282" s="33"/>
      <c r="D282" s="39"/>
      <c r="E282" s="39"/>
      <c r="F282" s="39"/>
      <c r="G282" s="9" t="s">
        <v>708</v>
      </c>
      <c r="H282" s="7" t="s">
        <v>709</v>
      </c>
      <c r="I282" s="18"/>
      <c r="J282" s="18"/>
      <c r="K282" s="557" t="str" cm="1">
        <f t="array" ref="K282">IF(ISBLANK(J282), IF(ISBLANK(I282), "N/A", _xlfn.IFS(L282="AS", I282+15, L282="NCR", I282+30, L282="submitted", I282+30, TRUE, "N/A")), _xlfn.IFS(L282="AS", J282+15, L282="NCR", J282+30, L282="submitted", J282+30, TRUE, "N/A"))</f>
        <v>N/A</v>
      </c>
      <c r="L282"/>
    </row>
    <row r="283" spans="2:12" s="1" customFormat="1" ht="27" customHeight="1">
      <c r="B283" s="9"/>
      <c r="C283" s="33"/>
      <c r="D283" s="39"/>
      <c r="E283" s="39"/>
      <c r="F283" s="39"/>
      <c r="G283" s="9" t="s">
        <v>710</v>
      </c>
      <c r="H283" s="7" t="s">
        <v>383</v>
      </c>
      <c r="I283" s="18"/>
      <c r="J283" s="18"/>
      <c r="K283" s="557" t="str" cm="1">
        <f t="array" ref="K283">IF(ISBLANK(J283), IF(ISBLANK(I283), "N/A", _xlfn.IFS(L283="AS", I283+15, L283="NCR", I283+30, L283="submitted", I283+30, TRUE, "N/A")), _xlfn.IFS(L283="AS", J283+15, L283="NCR", J283+30, L283="submitted", J283+30, TRUE, "N/A"))</f>
        <v>N/A</v>
      </c>
      <c r="L283"/>
    </row>
    <row r="284" spans="2:12" s="1" customFormat="1" ht="27" customHeight="1">
      <c r="B284" s="9"/>
      <c r="C284" s="33"/>
      <c r="D284" s="39"/>
      <c r="E284" s="39"/>
      <c r="F284" s="39"/>
      <c r="G284" s="9" t="s">
        <v>711</v>
      </c>
      <c r="H284" s="7" t="s">
        <v>385</v>
      </c>
      <c r="I284" s="18"/>
      <c r="J284" s="18"/>
      <c r="K284" s="557" t="str" cm="1">
        <f t="array" ref="K284">IF(ISBLANK(J284), IF(ISBLANK(I284), "N/A", _xlfn.IFS(L284="AS", I284+15, L284="NCR", I284+30, L284="submitted", I284+30, TRUE, "N/A")), _xlfn.IFS(L284="AS", J284+15, L284="NCR", J284+30, L284="submitted", J284+30, TRUE, "N/A"))</f>
        <v>N/A</v>
      </c>
      <c r="L284"/>
    </row>
    <row r="285" spans="2:12" s="1" customFormat="1" ht="27" customHeight="1">
      <c r="B285" s="9"/>
      <c r="C285" s="33"/>
      <c r="D285" s="39"/>
      <c r="E285" s="39"/>
      <c r="F285" s="39"/>
      <c r="G285" s="9" t="s">
        <v>712</v>
      </c>
      <c r="H285" s="7" t="s">
        <v>480</v>
      </c>
      <c r="I285" s="18"/>
      <c r="J285" s="18"/>
      <c r="K285" s="557" t="str" cm="1">
        <f t="array" ref="K285">IF(ISBLANK(J285), IF(ISBLANK(I285), "N/A", _xlfn.IFS(L285="AS", I285+15, L285="NCR", I285+30, L285="submitted", I285+30, TRUE, "N/A")), _xlfn.IFS(L285="AS", J285+15, L285="NCR", J285+30, L285="submitted", J285+30, TRUE, "N/A"))</f>
        <v>N/A</v>
      </c>
      <c r="L285"/>
    </row>
    <row r="286" spans="2:12" s="1" customFormat="1" ht="27" customHeight="1">
      <c r="B286" s="9"/>
      <c r="C286" s="33"/>
      <c r="D286" s="39"/>
      <c r="E286" s="39"/>
      <c r="F286" s="39"/>
      <c r="G286" s="9" t="s">
        <v>713</v>
      </c>
      <c r="H286" s="7" t="s">
        <v>714</v>
      </c>
      <c r="I286" s="18"/>
      <c r="J286" s="18"/>
      <c r="K286" s="557" t="str" cm="1">
        <f t="array" ref="K286">IF(ISBLANK(J286), IF(ISBLANK(I286), "N/A", _xlfn.IFS(L286="AS", I286+15, L286="NCR", I286+30, L286="submitted", I286+30, TRUE, "N/A")), _xlfn.IFS(L286="AS", J286+15, L286="NCR", J286+30, L286="submitted", J286+30, TRUE, "N/A"))</f>
        <v>N/A</v>
      </c>
      <c r="L286"/>
    </row>
    <row r="287" spans="2:12" s="1" customFormat="1" ht="15" customHeight="1">
      <c r="B287" s="9"/>
      <c r="C287" s="33"/>
      <c r="D287" s="39"/>
      <c r="E287" s="39"/>
      <c r="F287" s="39"/>
      <c r="G287" s="9" t="s">
        <v>715</v>
      </c>
      <c r="H287" s="13" t="s">
        <v>716</v>
      </c>
      <c r="I287" s="18"/>
      <c r="J287" s="18"/>
      <c r="K287" s="557" t="str" cm="1">
        <f t="array" ref="K287">IF(ISBLANK(J287), IF(ISBLANK(I287), "N/A", _xlfn.IFS(L287="AS", I287+15, L287="NCR", I287+30, L287="submitted", I287+30, TRUE, "N/A")), _xlfn.IFS(L287="AS", J287+15, L287="NCR", J287+30, L287="submitted", J287+30, TRUE, "N/A"))</f>
        <v>N/A</v>
      </c>
      <c r="L287"/>
    </row>
    <row r="288" spans="2:12" s="1" customFormat="1" ht="15" customHeight="1">
      <c r="B288" s="9"/>
      <c r="C288" s="97"/>
      <c r="D288" s="46"/>
      <c r="E288" s="46"/>
      <c r="F288" s="46"/>
      <c r="G288" s="9" t="s">
        <v>717</v>
      </c>
      <c r="H288" s="13" t="s">
        <v>718</v>
      </c>
      <c r="I288" s="18"/>
      <c r="J288" s="18"/>
      <c r="K288" s="557" t="str" cm="1">
        <f t="array" ref="K288">IF(ISBLANK(J288), IF(ISBLANK(I288), "N/A", _xlfn.IFS(L288="AS", I288+15, L288="NCR", I288+30, L288="submitted", I288+30, TRUE, "N/A")), _xlfn.IFS(L288="AS", J288+15, L288="NCR", J288+30, L288="submitted", J288+30, TRUE, "N/A"))</f>
        <v>N/A</v>
      </c>
      <c r="L288"/>
    </row>
    <row r="289" spans="2:14" s="5" customFormat="1" ht="15" customHeight="1">
      <c r="B289" s="4"/>
      <c r="C289" s="86" t="s">
        <v>719</v>
      </c>
      <c r="D289" s="34" t="s">
        <v>720</v>
      </c>
      <c r="E289" s="34"/>
      <c r="F289" s="34"/>
      <c r="G289" s="4" t="s">
        <v>721</v>
      </c>
      <c r="H289" s="17" t="s">
        <v>722</v>
      </c>
      <c r="I289" s="18"/>
      <c r="J289" s="18"/>
      <c r="K289" s="557" t="str" cm="1">
        <f t="array" ref="K289">IF(ISBLANK(J289), IF(ISBLANK(I289), "N/A", _xlfn.IFS(L289="AS", I289+15, L289="NCR", I289+30, L289="submitted", I289+30, TRUE, "N/A")), _xlfn.IFS(L289="AS", J289+15, L289="NCR", J289+30, L289="submitted", J289+30, TRUE, "N/A"))</f>
        <v>N/A</v>
      </c>
      <c r="L289"/>
    </row>
    <row r="290" spans="2:14" s="5" customFormat="1" ht="15" customHeight="1">
      <c r="B290" s="4"/>
      <c r="C290" s="111"/>
      <c r="D290" s="35"/>
      <c r="E290" s="35"/>
      <c r="F290" s="35"/>
      <c r="G290" s="4" t="s">
        <v>723</v>
      </c>
      <c r="H290" s="17" t="s">
        <v>724</v>
      </c>
      <c r="I290" s="18"/>
      <c r="J290" s="18"/>
      <c r="K290" s="557" t="str" cm="1">
        <f t="array" ref="K290">IF(ISBLANK(J290), IF(ISBLANK(I290), "N/A", _xlfn.IFS(L290="AS", I290+15, L290="NCR", I290+30, L290="submitted", I290+30, TRUE, "N/A")), _xlfn.IFS(L290="AS", J290+15, L290="NCR", J290+30, L290="submitted", J290+30, TRUE, "N/A"))</f>
        <v>N/A</v>
      </c>
      <c r="L290"/>
    </row>
    <row r="291" spans="2:14" s="5" customFormat="1" ht="27" customHeight="1">
      <c r="B291" s="4"/>
      <c r="C291" s="111"/>
      <c r="D291" s="35"/>
      <c r="E291" s="35"/>
      <c r="F291" s="35"/>
      <c r="G291" s="4" t="s">
        <v>725</v>
      </c>
      <c r="H291" s="3" t="s">
        <v>726</v>
      </c>
      <c r="I291" s="18"/>
      <c r="J291" s="18"/>
      <c r="K291" s="557" t="str" cm="1">
        <f t="array" ref="K291">IF(ISBLANK(J291), IF(ISBLANK(I291), "N/A", _xlfn.IFS(L291="AS", I291+15, L291="NCR", I291+30, L291="submitted", I291+30, TRUE, "N/A")), _xlfn.IFS(L291="AS", J291+15, L291="NCR", J291+30, L291="submitted", J291+30, TRUE, "N/A"))</f>
        <v>N/A</v>
      </c>
      <c r="L291"/>
      <c r="M291" s="317"/>
      <c r="N291" s="747"/>
    </row>
    <row r="292" spans="2:14" s="5" customFormat="1" ht="27" customHeight="1">
      <c r="B292" s="4"/>
      <c r="C292" s="111"/>
      <c r="D292" s="35"/>
      <c r="E292" s="35"/>
      <c r="F292" s="35"/>
      <c r="G292" s="4" t="s">
        <v>727</v>
      </c>
      <c r="H292" s="3" t="s">
        <v>728</v>
      </c>
      <c r="I292" s="18"/>
      <c r="J292" s="18"/>
      <c r="K292" s="557" t="str" cm="1">
        <f t="array" ref="K292">IF(ISBLANK(J292), IF(ISBLANK(I292), "N/A", _xlfn.IFS(L292="AS", I292+15, L292="NCR", I292+30, L292="submitted", I292+30, TRUE, "N/A")), _xlfn.IFS(L292="AS", J292+15, L292="NCR", J292+30, L292="submitted", J292+30, TRUE, "N/A"))</f>
        <v>N/A</v>
      </c>
      <c r="L292"/>
      <c r="M292" s="317"/>
      <c r="N292" s="745" t="s">
        <v>133</v>
      </c>
    </row>
    <row r="293" spans="2:14" s="5" customFormat="1" ht="15" customHeight="1">
      <c r="B293" s="4"/>
      <c r="C293" s="111"/>
      <c r="D293" s="35"/>
      <c r="E293" s="35"/>
      <c r="F293" s="35"/>
      <c r="G293" s="4" t="s">
        <v>729</v>
      </c>
      <c r="H293" s="17" t="s">
        <v>730</v>
      </c>
      <c r="I293" s="18"/>
      <c r="J293" s="18"/>
      <c r="K293" s="557" t="str" cm="1">
        <f t="array" ref="K293">IF(ISBLANK(J293), IF(ISBLANK(I293), "N/A", _xlfn.IFS(L293="AS", I293+15, L293="NCR", I293+30, L293="submitted", I293+30, TRUE, "N/A")), _xlfn.IFS(L293="AS", J293+15, L293="NCR", J293+30, L293="submitted", J293+30, TRUE, "N/A"))</f>
        <v>N/A</v>
      </c>
      <c r="L293"/>
      <c r="M293" s="317"/>
      <c r="N293" s="746"/>
    </row>
    <row r="294" spans="2:14" s="5" customFormat="1" ht="15" customHeight="1">
      <c r="B294" s="4"/>
      <c r="C294" s="111"/>
      <c r="D294" s="35"/>
      <c r="E294" s="35"/>
      <c r="F294" s="35"/>
      <c r="G294" s="4" t="s">
        <v>731</v>
      </c>
      <c r="H294" s="17" t="s">
        <v>732</v>
      </c>
      <c r="I294" s="18"/>
      <c r="J294" s="18"/>
      <c r="K294" s="557" t="str" cm="1">
        <f t="array" ref="K294">IF(ISBLANK(J294), IF(ISBLANK(I294), "N/A", _xlfn.IFS(L294="AS", I294+15, L294="NCR", I294+30, L294="submitted", I294+30, TRUE, "N/A")), _xlfn.IFS(L294="AS", J294+15, L294="NCR", J294+30, L294="submitted", J294+30, TRUE, "N/A"))</f>
        <v>N/A</v>
      </c>
      <c r="L294"/>
      <c r="M294" s="317"/>
      <c r="N294" s="746"/>
    </row>
    <row r="295" spans="2:14" s="5" customFormat="1" ht="15" customHeight="1">
      <c r="B295" s="4"/>
      <c r="C295" s="111"/>
      <c r="D295" s="35"/>
      <c r="E295" s="35"/>
      <c r="F295" s="35"/>
      <c r="G295" s="4" t="s">
        <v>733</v>
      </c>
      <c r="H295" s="17" t="s">
        <v>734</v>
      </c>
      <c r="I295" s="18"/>
      <c r="J295" s="18"/>
      <c r="K295" s="557" t="str" cm="1">
        <f t="array" ref="K295">IF(ISBLANK(J295), IF(ISBLANK(I295), "N/A", _xlfn.IFS(L295="AS", I295+15, L295="NCR", I295+30, L295="submitted", I295+30, TRUE, "N/A")), _xlfn.IFS(L295="AS", J295+15, L295="NCR", J295+30, L295="submitted", J295+30, TRUE, "N/A"))</f>
        <v>N/A</v>
      </c>
      <c r="L295"/>
      <c r="M295" s="317"/>
      <c r="N295" s="746"/>
    </row>
    <row r="296" spans="2:14" s="5" customFormat="1" ht="15" customHeight="1">
      <c r="B296" s="4"/>
      <c r="C296" s="111"/>
      <c r="D296" s="35"/>
      <c r="E296" s="35"/>
      <c r="F296" s="35"/>
      <c r="G296" s="4" t="s">
        <v>735</v>
      </c>
      <c r="H296" s="17" t="s">
        <v>736</v>
      </c>
      <c r="I296" s="18"/>
      <c r="J296" s="18"/>
      <c r="K296" s="557" t="str" cm="1">
        <f t="array" ref="K296">IF(ISBLANK(J296), IF(ISBLANK(I296), "N/A", _xlfn.IFS(L296="AS", I296+15, L296="NCR", I296+30, L296="submitted", I296+30, TRUE, "N/A")), _xlfn.IFS(L296="AS", J296+15, L296="NCR", J296+30, L296="submitted", J296+30, TRUE, "N/A"))</f>
        <v>N/A</v>
      </c>
      <c r="L296"/>
      <c r="M296" s="317"/>
      <c r="N296" s="746"/>
    </row>
    <row r="297" spans="2:14" s="5" customFormat="1" ht="15" customHeight="1">
      <c r="B297" s="4"/>
      <c r="C297" s="111"/>
      <c r="D297" s="35"/>
      <c r="E297" s="35"/>
      <c r="F297" s="35"/>
      <c r="G297" s="4" t="s">
        <v>737</v>
      </c>
      <c r="H297" s="17" t="s">
        <v>738</v>
      </c>
      <c r="I297" s="18"/>
      <c r="J297" s="18"/>
      <c r="K297" s="557" t="str" cm="1">
        <f t="array" ref="K297">IF(ISBLANK(J297), IF(ISBLANK(I297), "N/A", _xlfn.IFS(L297="AS", I297+15, L297="NCR", I297+30, L297="submitted", I297+30, TRUE, "N/A")), _xlfn.IFS(L297="AS", J297+15, L297="NCR", J297+30, L297="submitted", J297+30, TRUE, "N/A"))</f>
        <v>N/A</v>
      </c>
      <c r="L297"/>
      <c r="M297" s="317"/>
      <c r="N297" s="746"/>
    </row>
    <row r="298" spans="2:14" s="5" customFormat="1" ht="15" customHeight="1">
      <c r="B298" s="4"/>
      <c r="C298" s="111"/>
      <c r="D298" s="35"/>
      <c r="E298" s="35"/>
      <c r="F298" s="35"/>
      <c r="G298" s="4" t="s">
        <v>739</v>
      </c>
      <c r="H298" s="17" t="s">
        <v>740</v>
      </c>
      <c r="I298" s="18"/>
      <c r="J298" s="18"/>
      <c r="K298" s="557" t="str" cm="1">
        <f t="array" ref="K298">IF(ISBLANK(J298), IF(ISBLANK(I298), "N/A", _xlfn.IFS(L298="AS", I298+15, L298="NCR", I298+30, L298="submitted", I298+30, TRUE, "N/A")), _xlfn.IFS(L298="AS", J298+15, L298="NCR", J298+30, L298="submitted", J298+30, TRUE, "N/A"))</f>
        <v>N/A</v>
      </c>
      <c r="L298"/>
      <c r="M298" s="317"/>
      <c r="N298" s="746"/>
    </row>
    <row r="299" spans="2:14" s="5" customFormat="1" ht="27" customHeight="1">
      <c r="B299" s="4"/>
      <c r="C299" s="95"/>
      <c r="D299" s="36"/>
      <c r="E299" s="36"/>
      <c r="F299" s="36"/>
      <c r="G299" s="4" t="s">
        <v>741</v>
      </c>
      <c r="H299" s="3" t="s">
        <v>742</v>
      </c>
      <c r="I299" s="18"/>
      <c r="J299" s="18"/>
      <c r="K299" s="557" t="str" cm="1">
        <f t="array" ref="K299">IF(ISBLANK(J299), IF(ISBLANK(I299), "N/A", _xlfn.IFS(L299="AS", I299+15, L299="NCR", I299+30, L299="submitted", I299+30, TRUE, "N/A")), _xlfn.IFS(L299="AS", J299+15, L299="NCR", J299+30, L299="submitted", J299+30, TRUE, "N/A"))</f>
        <v>N/A</v>
      </c>
      <c r="L299"/>
      <c r="M299" s="317"/>
      <c r="N299" s="746"/>
    </row>
    <row r="300" spans="2:14" s="1" customFormat="1" ht="15" customHeight="1">
      <c r="B300" s="9"/>
      <c r="C300" s="32" t="s">
        <v>743</v>
      </c>
      <c r="D300" s="37" t="s">
        <v>744</v>
      </c>
      <c r="E300" s="37"/>
      <c r="F300" s="37"/>
      <c r="G300" s="9" t="s">
        <v>336</v>
      </c>
      <c r="H300" s="13" t="s">
        <v>484</v>
      </c>
      <c r="I300" s="18"/>
      <c r="J300" s="18"/>
      <c r="K300" s="557" t="str" cm="1">
        <f t="array" ref="K300">IF(ISBLANK(J300), IF(ISBLANK(I300), "N/A", _xlfn.IFS(L300="AS", I300+15, L300="NCR", I300+30, L300="submitted", I300+30, TRUE, "N/A")), _xlfn.IFS(L300="AS", J300+15, L300="NCR", J300+30, L300="submitted", J300+30, TRUE, "N/A"))</f>
        <v>N/A</v>
      </c>
      <c r="L300"/>
      <c r="M300" s="317"/>
      <c r="N300" s="747" t="s">
        <v>148</v>
      </c>
    </row>
    <row r="301" spans="2:14" s="1" customFormat="1" ht="15" customHeight="1">
      <c r="B301" s="9"/>
      <c r="C301" s="33"/>
      <c r="D301" s="39"/>
      <c r="E301" s="39"/>
      <c r="F301" s="39"/>
      <c r="G301" s="9" t="s">
        <v>337</v>
      </c>
      <c r="H301" s="13" t="s">
        <v>282</v>
      </c>
      <c r="I301" s="18"/>
      <c r="J301" s="18"/>
      <c r="K301" s="557" t="str" cm="1">
        <f t="array" ref="K301">IF(ISBLANK(J301), IF(ISBLANK(I301), "N/A", _xlfn.IFS(L301="AS", I301+15, L301="NCR", I301+30, L301="submitted", I301+30, TRUE, "N/A")), _xlfn.IFS(L301="AS", J301+15, L301="NCR", J301+30, L301="submitted", J301+30, TRUE, "N/A"))</f>
        <v>N/A</v>
      </c>
      <c r="L301"/>
      <c r="M301" s="317"/>
      <c r="N301" s="747"/>
    </row>
    <row r="302" spans="2:14" s="1" customFormat="1" ht="15" customHeight="1">
      <c r="B302" s="9"/>
      <c r="C302" s="33"/>
      <c r="D302" s="39"/>
      <c r="E302" s="39"/>
      <c r="F302" s="39"/>
      <c r="G302" s="9" t="s">
        <v>404</v>
      </c>
      <c r="H302" s="13" t="s">
        <v>353</v>
      </c>
      <c r="I302" s="18"/>
      <c r="J302" s="18"/>
      <c r="K302" s="557" t="str" cm="1">
        <f t="array" ref="K302">IF(ISBLANK(J302), IF(ISBLANK(I302), "N/A", _xlfn.IFS(L302="AS", I302+15, L302="NCR", I302+30, L302="submitted", I302+30, TRUE, "N/A")), _xlfn.IFS(L302="AS", J302+15, L302="NCR", J302+30, L302="submitted", J302+30, TRUE, "N/A"))</f>
        <v>N/A</v>
      </c>
      <c r="L302"/>
      <c r="M302" s="317"/>
      <c r="N302" s="747"/>
    </row>
    <row r="303" spans="2:14" s="1" customFormat="1" ht="15" customHeight="1">
      <c r="B303" s="9"/>
      <c r="C303" s="33"/>
      <c r="D303" s="39"/>
      <c r="E303" s="39"/>
      <c r="F303" s="39"/>
      <c r="G303" s="9" t="s">
        <v>405</v>
      </c>
      <c r="H303" s="13" t="s">
        <v>707</v>
      </c>
      <c r="I303" s="18"/>
      <c r="J303" s="18"/>
      <c r="K303" s="557" t="str" cm="1">
        <f t="array" ref="K303">IF(ISBLANK(J303), IF(ISBLANK(I303), "N/A", _xlfn.IFS(L303="AS", I303+15, L303="NCR", I303+30, L303="submitted", I303+30, TRUE, "N/A")), _xlfn.IFS(L303="AS", J303+15, L303="NCR", J303+30, L303="submitted", J303+30, TRUE, "N/A"))</f>
        <v>N/A</v>
      </c>
      <c r="L303"/>
      <c r="M303" s="317"/>
      <c r="N303" s="747"/>
    </row>
    <row r="304" spans="2:14" s="1" customFormat="1" ht="27" customHeight="1">
      <c r="B304" s="9"/>
      <c r="C304" s="33"/>
      <c r="D304" s="39"/>
      <c r="E304" s="39"/>
      <c r="F304" s="39"/>
      <c r="G304" s="9" t="s">
        <v>346</v>
      </c>
      <c r="H304" s="7" t="s">
        <v>383</v>
      </c>
      <c r="I304" s="18"/>
      <c r="J304" s="18"/>
      <c r="K304" s="557" t="str" cm="1">
        <f t="array" ref="K304">IF(ISBLANK(J304), IF(ISBLANK(I304), "N/A", _xlfn.IFS(L304="AS", I304+15, L304="NCR", I304+30, L304="submitted", I304+30, TRUE, "N/A")), _xlfn.IFS(L304="AS", J304+15, L304="NCR", J304+30, L304="submitted", J304+30, TRUE, "N/A"))</f>
        <v>N/A</v>
      </c>
      <c r="L304"/>
      <c r="M304" s="317"/>
      <c r="N304" s="747"/>
    </row>
    <row r="305" spans="1:14" s="1" customFormat="1" ht="27" customHeight="1">
      <c r="B305" s="9"/>
      <c r="C305" s="33"/>
      <c r="D305" s="39"/>
      <c r="E305" s="39"/>
      <c r="F305" s="39"/>
      <c r="G305" s="9" t="s">
        <v>745</v>
      </c>
      <c r="H305" s="7" t="s">
        <v>385</v>
      </c>
      <c r="I305" s="18"/>
      <c r="J305" s="18"/>
      <c r="K305" s="557" t="str" cm="1">
        <f t="array" ref="K305">IF(ISBLANK(J305), IF(ISBLANK(I305), "N/A", _xlfn.IFS(L305="AS", I305+15, L305="NCR", I305+30, L305="submitted", I305+30, TRUE, "N/A")), _xlfn.IFS(L305="AS", J305+15, L305="NCR", J305+30, L305="submitted", J305+30, TRUE, "N/A"))</f>
        <v>N/A</v>
      </c>
      <c r="L305"/>
      <c r="M305" s="318"/>
      <c r="N305" s="747"/>
    </row>
    <row r="306" spans="1:14" s="1" customFormat="1" ht="27" customHeight="1">
      <c r="B306" s="9"/>
      <c r="C306" s="33"/>
      <c r="D306" s="39"/>
      <c r="E306" s="39"/>
      <c r="F306" s="39"/>
      <c r="G306" s="9" t="s">
        <v>746</v>
      </c>
      <c r="H306" s="7" t="s">
        <v>480</v>
      </c>
      <c r="I306" s="18"/>
      <c r="J306" s="18"/>
      <c r="K306" s="557" t="str" cm="1">
        <f t="array" ref="K306">IF(ISBLANK(J306), IF(ISBLANK(I306), "N/A", _xlfn.IFS(L306="AS", I306+15, L306="NCR", I306+30, L306="submitted", I306+30, TRUE, "N/A")), _xlfn.IFS(L306="AS", J306+15, L306="NCR", J306+30, L306="submitted", J306+30, TRUE, "N/A"))</f>
        <v>N/A</v>
      </c>
      <c r="L306"/>
      <c r="M306" s="317"/>
      <c r="N306" s="747"/>
    </row>
    <row r="307" spans="1:14" s="1" customFormat="1" ht="15" customHeight="1">
      <c r="B307" s="9"/>
      <c r="C307" s="97"/>
      <c r="D307" s="46"/>
      <c r="E307" s="46"/>
      <c r="F307" s="46"/>
      <c r="G307" s="9" t="s">
        <v>441</v>
      </c>
      <c r="H307" s="13" t="s">
        <v>696</v>
      </c>
      <c r="I307" s="18"/>
      <c r="J307" s="18"/>
      <c r="K307" s="557" t="str" cm="1">
        <f t="array" ref="K307">IF(ISBLANK(J307), IF(ISBLANK(I307), "N/A", _xlfn.IFS(L307="AS", I307+15, L307="NCR", I307+30, L307="submitted", I307+30, TRUE, "N/A")), _xlfn.IFS(L307="AS", J307+15, L307="NCR", J307+30, L307="submitted", J307+30, TRUE, "N/A"))</f>
        <v>N/A</v>
      </c>
      <c r="L307"/>
    </row>
    <row r="308" spans="1:14" s="5" customFormat="1" ht="15" customHeight="1">
      <c r="A308" s="1"/>
      <c r="B308" s="4"/>
      <c r="C308" s="86" t="s">
        <v>747</v>
      </c>
      <c r="D308" s="34" t="s">
        <v>748</v>
      </c>
      <c r="E308" s="34"/>
      <c r="F308" s="34"/>
      <c r="G308" s="4" t="s">
        <v>336</v>
      </c>
      <c r="H308" s="17" t="s">
        <v>235</v>
      </c>
      <c r="I308" s="18"/>
      <c r="J308" s="18"/>
      <c r="K308" s="557" t="str" cm="1">
        <f t="array" ref="K308">IF(ISBLANK(J308), IF(ISBLANK(I308), "N/A", _xlfn.IFS(L308="AS", I308+15, L308="NCR", I308+30, L308="submitted", I308+30, TRUE, "N/A")), _xlfn.IFS(L308="AS", J308+15, L308="NCR", J308+30, L308="submitted", J308+30, TRUE, "N/A"))</f>
        <v>N/A</v>
      </c>
      <c r="L308"/>
    </row>
    <row r="309" spans="1:14" s="5" customFormat="1" ht="15" customHeight="1">
      <c r="A309" s="1"/>
      <c r="B309" s="4"/>
      <c r="C309" s="95"/>
      <c r="D309" s="36"/>
      <c r="E309" s="36"/>
      <c r="F309" s="36"/>
      <c r="G309" s="4" t="s">
        <v>337</v>
      </c>
      <c r="H309" s="17" t="s">
        <v>749</v>
      </c>
      <c r="I309" s="18"/>
      <c r="J309" s="18"/>
      <c r="K309" s="557" t="str" cm="1">
        <f t="array" ref="K309">IF(ISBLANK(J309), IF(ISBLANK(I309), "N/A", _xlfn.IFS(L309="AS", I309+15, L309="NCR", I309+30, L309="submitted", I309+30, TRUE, "N/A")), _xlfn.IFS(L309="AS", J309+15, L309="NCR", J309+30, L309="submitted", J309+30, TRUE, "N/A"))</f>
        <v>N/A</v>
      </c>
      <c r="L309"/>
    </row>
    <row r="310" spans="1:14" s="149" customFormat="1" ht="15" customHeight="1">
      <c r="A310" s="1"/>
      <c r="B310" s="146" t="s">
        <v>97</v>
      </c>
      <c r="C310" s="245" t="s">
        <v>750</v>
      </c>
      <c r="D310" s="332" t="s">
        <v>98</v>
      </c>
      <c r="E310" s="231" t="s">
        <v>751</v>
      </c>
      <c r="F310" s="231"/>
      <c r="G310" s="146" t="s">
        <v>281</v>
      </c>
      <c r="H310" s="147" t="s">
        <v>282</v>
      </c>
      <c r="I310" s="233">
        <v>45880</v>
      </c>
      <c r="J310" s="233"/>
      <c r="K310" s="557" cm="1">
        <f t="array" ref="K310">IF(ISBLANK(J310), IF(ISBLANK(I310), "N/A", _xlfn.IFS(L310="AS", I310+15, L310="NCR", I310+30, L310="submitted", I310+30, TRUE, "N/A")), _xlfn.IFS(L310="AS", J310+15, L310="NCR", J310+30, L310="submitted", J310+30, TRUE, "N/A"))</f>
        <v>45895</v>
      </c>
      <c r="L310" s="148" t="s">
        <v>752</v>
      </c>
    </row>
    <row r="311" spans="1:14" s="149" customFormat="1" ht="15" customHeight="1">
      <c r="A311" s="1"/>
      <c r="B311" s="146" t="s">
        <v>97</v>
      </c>
      <c r="C311" s="245" t="s">
        <v>750</v>
      </c>
      <c r="D311" s="332" t="s">
        <v>98</v>
      </c>
      <c r="E311" s="231" t="s">
        <v>751</v>
      </c>
      <c r="F311" s="219"/>
      <c r="G311" s="146" t="s">
        <v>269</v>
      </c>
      <c r="H311" s="147" t="s">
        <v>353</v>
      </c>
      <c r="I311" s="233">
        <v>45880</v>
      </c>
      <c r="J311" s="233"/>
      <c r="K311" s="557" cm="1">
        <f t="array" ref="K311">IF(ISBLANK(J311), IF(ISBLANK(I311), "N/A", _xlfn.IFS(L311="AS", I311+15, L311="NCR", I311+30, L311="submitted", I311+30, TRUE, "N/A")), _xlfn.IFS(L311="AS", J311+15, L311="NCR", J311+30, L311="submitted", J311+30, TRUE, "N/A"))</f>
        <v>45895</v>
      </c>
      <c r="L311" s="148" t="s">
        <v>752</v>
      </c>
    </row>
    <row r="312" spans="1:14" s="696" customFormat="1" ht="15" customHeight="1">
      <c r="A312" s="1"/>
      <c r="B312" s="689" t="s">
        <v>753</v>
      </c>
      <c r="C312" s="690" t="s">
        <v>750</v>
      </c>
      <c r="D312" s="691" t="s">
        <v>98</v>
      </c>
      <c r="E312" s="692"/>
      <c r="F312" s="692"/>
      <c r="G312" s="689" t="s">
        <v>259</v>
      </c>
      <c r="H312" s="693" t="s">
        <v>754</v>
      </c>
      <c r="I312" s="694"/>
      <c r="J312" s="694"/>
      <c r="K312" s="557" t="str" cm="1">
        <f t="array" ref="K312">IF(ISBLANK(J312), IF(ISBLANK(I312), "N/A", _xlfn.IFS(L312="AS", I312+15, L312="NCR", I312+30, L312="submitted", I312+30, TRUE, "N/A")), _xlfn.IFS(L312="AS", J312+15, L312="NCR", J312+30, L312="submitted", J312+30, TRUE, "N/A"))</f>
        <v>N/A</v>
      </c>
      <c r="L312" s="695"/>
    </row>
    <row r="313" spans="1:14" s="149" customFormat="1" ht="15" customHeight="1">
      <c r="A313" s="1"/>
      <c r="B313" s="146" t="s">
        <v>97</v>
      </c>
      <c r="C313" s="245" t="s">
        <v>750</v>
      </c>
      <c r="D313" s="332" t="s">
        <v>98</v>
      </c>
      <c r="E313" s="231" t="s">
        <v>751</v>
      </c>
      <c r="F313" s="219"/>
      <c r="G313" s="146" t="s">
        <v>352</v>
      </c>
      <c r="H313" s="147" t="s">
        <v>341</v>
      </c>
      <c r="I313" s="233">
        <v>45880</v>
      </c>
      <c r="J313" s="233"/>
      <c r="K313" s="557" cm="1">
        <f t="array" ref="K313">IF(ISBLANK(J313), IF(ISBLANK(I313), "N/A", _xlfn.IFS(L313="AS", I313+15, L313="NCR", I313+30, L313="submitted", I313+30, TRUE, "N/A")), _xlfn.IFS(L313="AS", J313+15, L313="NCR", J313+30, L313="submitted", J313+30, TRUE, "N/A"))</f>
        <v>45895</v>
      </c>
      <c r="L313" s="148" t="s">
        <v>752</v>
      </c>
    </row>
    <row r="314" spans="1:14" s="149" customFormat="1" ht="27" customHeight="1">
      <c r="A314" s="1"/>
      <c r="B314" s="146" t="s">
        <v>97</v>
      </c>
      <c r="C314" s="245" t="s">
        <v>750</v>
      </c>
      <c r="D314" s="332" t="s">
        <v>98</v>
      </c>
      <c r="E314" s="231" t="s">
        <v>751</v>
      </c>
      <c r="F314" s="217"/>
      <c r="G314" s="146" t="s">
        <v>354</v>
      </c>
      <c r="H314" s="193" t="s">
        <v>755</v>
      </c>
      <c r="I314" s="233">
        <v>45880</v>
      </c>
      <c r="J314" s="233"/>
      <c r="K314" s="557" cm="1">
        <f t="array" ref="K314">IF(ISBLANK(J314), IF(ISBLANK(I314), "N/A", _xlfn.IFS(L314="AS", I314+15, L314="NCR", I314+30, L314="submitted", I314+30, TRUE, "N/A")), _xlfn.IFS(L314="AS", J314+15, L314="NCR", J314+30, L314="submitted", J314+30, TRUE, "N/A"))</f>
        <v>45895</v>
      </c>
      <c r="L314" s="148" t="s">
        <v>752</v>
      </c>
    </row>
    <row r="315" spans="1:14" s="266" customFormat="1" ht="26.25" customHeight="1">
      <c r="A315" s="1"/>
      <c r="B315" s="264" t="s">
        <v>99</v>
      </c>
      <c r="C315" s="521" t="s">
        <v>756</v>
      </c>
      <c r="D315" s="267" t="s">
        <v>757</v>
      </c>
      <c r="E315" s="267" t="s">
        <v>751</v>
      </c>
      <c r="F315" s="267" t="s">
        <v>322</v>
      </c>
      <c r="G315" s="262" t="s">
        <v>758</v>
      </c>
      <c r="H315" s="424" t="s">
        <v>759</v>
      </c>
      <c r="I315" s="265">
        <v>45827</v>
      </c>
      <c r="J315" s="265">
        <v>45894</v>
      </c>
      <c r="K315" s="557" cm="1">
        <f t="array" ref="K315">IF(ISBLANK(J315), IF(ISBLANK(I315), "N/A", _xlfn.IFS(L315="AS", I315+15, L315="NCR", I315+30, L315="submitted", I315+30, TRUE, "N/A")), _xlfn.IFS(L315="AS", J315+15, L315="NCR", J315+30, L315="submitted", J315+30, TRUE, "N/A"))</f>
        <v>45924</v>
      </c>
      <c r="L315" s="267" t="s">
        <v>157</v>
      </c>
    </row>
    <row r="316" spans="1:14" s="266" customFormat="1" ht="15" customHeight="1">
      <c r="A316" s="1"/>
      <c r="B316" s="264" t="s">
        <v>99</v>
      </c>
      <c r="C316" s="521" t="s">
        <v>756</v>
      </c>
      <c r="D316" s="267" t="s">
        <v>757</v>
      </c>
      <c r="E316" s="267" t="s">
        <v>751</v>
      </c>
      <c r="F316" s="267" t="s">
        <v>322</v>
      </c>
      <c r="G316" s="262" t="s">
        <v>483</v>
      </c>
      <c r="H316" s="264" t="s">
        <v>235</v>
      </c>
      <c r="I316" s="265">
        <v>45827</v>
      </c>
      <c r="J316" s="265">
        <v>45894</v>
      </c>
      <c r="K316" s="557" cm="1">
        <f t="array" ref="K316">IF(ISBLANK(J316), IF(ISBLANK(I316), "N/A", _xlfn.IFS(L316="AS", I316+15, L316="NCR", I316+30, L316="submitted", I316+30, TRUE, "N/A")), _xlfn.IFS(L316="AS", J316+15, L316="NCR", J316+30, L316="submitted", J316+30, TRUE, "N/A"))</f>
        <v>45924</v>
      </c>
      <c r="L316" s="267" t="s">
        <v>157</v>
      </c>
    </row>
    <row r="317" spans="1:14" s="266" customFormat="1" ht="27" customHeight="1">
      <c r="A317" s="1"/>
      <c r="B317" s="264" t="s">
        <v>99</v>
      </c>
      <c r="C317" s="521" t="s">
        <v>756</v>
      </c>
      <c r="D317" s="267" t="s">
        <v>757</v>
      </c>
      <c r="E317" s="267" t="s">
        <v>751</v>
      </c>
      <c r="F317" s="267" t="s">
        <v>322</v>
      </c>
      <c r="G317" s="262" t="s">
        <v>485</v>
      </c>
      <c r="H317" s="424" t="s">
        <v>559</v>
      </c>
      <c r="I317" s="265">
        <v>45827</v>
      </c>
      <c r="J317" s="265">
        <v>45894</v>
      </c>
      <c r="K317" s="557" cm="1">
        <f t="array" ref="K317">IF(ISBLANK(J317), IF(ISBLANK(I317), "N/A", _xlfn.IFS(L317="AS", I317+15, L317="NCR", I317+30, L317="submitted", I317+30, TRUE, "N/A")), _xlfn.IFS(L317="AS", J317+15, L317="NCR", J317+30, L317="submitted", J317+30, TRUE, "N/A"))</f>
        <v>45924</v>
      </c>
      <c r="L317" s="267" t="s">
        <v>157</v>
      </c>
    </row>
    <row r="318" spans="1:14" s="1" customFormat="1" ht="27" customHeight="1">
      <c r="B318" s="38"/>
      <c r="C318" s="32" t="s">
        <v>756</v>
      </c>
      <c r="D318" s="37" t="s">
        <v>757</v>
      </c>
      <c r="F318" s="39"/>
      <c r="G318" s="38" t="s">
        <v>486</v>
      </c>
      <c r="H318" s="40" t="s">
        <v>760</v>
      </c>
      <c r="I318" s="41"/>
      <c r="J318" s="41"/>
      <c r="K318" s="557" t="str" cm="1">
        <f t="array" ref="K318">IF(ISBLANK(J318), IF(ISBLANK(I318), "N/A", _xlfn.IFS(L318="AS", I318+15, L318="NCR", I318+30, L318="submitted", I318+30, TRUE, "N/A")), _xlfn.IFS(L318="AS", J318+15, L318="NCR", J318+30, L318="submitted", J318+30, TRUE, "N/A"))</f>
        <v>N/A</v>
      </c>
      <c r="L318" s="39"/>
    </row>
    <row r="319" spans="1:14" s="733" customFormat="1" ht="27" customHeight="1">
      <c r="A319" s="1"/>
      <c r="B319" s="739" t="s">
        <v>34</v>
      </c>
      <c r="C319" s="740" t="s">
        <v>761</v>
      </c>
      <c r="D319" s="741" t="s">
        <v>762</v>
      </c>
      <c r="E319" s="741" t="s">
        <v>751</v>
      </c>
      <c r="F319" s="741" t="s">
        <v>322</v>
      </c>
      <c r="G319" s="742" t="s">
        <v>212</v>
      </c>
      <c r="H319" s="743" t="s">
        <v>763</v>
      </c>
      <c r="I319" s="744">
        <v>45827</v>
      </c>
      <c r="J319" s="744">
        <v>45887</v>
      </c>
      <c r="K319" s="557" t="str" cm="1">
        <f t="array" ref="K319">IF(ISBLANK(J319), IF(ISBLANK(I319), "N/A", _xlfn.IFS(L319="AS", I319+15, L319="NCR", I319+30, L319="submitted", I319+30, TRUE, "N/A")), _xlfn.IFS(L319="AS", J319+15, L319="NCR", J319+30, L319="submitted", J319+30, TRUE, "N/A"))</f>
        <v>N/A</v>
      </c>
      <c r="L319" s="741" t="s">
        <v>147</v>
      </c>
    </row>
    <row r="320" spans="1:14" s="733" customFormat="1" ht="15" customHeight="1">
      <c r="A320" s="1"/>
      <c r="B320" s="739" t="s">
        <v>34</v>
      </c>
      <c r="C320" s="740" t="s">
        <v>761</v>
      </c>
      <c r="D320" s="741" t="s">
        <v>762</v>
      </c>
      <c r="E320" s="741" t="s">
        <v>751</v>
      </c>
      <c r="F320" s="741" t="s">
        <v>322</v>
      </c>
      <c r="G320" s="742" t="s">
        <v>336</v>
      </c>
      <c r="H320" s="741" t="s">
        <v>235</v>
      </c>
      <c r="I320" s="744">
        <v>45827</v>
      </c>
      <c r="J320" s="744">
        <v>45887</v>
      </c>
      <c r="K320" s="557" t="str" cm="1">
        <f t="array" ref="K320">IF(ISBLANK(J320), IF(ISBLANK(I320), "N/A", _xlfn.IFS(L320="AS", I320+15, L320="NCR", I320+30, L320="submitted", I320+30, TRUE, "N/A")), _xlfn.IFS(L320="AS", J320+15, L320="NCR", J320+30, L320="submitted", J320+30, TRUE, "N/A"))</f>
        <v>N/A</v>
      </c>
      <c r="L320" s="741" t="s">
        <v>147</v>
      </c>
    </row>
    <row r="321" spans="1:12" s="733" customFormat="1" ht="27" customHeight="1">
      <c r="A321" s="1"/>
      <c r="B321" s="739" t="s">
        <v>34</v>
      </c>
      <c r="C321" s="740" t="s">
        <v>761</v>
      </c>
      <c r="D321" s="741" t="s">
        <v>762</v>
      </c>
      <c r="E321" s="741" t="s">
        <v>751</v>
      </c>
      <c r="F321" s="741" t="s">
        <v>322</v>
      </c>
      <c r="G321" s="742" t="s">
        <v>337</v>
      </c>
      <c r="H321" s="743" t="s">
        <v>559</v>
      </c>
      <c r="I321" s="744">
        <v>45827</v>
      </c>
      <c r="J321" s="744">
        <v>45887</v>
      </c>
      <c r="K321" s="557" t="str" cm="1">
        <f t="array" ref="K321">IF(ISBLANK(J321), IF(ISBLANK(I321), "N/A", _xlfn.IFS(L321="AS", I321+15, L321="NCR", I321+30, L321="submitted", I321+30, TRUE, "N/A")), _xlfn.IFS(L321="AS", J321+15, L321="NCR", J321+30, L321="submitted", J321+30, TRUE, "N/A"))</f>
        <v>N/A</v>
      </c>
      <c r="L321" s="741" t="s">
        <v>147</v>
      </c>
    </row>
    <row r="322" spans="1:12" s="733" customFormat="1" ht="27" customHeight="1">
      <c r="A322" s="1"/>
      <c r="B322" s="739" t="s">
        <v>34</v>
      </c>
      <c r="C322" s="740" t="s">
        <v>761</v>
      </c>
      <c r="D322" s="741" t="s">
        <v>762</v>
      </c>
      <c r="E322" s="741" t="s">
        <v>751</v>
      </c>
      <c r="F322" s="741" t="s">
        <v>764</v>
      </c>
      <c r="G322" s="742" t="s">
        <v>404</v>
      </c>
      <c r="H322" s="743" t="s">
        <v>560</v>
      </c>
      <c r="I322" s="744">
        <v>45827</v>
      </c>
      <c r="J322" s="744">
        <v>45887</v>
      </c>
      <c r="K322" s="557" t="str" cm="1">
        <f t="array" ref="K322">IF(ISBLANK(J322), IF(ISBLANK(I322), "N/A", _xlfn.IFS(L322="AS", I322+15, L322="NCR", I322+30, L322="submitted", I322+30, TRUE, "N/A")), _xlfn.IFS(L322="AS", J322+15, L322="NCR", J322+30, L322="submitted", J322+30, TRUE, "N/A"))</f>
        <v>N/A</v>
      </c>
      <c r="L322" s="741" t="s">
        <v>147</v>
      </c>
    </row>
    <row r="323" spans="1:12" s="26" customFormat="1" ht="27" customHeight="1">
      <c r="A323" s="1"/>
      <c r="B323" s="272" t="s">
        <v>765</v>
      </c>
      <c r="C323" s="605" t="s">
        <v>761</v>
      </c>
      <c r="D323" s="202" t="s">
        <v>762</v>
      </c>
      <c r="E323" s="202" t="s">
        <v>751</v>
      </c>
      <c r="F323" s="202" t="s">
        <v>322</v>
      </c>
      <c r="G323" s="580" t="s">
        <v>212</v>
      </c>
      <c r="H323" s="606" t="s">
        <v>763</v>
      </c>
      <c r="I323" s="607">
        <v>45894</v>
      </c>
      <c r="J323" s="607">
        <v>45926</v>
      </c>
      <c r="K323" s="557" t="str" cm="1">
        <f t="array" ref="K323">IF(ISBLANK(J323), IF(ISBLANK(I323), "N/A", _xlfn.IFS(L323="AS", I323+15, L323="NCR", I323+30, L323="submitted", I323+30, TRUE, "N/A")), _xlfn.IFS(L323="AS", J323+15, L323="NCR", J323+30, L323="submitted", J323+30, TRUE, "N/A"))</f>
        <v>N/A</v>
      </c>
      <c r="L323" s="202" t="s">
        <v>638</v>
      </c>
    </row>
    <row r="324" spans="1:12" s="26" customFormat="1" ht="15" customHeight="1">
      <c r="A324" s="1"/>
      <c r="B324" s="272" t="s">
        <v>765</v>
      </c>
      <c r="C324" s="605" t="s">
        <v>761</v>
      </c>
      <c r="D324" s="202" t="s">
        <v>762</v>
      </c>
      <c r="E324" s="202" t="s">
        <v>751</v>
      </c>
      <c r="F324" s="202" t="s">
        <v>322</v>
      </c>
      <c r="G324" s="580" t="s">
        <v>336</v>
      </c>
      <c r="H324" s="202" t="s">
        <v>235</v>
      </c>
      <c r="I324" s="607">
        <v>45894</v>
      </c>
      <c r="J324" s="607">
        <v>45926</v>
      </c>
      <c r="K324" s="557" t="str" cm="1">
        <f t="array" ref="K324">IF(ISBLANK(J324), IF(ISBLANK(I324), "N/A", _xlfn.IFS(L324="AS", I324+15, L324="NCR", I324+30, L324="submitted", I324+30, TRUE, "N/A")), _xlfn.IFS(L324="AS", J324+15, L324="NCR", J324+30, L324="submitted", J324+30, TRUE, "N/A"))</f>
        <v>N/A</v>
      </c>
      <c r="L324" s="202" t="s">
        <v>638</v>
      </c>
    </row>
    <row r="325" spans="1:12" s="26" customFormat="1" ht="27" customHeight="1">
      <c r="A325" s="1"/>
      <c r="B325" s="272" t="s">
        <v>765</v>
      </c>
      <c r="C325" s="605" t="s">
        <v>761</v>
      </c>
      <c r="D325" s="202" t="s">
        <v>762</v>
      </c>
      <c r="E325" s="202" t="s">
        <v>751</v>
      </c>
      <c r="F325" s="202" t="s">
        <v>322</v>
      </c>
      <c r="G325" s="580" t="s">
        <v>337</v>
      </c>
      <c r="H325" s="606" t="s">
        <v>559</v>
      </c>
      <c r="I325" s="607">
        <v>45894</v>
      </c>
      <c r="J325" s="607">
        <v>45926</v>
      </c>
      <c r="K325" s="557" t="str" cm="1">
        <f t="array" ref="K325">IF(ISBLANK(J325), IF(ISBLANK(I325), "N/A", _xlfn.IFS(L325="AS", I325+15, L325="NCR", I325+30, L325="submitted", I325+30, TRUE, "N/A")), _xlfn.IFS(L325="AS", J325+15, L325="NCR", J325+30, L325="submitted", J325+30, TRUE, "N/A"))</f>
        <v>N/A</v>
      </c>
      <c r="L325" s="202" t="s">
        <v>638</v>
      </c>
    </row>
    <row r="326" spans="1:12" s="26" customFormat="1" ht="27" customHeight="1">
      <c r="A326" s="1"/>
      <c r="B326" s="272" t="s">
        <v>765</v>
      </c>
      <c r="C326" s="605" t="s">
        <v>761</v>
      </c>
      <c r="D326" s="202" t="s">
        <v>762</v>
      </c>
      <c r="E326" s="202" t="s">
        <v>751</v>
      </c>
      <c r="F326" s="202" t="s">
        <v>764</v>
      </c>
      <c r="G326" s="580" t="s">
        <v>404</v>
      </c>
      <c r="H326" s="606" t="s">
        <v>560</v>
      </c>
      <c r="I326" s="607">
        <v>45894</v>
      </c>
      <c r="J326" s="607">
        <v>45926</v>
      </c>
      <c r="K326" s="557" t="str" cm="1">
        <f t="array" ref="K326">IF(ISBLANK(J326), IF(ISBLANK(I326), "N/A", _xlfn.IFS(L326="AS", I326+15, L326="NCR", I326+30, L326="submitted", I326+30, TRUE, "N/A")), _xlfn.IFS(L326="AS", J326+15, L326="NCR", J326+30, L326="submitted", J326+30, TRUE, "N/A"))</f>
        <v>N/A</v>
      </c>
      <c r="L326" s="202" t="s">
        <v>638</v>
      </c>
    </row>
    <row r="327" spans="1:12" s="5" customFormat="1" ht="15" customHeight="1">
      <c r="B327" s="73"/>
      <c r="C327" s="111" t="s">
        <v>766</v>
      </c>
      <c r="D327" s="35" t="s">
        <v>767</v>
      </c>
      <c r="E327" s="35"/>
      <c r="F327" s="35"/>
      <c r="G327" s="73" t="s">
        <v>281</v>
      </c>
      <c r="H327" s="36" t="s">
        <v>235</v>
      </c>
      <c r="I327" s="74"/>
      <c r="J327" s="74"/>
      <c r="K327" s="557" t="str" cm="1">
        <f t="array" ref="K327">IF(ISBLANK(J327), IF(ISBLANK(I327), "N/A", _xlfn.IFS(L327="AS", I327+15, L327="NCR", I327+30, L327="submitted", I327+30, TRUE, "N/A")), _xlfn.IFS(L327="AS", J327+15, L327="NCR", J327+30, L327="submitted", J327+30, TRUE, "N/A"))</f>
        <v>N/A</v>
      </c>
      <c r="L327"/>
    </row>
    <row r="328" spans="1:12" s="5" customFormat="1" ht="15" customHeight="1">
      <c r="B328" s="4"/>
      <c r="C328" s="111"/>
      <c r="D328" s="35"/>
      <c r="E328" s="35"/>
      <c r="F328" s="35"/>
      <c r="G328" s="4" t="s">
        <v>269</v>
      </c>
      <c r="H328" s="17" t="s">
        <v>724</v>
      </c>
      <c r="I328" s="18"/>
      <c r="J328" s="18"/>
      <c r="K328" s="557" t="str" cm="1">
        <f t="array" ref="K328">IF(ISBLANK(J328), IF(ISBLANK(I328), "N/A", _xlfn.IFS(L328="AS", I328+15, L328="NCR", I328+30, L328="submitted", I328+30, TRUE, "N/A")), _xlfn.IFS(L328="AS", J328+15, L328="NCR", J328+30, L328="submitted", J328+30, TRUE, "N/A"))</f>
        <v>N/A</v>
      </c>
      <c r="L328"/>
    </row>
    <row r="329" spans="1:12" s="5" customFormat="1" ht="15" customHeight="1">
      <c r="B329" s="4"/>
      <c r="C329" s="111"/>
      <c r="D329" s="35"/>
      <c r="E329" s="35"/>
      <c r="F329" s="35"/>
      <c r="G329" s="4" t="s">
        <v>259</v>
      </c>
      <c r="H329" s="17" t="s">
        <v>738</v>
      </c>
      <c r="I329" s="18"/>
      <c r="J329" s="18"/>
      <c r="K329" s="557" t="str" cm="1">
        <f t="array" ref="K329">IF(ISBLANK(J329), IF(ISBLANK(I329), "N/A", _xlfn.IFS(L329="AS", I329+15, L329="NCR", I329+30, L329="submitted", I329+30, TRUE, "N/A")), _xlfn.IFS(L329="AS", J329+15, L329="NCR", J329+30, L329="submitted", J329+30, TRUE, "N/A"))</f>
        <v>N/A</v>
      </c>
      <c r="L329"/>
    </row>
    <row r="330" spans="1:12" s="5" customFormat="1" ht="27" customHeight="1">
      <c r="B330" s="4"/>
      <c r="C330" s="111"/>
      <c r="D330" s="35"/>
      <c r="E330" s="35"/>
      <c r="F330" s="35"/>
      <c r="G330" s="4" t="s">
        <v>352</v>
      </c>
      <c r="H330" s="3" t="s">
        <v>768</v>
      </c>
      <c r="I330" s="18"/>
      <c r="J330" s="18"/>
      <c r="K330" s="557" t="str" cm="1">
        <f t="array" ref="K330">IF(ISBLANK(J330), IF(ISBLANK(I330), "N/A", _xlfn.IFS(L330="AS", I330+15, L330="NCR", I330+30, L330="submitted", I330+30, TRUE, "N/A")), _xlfn.IFS(L330="AS", J330+15, L330="NCR", J330+30, L330="submitted", J330+30, TRUE, "N/A"))</f>
        <v>N/A</v>
      </c>
      <c r="L330"/>
    </row>
    <row r="331" spans="1:12" s="5" customFormat="1" ht="15" customHeight="1">
      <c r="B331" s="4"/>
      <c r="C331" s="111"/>
      <c r="D331" s="35"/>
      <c r="E331" s="35"/>
      <c r="F331" s="35"/>
      <c r="G331" s="4" t="s">
        <v>354</v>
      </c>
      <c r="H331" s="17" t="s">
        <v>769</v>
      </c>
      <c r="I331" s="18"/>
      <c r="J331" s="18"/>
      <c r="K331" s="557" t="str" cm="1">
        <f t="array" ref="K331">IF(ISBLANK(J331), IF(ISBLANK(I331), "N/A", _xlfn.IFS(L331="AS", I331+15, L331="NCR", I331+30, L331="submitted", I331+30, TRUE, "N/A")), _xlfn.IFS(L331="AS", J331+15, L331="NCR", J331+30, L331="submitted", J331+30, TRUE, "N/A"))</f>
        <v>N/A</v>
      </c>
      <c r="L331"/>
    </row>
    <row r="332" spans="1:12" s="5" customFormat="1" ht="15" customHeight="1">
      <c r="B332" s="4"/>
      <c r="C332" s="95"/>
      <c r="D332" s="36"/>
      <c r="E332" s="36"/>
      <c r="F332" s="36"/>
      <c r="G332" s="4" t="s">
        <v>356</v>
      </c>
      <c r="H332" s="17" t="s">
        <v>770</v>
      </c>
      <c r="I332" s="18"/>
      <c r="J332" s="18"/>
      <c r="K332" s="557" t="str" cm="1">
        <f t="array" ref="K332">IF(ISBLANK(J332), IF(ISBLANK(I332), "N/A", _xlfn.IFS(L332="AS", I332+15, L332="NCR", I332+30, L332="submitted", I332+30, TRUE, "N/A")), _xlfn.IFS(L332="AS", J332+15, L332="NCR", J332+30, L332="submitted", J332+30, TRUE, "N/A"))</f>
        <v>N/A</v>
      </c>
      <c r="L332"/>
    </row>
    <row r="333" spans="1:12" s="1" customFormat="1" ht="27" customHeight="1">
      <c r="B333" s="9"/>
      <c r="C333" s="32" t="s">
        <v>771</v>
      </c>
      <c r="D333" s="37" t="s">
        <v>772</v>
      </c>
      <c r="E333" s="37"/>
      <c r="F333" s="37"/>
      <c r="G333" s="9" t="s">
        <v>212</v>
      </c>
      <c r="H333" s="7" t="s">
        <v>773</v>
      </c>
      <c r="I333" s="18"/>
      <c r="J333" s="18"/>
      <c r="K333" s="557" t="str" cm="1">
        <f t="array" ref="K333">IF(ISBLANK(J333), IF(ISBLANK(I333), "N/A", _xlfn.IFS(L333="AS", I333+15, L333="NCR", I333+30, L333="submitted", I333+30, TRUE, "N/A")), _xlfn.IFS(L333="AS", J333+15, L333="NCR", J333+30, L333="submitted", J333+30, TRUE, "N/A"))</f>
        <v>N/A</v>
      </c>
      <c r="L333"/>
    </row>
    <row r="334" spans="1:12" s="1" customFormat="1" ht="12" customHeight="1">
      <c r="B334" s="9"/>
      <c r="C334" s="97"/>
      <c r="D334" s="46"/>
      <c r="E334" s="46"/>
      <c r="F334" s="46"/>
      <c r="G334" s="9" t="s">
        <v>336</v>
      </c>
      <c r="H334" s="13" t="s">
        <v>484</v>
      </c>
      <c r="I334" s="18"/>
      <c r="J334" s="18"/>
      <c r="K334" s="557" t="str" cm="1">
        <f t="array" ref="K334">IF(ISBLANK(J334), IF(ISBLANK(I334), "N/A", _xlfn.IFS(L334="AS", I334+15, L334="NCR", I334+30, L334="submitted", I334+30, TRUE, "N/A")), _xlfn.IFS(L334="AS", J334+15, L334="NCR", J334+30, L334="submitted", J334+30, TRUE, "N/A"))</f>
        <v>N/A</v>
      </c>
      <c r="L334"/>
    </row>
    <row r="335" spans="1:12" s="5" customFormat="1" ht="15" customHeight="1">
      <c r="B335" s="4"/>
      <c r="C335" s="86" t="s">
        <v>774</v>
      </c>
      <c r="D335" s="34" t="s">
        <v>775</v>
      </c>
      <c r="E335" s="34"/>
      <c r="F335" s="34"/>
      <c r="G335" s="4" t="s">
        <v>281</v>
      </c>
      <c r="H335" s="17" t="s">
        <v>776</v>
      </c>
      <c r="I335" s="18"/>
      <c r="J335" s="18"/>
      <c r="K335" s="557" t="str" cm="1">
        <f t="array" ref="K335">IF(ISBLANK(J335), IF(ISBLANK(I335), "N/A", _xlfn.IFS(L335="AS", I335+15, L335="NCR", I335+30, L335="submitted", I335+30, TRUE, "N/A")), _xlfn.IFS(L335="AS", J335+15, L335="NCR", J335+30, L335="submitted", J335+30, TRUE, "N/A"))</f>
        <v>N/A</v>
      </c>
      <c r="L335"/>
    </row>
    <row r="336" spans="1:12" s="5" customFormat="1" ht="15" customHeight="1">
      <c r="B336" s="4"/>
      <c r="C336" s="111"/>
      <c r="D336" s="35"/>
      <c r="E336" s="35"/>
      <c r="F336" s="35"/>
      <c r="G336" s="4" t="s">
        <v>269</v>
      </c>
      <c r="H336" s="17" t="s">
        <v>282</v>
      </c>
      <c r="I336" s="18"/>
      <c r="J336" s="18"/>
      <c r="K336" s="557" t="str" cm="1">
        <f t="array" ref="K336">IF(ISBLANK(J336), IF(ISBLANK(I336), "N/A", _xlfn.IFS(L336="AS", I336+15, L336="NCR", I336+30, L336="submitted", I336+30, TRUE, "N/A")), _xlfn.IFS(L336="AS", J336+15, L336="NCR", J336+30, L336="submitted", J336+30, TRUE, "N/A"))</f>
        <v>N/A</v>
      </c>
      <c r="L336"/>
    </row>
    <row r="337" spans="2:12" s="5" customFormat="1" ht="27" customHeight="1">
      <c r="B337" s="4"/>
      <c r="C337" s="111"/>
      <c r="D337" s="35"/>
      <c r="E337" s="35"/>
      <c r="F337" s="35"/>
      <c r="G337" s="4" t="s">
        <v>259</v>
      </c>
      <c r="H337" s="3" t="s">
        <v>559</v>
      </c>
      <c r="I337" s="18"/>
      <c r="J337" s="18"/>
      <c r="K337" s="557" t="str" cm="1">
        <f t="array" ref="K337">IF(ISBLANK(J337), IF(ISBLANK(I337), "N/A", _xlfn.IFS(L337="AS", I337+15, L337="NCR", I337+30, L337="submitted", I337+30, TRUE, "N/A")), _xlfn.IFS(L337="AS", J337+15, L337="NCR", J337+30, L337="submitted", J337+30, TRUE, "N/A"))</f>
        <v>N/A</v>
      </c>
      <c r="L337"/>
    </row>
    <row r="338" spans="2:12" s="5" customFormat="1" ht="27" customHeight="1">
      <c r="B338" s="4"/>
      <c r="C338" s="95"/>
      <c r="D338" s="36"/>
      <c r="E338" s="36"/>
      <c r="F338" s="36"/>
      <c r="G338" s="4" t="s">
        <v>352</v>
      </c>
      <c r="H338" s="3" t="s">
        <v>561</v>
      </c>
      <c r="I338" s="18"/>
      <c r="J338" s="18"/>
      <c r="K338" s="557" t="str" cm="1">
        <f t="array" ref="K338">IF(ISBLANK(J338), IF(ISBLANK(I338), "N/A", _xlfn.IFS(L338="AS", I338+15, L338="NCR", I338+30, L338="submitted", I338+30, TRUE, "N/A")), _xlfn.IFS(L338="AS", J338+15, L338="NCR", J338+30, L338="submitted", J338+30, TRUE, "N/A"))</f>
        <v>N/A</v>
      </c>
      <c r="L338"/>
    </row>
    <row r="339" spans="2:12" s="1" customFormat="1" ht="15" customHeight="1">
      <c r="B339" s="9"/>
      <c r="C339" s="32" t="s">
        <v>777</v>
      </c>
      <c r="D339" s="37" t="s">
        <v>778</v>
      </c>
      <c r="E339" s="37"/>
      <c r="F339" s="37"/>
      <c r="G339" s="9" t="s">
        <v>208</v>
      </c>
      <c r="H339" s="13" t="s">
        <v>779</v>
      </c>
      <c r="I339" s="18"/>
      <c r="J339" s="18"/>
      <c r="K339" s="557" t="str" cm="1">
        <f t="array" ref="K339">IF(ISBLANK(J339), IF(ISBLANK(I339), "N/A", _xlfn.IFS(L339="AS", I339+15, L339="NCR", I339+30, L339="submitted", I339+30, TRUE, "N/A")), _xlfn.IFS(L339="AS", J339+15, L339="NCR", J339+30, L339="submitted", J339+30, TRUE, "N/A"))</f>
        <v>N/A</v>
      </c>
      <c r="L339"/>
    </row>
    <row r="340" spans="2:12" s="1" customFormat="1" ht="15" customHeight="1">
      <c r="B340" s="9"/>
      <c r="C340" s="33"/>
      <c r="D340" s="39"/>
      <c r="E340" s="39"/>
      <c r="F340" s="39"/>
      <c r="G340" s="9" t="s">
        <v>281</v>
      </c>
      <c r="H340" s="13" t="s">
        <v>780</v>
      </c>
      <c r="I340" s="18"/>
      <c r="J340" s="18"/>
      <c r="K340" s="557" t="str" cm="1">
        <f t="array" ref="K340">IF(ISBLANK(J340), IF(ISBLANK(I340), "N/A", _xlfn.IFS(L340="AS", I340+15, L340="NCR", I340+30, L340="submitted", I340+30, TRUE, "N/A")), _xlfn.IFS(L340="AS", J340+15, L340="NCR", J340+30, L340="submitted", J340+30, TRUE, "N/A"))</f>
        <v>N/A</v>
      </c>
      <c r="L340"/>
    </row>
    <row r="341" spans="2:12" s="1" customFormat="1" ht="15" customHeight="1">
      <c r="B341" s="9"/>
      <c r="C341" s="97"/>
      <c r="D341" s="46"/>
      <c r="E341" s="46"/>
      <c r="F341" s="46"/>
      <c r="G341" s="9" t="s">
        <v>269</v>
      </c>
      <c r="H341" s="13" t="s">
        <v>781</v>
      </c>
      <c r="I341" s="18"/>
      <c r="J341" s="18"/>
      <c r="K341" s="557" t="str" cm="1">
        <f t="array" ref="K341">IF(ISBLANK(J341), IF(ISBLANK(I341), "N/A", _xlfn.IFS(L341="AS", I341+15, L341="NCR", I341+30, L341="submitted", I341+30, TRUE, "N/A")), _xlfn.IFS(L341="AS", J341+15, L341="NCR", J341+30, L341="submitted", J341+30, TRUE, "N/A"))</f>
        <v>N/A</v>
      </c>
      <c r="L341"/>
    </row>
    <row r="342" spans="2:12" s="5" customFormat="1" ht="15" customHeight="1">
      <c r="B342" s="4"/>
      <c r="C342" s="15" t="s">
        <v>782</v>
      </c>
      <c r="D342" s="17" t="s">
        <v>783</v>
      </c>
      <c r="E342" s="17"/>
      <c r="F342" s="17"/>
      <c r="G342" s="4" t="s">
        <v>336</v>
      </c>
      <c r="H342" s="17" t="s">
        <v>784</v>
      </c>
      <c r="I342" s="18"/>
      <c r="J342" s="18"/>
      <c r="K342" s="557" t="str" cm="1">
        <f t="array" ref="K342">IF(ISBLANK(J342), IF(ISBLANK(I342), "N/A", _xlfn.IFS(L342="AS", I342+15, L342="NCR", I342+30, L342="submitted", I342+30, TRUE, "N/A")), _xlfn.IFS(L342="AS", J342+15, L342="NCR", J342+30, L342="submitted", J342+30, TRUE, "N/A"))</f>
        <v>N/A</v>
      </c>
      <c r="L342"/>
    </row>
    <row r="343" spans="2:12" s="1" customFormat="1" ht="15" customHeight="1">
      <c r="B343" s="38"/>
      <c r="C343" s="32" t="s">
        <v>785</v>
      </c>
      <c r="D343" s="37" t="s">
        <v>786</v>
      </c>
      <c r="E343" s="37"/>
      <c r="F343" s="37"/>
      <c r="G343" s="38" t="s">
        <v>208</v>
      </c>
      <c r="H343" s="37" t="s">
        <v>787</v>
      </c>
      <c r="I343" s="18"/>
      <c r="J343" s="18"/>
      <c r="K343" s="557" t="str" cm="1">
        <f t="array" ref="K343">IF(ISBLANK(J343), IF(ISBLANK(I343), "N/A", _xlfn.IFS(L343="AS", I343+15, L343="NCR", I343+30, L343="submitted", I343+30, TRUE, "N/A")), _xlfn.IFS(L343="AS", J343+15, L343="NCR", J343+30, L343="submitted", J343+30, TRUE, "N/A"))</f>
        <v>N/A</v>
      </c>
      <c r="L343"/>
    </row>
    <row r="344" spans="2:12" s="1" customFormat="1" ht="27" customHeight="1">
      <c r="B344" s="38"/>
      <c r="C344" s="33"/>
      <c r="D344" s="39"/>
      <c r="E344" s="39"/>
      <c r="F344" s="39"/>
      <c r="G344" s="38" t="s">
        <v>281</v>
      </c>
      <c r="H344" s="40" t="s">
        <v>788</v>
      </c>
      <c r="I344" s="18"/>
      <c r="J344" s="18"/>
      <c r="K344" s="557" t="str" cm="1">
        <f t="array" ref="K344">IF(ISBLANK(J344), IF(ISBLANK(I344), "N/A", _xlfn.IFS(L344="AS", I344+15, L344="NCR", I344+30, L344="submitted", I344+30, TRUE, "N/A")), _xlfn.IFS(L344="AS", J344+15, L344="NCR", J344+30, L344="submitted", J344+30, TRUE, "N/A"))</f>
        <v>N/A</v>
      </c>
      <c r="L344"/>
    </row>
    <row r="345" spans="2:12" s="1" customFormat="1" ht="53.25">
      <c r="B345" s="38"/>
      <c r="C345" s="33"/>
      <c r="D345" s="39"/>
      <c r="E345" s="39"/>
      <c r="F345" s="39"/>
      <c r="G345" s="38" t="s">
        <v>269</v>
      </c>
      <c r="H345" s="40" t="s">
        <v>789</v>
      </c>
      <c r="I345" s="18"/>
      <c r="J345" s="18"/>
      <c r="K345" s="557" t="str" cm="1">
        <f t="array" ref="K345">IF(ISBLANK(J345), IF(ISBLANK(I345), "N/A", _xlfn.IFS(L345="AS", I345+15, L345="NCR", I345+30, L345="submitted", I345+30, TRUE, "N/A")), _xlfn.IFS(L345="AS", J345+15, L345="NCR", J345+30, L345="submitted", J345+30, TRUE, "N/A"))</f>
        <v>N/A</v>
      </c>
      <c r="L345"/>
    </row>
    <row r="346" spans="2:12" s="1" customFormat="1" ht="27" customHeight="1">
      <c r="B346" s="38"/>
      <c r="C346" s="33"/>
      <c r="D346" s="39"/>
      <c r="E346" s="39"/>
      <c r="F346" s="39"/>
      <c r="G346" s="38" t="s">
        <v>259</v>
      </c>
      <c r="H346" s="40" t="s">
        <v>559</v>
      </c>
      <c r="I346" s="18"/>
      <c r="J346" s="18"/>
      <c r="K346" s="557" t="str" cm="1">
        <f t="array" ref="K346">IF(ISBLANK(J346), IF(ISBLANK(I346), "N/A", _xlfn.IFS(L346="AS", I346+15, L346="NCR", I346+30, L346="submitted", I346+30, TRUE, "N/A")), _xlfn.IFS(L346="AS", J346+15, L346="NCR", J346+30, L346="submitted", J346+30, TRUE, "N/A"))</f>
        <v>N/A</v>
      </c>
      <c r="L346"/>
    </row>
    <row r="347" spans="2:12" s="1" customFormat="1" ht="15" customHeight="1">
      <c r="B347" s="38"/>
      <c r="C347" s="33"/>
      <c r="D347" s="39"/>
      <c r="E347" s="39"/>
      <c r="F347" s="39"/>
      <c r="G347" s="38" t="s">
        <v>352</v>
      </c>
      <c r="H347" s="37" t="s">
        <v>790</v>
      </c>
      <c r="I347" s="18"/>
      <c r="J347" s="18"/>
      <c r="K347" s="557" t="str" cm="1">
        <f t="array" ref="K347">IF(ISBLANK(J347), IF(ISBLANK(I347), "N/A", _xlfn.IFS(L347="AS", I347+15, L347="NCR", I347+30, L347="submitted", I347+30, TRUE, "N/A")), _xlfn.IFS(L347="AS", J347+15, L347="NCR", J347+30, L347="submitted", J347+30, TRUE, "N/A"))</f>
        <v>N/A</v>
      </c>
      <c r="L347"/>
    </row>
    <row r="348" spans="2:12" s="94" customFormat="1" ht="27" customHeight="1">
      <c r="B348" s="90"/>
      <c r="C348" s="371"/>
      <c r="D348" s="91"/>
      <c r="E348" s="91"/>
      <c r="F348" s="91"/>
      <c r="G348" s="90" t="s">
        <v>354</v>
      </c>
      <c r="H348" s="92" t="s">
        <v>791</v>
      </c>
      <c r="I348" s="18"/>
      <c r="J348" s="18"/>
      <c r="K348" s="557" t="str" cm="1">
        <f t="array" ref="K348">IF(ISBLANK(J348), IF(ISBLANK(I348), "N/A", _xlfn.IFS(L348="AS", I348+15, L348="NCR", I348+30, L348="submitted", I348+30, TRUE, "N/A")), _xlfn.IFS(L348="AS", J348+15, L348="NCR", J348+30, L348="submitted", J348+30, TRUE, "N/A"))</f>
        <v>N/A</v>
      </c>
      <c r="L348"/>
    </row>
    <row r="349" spans="2:12" s="733" customFormat="1" ht="15" customHeight="1">
      <c r="B349" s="733" t="s">
        <v>792</v>
      </c>
      <c r="C349" s="734" t="s">
        <v>785</v>
      </c>
      <c r="D349" s="735" t="s">
        <v>793</v>
      </c>
      <c r="E349" s="736" t="s">
        <v>794</v>
      </c>
      <c r="F349" s="736" t="s">
        <v>795</v>
      </c>
      <c r="G349" s="733">
        <v>3.07</v>
      </c>
      <c r="H349" s="737" t="s">
        <v>796</v>
      </c>
      <c r="I349" s="738">
        <v>45912</v>
      </c>
      <c r="J349" s="738">
        <v>45925</v>
      </c>
      <c r="K349" s="557" t="str" cm="1">
        <f t="array" ref="K349">IF(ISBLANK(J349), IF(ISBLANK(I349), "N/A", _xlfn.IFS(L349="AS", I349+15, L349="NCR", I349+30, L349="submitted", I349+30, TRUE, "N/A")), _xlfn.IFS(L349="AS", J349+15, L349="NCR", J349+30, L349="submitted", J349+30, TRUE, "N/A"))</f>
        <v>N/A</v>
      </c>
      <c r="L349" s="727" t="s">
        <v>147</v>
      </c>
    </row>
    <row r="350" spans="2:12" s="528" customFormat="1" ht="15" customHeight="1">
      <c r="B350" s="525" t="s">
        <v>797</v>
      </c>
      <c r="C350" s="729" t="s">
        <v>785</v>
      </c>
      <c r="D350" s="730" t="s">
        <v>793</v>
      </c>
      <c r="E350" s="575" t="s">
        <v>794</v>
      </c>
      <c r="F350" s="575" t="s">
        <v>795</v>
      </c>
      <c r="G350" s="525">
        <v>3.07</v>
      </c>
      <c r="H350" s="731" t="s">
        <v>796</v>
      </c>
      <c r="I350" s="732">
        <v>45929</v>
      </c>
      <c r="K350" s="557" cm="1">
        <f t="array" ref="K350">IF(ISBLANK(J350), IF(ISBLANK(I350), "N/A", _xlfn.IFS(L350="AS", I350+15, L350="NCR", I350+30, L350="submitted", I350+30, TRUE, "N/A")), _xlfn.IFS(L350="AS", J350+15, L350="NCR", J350+30, L350="submitted", J350+30, TRUE, "N/A"))</f>
        <v>45959</v>
      </c>
      <c r="L350" s="528" t="s">
        <v>581</v>
      </c>
    </row>
  </sheetData>
  <autoFilter ref="B1:L348" xr:uid="{5C577AC4-326C-4F46-A322-5A3CE0B8F983}">
    <filterColumn colId="0" showButton="0"/>
    <filterColumn colId="1" showButton="0"/>
    <filterColumn colId="2" showButton="0"/>
    <filterColumn colId="3" showButton="0"/>
    <filterColumn colId="4" showButton="0"/>
    <filterColumn colId="5" showButton="0"/>
  </autoFilter>
  <mergeCells count="40">
    <mergeCell ref="B24:B31"/>
    <mergeCell ref="C24:C31"/>
    <mergeCell ref="D24:D31"/>
    <mergeCell ref="B1:H1"/>
    <mergeCell ref="C4:C6"/>
    <mergeCell ref="D4:D6"/>
    <mergeCell ref="B8:B15"/>
    <mergeCell ref="B16:B23"/>
    <mergeCell ref="C16:C23"/>
    <mergeCell ref="D16:D23"/>
    <mergeCell ref="C8:C15"/>
    <mergeCell ref="D8:D15"/>
    <mergeCell ref="C166:C168"/>
    <mergeCell ref="D166:D168"/>
    <mergeCell ref="C170:C172"/>
    <mergeCell ref="D170:D172"/>
    <mergeCell ref="C156:C161"/>
    <mergeCell ref="D156:D161"/>
    <mergeCell ref="C189:C190"/>
    <mergeCell ref="D189:D190"/>
    <mergeCell ref="C191:C192"/>
    <mergeCell ref="D191:D192"/>
    <mergeCell ref="C173:C174"/>
    <mergeCell ref="D173:D174"/>
    <mergeCell ref="A24:A31"/>
    <mergeCell ref="N3:Q6"/>
    <mergeCell ref="N128:Q203"/>
    <mergeCell ref="N204:Q211"/>
    <mergeCell ref="N40:Q47"/>
    <mergeCell ref="N48:Q119"/>
    <mergeCell ref="N120:Q127"/>
    <mergeCell ref="N7:Q39"/>
    <mergeCell ref="C205:C207"/>
    <mergeCell ref="D205:D207"/>
    <mergeCell ref="C208:C209"/>
    <mergeCell ref="D208:D209"/>
    <mergeCell ref="C210:C211"/>
    <mergeCell ref="D210:D211"/>
    <mergeCell ref="C186:C188"/>
    <mergeCell ref="D186:D188"/>
  </mergeCells>
  <conditionalFormatting sqref="B2:L350">
    <cfRule type="expression" dxfId="97" priority="6">
      <formula>OR(INDEX($L:$L,ROW())="NCR",INDEX($L:$L,ROW())="NR",INDEX($L:$L,ROW())="AS")</formula>
    </cfRule>
  </conditionalFormatting>
  <conditionalFormatting sqref="B2:L350">
    <cfRule type="expression" dxfId="96" priority="5">
      <formula>OR(INDEX($L:$L,ROW())="AC",INDEX($L:$L,ROW())="AN",INDEX($L:$L,ROW())="RC",INDEX($L:$L,ROW())="RA")</formula>
    </cfRule>
  </conditionalFormatting>
  <conditionalFormatting sqref="B2:L350">
    <cfRule type="expression" dxfId="95" priority="4">
      <formula>OR(INDEX($L:$L,ROW())="Submitted",INDEX($L:$L,ROW())="REV")</formula>
    </cfRule>
  </conditionalFormatting>
  <conditionalFormatting sqref="B3:L350">
    <cfRule type="expression" dxfId="94" priority="3">
      <formula>NOT(OR(INDEX($L:$L,ROW())="NCR",INDEX($L:$L,ROW())="NR",INDEX($L:$L,ROW())="AS",INDEX($L:$L,ROW())="AC",INDEX($L:$L,ROW())="AN",INDEX($L:$L,ROW())="RC",INDEX($L:$L,ROW())="RA",INDEX($L:$L,ROW())="Submitted",INDEX($L:$L,ROW())="REV"))</formula>
    </cfRule>
  </conditionalFormatting>
  <conditionalFormatting sqref="A1:A1048576">
    <cfRule type="cellIs" dxfId="93" priority="1" operator="equal">
      <formul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Q479"/>
  <sheetViews>
    <sheetView workbookViewId="0">
      <pane ySplit="2" topLeftCell="A394" activePane="bottomLeft" state="frozen"/>
      <selection pane="bottomLeft" activeCell="J405" sqref="J405"/>
    </sheetView>
  </sheetViews>
  <sheetFormatPr defaultRowHeight="15"/>
  <cols>
    <col min="1" max="1" width="11.7109375" customWidth="1"/>
    <col min="2" max="2" width="12.7109375" bestFit="1" customWidth="1"/>
    <col min="3" max="3" width="10.85546875" customWidth="1"/>
    <col min="4" max="4" width="46.42578125" bestFit="1" customWidth="1"/>
    <col min="5" max="5" width="41.85546875" customWidth="1"/>
    <col min="6" max="6" width="10.7109375" bestFit="1" customWidth="1"/>
    <col min="8" max="8" width="105.140625" customWidth="1"/>
    <col min="9" max="9" width="10.140625" customWidth="1"/>
    <col min="11" max="11" width="10.140625" bestFit="1" customWidth="1"/>
    <col min="13" max="13" width="2.140625" customWidth="1"/>
    <col min="18" max="18" width="1.7109375" customWidth="1"/>
  </cols>
  <sheetData>
    <row r="1" spans="1:17" ht="33.75" customHeight="1">
      <c r="B1" s="805" t="s">
        <v>798</v>
      </c>
      <c r="C1" s="806"/>
      <c r="D1" s="806"/>
      <c r="E1" s="806"/>
      <c r="F1" s="806"/>
      <c r="G1" s="806"/>
      <c r="H1" s="806"/>
      <c r="M1" s="317"/>
      <c r="N1" s="314"/>
      <c r="O1" s="315"/>
      <c r="P1" s="315"/>
      <c r="Q1" s="316"/>
    </row>
    <row r="2" spans="1:17" ht="40.5">
      <c r="A2" s="282" t="s">
        <v>284</v>
      </c>
      <c r="B2" s="292" t="s">
        <v>113</v>
      </c>
      <c r="C2" s="285" t="s">
        <v>114</v>
      </c>
      <c r="D2" s="285" t="s">
        <v>115</v>
      </c>
      <c r="E2" s="285" t="s">
        <v>799</v>
      </c>
      <c r="F2" s="285" t="s">
        <v>117</v>
      </c>
      <c r="G2" s="285" t="s">
        <v>118</v>
      </c>
      <c r="H2" s="285" t="s">
        <v>119</v>
      </c>
      <c r="I2" s="290" t="s">
        <v>120</v>
      </c>
      <c r="J2" s="290" t="s">
        <v>121</v>
      </c>
      <c r="K2" s="290" t="s">
        <v>122</v>
      </c>
      <c r="L2" s="291" t="s">
        <v>123</v>
      </c>
      <c r="M2" s="319"/>
      <c r="N2" s="311" t="s">
        <v>124</v>
      </c>
      <c r="O2" s="293" t="s">
        <v>125</v>
      </c>
      <c r="P2" s="294" t="s">
        <v>126</v>
      </c>
      <c r="Q2" s="295" t="s">
        <v>127</v>
      </c>
    </row>
    <row r="3" spans="1:17">
      <c r="B3" s="73"/>
      <c r="C3" s="369" t="s">
        <v>800</v>
      </c>
      <c r="D3" s="370" t="s">
        <v>801</v>
      </c>
      <c r="E3" s="103"/>
      <c r="F3" s="5"/>
      <c r="G3" s="73" t="s">
        <v>281</v>
      </c>
      <c r="H3" s="36" t="s">
        <v>802</v>
      </c>
      <c r="I3" s="73"/>
      <c r="J3" s="18"/>
      <c r="K3" s="74" t="str" cm="1">
        <f t="array" ref="K3">IF(ISBLANK(J3), IF(ISBLANK(I3), "N/A", _xlfn.IFS(L3="AS", I3+15, L3="NCR", I3+30, L3="submitted", I3+30, TRUE, "N/A")), _xlfn.IFS(L3="AS", J3+15, L3="NCR", J3+30, L3="submitted", J3+30, TRUE, "N/A"))</f>
        <v>N/A</v>
      </c>
      <c r="L3" s="74"/>
      <c r="M3" s="317"/>
      <c r="N3" s="796" t="s">
        <v>133</v>
      </c>
      <c r="O3" s="797"/>
      <c r="P3" s="797"/>
      <c r="Q3" s="798"/>
    </row>
    <row r="4" spans="1:17">
      <c r="B4" s="73"/>
      <c r="C4" s="111"/>
      <c r="D4" s="35"/>
      <c r="E4" s="103"/>
      <c r="F4" s="5"/>
      <c r="G4" s="73" t="s">
        <v>269</v>
      </c>
      <c r="H4" s="36" t="s">
        <v>803</v>
      </c>
      <c r="I4" s="73"/>
      <c r="J4" s="18"/>
      <c r="K4" s="74" t="str" cm="1">
        <f t="array" ref="K4">IF(ISBLANK(J4), IF(ISBLANK(I4), "N/A", _xlfn.IFS(L4="AS", I4+15, L4="NCR", I4+30, L4="submitted", I4+30, TRUE, "N/A")), _xlfn.IFS(L4="AS", J4+15, L4="NCR", J4+30, L4="submitted", J4+30, TRUE, "N/A"))</f>
        <v>N/A</v>
      </c>
      <c r="L4" s="74"/>
      <c r="M4" s="317"/>
      <c r="N4" s="799"/>
      <c r="O4" s="800"/>
      <c r="P4" s="800"/>
      <c r="Q4" s="801"/>
    </row>
    <row r="5" spans="1:17">
      <c r="B5" s="73"/>
      <c r="C5" s="95"/>
      <c r="D5" s="36"/>
      <c r="E5" s="103"/>
      <c r="F5" s="5"/>
      <c r="G5" s="73" t="s">
        <v>259</v>
      </c>
      <c r="H5" s="36" t="s">
        <v>804</v>
      </c>
      <c r="I5" s="73"/>
      <c r="J5" s="18"/>
      <c r="K5" s="74" t="str" cm="1">
        <f t="array" ref="K5">IF(ISBLANK(J5), IF(ISBLANK(I5), "N/A", _xlfn.IFS(L5="AS", I5+15, L5="NCR", I5+30, L5="submitted", I5+30, TRUE, "N/A")), _xlfn.IFS(L5="AS", J5+15, L5="NCR", J5+30, L5="submitted", J5+30, TRUE, "N/A"))</f>
        <v>N/A</v>
      </c>
      <c r="L5" s="74"/>
      <c r="M5" s="317"/>
      <c r="N5" s="799"/>
      <c r="O5" s="800"/>
      <c r="P5" s="800"/>
      <c r="Q5" s="801"/>
    </row>
    <row r="6" spans="1:17" ht="40.5">
      <c r="B6" s="9" t="s">
        <v>805</v>
      </c>
      <c r="C6" s="372" t="s">
        <v>806</v>
      </c>
      <c r="D6" s="40" t="s">
        <v>807</v>
      </c>
      <c r="E6" s="40" t="s">
        <v>808</v>
      </c>
      <c r="F6" s="37" t="s">
        <v>809</v>
      </c>
      <c r="G6" s="9" t="s">
        <v>222</v>
      </c>
      <c r="H6" s="7" t="s">
        <v>810</v>
      </c>
      <c r="I6" s="14">
        <v>45902</v>
      </c>
      <c r="J6" s="18">
        <v>45926</v>
      </c>
      <c r="K6" s="74" cm="1">
        <f t="array" ref="K6">IF(ISBLANK(J6), IF(ISBLANK(I6), "N/A", _xlfn.IFS(L6="AS", I6+15, L6="NCR", I6+30, L6="submitted", I6+30, TRUE, "N/A")), _xlfn.IFS(L6="AS", J6+15, L6="NCR", J6+30, L6="submitted", J6+30, TRUE, "N/A"))</f>
        <v>45956</v>
      </c>
      <c r="L6" s="37" t="s">
        <v>157</v>
      </c>
      <c r="M6" s="317"/>
      <c r="N6" s="799"/>
      <c r="O6" s="800"/>
      <c r="P6" s="800"/>
      <c r="Q6" s="801"/>
    </row>
    <row r="7" spans="1:17" ht="40.5">
      <c r="B7" s="9" t="s">
        <v>805</v>
      </c>
      <c r="C7" s="372" t="s">
        <v>806</v>
      </c>
      <c r="D7" s="40" t="s">
        <v>807</v>
      </c>
      <c r="E7" s="40" t="s">
        <v>808</v>
      </c>
      <c r="F7" s="37" t="s">
        <v>809</v>
      </c>
      <c r="G7" s="9" t="s">
        <v>543</v>
      </c>
      <c r="H7" s="7" t="s">
        <v>811</v>
      </c>
      <c r="I7" s="14">
        <v>45902</v>
      </c>
      <c r="J7" s="18">
        <v>45926</v>
      </c>
      <c r="K7" s="74" cm="1">
        <f t="array" ref="K7">IF(ISBLANK(J7), IF(ISBLANK(I7), "N/A", _xlfn.IFS(L7="AS", I7+15, L7="NCR", I7+30, L7="submitted", I7+30, TRUE, "N/A")), _xlfn.IFS(L7="AS", J7+15, L7="NCR", J7+30, L7="submitted", J7+30, TRUE, "N/A"))</f>
        <v>45956</v>
      </c>
      <c r="L7" s="37" t="s">
        <v>157</v>
      </c>
      <c r="M7" s="317"/>
      <c r="N7" s="802" t="s">
        <v>148</v>
      </c>
      <c r="O7" s="803"/>
      <c r="P7" s="803"/>
      <c r="Q7" s="804"/>
    </row>
    <row r="8" spans="1:17" ht="40.5">
      <c r="B8" s="9" t="s">
        <v>805</v>
      </c>
      <c r="C8" s="372" t="s">
        <v>806</v>
      </c>
      <c r="D8" s="40" t="s">
        <v>807</v>
      </c>
      <c r="E8" s="40" t="s">
        <v>808</v>
      </c>
      <c r="F8" s="37" t="s">
        <v>809</v>
      </c>
      <c r="G8" s="9" t="s">
        <v>269</v>
      </c>
      <c r="H8" s="13" t="s">
        <v>328</v>
      </c>
      <c r="I8" s="14">
        <v>45902</v>
      </c>
      <c r="J8" s="18">
        <v>45926</v>
      </c>
      <c r="K8" s="74" cm="1">
        <f t="array" ref="K8">IF(ISBLANK(J8), IF(ISBLANK(I8), "N/A", _xlfn.IFS(L8="AS", I8+15, L8="NCR", I8+30, L8="submitted", I8+30, TRUE, "N/A")), _xlfn.IFS(L8="AS", J8+15, L8="NCR", J8+30, L8="submitted", J8+30, TRUE, "N/A"))</f>
        <v>45956</v>
      </c>
      <c r="L8" s="37" t="s">
        <v>157</v>
      </c>
      <c r="M8" s="317"/>
      <c r="N8" s="802"/>
      <c r="O8" s="803"/>
      <c r="P8" s="803"/>
      <c r="Q8" s="804"/>
    </row>
    <row r="9" spans="1:17">
      <c r="B9" s="9"/>
      <c r="C9" s="33"/>
      <c r="D9" s="39" t="s">
        <v>807</v>
      </c>
      <c r="E9" s="20"/>
      <c r="F9" s="1"/>
      <c r="G9" s="9" t="s">
        <v>372</v>
      </c>
      <c r="H9" s="7" t="s">
        <v>812</v>
      </c>
      <c r="I9" s="9"/>
      <c r="J9" s="18"/>
      <c r="K9" s="74" t="str" cm="1">
        <f t="array" ref="K9">IF(ISBLANK(J9), IF(ISBLANK(I9), "N/A", _xlfn.IFS(L9="AS", I9+15, L9="NCR", I9+30, L9="submitted", I9+30, TRUE, "N/A")), _xlfn.IFS(L9="AS", J9+15, L9="NCR", J9+30, L9="submitted", J9+30, TRUE, "N/A"))</f>
        <v>N/A</v>
      </c>
      <c r="L9" s="14"/>
      <c r="M9" s="317"/>
      <c r="N9" s="802"/>
      <c r="O9" s="803"/>
      <c r="P9" s="803"/>
      <c r="Q9" s="804"/>
    </row>
    <row r="10" spans="1:17" ht="27">
      <c r="B10" s="9"/>
      <c r="C10" s="33"/>
      <c r="D10" s="39" t="s">
        <v>807</v>
      </c>
      <c r="E10" s="20"/>
      <c r="F10" s="1"/>
      <c r="G10" s="9" t="s">
        <v>374</v>
      </c>
      <c r="H10" s="7" t="s">
        <v>813</v>
      </c>
      <c r="I10" s="9"/>
      <c r="J10" s="18"/>
      <c r="K10" s="74" t="str" cm="1">
        <f t="array" ref="K10">IF(ISBLANK(J10), IF(ISBLANK(I10), "N/A", _xlfn.IFS(L10="AS", I10+15, L10="NCR", I10+30, L10="submitted", I10+30, TRUE, "N/A")), _xlfn.IFS(L10="AS", J10+15, L10="NCR", J10+30, L10="submitted", J10+30, TRUE, "N/A"))</f>
        <v>N/A</v>
      </c>
      <c r="L10" s="14"/>
      <c r="M10" s="317"/>
      <c r="N10" s="802"/>
      <c r="O10" s="803"/>
      <c r="P10" s="803"/>
      <c r="Q10" s="804"/>
    </row>
    <row r="11" spans="1:17">
      <c r="B11" s="9"/>
      <c r="C11" s="33"/>
      <c r="D11" s="39" t="s">
        <v>807</v>
      </c>
      <c r="E11" s="20"/>
      <c r="F11" s="1"/>
      <c r="G11" s="9" t="s">
        <v>376</v>
      </c>
      <c r="H11" s="13" t="s">
        <v>814</v>
      </c>
      <c r="I11" s="9"/>
      <c r="J11" s="18"/>
      <c r="K11" s="74" t="str" cm="1">
        <f t="array" ref="K11">IF(ISBLANK(J11), IF(ISBLANK(I11), "N/A", _xlfn.IFS(L11="AS", I11+15, L11="NCR", I11+30, L11="submitted", I11+30, TRUE, "N/A")), _xlfn.IFS(L11="AS", J11+15, L11="NCR", J11+30, L11="submitted", J11+30, TRUE, "N/A"))</f>
        <v>N/A</v>
      </c>
      <c r="L11" s="14"/>
      <c r="M11" s="317"/>
      <c r="N11" s="802"/>
      <c r="O11" s="803"/>
      <c r="P11" s="803"/>
      <c r="Q11" s="804"/>
    </row>
    <row r="12" spans="1:17">
      <c r="B12" s="9"/>
      <c r="C12" s="33"/>
      <c r="D12" s="39" t="s">
        <v>807</v>
      </c>
      <c r="E12" s="20"/>
      <c r="F12" s="1"/>
      <c r="G12" s="9" t="s">
        <v>352</v>
      </c>
      <c r="H12" s="7" t="s">
        <v>815</v>
      </c>
      <c r="I12" s="9"/>
      <c r="J12" s="18"/>
      <c r="K12" s="74" t="str" cm="1">
        <f t="array" ref="K12">IF(ISBLANK(J12), IF(ISBLANK(I12), "N/A", _xlfn.IFS(L12="AS", I12+15, L12="NCR", I12+30, L12="submitted", I12+30, TRUE, "N/A")), _xlfn.IFS(L12="AS", J12+15, L12="NCR", J12+30, L12="submitted", J12+30, TRUE, "N/A"))</f>
        <v>N/A</v>
      </c>
      <c r="L12" s="14"/>
      <c r="M12" s="318"/>
      <c r="N12" s="802"/>
      <c r="O12" s="803"/>
      <c r="P12" s="803"/>
      <c r="Q12" s="804"/>
    </row>
    <row r="13" spans="1:17">
      <c r="B13" s="9"/>
      <c r="C13" s="33"/>
      <c r="D13" s="39" t="s">
        <v>807</v>
      </c>
      <c r="E13" s="20"/>
      <c r="F13" s="1" t="s">
        <v>287</v>
      </c>
      <c r="G13" s="9" t="s">
        <v>816</v>
      </c>
      <c r="H13" s="13" t="s">
        <v>422</v>
      </c>
      <c r="I13" s="9"/>
      <c r="J13" s="18"/>
      <c r="K13" s="74" t="str" cm="1">
        <f t="array" ref="K13">IF(ISBLANK(J13), IF(ISBLANK(I13), "N/A", _xlfn.IFS(L13="AS", I13+15, L13="NCR", I13+30, L13="submitted", I13+30, TRUE, "N/A")), _xlfn.IFS(L13="AS", J13+15, L13="NCR", J13+30, L13="submitted", J13+30, TRUE, "N/A"))</f>
        <v>N/A</v>
      </c>
      <c r="L13" s="14"/>
      <c r="M13" s="317"/>
      <c r="N13" s="802"/>
      <c r="O13" s="803"/>
      <c r="P13" s="803"/>
      <c r="Q13" s="804"/>
    </row>
    <row r="14" spans="1:17">
      <c r="B14" s="9"/>
      <c r="C14" s="33"/>
      <c r="D14" s="39" t="s">
        <v>807</v>
      </c>
      <c r="E14" s="20"/>
      <c r="F14" s="1" t="s">
        <v>287</v>
      </c>
      <c r="G14" s="9" t="s">
        <v>817</v>
      </c>
      <c r="H14" s="13" t="s">
        <v>424</v>
      </c>
      <c r="I14" s="9"/>
      <c r="J14" s="18"/>
      <c r="K14" s="74" t="str" cm="1">
        <f t="array" ref="K14">IF(ISBLANK(J14), IF(ISBLANK(I14), "N/A", _xlfn.IFS(L14="AS", I14+15, L14="NCR", I14+30, L14="submitted", I14+30, TRUE, "N/A")), _xlfn.IFS(L14="AS", J14+15, L14="NCR", J14+30, L14="submitted", J14+30, TRUE, "N/A"))</f>
        <v>N/A</v>
      </c>
      <c r="L14" s="14"/>
      <c r="M14" s="317"/>
      <c r="N14" s="802"/>
      <c r="O14" s="803"/>
      <c r="P14" s="803"/>
      <c r="Q14" s="804"/>
    </row>
    <row r="15" spans="1:17">
      <c r="B15" s="9"/>
      <c r="C15" s="33"/>
      <c r="D15" s="39" t="s">
        <v>807</v>
      </c>
      <c r="E15" s="20"/>
      <c r="F15" s="1" t="s">
        <v>287</v>
      </c>
      <c r="G15" s="9" t="s">
        <v>818</v>
      </c>
      <c r="H15" s="13" t="s">
        <v>819</v>
      </c>
      <c r="I15" s="9"/>
      <c r="J15" s="18"/>
      <c r="K15" s="74" t="str" cm="1">
        <f t="array" ref="K15">IF(ISBLANK(J15), IF(ISBLANK(I15), "N/A", _xlfn.IFS(L15="AS", I15+15, L15="NCR", I15+30, L15="submitted", I15+30, TRUE, "N/A")), _xlfn.IFS(L15="AS", J15+15, L15="NCR", J15+30, L15="submitted", J15+30, TRUE, "N/A"))</f>
        <v>N/A</v>
      </c>
      <c r="L15" s="14"/>
      <c r="M15" s="317"/>
      <c r="N15" s="802"/>
      <c r="O15" s="803"/>
      <c r="P15" s="803"/>
      <c r="Q15" s="804"/>
    </row>
    <row r="16" spans="1:17">
      <c r="B16" s="9"/>
      <c r="C16" s="33"/>
      <c r="D16" s="39" t="s">
        <v>807</v>
      </c>
      <c r="E16" s="20"/>
      <c r="F16" s="1" t="s">
        <v>287</v>
      </c>
      <c r="G16" s="9" t="s">
        <v>820</v>
      </c>
      <c r="H16" s="13" t="s">
        <v>428</v>
      </c>
      <c r="I16" s="9"/>
      <c r="J16" s="18"/>
      <c r="K16" s="74" t="str" cm="1">
        <f t="array" ref="K16">IF(ISBLANK(J16), IF(ISBLANK(I16), "N/A", _xlfn.IFS(L16="AS", I16+15, L16="NCR", I16+30, L16="submitted", I16+30, TRUE, "N/A")), _xlfn.IFS(L16="AS", J16+15, L16="NCR", J16+30, L16="submitted", J16+30, TRUE, "N/A"))</f>
        <v>N/A</v>
      </c>
      <c r="L16" s="14"/>
      <c r="M16" s="317"/>
      <c r="N16" s="802"/>
      <c r="O16" s="803"/>
      <c r="P16" s="803"/>
      <c r="Q16" s="804"/>
    </row>
    <row r="17" spans="2:17">
      <c r="B17" s="9"/>
      <c r="C17" s="33"/>
      <c r="D17" s="39" t="s">
        <v>807</v>
      </c>
      <c r="E17" s="20"/>
      <c r="F17" s="1" t="s">
        <v>287</v>
      </c>
      <c r="G17" s="9" t="s">
        <v>821</v>
      </c>
      <c r="H17" s="13" t="s">
        <v>430</v>
      </c>
      <c r="I17" s="9"/>
      <c r="J17" s="18"/>
      <c r="K17" s="74" t="str" cm="1">
        <f t="array" ref="K17">IF(ISBLANK(J17), IF(ISBLANK(I17), "N/A", _xlfn.IFS(L17="AS", I17+15, L17="NCR", I17+30, L17="submitted", I17+30, TRUE, "N/A")), _xlfn.IFS(L17="AS", J17+15, L17="NCR", J17+30, L17="submitted", J17+30, TRUE, "N/A"))</f>
        <v>N/A</v>
      </c>
      <c r="L17" s="14"/>
      <c r="M17" s="317"/>
      <c r="N17" s="802"/>
      <c r="O17" s="803"/>
      <c r="P17" s="803"/>
      <c r="Q17" s="804"/>
    </row>
    <row r="18" spans="2:17">
      <c r="B18" s="9"/>
      <c r="C18" s="97"/>
      <c r="D18" s="39" t="s">
        <v>807</v>
      </c>
      <c r="E18" s="20"/>
      <c r="F18" s="1" t="s">
        <v>287</v>
      </c>
      <c r="G18" s="9" t="s">
        <v>822</v>
      </c>
      <c r="H18" s="13" t="s">
        <v>823</v>
      </c>
      <c r="I18" s="9"/>
      <c r="J18" s="18"/>
      <c r="K18" s="74" t="str" cm="1">
        <f t="array" ref="K18">IF(ISBLANK(J18), IF(ISBLANK(I18), "N/A", _xlfn.IFS(L18="AS", I18+15, L18="NCR", I18+30, L18="submitted", I18+30, TRUE, "N/A")), _xlfn.IFS(L18="AS", J18+15, L18="NCR", J18+30, L18="submitted", J18+30, TRUE, "N/A"))</f>
        <v>N/A</v>
      </c>
      <c r="L18" s="14"/>
      <c r="M18" s="317"/>
      <c r="N18" s="802"/>
      <c r="O18" s="803"/>
      <c r="P18" s="803"/>
      <c r="Q18" s="804"/>
    </row>
    <row r="19" spans="2:17">
      <c r="B19" s="4"/>
      <c r="C19" s="86" t="s">
        <v>824</v>
      </c>
      <c r="D19" s="34" t="s">
        <v>825</v>
      </c>
      <c r="E19" s="103"/>
      <c r="F19" s="5"/>
      <c r="G19" s="4" t="s">
        <v>222</v>
      </c>
      <c r="H19" s="3" t="s">
        <v>826</v>
      </c>
      <c r="I19" s="4"/>
      <c r="J19" s="18"/>
      <c r="K19" s="74" t="str" cm="1">
        <f t="array" ref="K19">IF(ISBLANK(J19), IF(ISBLANK(I19), "N/A", _xlfn.IFS(L19="AS", I19+15, L19="NCR", I19+30, L19="submitted", I19+30, TRUE, "N/A")), _xlfn.IFS(L19="AS", J19+15, L19="NCR", J19+30, L19="submitted", J19+30, TRUE, "N/A"))</f>
        <v>N/A</v>
      </c>
      <c r="L19" s="18"/>
      <c r="M19" s="317"/>
      <c r="N19" s="802"/>
      <c r="O19" s="803"/>
      <c r="P19" s="803"/>
      <c r="Q19" s="804"/>
    </row>
    <row r="20" spans="2:17">
      <c r="B20" s="4"/>
      <c r="C20" s="111"/>
      <c r="D20" s="35"/>
      <c r="E20" s="103"/>
      <c r="F20" s="5"/>
      <c r="G20" s="4" t="s">
        <v>543</v>
      </c>
      <c r="H20" s="17" t="s">
        <v>827</v>
      </c>
      <c r="I20" s="4"/>
      <c r="J20" s="18"/>
      <c r="K20" s="74" t="str" cm="1">
        <f t="array" ref="K20">IF(ISBLANK(J20), IF(ISBLANK(I20), "N/A", _xlfn.IFS(L20="AS", I20+15, L20="NCR", I20+30, L20="submitted", I20+30, TRUE, "N/A")), _xlfn.IFS(L20="AS", J20+15, L20="NCR", J20+30, L20="submitted", J20+30, TRUE, "N/A"))</f>
        <v>N/A</v>
      </c>
      <c r="L20" s="18"/>
      <c r="M20" s="317"/>
      <c r="N20" s="802"/>
      <c r="O20" s="803"/>
      <c r="P20" s="803"/>
      <c r="Q20" s="804"/>
    </row>
    <row r="21" spans="2:17">
      <c r="B21" s="4"/>
      <c r="C21" s="111"/>
      <c r="D21" s="35"/>
      <c r="E21" s="103"/>
      <c r="F21" s="5"/>
      <c r="G21" s="4" t="s">
        <v>269</v>
      </c>
      <c r="H21" s="17" t="s">
        <v>282</v>
      </c>
      <c r="I21" s="4"/>
      <c r="J21" s="4"/>
      <c r="K21" s="74" t="str" cm="1">
        <f t="array" ref="K21">IF(ISBLANK(J21), IF(ISBLANK(I21), "N/A", _xlfn.IFS(L21="AS", I21+15, L21="NCR", I21+30, L21="submitted", I21+30, TRUE, "N/A")), _xlfn.IFS(L21="AS", J21+15, L21="NCR", J21+30, L21="submitted", J21+30, TRUE, "N/A"))</f>
        <v>N/A</v>
      </c>
      <c r="L21" s="18"/>
      <c r="M21" s="317"/>
      <c r="N21" s="802"/>
      <c r="O21" s="803"/>
      <c r="P21" s="803"/>
      <c r="Q21" s="804"/>
    </row>
    <row r="22" spans="2:17">
      <c r="B22" s="4"/>
      <c r="C22" s="111"/>
      <c r="D22" s="35"/>
      <c r="E22" s="103"/>
      <c r="F22" s="5"/>
      <c r="G22" s="4" t="s">
        <v>259</v>
      </c>
      <c r="H22" s="3" t="s">
        <v>828</v>
      </c>
      <c r="I22" s="4"/>
      <c r="J22" s="4"/>
      <c r="K22" s="74" t="str" cm="1">
        <f t="array" ref="K22">IF(ISBLANK(J22), IF(ISBLANK(I22), "N/A", _xlfn.IFS(L22="AS", I22+15, L22="NCR", I22+30, L22="submitted", I22+30, TRUE, "N/A")), _xlfn.IFS(L22="AS", J22+15, L22="NCR", J22+30, L22="submitted", J22+30, TRUE, "N/A"))</f>
        <v>N/A</v>
      </c>
      <c r="L22" s="18"/>
      <c r="M22" s="317"/>
      <c r="N22" s="802"/>
      <c r="O22" s="803"/>
      <c r="P22" s="803"/>
      <c r="Q22" s="804"/>
    </row>
    <row r="23" spans="2:17">
      <c r="B23" s="4"/>
      <c r="C23" s="111"/>
      <c r="D23" s="35"/>
      <c r="E23" s="103"/>
      <c r="F23" s="5"/>
      <c r="G23" s="4" t="s">
        <v>352</v>
      </c>
      <c r="H23" s="3" t="s">
        <v>829</v>
      </c>
      <c r="I23" s="4"/>
      <c r="J23" s="4"/>
      <c r="K23" s="74" t="str" cm="1">
        <f t="array" ref="K23">IF(ISBLANK(J23), IF(ISBLANK(I23), "N/A", _xlfn.IFS(L23="AS", I23+15, L23="NCR", I23+30, L23="submitted", I23+30, TRUE, "N/A")), _xlfn.IFS(L23="AS", J23+15, L23="NCR", J23+30, L23="submitted", J23+30, TRUE, "N/A"))</f>
        <v>N/A</v>
      </c>
      <c r="L23" s="18"/>
      <c r="M23" s="317"/>
      <c r="N23" s="802"/>
      <c r="O23" s="803"/>
      <c r="P23" s="803"/>
      <c r="Q23" s="804"/>
    </row>
    <row r="24" spans="2:17">
      <c r="B24" s="4"/>
      <c r="C24" s="111"/>
      <c r="D24" s="35"/>
      <c r="E24" s="103"/>
      <c r="F24" s="5" t="s">
        <v>287</v>
      </c>
      <c r="G24" s="4" t="s">
        <v>382</v>
      </c>
      <c r="H24" s="3" t="s">
        <v>830</v>
      </c>
      <c r="I24" s="4"/>
      <c r="J24" s="4"/>
      <c r="K24" s="74" t="str" cm="1">
        <f t="array" ref="K24">IF(ISBLANK(J24), IF(ISBLANK(I24), "N/A", _xlfn.IFS(L24="AS", I24+15, L24="NCR", I24+30, L24="submitted", I24+30, TRUE, "N/A")), _xlfn.IFS(L24="AS", J24+15, L24="NCR", J24+30, L24="submitted", J24+30, TRUE, "N/A"))</f>
        <v>N/A</v>
      </c>
      <c r="L24" s="18"/>
      <c r="M24" s="317"/>
      <c r="N24" s="802"/>
      <c r="O24" s="803"/>
      <c r="P24" s="803"/>
      <c r="Q24" s="804"/>
    </row>
    <row r="25" spans="2:17" ht="27">
      <c r="B25" s="4"/>
      <c r="C25" s="95"/>
      <c r="D25" s="36"/>
      <c r="E25" s="103"/>
      <c r="F25" s="5" t="s">
        <v>287</v>
      </c>
      <c r="G25" s="4" t="s">
        <v>382</v>
      </c>
      <c r="H25" s="3" t="s">
        <v>831</v>
      </c>
      <c r="I25" s="4"/>
      <c r="J25" s="4"/>
      <c r="K25" s="74" t="str" cm="1">
        <f t="array" ref="K25">IF(ISBLANK(J25), IF(ISBLANK(I25), "N/A", _xlfn.IFS(L25="AS", I25+15, L25="NCR", I25+30, L25="submitted", I25+30, TRUE, "N/A")), _xlfn.IFS(L25="AS", J25+15, L25="NCR", J25+30, L25="submitted", J25+30, TRUE, "N/A"))</f>
        <v>N/A</v>
      </c>
      <c r="L25" s="18"/>
      <c r="M25" s="317"/>
      <c r="N25" s="802"/>
      <c r="O25" s="803"/>
      <c r="P25" s="803"/>
      <c r="Q25" s="804"/>
    </row>
    <row r="26" spans="2:17">
      <c r="B26" s="22" t="s">
        <v>72</v>
      </c>
      <c r="C26" s="310" t="s">
        <v>832</v>
      </c>
      <c r="D26" s="76" t="s">
        <v>833</v>
      </c>
      <c r="E26" s="573"/>
      <c r="F26" s="26" t="s">
        <v>322</v>
      </c>
      <c r="G26" s="22" t="s">
        <v>393</v>
      </c>
      <c r="H26" s="28" t="s">
        <v>834</v>
      </c>
      <c r="I26" s="25">
        <v>45827</v>
      </c>
      <c r="J26" s="22"/>
      <c r="K26" s="74" cm="1">
        <f t="array" ref="K26">IF(ISBLANK(J26), IF(ISBLANK(I26), "N/A", _xlfn.IFS(L26="AS", I26+15, L26="NCR", I26+30, L26="submitted", I26+30, TRUE, "N/A")), _xlfn.IFS(L26="AS", J26+15, L26="NCR", J26+30, L26="submitted", J26+30, TRUE, "N/A"))</f>
        <v>45857</v>
      </c>
      <c r="L26" s="76" t="s">
        <v>231</v>
      </c>
      <c r="M26" s="317"/>
      <c r="N26" s="802"/>
      <c r="O26" s="803"/>
      <c r="P26" s="803"/>
      <c r="Q26" s="804"/>
    </row>
    <row r="27" spans="2:17">
      <c r="B27" s="22" t="s">
        <v>72</v>
      </c>
      <c r="C27" s="310" t="s">
        <v>832</v>
      </c>
      <c r="D27" s="76" t="s">
        <v>833</v>
      </c>
      <c r="E27" s="573"/>
      <c r="F27" s="26" t="s">
        <v>322</v>
      </c>
      <c r="G27" s="22" t="s">
        <v>512</v>
      </c>
      <c r="H27" s="24" t="s">
        <v>282</v>
      </c>
      <c r="I27" s="25">
        <v>45827</v>
      </c>
      <c r="J27" s="22"/>
      <c r="K27" s="74" cm="1">
        <f t="array" ref="K27">IF(ISBLANK(J27), IF(ISBLANK(I27), "N/A", _xlfn.IFS(L27="AS", I27+15, L27="NCR", I27+30, L27="submitted", I27+30, TRUE, "N/A")), _xlfn.IFS(L27="AS", J27+15, L27="NCR", J27+30, L27="submitted", J27+30, TRUE, "N/A"))</f>
        <v>45857</v>
      </c>
      <c r="L27" s="76" t="s">
        <v>231</v>
      </c>
      <c r="M27" s="317"/>
      <c r="N27" s="802"/>
      <c r="O27" s="803"/>
      <c r="P27" s="803"/>
      <c r="Q27" s="804"/>
    </row>
    <row r="28" spans="2:17">
      <c r="B28" s="9"/>
      <c r="C28" s="310" t="s">
        <v>832</v>
      </c>
      <c r="D28" s="39"/>
      <c r="E28" s="20"/>
      <c r="F28" s="1"/>
      <c r="G28" s="9" t="s">
        <v>513</v>
      </c>
      <c r="H28" s="13" t="s">
        <v>436</v>
      </c>
      <c r="I28" s="14"/>
      <c r="J28" s="9"/>
      <c r="K28" s="74" t="str" cm="1">
        <f t="array" ref="K28">IF(ISBLANK(J28), IF(ISBLANK(I28), "N/A", _xlfn.IFS(L28="AS", I28+15, L28="NCR", I28+30, L28="submitted", I28+30, TRUE, "N/A")), _xlfn.IFS(L28="AS", J28+15, L28="NCR", J28+30, L28="submitted", J28+30, TRUE, "N/A"))</f>
        <v>N/A</v>
      </c>
      <c r="L28" s="14"/>
      <c r="M28" s="317"/>
      <c r="N28" s="802"/>
      <c r="O28" s="803"/>
      <c r="P28" s="803"/>
      <c r="Q28" s="804"/>
    </row>
    <row r="29" spans="2:17" ht="27">
      <c r="B29" s="9"/>
      <c r="C29" s="310" t="s">
        <v>832</v>
      </c>
      <c r="D29" s="39"/>
      <c r="E29" s="20"/>
      <c r="F29" s="1"/>
      <c r="G29" s="9" t="s">
        <v>835</v>
      </c>
      <c r="H29" s="7" t="s">
        <v>836</v>
      </c>
      <c r="I29" s="14"/>
      <c r="J29" s="9"/>
      <c r="K29" s="74" t="str" cm="1">
        <f t="array" ref="K29">IF(ISBLANK(J29), IF(ISBLANK(I29), "N/A", _xlfn.IFS(L29="AS", I29+15, L29="NCR", I29+30, L29="submitted", I29+30, TRUE, "N/A")), _xlfn.IFS(L29="AS", J29+15, L29="NCR", J29+30, L29="submitted", J29+30, TRUE, "N/A"))</f>
        <v>N/A</v>
      </c>
      <c r="L29" s="14"/>
      <c r="M29" s="317"/>
      <c r="N29" s="802"/>
      <c r="O29" s="803"/>
      <c r="P29" s="803"/>
      <c r="Q29" s="804"/>
    </row>
    <row r="30" spans="2:17" ht="27">
      <c r="B30" s="9"/>
      <c r="C30" s="310" t="s">
        <v>832</v>
      </c>
      <c r="D30" s="39"/>
      <c r="E30" s="20"/>
      <c r="F30" s="1"/>
      <c r="G30" s="9" t="s">
        <v>837</v>
      </c>
      <c r="H30" s="7" t="s">
        <v>838</v>
      </c>
      <c r="I30" s="14"/>
      <c r="J30" s="9"/>
      <c r="K30" s="74" t="str" cm="1">
        <f t="array" ref="K30">IF(ISBLANK(J30), IF(ISBLANK(I30), "N/A", _xlfn.IFS(L30="AS", I30+15, L30="NCR", I30+30, L30="submitted", I30+30, TRUE, "N/A")), _xlfn.IFS(L30="AS", J30+15, L30="NCR", J30+30, L30="submitted", J30+30, TRUE, "N/A"))</f>
        <v>N/A</v>
      </c>
      <c r="L30" s="14"/>
      <c r="M30" s="317"/>
      <c r="N30" s="802"/>
      <c r="O30" s="803"/>
      <c r="P30" s="803"/>
      <c r="Q30" s="804"/>
    </row>
    <row r="31" spans="2:17">
      <c r="B31" s="22" t="s">
        <v>72</v>
      </c>
      <c r="C31" s="310" t="s">
        <v>832</v>
      </c>
      <c r="D31" s="76" t="s">
        <v>833</v>
      </c>
      <c r="E31" s="573"/>
      <c r="F31" s="26" t="s">
        <v>322</v>
      </c>
      <c r="G31" s="22" t="s">
        <v>515</v>
      </c>
      <c r="H31" s="28" t="s">
        <v>839</v>
      </c>
      <c r="I31" s="25">
        <v>45827</v>
      </c>
      <c r="J31" s="22"/>
      <c r="K31" s="74" cm="1">
        <f t="array" ref="K31">IF(ISBLANK(J31), IF(ISBLANK(I31), "N/A", _xlfn.IFS(L31="AS", I31+15, L31="NCR", I31+30, L31="submitted", I31+30, TRUE, "N/A")), _xlfn.IFS(L31="AS", J31+15, L31="NCR", J31+30, L31="submitted", J31+30, TRUE, "N/A"))</f>
        <v>45857</v>
      </c>
      <c r="L31" s="76" t="s">
        <v>231</v>
      </c>
      <c r="M31" s="317"/>
      <c r="N31" s="802"/>
      <c r="O31" s="803"/>
      <c r="P31" s="803"/>
      <c r="Q31" s="804"/>
    </row>
    <row r="32" spans="2:17">
      <c r="B32" s="22" t="s">
        <v>72</v>
      </c>
      <c r="C32" s="310" t="s">
        <v>832</v>
      </c>
      <c r="D32" s="76" t="s">
        <v>833</v>
      </c>
      <c r="E32" s="573"/>
      <c r="F32" s="26" t="s">
        <v>322</v>
      </c>
      <c r="G32" s="22" t="s">
        <v>516</v>
      </c>
      <c r="H32" s="24" t="s">
        <v>507</v>
      </c>
      <c r="I32" s="25">
        <v>45827</v>
      </c>
      <c r="J32" s="22"/>
      <c r="K32" s="74" cm="1">
        <f t="array" ref="K32">IF(ISBLANK(J32), IF(ISBLANK(I32), "N/A", _xlfn.IFS(L32="AS", I32+15, L32="NCR", I32+30, L32="submitted", I32+30, TRUE, "N/A")), _xlfn.IFS(L32="AS", J32+15, L32="NCR", J32+30, L32="submitted", J32+30, TRUE, "N/A"))</f>
        <v>45857</v>
      </c>
      <c r="L32" s="76" t="s">
        <v>231</v>
      </c>
      <c r="M32" s="317"/>
      <c r="N32" s="802"/>
      <c r="O32" s="803"/>
      <c r="P32" s="803"/>
      <c r="Q32" s="804"/>
    </row>
    <row r="33" spans="2:17">
      <c r="B33" s="22" t="s">
        <v>72</v>
      </c>
      <c r="C33" s="310" t="s">
        <v>832</v>
      </c>
      <c r="D33" s="76" t="s">
        <v>833</v>
      </c>
      <c r="E33" s="573"/>
      <c r="F33" s="26" t="s">
        <v>322</v>
      </c>
      <c r="G33" s="22" t="s">
        <v>518</v>
      </c>
      <c r="H33" s="24" t="s">
        <v>840</v>
      </c>
      <c r="I33" s="25">
        <v>45827</v>
      </c>
      <c r="J33" s="22"/>
      <c r="K33" s="74" cm="1">
        <f t="array" ref="K33">IF(ISBLANK(J33), IF(ISBLANK(I33), "N/A", _xlfn.IFS(L33="AS", I33+15, L33="NCR", I33+30, L33="submitted", I33+30, TRUE, "N/A")), _xlfn.IFS(L33="AS", J33+15, L33="NCR", J33+30, L33="submitted", J33+30, TRUE, "N/A"))</f>
        <v>45857</v>
      </c>
      <c r="L33" s="76" t="s">
        <v>231</v>
      </c>
      <c r="M33" s="317"/>
      <c r="N33" s="802"/>
      <c r="O33" s="803"/>
      <c r="P33" s="803"/>
      <c r="Q33" s="804"/>
    </row>
    <row r="34" spans="2:17">
      <c r="B34" s="22" t="s">
        <v>72</v>
      </c>
      <c r="C34" s="310" t="s">
        <v>832</v>
      </c>
      <c r="D34" s="76" t="s">
        <v>833</v>
      </c>
      <c r="E34" s="573"/>
      <c r="F34" s="26" t="s">
        <v>322</v>
      </c>
      <c r="G34" s="22" t="s">
        <v>841</v>
      </c>
      <c r="H34" s="24" t="s">
        <v>341</v>
      </c>
      <c r="I34" s="25">
        <v>45827</v>
      </c>
      <c r="J34" s="22"/>
      <c r="K34" s="74" cm="1">
        <f t="array" ref="K34">IF(ISBLANK(J34), IF(ISBLANK(I34), "N/A", _xlfn.IFS(L34="AS", I34+15, L34="NCR", I34+30, L34="submitted", I34+30, TRUE, "N/A")), _xlfn.IFS(L34="AS", J34+15, L34="NCR", J34+30, L34="submitted", J34+30, TRUE, "N/A"))</f>
        <v>45857</v>
      </c>
      <c r="L34" s="76" t="s">
        <v>231</v>
      </c>
      <c r="M34" s="317"/>
      <c r="N34" s="802"/>
      <c r="O34" s="803"/>
      <c r="P34" s="803"/>
      <c r="Q34" s="804"/>
    </row>
    <row r="35" spans="2:17">
      <c r="B35" s="22" t="s">
        <v>72</v>
      </c>
      <c r="C35" s="310" t="s">
        <v>832</v>
      </c>
      <c r="D35" s="76" t="s">
        <v>833</v>
      </c>
      <c r="E35" s="573"/>
      <c r="F35" s="26" t="s">
        <v>322</v>
      </c>
      <c r="G35" s="22" t="s">
        <v>842</v>
      </c>
      <c r="H35" s="28" t="s">
        <v>843</v>
      </c>
      <c r="I35" s="25">
        <v>45827</v>
      </c>
      <c r="J35" s="22"/>
      <c r="K35" s="74" cm="1">
        <f t="array" ref="K35">IF(ISBLANK(J35), IF(ISBLANK(I35), "N/A", _xlfn.IFS(L35="AS", I35+15, L35="NCR", I35+30, L35="submitted", I35+30, TRUE, "N/A")), _xlfn.IFS(L35="AS", J35+15, L35="NCR", J35+30, L35="submitted", J35+30, TRUE, "N/A"))</f>
        <v>45857</v>
      </c>
      <c r="L35" s="76" t="s">
        <v>231</v>
      </c>
      <c r="M35" s="317"/>
      <c r="N35" s="802"/>
      <c r="O35" s="803"/>
      <c r="P35" s="803"/>
      <c r="Q35" s="804"/>
    </row>
    <row r="36" spans="2:17" ht="27">
      <c r="B36" s="9"/>
      <c r="C36" s="310" t="s">
        <v>832</v>
      </c>
      <c r="D36" s="39"/>
      <c r="E36" s="20"/>
      <c r="F36" s="1" t="s">
        <v>844</v>
      </c>
      <c r="G36" s="9" t="s">
        <v>845</v>
      </c>
      <c r="H36" s="7" t="s">
        <v>831</v>
      </c>
      <c r="I36" s="9"/>
      <c r="J36" s="9"/>
      <c r="K36" s="74" t="str" cm="1">
        <f t="array" ref="K36">IF(ISBLANK(J36), IF(ISBLANK(I36), "N/A", _xlfn.IFS(L36="AS", I36+15, L36="NCR", I36+30, L36="submitted", I36+30, TRUE, "N/A")), _xlfn.IFS(L36="AS", J36+15, L36="NCR", J36+30, L36="submitted", J36+30, TRUE, "N/A"))</f>
        <v>N/A</v>
      </c>
      <c r="L36" s="14"/>
      <c r="M36" s="317"/>
      <c r="N36" s="802"/>
      <c r="O36" s="803"/>
      <c r="P36" s="803"/>
      <c r="Q36" s="804"/>
    </row>
    <row r="37" spans="2:17">
      <c r="B37" s="9"/>
      <c r="C37" s="310" t="s">
        <v>832</v>
      </c>
      <c r="D37" s="39"/>
      <c r="E37" s="20"/>
      <c r="F37" s="1" t="s">
        <v>844</v>
      </c>
      <c r="G37" s="9" t="s">
        <v>846</v>
      </c>
      <c r="H37" s="7" t="s">
        <v>847</v>
      </c>
      <c r="I37" s="9"/>
      <c r="J37" s="9"/>
      <c r="K37" s="74" t="str" cm="1">
        <f t="array" ref="K37">IF(ISBLANK(J37), IF(ISBLANK(I37), "N/A", _xlfn.IFS(L37="AS", I37+15, L37="NCR", I37+30, L37="submitted", I37+30, TRUE, "N/A")), _xlfn.IFS(L37="AS", J37+15, L37="NCR", J37+30, L37="submitted", J37+30, TRUE, "N/A"))</f>
        <v>N/A</v>
      </c>
      <c r="L37" s="14"/>
      <c r="M37" s="317"/>
      <c r="N37" s="802"/>
      <c r="O37" s="803"/>
      <c r="P37" s="803"/>
      <c r="Q37" s="804"/>
    </row>
    <row r="38" spans="2:17">
      <c r="B38" s="22" t="s">
        <v>72</v>
      </c>
      <c r="C38" s="310" t="s">
        <v>832</v>
      </c>
      <c r="D38" s="76" t="s">
        <v>833</v>
      </c>
      <c r="E38" s="573"/>
      <c r="F38" s="26" t="s">
        <v>322</v>
      </c>
      <c r="G38" s="22" t="s">
        <v>848</v>
      </c>
      <c r="H38" s="28" t="s">
        <v>849</v>
      </c>
      <c r="I38" s="25">
        <v>45827</v>
      </c>
      <c r="J38" s="22"/>
      <c r="K38" s="74" cm="1">
        <f t="array" ref="K38">IF(ISBLANK(J38), IF(ISBLANK(I38), "N/A", _xlfn.IFS(L38="AS", I38+15, L38="NCR", I38+30, L38="submitted", I38+30, TRUE, "N/A")), _xlfn.IFS(L38="AS", J38+15, L38="NCR", J38+30, L38="submitted", J38+30, TRUE, "N/A"))</f>
        <v>45857</v>
      </c>
      <c r="L38" s="76" t="s">
        <v>231</v>
      </c>
      <c r="M38" s="317"/>
      <c r="N38" s="802"/>
      <c r="O38" s="803"/>
      <c r="P38" s="803"/>
      <c r="Q38" s="804"/>
    </row>
    <row r="39" spans="2:17">
      <c r="B39" s="9"/>
      <c r="C39" s="310" t="s">
        <v>832</v>
      </c>
      <c r="D39" s="39"/>
      <c r="E39" s="20"/>
      <c r="F39" s="1"/>
      <c r="G39" s="9" t="s">
        <v>850</v>
      </c>
      <c r="H39" s="7" t="s">
        <v>851</v>
      </c>
      <c r="I39" s="9"/>
      <c r="J39" s="9"/>
      <c r="K39" s="74" t="str" cm="1">
        <f t="array" ref="K39">IF(ISBLANK(J39), IF(ISBLANK(I39), "N/A", _xlfn.IFS(L39="AS", I39+15, L39="NCR", I39+30, L39="submitted", I39+30, TRUE, "N/A")), _xlfn.IFS(L39="AS", J39+15, L39="NCR", J39+30, L39="submitted", J39+30, TRUE, "N/A"))</f>
        <v>N/A</v>
      </c>
      <c r="L39" s="14"/>
      <c r="M39" s="317"/>
      <c r="N39" s="811"/>
      <c r="O39" s="812"/>
      <c r="P39" s="812"/>
      <c r="Q39" s="813"/>
    </row>
    <row r="40" spans="2:17">
      <c r="B40" s="9"/>
      <c r="C40" s="310" t="s">
        <v>832</v>
      </c>
      <c r="D40" s="46"/>
      <c r="E40" s="20"/>
      <c r="F40" s="1"/>
      <c r="G40" s="9" t="s">
        <v>852</v>
      </c>
      <c r="H40" s="7" t="s">
        <v>853</v>
      </c>
      <c r="I40" s="9"/>
      <c r="J40" s="9"/>
      <c r="K40" s="74"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150" customFormat="1">
      <c r="B41" s="22" t="s">
        <v>854</v>
      </c>
      <c r="C41" s="310" t="s">
        <v>855</v>
      </c>
      <c r="D41" s="76" t="s">
        <v>856</v>
      </c>
      <c r="E41" s="573"/>
      <c r="F41" s="26" t="s">
        <v>857</v>
      </c>
      <c r="G41" s="22" t="s">
        <v>483</v>
      </c>
      <c r="H41" s="28" t="s">
        <v>858</v>
      </c>
      <c r="I41" s="25">
        <v>45902</v>
      </c>
      <c r="J41" s="25">
        <v>45939</v>
      </c>
      <c r="K41" s="74" cm="1">
        <f t="array" ref="K41">IF(ISBLANK(J41), IF(ISBLANK(I41), "N/A", _xlfn.IFS(L41="AS", I41+15, L41="NCR", I41+30, L41="submitted", I41+30, TRUE, "N/A")), _xlfn.IFS(L41="AS", J41+15, L41="NCR", J41+30, L41="submitted", J41+30, TRUE, "N/A"))</f>
        <v>45969</v>
      </c>
      <c r="L41" s="76" t="s">
        <v>157</v>
      </c>
      <c r="M41" s="317"/>
      <c r="N41" s="799"/>
      <c r="O41" s="800"/>
      <c r="P41" s="800"/>
      <c r="Q41" s="801"/>
    </row>
    <row r="42" spans="2:17" s="150" customFormat="1">
      <c r="B42" s="22" t="s">
        <v>854</v>
      </c>
      <c r="C42" s="310" t="s">
        <v>855</v>
      </c>
      <c r="D42" s="76" t="s">
        <v>856</v>
      </c>
      <c r="E42" s="573"/>
      <c r="F42" s="26" t="s">
        <v>857</v>
      </c>
      <c r="G42" s="22" t="s">
        <v>485</v>
      </c>
      <c r="H42" s="28" t="s">
        <v>859</v>
      </c>
      <c r="I42" s="25">
        <v>45902</v>
      </c>
      <c r="J42" s="25">
        <v>45939</v>
      </c>
      <c r="K42" s="74" cm="1">
        <f t="array" ref="K42">IF(ISBLANK(J42), IF(ISBLANK(I42), "N/A", _xlfn.IFS(L42="AS", I42+15, L42="NCR", I42+30, L42="submitted", I42+30, TRUE, "N/A")), _xlfn.IFS(L42="AS", J42+15, L42="NCR", J42+30, L42="submitted", J42+30, TRUE, "N/A"))</f>
        <v>45969</v>
      </c>
      <c r="L42" s="76" t="s">
        <v>157</v>
      </c>
      <c r="M42" s="317"/>
      <c r="N42" s="799"/>
      <c r="O42" s="800"/>
      <c r="P42" s="800"/>
      <c r="Q42" s="801"/>
    </row>
    <row r="43" spans="2:17" s="150" customFormat="1">
      <c r="B43" s="22" t="s">
        <v>854</v>
      </c>
      <c r="C43" s="310" t="s">
        <v>855</v>
      </c>
      <c r="D43" s="76" t="s">
        <v>856</v>
      </c>
      <c r="E43" s="573"/>
      <c r="F43" s="26" t="s">
        <v>857</v>
      </c>
      <c r="G43" s="22" t="s">
        <v>486</v>
      </c>
      <c r="H43" s="28" t="s">
        <v>860</v>
      </c>
      <c r="I43" s="25">
        <v>45902</v>
      </c>
      <c r="J43" s="25">
        <v>45939</v>
      </c>
      <c r="K43" s="74" cm="1">
        <f t="array" ref="K43">IF(ISBLANK(J43), IF(ISBLANK(I43), "N/A", _xlfn.IFS(L43="AS", I43+15, L43="NCR", I43+30, L43="submitted", I43+30, TRUE, "N/A")), _xlfn.IFS(L43="AS", J43+15, L43="NCR", J43+30, L43="submitted", J43+30, TRUE, "N/A"))</f>
        <v>45969</v>
      </c>
      <c r="L43" s="76" t="s">
        <v>157</v>
      </c>
      <c r="M43" s="317"/>
      <c r="N43" s="799"/>
      <c r="O43" s="800"/>
      <c r="P43" s="800"/>
      <c r="Q43" s="801"/>
    </row>
    <row r="44" spans="2:17" s="150" customFormat="1">
      <c r="B44" s="22" t="s">
        <v>854</v>
      </c>
      <c r="C44" s="310" t="s">
        <v>855</v>
      </c>
      <c r="D44" s="76" t="s">
        <v>856</v>
      </c>
      <c r="E44" s="573"/>
      <c r="F44" s="26" t="s">
        <v>857</v>
      </c>
      <c r="G44" s="22" t="s">
        <v>861</v>
      </c>
      <c r="H44" s="24" t="s">
        <v>803</v>
      </c>
      <c r="I44" s="25">
        <v>45902</v>
      </c>
      <c r="J44" s="25">
        <v>45939</v>
      </c>
      <c r="K44" s="74" cm="1">
        <f t="array" ref="K44">IF(ISBLANK(J44), IF(ISBLANK(I44), "N/A", _xlfn.IFS(L44="AS", I44+15, L44="NCR", I44+30, L44="submitted", I44+30, TRUE, "N/A")), _xlfn.IFS(L44="AS", J44+15, L44="NCR", J44+30, L44="submitted", J44+30, TRUE, "N/A"))</f>
        <v>45969</v>
      </c>
      <c r="L44" s="76" t="s">
        <v>157</v>
      </c>
      <c r="M44" s="317"/>
      <c r="N44" s="799"/>
      <c r="O44" s="800"/>
      <c r="P44" s="800"/>
      <c r="Q44" s="801"/>
    </row>
    <row r="45" spans="2:17">
      <c r="B45" s="4"/>
      <c r="C45" s="310" t="s">
        <v>855</v>
      </c>
      <c r="D45" s="76" t="s">
        <v>856</v>
      </c>
      <c r="E45" s="103"/>
      <c r="F45" s="5"/>
      <c r="G45" s="4" t="s">
        <v>497</v>
      </c>
      <c r="H45" s="3" t="s">
        <v>862</v>
      </c>
      <c r="I45" s="4"/>
      <c r="J45" s="4"/>
      <c r="K45" s="74" t="str" cm="1">
        <f t="array" ref="K45">IF(ISBLANK(J45), IF(ISBLANK(I45), "N/A", _xlfn.IFS(L45="AS", I45+15, L45="NCR", I45+30, L45="submitted", I45+30, TRUE, "N/A")), _xlfn.IFS(L45="AS", J45+15, L45="NCR", J45+30, L45="submitted", J45+30, TRUE, "N/A"))</f>
        <v>N/A</v>
      </c>
      <c r="L45" s="18"/>
      <c r="M45" s="317"/>
      <c r="N45" s="799"/>
      <c r="O45" s="800"/>
      <c r="P45" s="800"/>
      <c r="Q45" s="801"/>
    </row>
    <row r="46" spans="2:17">
      <c r="B46" s="4"/>
      <c r="C46" s="310" t="s">
        <v>855</v>
      </c>
      <c r="D46" s="76" t="s">
        <v>856</v>
      </c>
      <c r="E46" s="103"/>
      <c r="F46" s="5"/>
      <c r="G46" s="4" t="s">
        <v>489</v>
      </c>
      <c r="H46" s="17" t="s">
        <v>863</v>
      </c>
      <c r="I46" s="4"/>
      <c r="J46" s="4"/>
      <c r="K46" s="74" t="str" cm="1">
        <f t="array" ref="K46">IF(ISBLANK(J46), IF(ISBLANK(I46), "N/A", _xlfn.IFS(L46="AS", I46+15, L46="NCR", I46+30, L46="submitted", I46+30, TRUE, "N/A")), _xlfn.IFS(L46="AS", J46+15, L46="NCR", J46+30, L46="submitted", J46+30, TRUE, "N/A"))</f>
        <v>N/A</v>
      </c>
      <c r="L46" s="18"/>
      <c r="M46" s="317"/>
      <c r="N46" s="799"/>
      <c r="O46" s="800"/>
      <c r="P46" s="800"/>
      <c r="Q46" s="801"/>
    </row>
    <row r="47" spans="2:17" s="150" customFormat="1" ht="27">
      <c r="B47" s="22" t="s">
        <v>854</v>
      </c>
      <c r="C47" s="310" t="s">
        <v>855</v>
      </c>
      <c r="D47" s="76" t="s">
        <v>856</v>
      </c>
      <c r="E47" s="573"/>
      <c r="F47" s="26" t="s">
        <v>857</v>
      </c>
      <c r="G47" s="22" t="s">
        <v>864</v>
      </c>
      <c r="H47" s="28" t="s">
        <v>865</v>
      </c>
      <c r="I47" s="25">
        <v>45902</v>
      </c>
      <c r="J47" s="25">
        <v>45939</v>
      </c>
      <c r="K47" s="74" cm="1">
        <f t="array" ref="K47">IF(ISBLANK(J47), IF(ISBLANK(I47), "N/A", _xlfn.IFS(L47="AS", I47+15, L47="NCR", I47+30, L47="submitted", I47+30, TRUE, "N/A")), _xlfn.IFS(L47="AS", J47+15, L47="NCR", J47+30, L47="submitted", J47+30, TRUE, "N/A"))</f>
        <v>45969</v>
      </c>
      <c r="L47" s="76" t="s">
        <v>157</v>
      </c>
      <c r="M47" s="317"/>
      <c r="N47" s="799"/>
      <c r="O47" s="800"/>
      <c r="P47" s="800"/>
      <c r="Q47" s="801"/>
    </row>
    <row r="48" spans="2:17" ht="15" customHeight="1">
      <c r="B48" s="22"/>
      <c r="C48" s="310" t="s">
        <v>866</v>
      </c>
      <c r="D48" s="76" t="s">
        <v>867</v>
      </c>
      <c r="E48" s="573"/>
      <c r="F48" s="26"/>
      <c r="G48" s="22" t="s">
        <v>868</v>
      </c>
      <c r="H48" s="28" t="s">
        <v>869</v>
      </c>
      <c r="I48" s="22"/>
      <c r="J48" s="22"/>
      <c r="K48" s="74" t="str" cm="1">
        <f t="array" ref="K48">IF(ISBLANK(J48), IF(ISBLANK(I48), "N/A", _xlfn.IFS(L48="AS", I48+15, L48="NCR", I48+30, L48="submitted", I48+30, TRUE, "N/A")), _xlfn.IFS(L48="AS", J48+15, L48="NCR", J48+30, L48="submitted", J48+30, TRUE, "N/A"))</f>
        <v>N/A</v>
      </c>
      <c r="L48" s="25"/>
      <c r="M48" s="317"/>
      <c r="N48" s="747" t="s">
        <v>148</v>
      </c>
      <c r="O48" s="748"/>
      <c r="P48" s="748"/>
      <c r="Q48" s="749"/>
    </row>
    <row r="49" spans="2:17" ht="15" customHeight="1">
      <c r="B49" s="22"/>
      <c r="C49" s="96"/>
      <c r="D49" s="27"/>
      <c r="E49" s="573"/>
      <c r="F49" s="26"/>
      <c r="G49" s="22" t="s">
        <v>870</v>
      </c>
      <c r="H49" s="28" t="s">
        <v>871</v>
      </c>
      <c r="I49" s="22"/>
      <c r="J49" s="22"/>
      <c r="K49" s="74" t="str" cm="1">
        <f t="array" ref="K49">IF(ISBLANK(J49), IF(ISBLANK(I49), "N/A", _xlfn.IFS(L49="AS", I49+15, L49="NCR", I49+30, L49="submitted", I49+30, TRUE, "N/A")), _xlfn.IFS(L49="AS", J49+15, L49="NCR", J49+30, L49="submitted", J49+30, TRUE, "N/A"))</f>
        <v>N/A</v>
      </c>
      <c r="L49" s="25"/>
      <c r="M49" s="317"/>
      <c r="N49" s="747"/>
      <c r="O49" s="748"/>
      <c r="P49" s="748"/>
      <c r="Q49" s="749"/>
    </row>
    <row r="50" spans="2:17" ht="15" customHeight="1">
      <c r="B50" s="22"/>
      <c r="C50" s="96"/>
      <c r="D50" s="27"/>
      <c r="E50" s="573"/>
      <c r="F50" s="26"/>
      <c r="G50" s="22" t="s">
        <v>872</v>
      </c>
      <c r="H50" s="28" t="s">
        <v>873</v>
      </c>
      <c r="I50" s="22"/>
      <c r="J50" s="22"/>
      <c r="K50" s="74" t="str" cm="1">
        <f t="array" ref="K50">IF(ISBLANK(J50), IF(ISBLANK(I50), "N/A", _xlfn.IFS(L50="AS", I50+15, L50="NCR", I50+30, L50="submitted", I50+30, TRUE, "N/A")), _xlfn.IFS(L50="AS", J50+15, L50="NCR", J50+30, L50="submitted", J50+30, TRUE, "N/A"))</f>
        <v>N/A</v>
      </c>
      <c r="L50" s="25"/>
      <c r="M50" s="317"/>
      <c r="N50" s="747"/>
      <c r="O50" s="748"/>
      <c r="P50" s="748"/>
      <c r="Q50" s="749"/>
    </row>
    <row r="51" spans="2:17" ht="15" customHeight="1">
      <c r="B51" s="22"/>
      <c r="C51" s="96"/>
      <c r="D51" s="27"/>
      <c r="E51" s="573"/>
      <c r="F51" s="26"/>
      <c r="G51" s="22" t="s">
        <v>874</v>
      </c>
      <c r="H51" s="28" t="s">
        <v>875</v>
      </c>
      <c r="I51" s="22"/>
      <c r="J51" s="22"/>
      <c r="K51" s="74" t="str" cm="1">
        <f t="array" ref="K51">IF(ISBLANK(J51), IF(ISBLANK(I51), "N/A", _xlfn.IFS(L51="AS", I51+15, L51="NCR", I51+30, L51="submitted", I51+30, TRUE, "N/A")), _xlfn.IFS(L51="AS", J51+15, L51="NCR", J51+30, L51="submitted", J51+30, TRUE, "N/A"))</f>
        <v>N/A</v>
      </c>
      <c r="L51" s="25"/>
      <c r="M51" s="317"/>
      <c r="N51" s="747"/>
      <c r="O51" s="748"/>
      <c r="P51" s="748"/>
      <c r="Q51" s="749"/>
    </row>
    <row r="52" spans="2:17" ht="27">
      <c r="B52" s="22"/>
      <c r="C52" s="96"/>
      <c r="D52" s="27"/>
      <c r="E52" s="573"/>
      <c r="F52" s="26"/>
      <c r="G52" s="22" t="s">
        <v>876</v>
      </c>
      <c r="H52" s="28" t="s">
        <v>877</v>
      </c>
      <c r="I52" s="22"/>
      <c r="J52" s="22"/>
      <c r="K52" s="74" t="str" cm="1">
        <f t="array" ref="K52">IF(ISBLANK(J52), IF(ISBLANK(I52), "N/A", _xlfn.IFS(L52="AS", I52+15, L52="NCR", I52+30, L52="submitted", I52+30, TRUE, "N/A")), _xlfn.IFS(L52="AS", J52+15, L52="NCR", J52+30, L52="submitted", J52+30, TRUE, "N/A"))</f>
        <v>N/A</v>
      </c>
      <c r="L52" s="25"/>
      <c r="M52" s="317"/>
      <c r="N52" s="747"/>
      <c r="O52" s="748"/>
      <c r="P52" s="748"/>
      <c r="Q52" s="749"/>
    </row>
    <row r="53" spans="2:17" ht="15" customHeight="1">
      <c r="B53" s="22"/>
      <c r="C53" s="96"/>
      <c r="D53" s="27"/>
      <c r="E53" s="573"/>
      <c r="F53" s="26"/>
      <c r="G53" s="22" t="s">
        <v>878</v>
      </c>
      <c r="H53" s="28" t="s">
        <v>422</v>
      </c>
      <c r="I53" s="22"/>
      <c r="J53" s="22"/>
      <c r="K53" s="74" t="str" cm="1">
        <f t="array" ref="K53">IF(ISBLANK(J53), IF(ISBLANK(I53), "N/A", _xlfn.IFS(L53="AS", I53+15, L53="NCR", I53+30, L53="submitted", I53+30, TRUE, "N/A")), _xlfn.IFS(L53="AS", J53+15, L53="NCR", J53+30, L53="submitted", J53+30, TRUE, "N/A"))</f>
        <v>N/A</v>
      </c>
      <c r="L53" s="25"/>
      <c r="M53" s="318"/>
      <c r="N53" s="747"/>
      <c r="O53" s="748"/>
      <c r="P53" s="748"/>
      <c r="Q53" s="749"/>
    </row>
    <row r="54" spans="2:17" ht="15" customHeight="1">
      <c r="B54" s="22"/>
      <c r="C54" s="96"/>
      <c r="D54" s="27"/>
      <c r="E54" s="573"/>
      <c r="F54" s="26"/>
      <c r="G54" s="22" t="s">
        <v>879</v>
      </c>
      <c r="H54" s="28" t="s">
        <v>424</v>
      </c>
      <c r="I54" s="22"/>
      <c r="J54" s="22"/>
      <c r="K54" s="74" t="str" cm="1">
        <f t="array" ref="K54">IF(ISBLANK(J54), IF(ISBLANK(I54), "N/A", _xlfn.IFS(L54="AS", I54+15, L54="NCR", I54+30, L54="submitted", I54+30, TRUE, "N/A")), _xlfn.IFS(L54="AS", J54+15, L54="NCR", J54+30, L54="submitted", J54+30, TRUE, "N/A"))</f>
        <v>N/A</v>
      </c>
      <c r="L54" s="25"/>
      <c r="M54" s="317"/>
      <c r="N54" s="747"/>
      <c r="O54" s="748"/>
      <c r="P54" s="748"/>
      <c r="Q54" s="749"/>
    </row>
    <row r="55" spans="2:17" ht="15" customHeight="1">
      <c r="B55" s="22"/>
      <c r="C55" s="96"/>
      <c r="D55" s="27"/>
      <c r="E55" s="573"/>
      <c r="F55" s="26"/>
      <c r="G55" s="22" t="s">
        <v>880</v>
      </c>
      <c r="H55" s="28" t="s">
        <v>819</v>
      </c>
      <c r="I55" s="22"/>
      <c r="J55" s="22"/>
      <c r="K55" s="74" t="str" cm="1">
        <f t="array" ref="K55">IF(ISBLANK(J55), IF(ISBLANK(I55), "N/A", _xlfn.IFS(L55="AS", I55+15, L55="NCR", I55+30, L55="submitted", I55+30, TRUE, "N/A")), _xlfn.IFS(L55="AS", J55+15, L55="NCR", J55+30, L55="submitted", J55+30, TRUE, "N/A"))</f>
        <v>N/A</v>
      </c>
      <c r="L55" s="25"/>
      <c r="M55" s="317"/>
      <c r="N55" s="747"/>
      <c r="O55" s="748"/>
      <c r="P55" s="748"/>
      <c r="Q55" s="749"/>
    </row>
    <row r="56" spans="2:17" ht="15" customHeight="1">
      <c r="B56" s="22"/>
      <c r="C56" s="96"/>
      <c r="D56" s="27"/>
      <c r="E56" s="573"/>
      <c r="F56" s="26"/>
      <c r="G56" s="22" t="s">
        <v>881</v>
      </c>
      <c r="H56" s="28" t="s">
        <v>428</v>
      </c>
      <c r="I56" s="22"/>
      <c r="J56" s="22"/>
      <c r="K56" s="74" t="str" cm="1">
        <f t="array" ref="K56">IF(ISBLANK(J56), IF(ISBLANK(I56), "N/A", _xlfn.IFS(L56="AS", I56+15, L56="NCR", I56+30, L56="submitted", I56+30, TRUE, "N/A")), _xlfn.IFS(L56="AS", J56+15, L56="NCR", J56+30, L56="submitted", J56+30, TRUE, "N/A"))</f>
        <v>N/A</v>
      </c>
      <c r="L56" s="25"/>
      <c r="M56" s="317"/>
      <c r="N56" s="747"/>
      <c r="O56" s="748"/>
      <c r="P56" s="748"/>
      <c r="Q56" s="749"/>
    </row>
    <row r="57" spans="2:17" ht="15" customHeight="1">
      <c r="B57" s="22"/>
      <c r="C57" s="96"/>
      <c r="D57" s="27"/>
      <c r="E57" s="573"/>
      <c r="F57" s="26"/>
      <c r="G57" s="22" t="s">
        <v>882</v>
      </c>
      <c r="H57" s="28" t="s">
        <v>430</v>
      </c>
      <c r="I57" s="22"/>
      <c r="J57" s="22"/>
      <c r="K57" s="74" t="str" cm="1">
        <f t="array" ref="K57">IF(ISBLANK(J57), IF(ISBLANK(I57), "N/A", _xlfn.IFS(L57="AS", I57+15, L57="NCR", I57+30, L57="submitted", I57+30, TRUE, "N/A")), _xlfn.IFS(L57="AS", J57+15, L57="NCR", J57+30, L57="submitted", J57+30, TRUE, "N/A"))</f>
        <v>N/A</v>
      </c>
      <c r="L57" s="25"/>
      <c r="M57" s="317"/>
      <c r="N57" s="747"/>
      <c r="O57" s="748"/>
      <c r="P57" s="748"/>
      <c r="Q57" s="749"/>
    </row>
    <row r="58" spans="2:17" ht="15" customHeight="1">
      <c r="B58" s="22"/>
      <c r="C58" s="96"/>
      <c r="D58" s="27"/>
      <c r="E58" s="573"/>
      <c r="F58" s="26"/>
      <c r="G58" s="22" t="s">
        <v>883</v>
      </c>
      <c r="H58" s="28" t="s">
        <v>884</v>
      </c>
      <c r="I58" s="22"/>
      <c r="J58" s="22"/>
      <c r="K58" s="74" t="str" cm="1">
        <f t="array" ref="K58">IF(ISBLANK(J58), IF(ISBLANK(I58), "N/A", _xlfn.IFS(L58="AS", I58+15, L58="NCR", I58+30, L58="submitted", I58+30, TRUE, "N/A")), _xlfn.IFS(L58="AS", J58+15, L58="NCR", J58+30, L58="submitted", J58+30, TRUE, "N/A"))</f>
        <v>N/A</v>
      </c>
      <c r="L58" s="25"/>
      <c r="M58" s="317"/>
      <c r="N58" s="747"/>
      <c r="O58" s="748"/>
      <c r="P58" s="748"/>
      <c r="Q58" s="749"/>
    </row>
    <row r="59" spans="2:17" ht="15" customHeight="1">
      <c r="B59" s="22"/>
      <c r="C59" s="368"/>
      <c r="D59" s="29"/>
      <c r="E59" s="573"/>
      <c r="F59" s="26"/>
      <c r="G59" s="22" t="s">
        <v>861</v>
      </c>
      <c r="H59" s="28" t="s">
        <v>380</v>
      </c>
      <c r="I59" s="22"/>
      <c r="J59" s="22"/>
      <c r="K59" s="74" t="str" cm="1">
        <f t="array" ref="K59">IF(ISBLANK(J59), IF(ISBLANK(I59), "N/A", _xlfn.IFS(L59="AS", I59+15, L59="NCR", I59+30, L59="submitted", I59+30, TRUE, "N/A")), _xlfn.IFS(L59="AS", J59+15, L59="NCR", J59+30, L59="submitted", J59+30, TRUE, "N/A"))</f>
        <v>N/A</v>
      </c>
      <c r="L59" s="25"/>
      <c r="M59" s="317"/>
      <c r="N59" s="747"/>
      <c r="O59" s="748"/>
      <c r="P59" s="748"/>
      <c r="Q59" s="749"/>
    </row>
    <row r="60" spans="2:17" ht="15" customHeight="1">
      <c r="B60" s="9"/>
      <c r="C60" s="32" t="s">
        <v>885</v>
      </c>
      <c r="D60" s="37" t="s">
        <v>886</v>
      </c>
      <c r="E60" s="20"/>
      <c r="F60" s="1"/>
      <c r="G60" s="9" t="s">
        <v>336</v>
      </c>
      <c r="H60" s="7" t="s">
        <v>887</v>
      </c>
      <c r="I60" s="14">
        <v>45931</v>
      </c>
      <c r="J60" s="9"/>
      <c r="K60" s="74" t="str" cm="1">
        <f t="array" ref="K60">IF(ISBLANK(J60), IF(ISBLANK(I60), "N/A", _xlfn.IFS(L60="AS", I60+15, L60="NCR", I60+30, L60="submitted", I60+30, TRUE, "N/A")), _xlfn.IFS(L60="AS", J60+15, L60="NCR", J60+30, L60="submitted", J60+30, TRUE, "N/A"))</f>
        <v>N/A</v>
      </c>
      <c r="L60" s="14" t="s">
        <v>888</v>
      </c>
      <c r="M60" s="317"/>
      <c r="N60" s="747"/>
      <c r="O60" s="748"/>
      <c r="P60" s="748"/>
      <c r="Q60" s="749"/>
    </row>
    <row r="61" spans="2:17" s="150" customFormat="1" ht="15" customHeight="1">
      <c r="B61" s="22" t="s">
        <v>889</v>
      </c>
      <c r="C61" s="368" t="s">
        <v>885</v>
      </c>
      <c r="D61" s="29" t="s">
        <v>886</v>
      </c>
      <c r="E61" s="573"/>
      <c r="F61" s="26" t="s">
        <v>795</v>
      </c>
      <c r="G61" s="22" t="s">
        <v>337</v>
      </c>
      <c r="H61" s="28" t="s">
        <v>834</v>
      </c>
      <c r="I61" s="25"/>
      <c r="J61" s="22"/>
      <c r="K61" s="74" t="str" cm="1">
        <f t="array" ref="K61">IF(ISBLANK(J61), IF(ISBLANK(I61), "N/A", _xlfn.IFS(L61="AS", I61+15, L61="NCR", I61+30, L61="submitted", I61+30, TRUE, "N/A")), _xlfn.IFS(L61="AS", J61+15, L61="NCR", J61+30, L61="submitted", J61+30, TRUE, "N/A"))</f>
        <v>N/A</v>
      </c>
      <c r="L61" s="76" t="s">
        <v>890</v>
      </c>
      <c r="M61" s="317"/>
      <c r="N61" s="746"/>
      <c r="O61" s="764"/>
      <c r="P61" s="764"/>
      <c r="Q61" s="765"/>
    </row>
    <row r="62" spans="2:17" ht="15" customHeight="1">
      <c r="B62" s="9"/>
      <c r="C62" s="32" t="s">
        <v>885</v>
      </c>
      <c r="D62" s="37" t="s">
        <v>886</v>
      </c>
      <c r="E62" s="20"/>
      <c r="F62" s="1"/>
      <c r="G62" s="9" t="s">
        <v>404</v>
      </c>
      <c r="H62" s="13" t="s">
        <v>282</v>
      </c>
      <c r="I62" s="9"/>
      <c r="J62" s="9"/>
      <c r="K62" s="74" t="str" cm="1">
        <f t="array" ref="K62">IF(ISBLANK(J62), IF(ISBLANK(I62), "N/A", _xlfn.IFS(L62="AS", I62+15, L62="NCR", I62+30, L62="submitted", I62+30, TRUE, "N/A")), _xlfn.IFS(L62="AS", J62+15, L62="NCR", J62+30, L62="submitted", J62+30, TRUE, "N/A"))</f>
        <v>N/A</v>
      </c>
      <c r="L62" s="14"/>
      <c r="M62" s="317"/>
      <c r="N62" s="747"/>
      <c r="O62" s="748"/>
      <c r="P62" s="748"/>
      <c r="Q62" s="749"/>
    </row>
    <row r="63" spans="2:17" ht="35.25" customHeight="1">
      <c r="B63" s="9"/>
      <c r="C63" s="32" t="s">
        <v>885</v>
      </c>
      <c r="D63" s="37" t="s">
        <v>886</v>
      </c>
      <c r="E63" s="20"/>
      <c r="F63" s="1"/>
      <c r="G63" s="9" t="s">
        <v>340</v>
      </c>
      <c r="H63" s="7" t="s">
        <v>891</v>
      </c>
      <c r="I63" s="9"/>
      <c r="J63" s="9"/>
      <c r="K63" s="74" t="str" cm="1">
        <f t="array" ref="K63">IF(ISBLANK(J63), IF(ISBLANK(I63), "N/A", _xlfn.IFS(L63="AS", I63+15, L63="NCR", I63+30, L63="submitted", I63+30, TRUE, "N/A")), _xlfn.IFS(L63="AS", J63+15, L63="NCR", J63+30, L63="submitted", J63+30, TRUE, "N/A"))</f>
        <v>N/A</v>
      </c>
      <c r="L63" s="14"/>
      <c r="M63" s="317"/>
      <c r="N63" s="747"/>
      <c r="O63" s="748"/>
      <c r="P63" s="748"/>
      <c r="Q63" s="749"/>
    </row>
    <row r="64" spans="2:17" ht="15" customHeight="1">
      <c r="B64" s="9"/>
      <c r="C64" s="32" t="s">
        <v>885</v>
      </c>
      <c r="D64" s="37" t="s">
        <v>886</v>
      </c>
      <c r="E64" s="20"/>
      <c r="F64" s="1"/>
      <c r="G64" s="9" t="s">
        <v>406</v>
      </c>
      <c r="H64" s="7" t="s">
        <v>829</v>
      </c>
      <c r="I64" s="9"/>
      <c r="J64" s="9"/>
      <c r="K64" s="74" t="str" cm="1">
        <f t="array" ref="K64">IF(ISBLANK(J64), IF(ISBLANK(I64), "N/A", _xlfn.IFS(L64="AS", I64+15, L64="NCR", I64+30, L64="submitted", I64+30, TRUE, "N/A")), _xlfn.IFS(L64="AS", J64+15, L64="NCR", J64+30, L64="submitted", J64+30, TRUE, "N/A"))</f>
        <v>N/A</v>
      </c>
      <c r="L64" s="14"/>
      <c r="M64" s="317"/>
      <c r="N64" s="747"/>
      <c r="O64" s="748"/>
      <c r="P64" s="748"/>
      <c r="Q64" s="749"/>
    </row>
    <row r="65" spans="1:17" ht="15" customHeight="1">
      <c r="B65" s="9"/>
      <c r="C65" s="32" t="s">
        <v>885</v>
      </c>
      <c r="D65" s="37" t="s">
        <v>886</v>
      </c>
      <c r="E65" s="20"/>
      <c r="F65" s="1"/>
      <c r="G65" s="9" t="s">
        <v>746</v>
      </c>
      <c r="H65" s="7" t="s">
        <v>383</v>
      </c>
      <c r="I65" s="9"/>
      <c r="J65" s="9"/>
      <c r="K65" s="74" t="str" cm="1">
        <f t="array" ref="K65">IF(ISBLANK(J65), IF(ISBLANK(I65), "N/A", _xlfn.IFS(L65="AS", I65+15, L65="NCR", I65+30, L65="submitted", I65+30, TRUE, "N/A")), _xlfn.IFS(L65="AS", J65+15, L65="NCR", J65+30, L65="submitted", J65+30, TRUE, "N/A"))</f>
        <v>N/A</v>
      </c>
      <c r="L65" s="14"/>
      <c r="M65" s="317"/>
      <c r="N65" s="747"/>
      <c r="O65" s="748"/>
      <c r="P65" s="748"/>
      <c r="Q65" s="749"/>
    </row>
    <row r="66" spans="1:17" ht="54" customHeight="1">
      <c r="B66" s="9"/>
      <c r="C66" s="32" t="s">
        <v>885</v>
      </c>
      <c r="D66" s="37" t="s">
        <v>886</v>
      </c>
      <c r="E66" s="20"/>
      <c r="F66" s="1"/>
      <c r="G66" s="9" t="s">
        <v>892</v>
      </c>
      <c r="H66" s="7" t="s">
        <v>385</v>
      </c>
      <c r="I66" s="9"/>
      <c r="J66" s="9"/>
      <c r="K66" s="74" t="str" cm="1">
        <f t="array" ref="K66">IF(ISBLANK(J66), IF(ISBLANK(I66), "N/A", _xlfn.IFS(L66="AS", I66+15, L66="NCR", I66+30, L66="submitted", I66+30, TRUE, "N/A")), _xlfn.IFS(L66="AS", J66+15, L66="NCR", J66+30, L66="submitted", J66+30, TRUE, "N/A"))</f>
        <v>N/A</v>
      </c>
      <c r="L66" s="14"/>
      <c r="M66" s="317"/>
      <c r="N66" s="747"/>
      <c r="O66" s="748"/>
      <c r="P66" s="748"/>
      <c r="Q66" s="749"/>
    </row>
    <row r="67" spans="1:17" ht="15" customHeight="1">
      <c r="B67" s="4"/>
      <c r="C67" s="86" t="s">
        <v>893</v>
      </c>
      <c r="D67" s="34" t="s">
        <v>894</v>
      </c>
      <c r="E67" s="103"/>
      <c r="F67" s="5"/>
      <c r="G67" s="4" t="s">
        <v>336</v>
      </c>
      <c r="H67" s="17" t="s">
        <v>895</v>
      </c>
      <c r="I67" s="4"/>
      <c r="J67" s="4"/>
      <c r="K67" s="74" t="str" cm="1">
        <f t="array" ref="K67">IF(ISBLANK(J67), IF(ISBLANK(I67), "N/A", _xlfn.IFS(L67="AS", I67+15, L67="NCR", I67+30, L67="submitted", I67+30, TRUE, "N/A")), _xlfn.IFS(L67="AS", J67+15, L67="NCR", J67+30, L67="submitted", J67+30, TRUE, "N/A"))</f>
        <v>N/A</v>
      </c>
      <c r="L67" s="18"/>
      <c r="M67" s="317"/>
      <c r="N67" s="747"/>
      <c r="O67" s="748"/>
      <c r="P67" s="748"/>
      <c r="Q67" s="749"/>
    </row>
    <row r="68" spans="1:17" ht="15" customHeight="1">
      <c r="B68" s="4" t="s">
        <v>896</v>
      </c>
      <c r="C68" s="86" t="s">
        <v>893</v>
      </c>
      <c r="D68" s="34" t="s">
        <v>894</v>
      </c>
      <c r="E68" s="103" t="s">
        <v>897</v>
      </c>
      <c r="F68" s="5" t="s">
        <v>795</v>
      </c>
      <c r="G68" s="4" t="s">
        <v>240</v>
      </c>
      <c r="H68" s="17" t="s">
        <v>898</v>
      </c>
      <c r="I68" s="4"/>
      <c r="J68" s="4"/>
      <c r="K68" s="74" t="str" cm="1">
        <f t="array" ref="K68">IF(ISBLANK(J68), IF(ISBLANK(I68), "N/A", _xlfn.IFS(L68="AS", I68+15, L68="NCR", I68+30, L68="submitted", I68+30, TRUE, "N/A")), _xlfn.IFS(L68="AS", J68+15, L68="NCR", J68+30, L68="submitted", J68+30, TRUE, "N/A"))</f>
        <v>N/A</v>
      </c>
      <c r="L68" s="18"/>
      <c r="M68" s="317"/>
      <c r="N68" s="747"/>
      <c r="O68" s="748"/>
      <c r="P68" s="748"/>
      <c r="Q68" s="749"/>
    </row>
    <row r="69" spans="1:17" ht="19.5" customHeight="1">
      <c r="B69" s="4" t="s">
        <v>896</v>
      </c>
      <c r="C69" s="86" t="s">
        <v>893</v>
      </c>
      <c r="D69" s="34" t="s">
        <v>894</v>
      </c>
      <c r="E69" s="103" t="s">
        <v>897</v>
      </c>
      <c r="F69" s="5" t="s">
        <v>795</v>
      </c>
      <c r="G69" s="4" t="s">
        <v>404</v>
      </c>
      <c r="H69" s="17" t="s">
        <v>282</v>
      </c>
      <c r="I69" s="4"/>
      <c r="J69" s="4"/>
      <c r="K69" s="74" t="str" cm="1">
        <f t="array" ref="K69">IF(ISBLANK(J69), IF(ISBLANK(I69), "N/A", _xlfn.IFS(L69="AS", I69+15, L69="NCR", I69+30, L69="submitted", I69+30, TRUE, "N/A")), _xlfn.IFS(L69="AS", J69+15, L69="NCR", J69+30, L69="submitted", J69+30, TRUE, "N/A"))</f>
        <v>N/A</v>
      </c>
      <c r="L69" s="18"/>
      <c r="M69" s="317"/>
      <c r="N69" s="747"/>
      <c r="O69" s="748"/>
      <c r="P69" s="748"/>
      <c r="Q69" s="749"/>
    </row>
    <row r="70" spans="1:17" ht="23.25" customHeight="1">
      <c r="B70" s="4"/>
      <c r="C70" s="86" t="s">
        <v>893</v>
      </c>
      <c r="D70" s="34" t="s">
        <v>894</v>
      </c>
      <c r="E70" s="103"/>
      <c r="F70" s="5"/>
      <c r="G70" s="4" t="s">
        <v>340</v>
      </c>
      <c r="H70" s="3" t="s">
        <v>891</v>
      </c>
      <c r="I70" s="4"/>
      <c r="J70" s="4"/>
      <c r="K70" s="74" t="str" cm="1">
        <f t="array" ref="K70">IF(ISBLANK(J70), IF(ISBLANK(I70), "N/A", _xlfn.IFS(L70="AS", I70+15, L70="NCR", I70+30, L70="submitted", I70+30, TRUE, "N/A")), _xlfn.IFS(L70="AS", J70+15, L70="NCR", J70+30, L70="submitted", J70+30, TRUE, "N/A"))</f>
        <v>N/A</v>
      </c>
      <c r="L70" s="18"/>
      <c r="M70" s="317"/>
      <c r="N70" s="747"/>
      <c r="O70" s="748"/>
      <c r="P70" s="748"/>
      <c r="Q70" s="749"/>
    </row>
    <row r="71" spans="1:17" ht="15" customHeight="1">
      <c r="B71" s="4"/>
      <c r="C71" s="86" t="s">
        <v>893</v>
      </c>
      <c r="D71" s="34" t="s">
        <v>894</v>
      </c>
      <c r="E71" s="103"/>
      <c r="F71" s="5"/>
      <c r="G71" s="4" t="s">
        <v>406</v>
      </c>
      <c r="H71" s="3" t="s">
        <v>829</v>
      </c>
      <c r="I71" s="4"/>
      <c r="J71" s="4"/>
      <c r="K71" s="74" t="str" cm="1">
        <f t="array" ref="K71">IF(ISBLANK(J71), IF(ISBLANK(I71), "N/A", _xlfn.IFS(L71="AS", I71+15, L71="NCR", I71+30, L71="submitted", I71+30, TRUE, "N/A")), _xlfn.IFS(L71="AS", J71+15, L71="NCR", J71+30, L71="submitted", J71+30, TRUE, "N/A"))</f>
        <v>N/A</v>
      </c>
      <c r="L71" s="18"/>
      <c r="M71" s="317"/>
      <c r="N71" s="747"/>
      <c r="O71" s="748"/>
      <c r="P71" s="748"/>
      <c r="Q71" s="749"/>
    </row>
    <row r="72" spans="1:17" ht="15" customHeight="1">
      <c r="B72" s="4"/>
      <c r="C72" s="86" t="s">
        <v>893</v>
      </c>
      <c r="D72" s="34" t="s">
        <v>894</v>
      </c>
      <c r="E72" s="103"/>
      <c r="F72" s="5"/>
      <c r="G72" s="4" t="s">
        <v>746</v>
      </c>
      <c r="H72" s="3" t="s">
        <v>383</v>
      </c>
      <c r="I72" s="4"/>
      <c r="J72" s="4"/>
      <c r="K72" s="74" t="str" cm="1">
        <f t="array" ref="K72">IF(ISBLANK(J72), IF(ISBLANK(I72), "N/A", _xlfn.IFS(L72="AS", I72+15, L72="NCR", I72+30, L72="submitted", I72+30, TRUE, "N/A")), _xlfn.IFS(L72="AS", J72+15, L72="NCR", J72+30, L72="submitted", J72+30, TRUE, "N/A"))</f>
        <v>N/A</v>
      </c>
      <c r="L72" s="18"/>
      <c r="M72" s="317"/>
      <c r="N72" s="747"/>
      <c r="O72" s="748"/>
      <c r="P72" s="748"/>
      <c r="Q72" s="749"/>
    </row>
    <row r="73" spans="1:17" ht="27" customHeight="1">
      <c r="B73" s="4"/>
      <c r="C73" s="86" t="s">
        <v>893</v>
      </c>
      <c r="D73" s="34" t="s">
        <v>894</v>
      </c>
      <c r="E73" s="103"/>
      <c r="F73" s="5"/>
      <c r="G73" s="4" t="s">
        <v>892</v>
      </c>
      <c r="H73" s="3" t="s">
        <v>385</v>
      </c>
      <c r="I73" s="4"/>
      <c r="J73" s="4"/>
      <c r="K73" s="74" t="str" cm="1">
        <f t="array" ref="K73">IF(ISBLANK(J73), IF(ISBLANK(I73), "N/A", _xlfn.IFS(L73="AS", I73+15, L73="NCR", I73+30, L73="submitted", I73+30, TRUE, "N/A")), _xlfn.IFS(L73="AS", J73+15, L73="NCR", J73+30, L73="submitted", J73+30, TRUE, "N/A"))</f>
        <v>N/A</v>
      </c>
      <c r="L73" s="18"/>
      <c r="M73" s="317"/>
      <c r="N73" s="747"/>
      <c r="O73" s="748"/>
      <c r="P73" s="748"/>
      <c r="Q73" s="749"/>
    </row>
    <row r="74" spans="1:17" s="150" customFormat="1" ht="15" customHeight="1">
      <c r="B74" s="310" t="s">
        <v>899</v>
      </c>
      <c r="C74" s="310" t="s">
        <v>900</v>
      </c>
      <c r="D74" s="76" t="s">
        <v>901</v>
      </c>
      <c r="E74" s="573"/>
      <c r="F74" s="26" t="s">
        <v>764</v>
      </c>
      <c r="G74" s="22" t="s">
        <v>336</v>
      </c>
      <c r="H74" s="28" t="s">
        <v>895</v>
      </c>
      <c r="I74" s="25">
        <v>45894</v>
      </c>
      <c r="J74" s="25">
        <v>45926</v>
      </c>
      <c r="K74" s="74" cm="1">
        <f t="array" ref="K74">IF(ISBLANK(J74), IF(ISBLANK(I74), "N/A", _xlfn.IFS(L74="AS", I74+15, L74="NCR", I74+30, L74="submitted", I74+30, TRUE, "N/A")), _xlfn.IFS(L74="AS", J74+15, L74="NCR", J74+30, L74="submitted", J74+30, TRUE, "N/A"))</f>
        <v>45956</v>
      </c>
      <c r="L74" s="76" t="s">
        <v>157</v>
      </c>
      <c r="M74" s="317"/>
      <c r="N74" s="747"/>
      <c r="O74" s="748"/>
      <c r="P74" s="748"/>
      <c r="Q74" s="749"/>
    </row>
    <row r="75" spans="1:17" ht="15" customHeight="1">
      <c r="B75" s="9"/>
      <c r="C75" s="310" t="s">
        <v>900</v>
      </c>
      <c r="D75" s="39" t="s">
        <v>901</v>
      </c>
      <c r="E75" s="20"/>
      <c r="F75" s="1"/>
      <c r="G75" s="9" t="s">
        <v>337</v>
      </c>
      <c r="H75" s="7" t="s">
        <v>834</v>
      </c>
      <c r="I75" s="9"/>
      <c r="J75" s="9"/>
      <c r="K75" s="74" t="str" cm="1">
        <f t="array" ref="K75">IF(ISBLANK(J75), IF(ISBLANK(I75), "N/A", _xlfn.IFS(L75="AS", I75+15, L75="NCR", I75+30, L75="submitted", I75+30, TRUE, "N/A")), _xlfn.IFS(L75="AS", J75+15, L75="NCR", J75+30, L75="submitted", J75+30, TRUE, "N/A"))</f>
        <v>N/A</v>
      </c>
      <c r="L75" s="14"/>
      <c r="M75" s="317"/>
      <c r="N75" s="747"/>
      <c r="O75" s="748"/>
      <c r="P75" s="748"/>
      <c r="Q75" s="749"/>
    </row>
    <row r="76" spans="1:17" ht="15" customHeight="1">
      <c r="B76" s="9"/>
      <c r="C76" s="310" t="s">
        <v>900</v>
      </c>
      <c r="D76" s="76" t="s">
        <v>901</v>
      </c>
      <c r="E76" s="20"/>
      <c r="F76" s="1"/>
      <c r="G76" s="9" t="s">
        <v>404</v>
      </c>
      <c r="H76" s="13" t="s">
        <v>282</v>
      </c>
      <c r="I76" s="9"/>
      <c r="J76" s="9"/>
      <c r="K76" s="74" t="str" cm="1">
        <f t="array" ref="K76">IF(ISBLANK(J76), IF(ISBLANK(I76), "N/A", _xlfn.IFS(L76="AS", I76+15, L76="NCR", I76+30, L76="submitted", I76+30, TRUE, "N/A")), _xlfn.IFS(L76="AS", J76+15, L76="NCR", J76+30, L76="submitted", J76+30, TRUE, "N/A"))</f>
        <v>N/A</v>
      </c>
      <c r="L76" s="14"/>
      <c r="M76" s="317"/>
      <c r="N76" s="747"/>
      <c r="O76" s="748"/>
      <c r="P76" s="748"/>
      <c r="Q76" s="749"/>
    </row>
    <row r="77" spans="1:17" ht="15" customHeight="1">
      <c r="B77" s="9"/>
      <c r="C77" s="310" t="s">
        <v>900</v>
      </c>
      <c r="D77" s="39" t="s">
        <v>901</v>
      </c>
      <c r="E77" s="20"/>
      <c r="F77" s="1"/>
      <c r="G77" s="9" t="s">
        <v>405</v>
      </c>
      <c r="H77" s="7" t="s">
        <v>829</v>
      </c>
      <c r="I77" s="9"/>
      <c r="J77" s="9"/>
      <c r="K77" s="74" t="str" cm="1">
        <f t="array" ref="K77">IF(ISBLANK(J77), IF(ISBLANK(I77), "N/A", _xlfn.IFS(L77="AS", I77+15, L77="NCR", I77+30, L77="submitted", I77+30, TRUE, "N/A")), _xlfn.IFS(L77="AS", J77+15, L77="NCR", J77+30, L77="submitted", J77+30, TRUE, "N/A"))</f>
        <v>N/A</v>
      </c>
      <c r="L77" s="14"/>
      <c r="M77" s="317"/>
      <c r="N77" s="747"/>
      <c r="O77" s="748"/>
      <c r="P77" s="748"/>
      <c r="Q77" s="749"/>
    </row>
    <row r="78" spans="1:17" ht="15" customHeight="1">
      <c r="B78" s="9"/>
      <c r="C78" s="310" t="s">
        <v>900</v>
      </c>
      <c r="D78" s="76" t="s">
        <v>901</v>
      </c>
      <c r="E78" s="20"/>
      <c r="F78" s="1"/>
      <c r="G78" s="9" t="s">
        <v>346</v>
      </c>
      <c r="H78" s="7" t="s">
        <v>383</v>
      </c>
      <c r="I78" s="9"/>
      <c r="J78" s="9"/>
      <c r="K78" s="74" t="str" cm="1">
        <f t="array" ref="K78">IF(ISBLANK(J78), IF(ISBLANK(I78), "N/A", _xlfn.IFS(L78="AS", I78+15, L78="NCR", I78+30, L78="submitted", I78+30, TRUE, "N/A")), _xlfn.IFS(L78="AS", J78+15, L78="NCR", J78+30, L78="submitted", J78+30, TRUE, "N/A"))</f>
        <v>N/A</v>
      </c>
      <c r="L78" s="14"/>
      <c r="M78" s="317"/>
      <c r="N78" s="747"/>
      <c r="O78" s="748"/>
      <c r="P78" s="748"/>
      <c r="Q78" s="749"/>
    </row>
    <row r="79" spans="1:17" ht="27" customHeight="1">
      <c r="B79" s="9"/>
      <c r="C79" s="310" t="s">
        <v>900</v>
      </c>
      <c r="D79" s="39" t="s">
        <v>901</v>
      </c>
      <c r="E79" s="20"/>
      <c r="F79" s="1"/>
      <c r="G79" s="9" t="s">
        <v>745</v>
      </c>
      <c r="H79" s="7" t="s">
        <v>385</v>
      </c>
      <c r="I79" s="9"/>
      <c r="J79" s="9"/>
      <c r="K79" s="74" t="str" cm="1">
        <f t="array" ref="K79">IF(ISBLANK(J79), IF(ISBLANK(I79), "N/A", _xlfn.IFS(L79="AS", I79+15, L79="NCR", I79+30, L79="submitted", I79+30, TRUE, "N/A")), _xlfn.IFS(L79="AS", J79+15, L79="NCR", J79+30, L79="submitted", J79+30, TRUE, "N/A"))</f>
        <v>N/A</v>
      </c>
      <c r="L79" s="14"/>
      <c r="M79" s="317"/>
      <c r="N79" s="747"/>
      <c r="O79" s="748"/>
      <c r="P79" s="748"/>
      <c r="Q79" s="749"/>
    </row>
    <row r="80" spans="1:17" s="150" customFormat="1" ht="15" customHeight="1">
      <c r="A80" s="150" t="s">
        <v>318</v>
      </c>
      <c r="B80" s="22" t="s">
        <v>902</v>
      </c>
      <c r="C80" s="368" t="s">
        <v>903</v>
      </c>
      <c r="D80" s="29" t="s">
        <v>904</v>
      </c>
      <c r="E80" s="573"/>
      <c r="F80" s="26" t="s">
        <v>809</v>
      </c>
      <c r="G80" s="22" t="s">
        <v>336</v>
      </c>
      <c r="H80" s="28" t="s">
        <v>905</v>
      </c>
      <c r="I80" s="25">
        <v>45902</v>
      </c>
      <c r="J80" s="22"/>
      <c r="K80" s="74" cm="1">
        <f t="array" ref="K80">IF(ISBLANK(J80), IF(ISBLANK(I80), "N/A", _xlfn.IFS(L80="AS", I80+15, L80="NCR", I80+30, L80="submitted", I80+30, TRUE, "N/A")), _xlfn.IFS(L80="AS", J80+15, L80="NCR", J80+30, L80="submitted", J80+30, TRUE, "N/A"))</f>
        <v>45932</v>
      </c>
      <c r="L80" s="76" t="s">
        <v>231</v>
      </c>
      <c r="M80" s="317"/>
      <c r="N80" s="746"/>
      <c r="O80" s="764"/>
      <c r="P80" s="764"/>
      <c r="Q80" s="765"/>
    </row>
    <row r="81" spans="1:17" s="150" customFormat="1" ht="15" customHeight="1">
      <c r="A81" s="150" t="s">
        <v>318</v>
      </c>
      <c r="B81" s="22" t="s">
        <v>902</v>
      </c>
      <c r="C81" s="310" t="s">
        <v>903</v>
      </c>
      <c r="D81" s="76" t="s">
        <v>904</v>
      </c>
      <c r="E81" s="573"/>
      <c r="F81" s="26" t="s">
        <v>809</v>
      </c>
      <c r="G81" s="22" t="s">
        <v>337</v>
      </c>
      <c r="H81" s="28" t="s">
        <v>282</v>
      </c>
      <c r="I81" s="25">
        <v>45902</v>
      </c>
      <c r="J81" s="22"/>
      <c r="K81" s="74" cm="1">
        <f t="array" ref="K81">IF(ISBLANK(J81), IF(ISBLANK(I81), "N/A", _xlfn.IFS(L81="AS", I81+15, L81="NCR", I81+30, L81="submitted", I81+30, TRUE, "N/A")), _xlfn.IFS(L81="AS", J81+15, L81="NCR", J81+30, L81="submitted", J81+30, TRUE, "N/A"))</f>
        <v>45932</v>
      </c>
      <c r="L81" s="76" t="s">
        <v>231</v>
      </c>
      <c r="M81" s="317"/>
      <c r="N81" s="747"/>
      <c r="O81" s="748"/>
      <c r="P81" s="748"/>
      <c r="Q81" s="749"/>
    </row>
    <row r="82" spans="1:17" ht="15" customHeight="1">
      <c r="B82" s="4"/>
      <c r="C82" s="86" t="s">
        <v>903</v>
      </c>
      <c r="D82" s="34" t="s">
        <v>904</v>
      </c>
      <c r="E82" s="103"/>
      <c r="F82" s="5"/>
      <c r="G82" s="4" t="s">
        <v>404</v>
      </c>
      <c r="H82" s="3" t="s">
        <v>828</v>
      </c>
      <c r="I82" s="4"/>
      <c r="J82" s="4"/>
      <c r="K82" s="74" t="str" cm="1">
        <f t="array" ref="K82">IF(ISBLANK(J82), IF(ISBLANK(I82), "N/A", _xlfn.IFS(L82="AS", I82+15, L82="NCR", I82+30, L82="submitted", I82+30, TRUE, "N/A")), _xlfn.IFS(L82="AS", J82+15, L82="NCR", J82+30, L82="submitted", J82+30, TRUE, "N/A"))</f>
        <v>N/A</v>
      </c>
      <c r="L82" s="18"/>
      <c r="M82" s="317"/>
      <c r="N82" s="747"/>
      <c r="O82" s="748"/>
      <c r="P82" s="748"/>
      <c r="Q82" s="749"/>
    </row>
    <row r="83" spans="1:17" ht="15" customHeight="1">
      <c r="B83" s="4"/>
      <c r="C83" s="86" t="s">
        <v>903</v>
      </c>
      <c r="D83" s="34" t="s">
        <v>904</v>
      </c>
      <c r="E83" s="103"/>
      <c r="F83" s="5"/>
      <c r="G83" s="4" t="s">
        <v>405</v>
      </c>
      <c r="H83" s="3" t="s">
        <v>829</v>
      </c>
      <c r="I83" s="4"/>
      <c r="J83" s="4"/>
      <c r="K83" s="74" t="str" cm="1">
        <f t="array" ref="K83">IF(ISBLANK(J83), IF(ISBLANK(I83), "N/A", _xlfn.IFS(L83="AS", I83+15, L83="NCR", I83+30, L83="submitted", I83+30, TRUE, "N/A")), _xlfn.IFS(L83="AS", J83+15, L83="NCR", J83+30, L83="submitted", J83+30, TRUE, "N/A"))</f>
        <v>N/A</v>
      </c>
      <c r="L83" s="18"/>
      <c r="M83" s="317"/>
      <c r="N83" s="747"/>
      <c r="O83" s="748"/>
      <c r="P83" s="748"/>
      <c r="Q83" s="749"/>
    </row>
    <row r="84" spans="1:17" ht="15" customHeight="1">
      <c r="B84" s="4"/>
      <c r="C84" s="86" t="s">
        <v>903</v>
      </c>
      <c r="D84" s="34" t="s">
        <v>904</v>
      </c>
      <c r="E84" s="103"/>
      <c r="F84" s="5"/>
      <c r="G84" s="4" t="s">
        <v>346</v>
      </c>
      <c r="H84" s="3" t="s">
        <v>383</v>
      </c>
      <c r="I84" s="4"/>
      <c r="J84" s="4"/>
      <c r="K84" s="74" t="str" cm="1">
        <f t="array" ref="K84">IF(ISBLANK(J84), IF(ISBLANK(I84), "N/A", _xlfn.IFS(L84="AS", I84+15, L84="NCR", I84+30, L84="submitted", I84+30, TRUE, "N/A")), _xlfn.IFS(L84="AS", J84+15, L84="NCR", J84+30, L84="submitted", J84+30, TRUE, "N/A"))</f>
        <v>N/A</v>
      </c>
      <c r="L84" s="18"/>
      <c r="M84" s="317"/>
      <c r="N84" s="747"/>
      <c r="O84" s="748"/>
      <c r="P84" s="748"/>
      <c r="Q84" s="749"/>
    </row>
    <row r="85" spans="1:17" ht="27" customHeight="1">
      <c r="B85" s="4"/>
      <c r="C85" s="86" t="s">
        <v>903</v>
      </c>
      <c r="D85" s="34" t="s">
        <v>904</v>
      </c>
      <c r="E85" s="103"/>
      <c r="F85" s="5"/>
      <c r="G85" s="4" t="s">
        <v>745</v>
      </c>
      <c r="H85" s="3" t="s">
        <v>385</v>
      </c>
      <c r="I85" s="4"/>
      <c r="J85" s="4"/>
      <c r="K85" s="74" t="str" cm="1">
        <f t="array" ref="K85">IF(ISBLANK(J85), IF(ISBLANK(I85), "N/A", _xlfn.IFS(L85="AS", I85+15, L85="NCR", I85+30, L85="submitted", I85+30, TRUE, "N/A")), _xlfn.IFS(L85="AS", J85+15, L85="NCR", J85+30, L85="submitted", J85+30, TRUE, "N/A"))</f>
        <v>N/A</v>
      </c>
      <c r="L85" s="18"/>
      <c r="M85" s="317"/>
      <c r="N85" s="747"/>
      <c r="O85" s="748"/>
      <c r="P85" s="748"/>
      <c r="Q85" s="749"/>
    </row>
    <row r="86" spans="1:17" ht="15" customHeight="1">
      <c r="B86" s="9"/>
      <c r="C86" s="32" t="s">
        <v>906</v>
      </c>
      <c r="D86" s="37" t="s">
        <v>907</v>
      </c>
      <c r="E86" s="20"/>
      <c r="F86" s="1"/>
      <c r="G86" s="9" t="s">
        <v>336</v>
      </c>
      <c r="H86" s="7" t="s">
        <v>895</v>
      </c>
      <c r="I86" s="9"/>
      <c r="J86" s="9"/>
      <c r="K86" s="74" t="str" cm="1">
        <f t="array" ref="K86">IF(ISBLANK(J86), IF(ISBLANK(I86), "N/A", _xlfn.IFS(L86="AS", I86+15, L86="NCR", I86+30, L86="submitted", I86+30, TRUE, "N/A")), _xlfn.IFS(L86="AS", J86+15, L86="NCR", J86+30, L86="submitted", J86+30, TRUE, "N/A"))</f>
        <v>N/A</v>
      </c>
      <c r="L86" s="14"/>
      <c r="M86" s="317"/>
      <c r="N86" s="747"/>
      <c r="O86" s="748"/>
      <c r="P86" s="748"/>
      <c r="Q86" s="749"/>
    </row>
    <row r="87" spans="1:17" ht="15" customHeight="1">
      <c r="B87" s="9"/>
      <c r="C87" s="33"/>
      <c r="D87" s="39"/>
      <c r="E87" s="20"/>
      <c r="F87" s="1"/>
      <c r="G87" s="9" t="s">
        <v>240</v>
      </c>
      <c r="H87" s="7" t="s">
        <v>908</v>
      </c>
      <c r="I87" s="9"/>
      <c r="J87" s="9"/>
      <c r="K87" s="74" t="str" cm="1">
        <f t="array" ref="K87">IF(ISBLANK(J87), IF(ISBLANK(I87), "N/A", _xlfn.IFS(L87="AS", I87+15, L87="NCR", I87+30, L87="submitted", I87+30, TRUE, "N/A")), _xlfn.IFS(L87="AS", J87+15, L87="NCR", J87+30, L87="submitted", J87+30, TRUE, "N/A"))</f>
        <v>N/A</v>
      </c>
      <c r="L87" s="14"/>
      <c r="M87" s="317"/>
      <c r="N87" s="747"/>
      <c r="O87" s="748"/>
      <c r="P87" s="748"/>
      <c r="Q87" s="749"/>
    </row>
    <row r="88" spans="1:17" ht="15" customHeight="1">
      <c r="B88" s="9"/>
      <c r="C88" s="33"/>
      <c r="D88" s="39"/>
      <c r="E88" s="20"/>
      <c r="F88" s="1"/>
      <c r="G88" s="9" t="s">
        <v>242</v>
      </c>
      <c r="H88" s="7" t="s">
        <v>909</v>
      </c>
      <c r="I88" s="9"/>
      <c r="J88" s="9"/>
      <c r="K88" s="74" t="str" cm="1">
        <f t="array" ref="K88">IF(ISBLANK(J88), IF(ISBLANK(I88), "N/A", _xlfn.IFS(L88="AS", I88+15, L88="NCR", I88+30, L88="submitted", I88+30, TRUE, "N/A")), _xlfn.IFS(L88="AS", J88+15, L88="NCR", J88+30, L88="submitted", J88+30, TRUE, "N/A"))</f>
        <v>N/A</v>
      </c>
      <c r="L88" s="14"/>
      <c r="M88" s="317"/>
      <c r="N88" s="747"/>
      <c r="O88" s="748"/>
      <c r="P88" s="748"/>
      <c r="Q88" s="749"/>
    </row>
    <row r="89" spans="1:17" ht="15" customHeight="1">
      <c r="B89" s="9"/>
      <c r="C89" s="33"/>
      <c r="D89" s="39"/>
      <c r="E89" s="20"/>
      <c r="F89" s="1"/>
      <c r="G89" s="9" t="s">
        <v>404</v>
      </c>
      <c r="H89" s="7" t="s">
        <v>282</v>
      </c>
      <c r="I89" s="9"/>
      <c r="J89" s="9"/>
      <c r="K89" s="74" t="str" cm="1">
        <f t="array" ref="K89">IF(ISBLANK(J89), IF(ISBLANK(I89), "N/A", _xlfn.IFS(L89="AS", I89+15, L89="NCR", I89+30, L89="submitted", I89+30, TRUE, "N/A")), _xlfn.IFS(L89="AS", J89+15, L89="NCR", J89+30, L89="submitted", J89+30, TRUE, "N/A"))</f>
        <v>N/A</v>
      </c>
      <c r="L89" s="14"/>
      <c r="M89" s="317"/>
      <c r="N89" s="747"/>
      <c r="O89" s="748"/>
      <c r="P89" s="748"/>
      <c r="Q89" s="749"/>
    </row>
    <row r="90" spans="1:17" ht="15" customHeight="1">
      <c r="B90" s="9"/>
      <c r="C90" s="33"/>
      <c r="D90" s="39"/>
      <c r="E90" s="20"/>
      <c r="F90" s="1"/>
      <c r="G90" s="9" t="s">
        <v>340</v>
      </c>
      <c r="H90" s="7" t="s">
        <v>891</v>
      </c>
      <c r="I90" s="9"/>
      <c r="J90" s="9"/>
      <c r="K90" s="74" t="str" cm="1">
        <f t="array" ref="K90">IF(ISBLANK(J90), IF(ISBLANK(I90), "N/A", _xlfn.IFS(L90="AS", I90+15, L90="NCR", I90+30, L90="submitted", I90+30, TRUE, "N/A")), _xlfn.IFS(L90="AS", J90+15, L90="NCR", J90+30, L90="submitted", J90+30, TRUE, "N/A"))</f>
        <v>N/A</v>
      </c>
      <c r="L90" s="14"/>
      <c r="M90" s="317"/>
      <c r="N90" s="747"/>
      <c r="O90" s="748"/>
      <c r="P90" s="748"/>
      <c r="Q90" s="749"/>
    </row>
    <row r="91" spans="1:17" ht="15" customHeight="1">
      <c r="B91" s="9"/>
      <c r="C91" s="33"/>
      <c r="D91" s="39"/>
      <c r="E91" s="20"/>
      <c r="F91" s="1"/>
      <c r="G91" s="9" t="s">
        <v>406</v>
      </c>
      <c r="H91" s="7" t="s">
        <v>829</v>
      </c>
      <c r="I91" s="9"/>
      <c r="J91" s="9"/>
      <c r="K91" s="74" t="str" cm="1">
        <f t="array" ref="K91">IF(ISBLANK(J91), IF(ISBLANK(I91), "N/A", _xlfn.IFS(L91="AS", I91+15, L91="NCR", I91+30, L91="submitted", I91+30, TRUE, "N/A")), _xlfn.IFS(L91="AS", J91+15, L91="NCR", J91+30, L91="submitted", J91+30, TRUE, "N/A"))</f>
        <v>N/A</v>
      </c>
      <c r="L91" s="14"/>
      <c r="M91" s="317"/>
      <c r="N91" s="747"/>
      <c r="O91" s="748"/>
      <c r="P91" s="748"/>
      <c r="Q91" s="749"/>
    </row>
    <row r="92" spans="1:17" ht="15" customHeight="1">
      <c r="B92" s="9"/>
      <c r="C92" s="33"/>
      <c r="D92" s="39"/>
      <c r="E92" s="20"/>
      <c r="F92" s="1"/>
      <c r="G92" s="9" t="s">
        <v>746</v>
      </c>
      <c r="H92" s="7" t="s">
        <v>830</v>
      </c>
      <c r="I92" s="9"/>
      <c r="J92" s="9"/>
      <c r="K92" s="74" t="str" cm="1">
        <f t="array" ref="K92">IF(ISBLANK(J92), IF(ISBLANK(I92), "N/A", _xlfn.IFS(L92="AS", I92+15, L92="NCR", I92+30, L92="submitted", I92+30, TRUE, "N/A")), _xlfn.IFS(L92="AS", J92+15, L92="NCR", J92+30, L92="submitted", J92+30, TRUE, "N/A"))</f>
        <v>N/A</v>
      </c>
      <c r="L92" s="14"/>
      <c r="M92" s="317"/>
      <c r="N92" s="747"/>
      <c r="O92" s="748"/>
      <c r="P92" s="748"/>
      <c r="Q92" s="749"/>
    </row>
    <row r="93" spans="1:17" ht="27" customHeight="1">
      <c r="B93" s="9"/>
      <c r="C93" s="97"/>
      <c r="D93" s="46"/>
      <c r="E93" s="20"/>
      <c r="F93" s="1"/>
      <c r="G93" s="9" t="s">
        <v>892</v>
      </c>
      <c r="H93" s="7" t="s">
        <v>831</v>
      </c>
      <c r="I93" s="9"/>
      <c r="J93" s="9"/>
      <c r="K93" s="74" t="str" cm="1">
        <f t="array" ref="K93">IF(ISBLANK(J93), IF(ISBLANK(I93), "N/A", _xlfn.IFS(L93="AS", I93+15, L93="NCR", I93+30, L93="submitted", I93+30, TRUE, "N/A")), _xlfn.IFS(L93="AS", J93+15, L93="NCR", J93+30, L93="submitted", J93+30, TRUE, "N/A"))</f>
        <v>N/A</v>
      </c>
      <c r="L93" s="14"/>
      <c r="M93" s="317"/>
      <c r="N93" s="747"/>
      <c r="O93" s="748"/>
      <c r="P93" s="748"/>
      <c r="Q93" s="749"/>
    </row>
    <row r="94" spans="1:17" s="150" customFormat="1" ht="15" customHeight="1">
      <c r="B94" s="22" t="s">
        <v>910</v>
      </c>
      <c r="C94" s="654" t="s">
        <v>911</v>
      </c>
      <c r="D94" s="23" t="s">
        <v>912</v>
      </c>
      <c r="E94" s="624" t="s">
        <v>913</v>
      </c>
      <c r="F94" s="26"/>
      <c r="G94" s="22" t="s">
        <v>336</v>
      </c>
      <c r="H94" s="28" t="s">
        <v>895</v>
      </c>
      <c r="I94" s="25">
        <v>45904</v>
      </c>
      <c r="J94" s="22"/>
      <c r="K94" s="74" cm="1">
        <f t="array" ref="K94">IF(ISBLANK(J94), IF(ISBLANK(I94), "N/A", _xlfn.IFS(L94="AS", I94+15, L94="NCR", I94+30, L94="submitted", I94+30, TRUE, "N/A")), _xlfn.IFS(L94="AS", J94+15, L94="NCR", J94+30, L94="submitted", J94+30, TRUE, "N/A"))</f>
        <v>45934</v>
      </c>
      <c r="L94" s="76" t="s">
        <v>231</v>
      </c>
      <c r="M94" s="317"/>
      <c r="N94" s="747"/>
      <c r="O94" s="748"/>
      <c r="P94" s="748"/>
      <c r="Q94" s="749"/>
    </row>
    <row r="95" spans="1:17" s="150" customFormat="1" ht="15" customHeight="1">
      <c r="B95" s="22" t="s">
        <v>910</v>
      </c>
      <c r="C95" s="654" t="s">
        <v>911</v>
      </c>
      <c r="D95" s="23" t="s">
        <v>912</v>
      </c>
      <c r="E95" s="624" t="s">
        <v>913</v>
      </c>
      <c r="F95" s="26"/>
      <c r="G95" s="22" t="s">
        <v>337</v>
      </c>
      <c r="H95" s="28" t="s">
        <v>834</v>
      </c>
      <c r="I95" s="25">
        <v>45904</v>
      </c>
      <c r="J95" s="22"/>
      <c r="K95" s="74" cm="1">
        <f t="array" ref="K95">IF(ISBLANK(J95), IF(ISBLANK(I95), "N/A", _xlfn.IFS(L95="AS", I95+15, L95="NCR", I95+30, L95="submitted", I95+30, TRUE, "N/A")), _xlfn.IFS(L95="AS", J95+15, L95="NCR", J95+30, L95="submitted", J95+30, TRUE, "N/A"))</f>
        <v>45934</v>
      </c>
      <c r="L95" s="76" t="s">
        <v>231</v>
      </c>
      <c r="M95" s="317"/>
      <c r="N95" s="747"/>
      <c r="O95" s="748"/>
      <c r="P95" s="748"/>
      <c r="Q95" s="749"/>
    </row>
    <row r="96" spans="1:17" s="150" customFormat="1" ht="15" customHeight="1">
      <c r="B96" s="22" t="s">
        <v>910</v>
      </c>
      <c r="C96" s="654" t="s">
        <v>911</v>
      </c>
      <c r="D96" s="23" t="s">
        <v>912</v>
      </c>
      <c r="E96" s="624" t="s">
        <v>913</v>
      </c>
      <c r="F96" s="26"/>
      <c r="G96" s="22" t="s">
        <v>404</v>
      </c>
      <c r="H96" s="24" t="s">
        <v>282</v>
      </c>
      <c r="I96" s="25">
        <v>45904</v>
      </c>
      <c r="J96" s="22"/>
      <c r="K96" s="74" cm="1">
        <f t="array" ref="K96">IF(ISBLANK(J96), IF(ISBLANK(I96), "N/A", _xlfn.IFS(L96="AS", I96+15, L96="NCR", I96+30, L96="submitted", I96+30, TRUE, "N/A")), _xlfn.IFS(L96="AS", J96+15, L96="NCR", J96+30, L96="submitted", J96+30, TRUE, "N/A"))</f>
        <v>45934</v>
      </c>
      <c r="L96" s="76" t="s">
        <v>231</v>
      </c>
      <c r="M96" s="317"/>
      <c r="N96" s="747"/>
      <c r="O96" s="748"/>
      <c r="P96" s="748"/>
      <c r="Q96" s="749"/>
    </row>
    <row r="97" spans="2:17" s="150" customFormat="1" ht="15" customHeight="1">
      <c r="B97" s="22" t="s">
        <v>910</v>
      </c>
      <c r="C97" s="654" t="s">
        <v>911</v>
      </c>
      <c r="D97" s="23" t="s">
        <v>912</v>
      </c>
      <c r="E97" s="624" t="s">
        <v>913</v>
      </c>
      <c r="F97" s="26"/>
      <c r="G97" s="22" t="s">
        <v>340</v>
      </c>
      <c r="H97" s="28" t="s">
        <v>891</v>
      </c>
      <c r="I97" s="25">
        <v>45904</v>
      </c>
      <c r="J97" s="22"/>
      <c r="K97" s="74" cm="1">
        <f t="array" ref="K97">IF(ISBLANK(J97), IF(ISBLANK(I97), "N/A", _xlfn.IFS(L97="AS", I97+15, L97="NCR", I97+30, L97="submitted", I97+30, TRUE, "N/A")), _xlfn.IFS(L97="AS", J97+15, L97="NCR", J97+30, L97="submitted", J97+30, TRUE, "N/A"))</f>
        <v>45934</v>
      </c>
      <c r="L97" s="76" t="s">
        <v>231</v>
      </c>
      <c r="M97" s="317"/>
      <c r="N97" s="747"/>
      <c r="O97" s="748"/>
      <c r="P97" s="748"/>
      <c r="Q97" s="749"/>
    </row>
    <row r="98" spans="2:17" s="150" customFormat="1" ht="15" customHeight="1">
      <c r="B98" s="22" t="s">
        <v>910</v>
      </c>
      <c r="C98" s="654" t="s">
        <v>911</v>
      </c>
      <c r="D98" s="23" t="s">
        <v>912</v>
      </c>
      <c r="E98" s="624" t="s">
        <v>913</v>
      </c>
      <c r="F98" s="26"/>
      <c r="G98" s="22" t="s">
        <v>406</v>
      </c>
      <c r="H98" s="28" t="s">
        <v>914</v>
      </c>
      <c r="I98" s="25">
        <v>45904</v>
      </c>
      <c r="J98" s="22"/>
      <c r="K98" s="74" cm="1">
        <f t="array" ref="K98">IF(ISBLANK(J98), IF(ISBLANK(I98), "N/A", _xlfn.IFS(L98="AS", I98+15, L98="NCR", I98+30, L98="submitted", I98+30, TRUE, "N/A")), _xlfn.IFS(L98="AS", J98+15, L98="NCR", J98+30, L98="submitted", J98+30, TRUE, "N/A"))</f>
        <v>45934</v>
      </c>
      <c r="L98" s="76" t="s">
        <v>231</v>
      </c>
      <c r="M98" s="317"/>
      <c r="N98" s="747"/>
      <c r="O98" s="748"/>
      <c r="P98" s="748"/>
      <c r="Q98" s="749"/>
    </row>
    <row r="99" spans="2:17" s="150" customFormat="1" ht="15" customHeight="1">
      <c r="B99" s="22" t="s">
        <v>910</v>
      </c>
      <c r="C99" s="654" t="s">
        <v>911</v>
      </c>
      <c r="D99" s="23" t="s">
        <v>912</v>
      </c>
      <c r="E99" s="624" t="s">
        <v>913</v>
      </c>
      <c r="F99" s="26"/>
      <c r="G99" s="22" t="s">
        <v>746</v>
      </c>
      <c r="H99" s="28" t="s">
        <v>383</v>
      </c>
      <c r="I99" s="25">
        <v>45904</v>
      </c>
      <c r="J99" s="22"/>
      <c r="K99" s="74" cm="1">
        <f t="array" ref="K99">IF(ISBLANK(J99), IF(ISBLANK(I99), "N/A", _xlfn.IFS(L99="AS", I99+15, L99="NCR", I99+30, L99="submitted", I99+30, TRUE, "N/A")), _xlfn.IFS(L99="AS", J99+15, L99="NCR", J99+30, L99="submitted", J99+30, TRUE, "N/A"))</f>
        <v>45934</v>
      </c>
      <c r="L99" s="76" t="s">
        <v>231</v>
      </c>
      <c r="M99" s="317"/>
      <c r="N99" s="747"/>
      <c r="O99" s="748"/>
      <c r="P99" s="748"/>
      <c r="Q99" s="749"/>
    </row>
    <row r="100" spans="2:17" s="150" customFormat="1" ht="27" customHeight="1">
      <c r="B100" s="22" t="s">
        <v>910</v>
      </c>
      <c r="C100" s="654" t="s">
        <v>911</v>
      </c>
      <c r="D100" s="23" t="s">
        <v>912</v>
      </c>
      <c r="E100" s="624" t="s">
        <v>913</v>
      </c>
      <c r="F100" s="26"/>
      <c r="G100" s="22" t="s">
        <v>892</v>
      </c>
      <c r="H100" s="28" t="s">
        <v>385</v>
      </c>
      <c r="I100" s="25">
        <v>45904</v>
      </c>
      <c r="J100" s="22"/>
      <c r="K100" s="74" cm="1">
        <f t="array" ref="K100">IF(ISBLANK(J100), IF(ISBLANK(I100), "N/A", _xlfn.IFS(L100="AS", I100+15, L100="NCR", I100+30, L100="submitted", I100+30, TRUE, "N/A")), _xlfn.IFS(L100="AS", J100+15, L100="NCR", J100+30, L100="submitted", J100+30, TRUE, "N/A"))</f>
        <v>45934</v>
      </c>
      <c r="L100" s="76" t="s">
        <v>231</v>
      </c>
      <c r="M100" s="317"/>
      <c r="N100" s="747"/>
      <c r="O100" s="748"/>
      <c r="P100" s="748"/>
      <c r="Q100" s="749"/>
    </row>
    <row r="101" spans="2:17" ht="27" customHeight="1">
      <c r="B101" s="9"/>
      <c r="C101" s="38" t="s">
        <v>915</v>
      </c>
      <c r="D101" s="37" t="s">
        <v>916</v>
      </c>
      <c r="E101" s="20"/>
      <c r="F101" s="1"/>
      <c r="G101" s="9" t="s">
        <v>868</v>
      </c>
      <c r="H101" s="7" t="s">
        <v>917</v>
      </c>
      <c r="I101" s="9"/>
      <c r="J101" s="9"/>
      <c r="K101" s="74" t="str" cm="1">
        <f t="array" ref="K101">IF(ISBLANK(J101), IF(ISBLANK(I101), "N/A", _xlfn.IFS(L101="AS", I101+15, L101="NCR", I101+30, L101="submitted", I101+30, TRUE, "N/A")), _xlfn.IFS(L101="AS", J101+15, L101="NCR", J101+30, L101="submitted", J101+30, TRUE, "N/A"))</f>
        <v>N/A</v>
      </c>
      <c r="L101" s="14"/>
      <c r="M101" s="317"/>
      <c r="N101" s="747"/>
      <c r="O101" s="748"/>
      <c r="P101" s="748"/>
      <c r="Q101" s="749"/>
    </row>
    <row r="102" spans="2:17" ht="15" customHeight="1">
      <c r="B102" s="9"/>
      <c r="C102" s="100"/>
      <c r="D102" s="39"/>
      <c r="E102" s="20"/>
      <c r="F102" s="1"/>
      <c r="G102" s="9" t="s">
        <v>918</v>
      </c>
      <c r="H102" s="13" t="s">
        <v>919</v>
      </c>
      <c r="I102" s="9"/>
      <c r="J102" s="9"/>
      <c r="K102" s="74" t="str" cm="1">
        <f t="array" ref="K102">IF(ISBLANK(J102), IF(ISBLANK(I102), "N/A", _xlfn.IFS(L102="AS", I102+15, L102="NCR", I102+30, L102="submitted", I102+30, TRUE, "N/A")), _xlfn.IFS(L102="AS", J102+15, L102="NCR", J102+30, L102="submitted", J102+30, TRUE, "N/A"))</f>
        <v>N/A</v>
      </c>
      <c r="L102" s="14"/>
      <c r="M102" s="317"/>
      <c r="N102" s="747"/>
      <c r="O102" s="748"/>
      <c r="P102" s="748"/>
      <c r="Q102" s="749"/>
    </row>
    <row r="103" spans="2:17" ht="15" customHeight="1">
      <c r="B103" s="9"/>
      <c r="C103" s="100"/>
      <c r="D103" s="39"/>
      <c r="E103" s="20"/>
      <c r="F103" s="1"/>
      <c r="G103" s="9" t="s">
        <v>920</v>
      </c>
      <c r="H103" s="13" t="s">
        <v>490</v>
      </c>
      <c r="I103" s="9"/>
      <c r="J103" s="9"/>
      <c r="K103" s="74" t="str" cm="1">
        <f t="array" ref="K103">IF(ISBLANK(J103), IF(ISBLANK(I103), "N/A", _xlfn.IFS(L103="AS", I103+15, L103="NCR", I103+30, L103="submitted", I103+30, TRUE, "N/A")), _xlfn.IFS(L103="AS", J103+15, L103="NCR", J103+30, L103="submitted", J103+30, TRUE, "N/A"))</f>
        <v>N/A</v>
      </c>
      <c r="L103" s="41"/>
      <c r="M103" s="317"/>
      <c r="N103" s="747"/>
      <c r="O103" s="748"/>
      <c r="P103" s="748"/>
      <c r="Q103" s="749"/>
    </row>
    <row r="104" spans="2:17" ht="15" customHeight="1">
      <c r="B104" s="22" t="s">
        <v>74</v>
      </c>
      <c r="C104" s="78"/>
      <c r="D104" s="76" t="s">
        <v>833</v>
      </c>
      <c r="E104" s="573"/>
      <c r="F104" s="26" t="s">
        <v>322</v>
      </c>
      <c r="G104" s="22" t="s">
        <v>921</v>
      </c>
      <c r="H104" s="24" t="s">
        <v>922</v>
      </c>
      <c r="I104" s="25">
        <v>45824</v>
      </c>
      <c r="J104" s="22"/>
      <c r="K104" s="74" cm="1">
        <f t="array" ref="K104">IF(ISBLANK(J104), IF(ISBLANK(I104), "N/A", _xlfn.IFS(L104="AS", I104+15, L104="NCR", I104+30, L104="submitted", I104+30, TRUE, "N/A")), _xlfn.IFS(L104="AS", J104+15, L104="NCR", J104+30, L104="submitted", J104+30, TRUE, "N/A"))</f>
        <v>45854</v>
      </c>
      <c r="L104" s="202" t="s">
        <v>581</v>
      </c>
      <c r="M104" s="317"/>
      <c r="N104" s="747"/>
      <c r="O104" s="748"/>
      <c r="P104" s="748"/>
      <c r="Q104" s="749"/>
    </row>
    <row r="105" spans="2:17" ht="15" customHeight="1">
      <c r="B105" s="9"/>
      <c r="C105" s="100"/>
      <c r="D105" s="39"/>
      <c r="E105" s="20"/>
      <c r="F105" s="1"/>
      <c r="G105" s="9" t="s">
        <v>923</v>
      </c>
      <c r="H105" s="13" t="s">
        <v>924</v>
      </c>
      <c r="I105" s="9"/>
      <c r="J105" s="9"/>
      <c r="K105" s="74" t="str" cm="1">
        <f t="array" ref="K105">IF(ISBLANK(J105), IF(ISBLANK(I105), "N/A", _xlfn.IFS(L105="AS", I105+15, L105="NCR", I105+30, L105="submitted", I105+30, TRUE, "N/A")), _xlfn.IFS(L105="AS", J105+15, L105="NCR", J105+30, L105="submitted", J105+30, TRUE, "N/A"))</f>
        <v>N/A</v>
      </c>
      <c r="L105" s="142"/>
      <c r="M105" s="317"/>
      <c r="N105" s="747"/>
      <c r="O105" s="748"/>
      <c r="P105" s="748"/>
      <c r="Q105" s="749"/>
    </row>
    <row r="106" spans="2:17" ht="15" customHeight="1">
      <c r="B106" s="9"/>
      <c r="C106" s="100"/>
      <c r="D106" s="39"/>
      <c r="E106" s="20"/>
      <c r="F106" s="1"/>
      <c r="G106" s="9" t="s">
        <v>925</v>
      </c>
      <c r="H106" s="13" t="s">
        <v>926</v>
      </c>
      <c r="I106" s="9"/>
      <c r="J106" s="9"/>
      <c r="K106" s="74" t="str" cm="1">
        <f t="array" ref="K106">IF(ISBLANK(J106), IF(ISBLANK(I106), "N/A", _xlfn.IFS(L106="AS", I106+15, L106="NCR", I106+30, L106="submitted", I106+30, TRUE, "N/A")), _xlfn.IFS(L106="AS", J106+15, L106="NCR", J106+30, L106="submitted", J106+30, TRUE, "N/A"))</f>
        <v>N/A</v>
      </c>
      <c r="L106" s="142"/>
      <c r="M106" s="317"/>
      <c r="N106" s="747"/>
      <c r="O106" s="748"/>
      <c r="P106" s="748"/>
      <c r="Q106" s="749"/>
    </row>
    <row r="107" spans="2:17" ht="15" customHeight="1">
      <c r="B107" s="9"/>
      <c r="C107" s="100"/>
      <c r="D107" s="39"/>
      <c r="E107" s="20"/>
      <c r="F107" s="1"/>
      <c r="G107" s="9" t="s">
        <v>927</v>
      </c>
      <c r="H107" s="13" t="s">
        <v>928</v>
      </c>
      <c r="I107" s="9"/>
      <c r="J107" s="9"/>
      <c r="K107" s="74" t="str" cm="1">
        <f t="array" ref="K107">IF(ISBLANK(J107), IF(ISBLANK(I107), "N/A", _xlfn.IFS(L107="AS", I107+15, L107="NCR", I107+30, L107="submitted", I107+30, TRUE, "N/A")), _xlfn.IFS(L107="AS", J107+15, L107="NCR", J107+30, L107="submitted", J107+30, TRUE, "N/A"))</f>
        <v>N/A</v>
      </c>
      <c r="L107" s="142"/>
      <c r="M107" s="317"/>
      <c r="N107" s="747"/>
      <c r="O107" s="748"/>
      <c r="P107" s="748"/>
      <c r="Q107" s="749"/>
    </row>
    <row r="108" spans="2:17" ht="15" customHeight="1">
      <c r="B108" s="22" t="s">
        <v>74</v>
      </c>
      <c r="C108" s="78"/>
      <c r="D108" s="76" t="s">
        <v>833</v>
      </c>
      <c r="E108" s="573"/>
      <c r="F108" s="26" t="s">
        <v>322</v>
      </c>
      <c r="G108" s="22" t="s">
        <v>929</v>
      </c>
      <c r="H108" s="24" t="s">
        <v>930</v>
      </c>
      <c r="I108" s="25">
        <v>45824</v>
      </c>
      <c r="J108" s="22"/>
      <c r="K108" s="74" cm="1">
        <f t="array" ref="K108">IF(ISBLANK(J108), IF(ISBLANK(I108), "N/A", _xlfn.IFS(L108="AS", I108+15, L108="NCR", I108+30, L108="submitted", I108+30, TRUE, "N/A")), _xlfn.IFS(L108="AS", J108+15, L108="NCR", J108+30, L108="submitted", J108+30, TRUE, "N/A"))</f>
        <v>45854</v>
      </c>
      <c r="L108" s="202" t="s">
        <v>581</v>
      </c>
      <c r="M108" s="317"/>
      <c r="N108" s="747"/>
      <c r="O108" s="748"/>
      <c r="P108" s="748"/>
      <c r="Q108" s="749"/>
    </row>
    <row r="109" spans="2:17" ht="15" customHeight="1">
      <c r="B109" s="22" t="s">
        <v>74</v>
      </c>
      <c r="C109" s="78"/>
      <c r="D109" s="76" t="s">
        <v>833</v>
      </c>
      <c r="E109" s="573"/>
      <c r="F109" s="26" t="s">
        <v>322</v>
      </c>
      <c r="G109" s="22" t="s">
        <v>931</v>
      </c>
      <c r="H109" s="24" t="s">
        <v>282</v>
      </c>
      <c r="I109" s="25">
        <v>45824</v>
      </c>
      <c r="J109" s="22"/>
      <c r="K109" s="74" cm="1">
        <f t="array" ref="K109">IF(ISBLANK(J109), IF(ISBLANK(I109), "N/A", _xlfn.IFS(L109="AS", I109+15, L109="NCR", I109+30, L109="submitted", I109+30, TRUE, "N/A")), _xlfn.IFS(L109="AS", J109+15, L109="NCR", J109+30, L109="submitted", J109+30, TRUE, "N/A"))</f>
        <v>45854</v>
      </c>
      <c r="L109" s="202" t="s">
        <v>581</v>
      </c>
      <c r="M109" s="317"/>
      <c r="N109" s="747"/>
      <c r="O109" s="748"/>
      <c r="P109" s="748"/>
      <c r="Q109" s="749"/>
    </row>
    <row r="110" spans="2:17" ht="15" customHeight="1">
      <c r="B110" s="9"/>
      <c r="C110" s="100"/>
      <c r="D110" s="39"/>
      <c r="E110" s="20"/>
      <c r="F110" s="1"/>
      <c r="G110" s="9" t="s">
        <v>932</v>
      </c>
      <c r="H110" s="13" t="s">
        <v>933</v>
      </c>
      <c r="I110" s="9"/>
      <c r="J110" s="9"/>
      <c r="K110" s="74" t="str" cm="1">
        <f t="array" ref="K110">IF(ISBLANK(J110), IF(ISBLANK(I110), "N/A", _xlfn.IFS(L110="AS", I110+15, L110="NCR", I110+30, L110="submitted", I110+30, TRUE, "N/A")), _xlfn.IFS(L110="AS", J110+15, L110="NCR", J110+30, L110="submitted", J110+30, TRUE, "N/A"))</f>
        <v>N/A</v>
      </c>
      <c r="L110" s="51"/>
      <c r="M110" s="317"/>
      <c r="N110" s="747"/>
      <c r="O110" s="748"/>
      <c r="P110" s="748"/>
      <c r="Q110" s="749"/>
    </row>
    <row r="111" spans="2:17" ht="27" customHeight="1">
      <c r="B111" s="9"/>
      <c r="C111" s="21"/>
      <c r="D111" s="46"/>
      <c r="E111" s="20"/>
      <c r="F111" s="1"/>
      <c r="G111" s="9" t="s">
        <v>861</v>
      </c>
      <c r="H111" s="7" t="s">
        <v>934</v>
      </c>
      <c r="I111" s="9"/>
      <c r="J111" s="9"/>
      <c r="K111" s="74" t="str" cm="1">
        <f t="array" ref="K111">IF(ISBLANK(J111), IF(ISBLANK(I111), "N/A", _xlfn.IFS(L111="AS", I111+15, L111="NCR", I111+30, L111="submitted", I111+30, TRUE, "N/A")), _xlfn.IFS(L111="AS", J111+15, L111="NCR", J111+30, L111="submitted", J111+30, TRUE, "N/A"))</f>
        <v>N/A</v>
      </c>
      <c r="L111" s="14"/>
      <c r="M111" s="317"/>
      <c r="N111" s="747"/>
      <c r="O111" s="748"/>
      <c r="P111" s="748"/>
      <c r="Q111" s="749"/>
    </row>
    <row r="112" spans="2:17" s="528" customFormat="1" ht="15" customHeight="1">
      <c r="B112" s="523" t="s">
        <v>935</v>
      </c>
      <c r="C112" s="537" t="s">
        <v>936</v>
      </c>
      <c r="D112" s="524" t="s">
        <v>937</v>
      </c>
      <c r="E112" s="575"/>
      <c r="F112" s="26" t="s">
        <v>809</v>
      </c>
      <c r="G112" s="523" t="s">
        <v>336</v>
      </c>
      <c r="H112" s="540" t="s">
        <v>834</v>
      </c>
      <c r="I112" s="533">
        <v>45897</v>
      </c>
      <c r="J112" s="533">
        <v>45926</v>
      </c>
      <c r="K112" s="74" cm="1">
        <f t="array" ref="K112">IF(ISBLANK(J112), IF(ISBLANK(I112), "N/A", _xlfn.IFS(L112="AS", I112+15, L112="NCR", I112+30, L112="submitted", I112+30, TRUE, "N/A")), _xlfn.IFS(L112="AS", J112+15, L112="NCR", J112+30, L112="submitted", J112+30, TRUE, "N/A"))</f>
        <v>45956</v>
      </c>
      <c r="L112" s="533" t="s">
        <v>157</v>
      </c>
      <c r="M112" s="317"/>
      <c r="N112" s="747"/>
      <c r="O112" s="748"/>
      <c r="P112" s="748"/>
      <c r="Q112" s="749"/>
    </row>
    <row r="113" spans="2:17" s="528" customFormat="1" ht="15" customHeight="1">
      <c r="B113" s="523" t="s">
        <v>935</v>
      </c>
      <c r="C113" s="537" t="s">
        <v>936</v>
      </c>
      <c r="D113" s="524" t="s">
        <v>937</v>
      </c>
      <c r="E113" s="575"/>
      <c r="F113" s="26" t="s">
        <v>809</v>
      </c>
      <c r="G113" s="523" t="s">
        <v>337</v>
      </c>
      <c r="H113" s="532" t="s">
        <v>282</v>
      </c>
      <c r="I113" s="533">
        <v>45897</v>
      </c>
      <c r="J113" s="533">
        <v>45926</v>
      </c>
      <c r="K113" s="74" cm="1">
        <f t="array" ref="K113">IF(ISBLANK(J113), IF(ISBLANK(I113), "N/A", _xlfn.IFS(L113="AS", I113+15, L113="NCR", I113+30, L113="submitted", I113+30, TRUE, "N/A")), _xlfn.IFS(L113="AS", J113+15, L113="NCR", J113+30, L113="submitted", J113+30, TRUE, "N/A"))</f>
        <v>45956</v>
      </c>
      <c r="L113" s="533" t="s">
        <v>157</v>
      </c>
      <c r="M113" s="317"/>
      <c r="N113" s="747"/>
      <c r="O113" s="748"/>
      <c r="P113" s="748"/>
      <c r="Q113" s="749"/>
    </row>
    <row r="114" spans="2:17" ht="27" customHeight="1">
      <c r="B114" s="4"/>
      <c r="C114" s="86" t="s">
        <v>936</v>
      </c>
      <c r="D114" s="34" t="s">
        <v>937</v>
      </c>
      <c r="E114" s="103"/>
      <c r="F114" s="5"/>
      <c r="G114" s="4" t="s">
        <v>404</v>
      </c>
      <c r="H114" s="3" t="s">
        <v>938</v>
      </c>
      <c r="I114" s="4"/>
      <c r="J114" s="4"/>
      <c r="K114" s="74" t="str" cm="1">
        <f t="array" ref="K114">IF(ISBLANK(J114), IF(ISBLANK(I114), "N/A", _xlfn.IFS(L114="AS", I114+15, L114="NCR", I114+30, L114="submitted", I114+30, TRUE, "N/A")), _xlfn.IFS(L114="AS", J114+15, L114="NCR", J114+30, L114="submitted", J114+30, TRUE, "N/A"))</f>
        <v>N/A</v>
      </c>
      <c r="L114" s="18"/>
      <c r="M114" s="317"/>
      <c r="N114" s="747"/>
      <c r="O114" s="748"/>
      <c r="P114" s="748"/>
      <c r="Q114" s="749"/>
    </row>
    <row r="115" spans="2:17" s="528" customFormat="1" ht="27" customHeight="1">
      <c r="B115" s="523" t="s">
        <v>935</v>
      </c>
      <c r="C115" s="537" t="s">
        <v>936</v>
      </c>
      <c r="D115" s="524" t="s">
        <v>937</v>
      </c>
      <c r="E115" s="575"/>
      <c r="F115" s="26" t="s">
        <v>809</v>
      </c>
      <c r="G115" s="523" t="s">
        <v>405</v>
      </c>
      <c r="H115" s="540" t="s">
        <v>934</v>
      </c>
      <c r="I115" s="533">
        <v>45897</v>
      </c>
      <c r="J115" s="533">
        <v>45926</v>
      </c>
      <c r="K115" s="74" cm="1">
        <f t="array" ref="K115">IF(ISBLANK(J115), IF(ISBLANK(I115), "N/A", _xlfn.IFS(L115="AS", I115+15, L115="NCR", I115+30, L115="submitted", I115+30, TRUE, "N/A")), _xlfn.IFS(L115="AS", J115+15, L115="NCR", J115+30, L115="submitted", J115+30, TRUE, "N/A"))</f>
        <v>45956</v>
      </c>
      <c r="L115" s="533" t="s">
        <v>157</v>
      </c>
      <c r="M115" s="317"/>
      <c r="N115" s="747"/>
      <c r="O115" s="748"/>
      <c r="P115" s="748"/>
      <c r="Q115" s="749"/>
    </row>
    <row r="116" spans="2:17" ht="15" customHeight="1">
      <c r="B116" s="4"/>
      <c r="C116" s="86" t="s">
        <v>936</v>
      </c>
      <c r="D116" s="34" t="s">
        <v>937</v>
      </c>
      <c r="E116" s="103"/>
      <c r="F116" s="5" t="s">
        <v>161</v>
      </c>
      <c r="G116" s="4" t="s">
        <v>346</v>
      </c>
      <c r="H116" s="3" t="s">
        <v>383</v>
      </c>
      <c r="I116" s="4"/>
      <c r="J116" s="4"/>
      <c r="K116" s="74" t="str" cm="1">
        <f t="array" ref="K116">IF(ISBLANK(J116), IF(ISBLANK(I116), "N/A", _xlfn.IFS(L116="AS", I116+15, L116="NCR", I116+30, L116="submitted", I116+30, TRUE, "N/A")), _xlfn.IFS(L116="AS", J116+15, L116="NCR", J116+30, L116="submitted", J116+30, TRUE, "N/A"))</f>
        <v>N/A</v>
      </c>
      <c r="L116" s="18"/>
      <c r="M116" s="317"/>
      <c r="N116" s="747"/>
      <c r="O116" s="748"/>
      <c r="P116" s="748"/>
      <c r="Q116" s="749"/>
    </row>
    <row r="117" spans="2:17" ht="27" customHeight="1">
      <c r="B117" s="4"/>
      <c r="C117" s="86" t="s">
        <v>936</v>
      </c>
      <c r="D117" s="34" t="s">
        <v>937</v>
      </c>
      <c r="E117" s="103"/>
      <c r="F117" s="5" t="s">
        <v>161</v>
      </c>
      <c r="G117" s="4" t="s">
        <v>745</v>
      </c>
      <c r="H117" s="3" t="s">
        <v>385</v>
      </c>
      <c r="I117" s="4"/>
      <c r="J117" s="4"/>
      <c r="K117" s="74" t="str" cm="1">
        <f t="array" ref="K117">IF(ISBLANK(J117), IF(ISBLANK(I117), "N/A", _xlfn.IFS(L117="AS", I117+15, L117="NCR", I117+30, L117="submitted", I117+30, TRUE, "N/A")), _xlfn.IFS(L117="AS", J117+15, L117="NCR", J117+30, L117="submitted", J117+30, TRUE, "N/A"))</f>
        <v>N/A</v>
      </c>
      <c r="L117" s="18"/>
      <c r="M117" s="317"/>
      <c r="N117" s="747"/>
      <c r="O117" s="748"/>
      <c r="P117" s="748"/>
      <c r="Q117" s="749"/>
    </row>
    <row r="118" spans="2:17" s="5" customFormat="1" ht="15" customHeight="1">
      <c r="B118" s="4"/>
      <c r="C118" s="86" t="s">
        <v>939</v>
      </c>
      <c r="D118" s="34" t="s">
        <v>290</v>
      </c>
      <c r="E118" s="34"/>
      <c r="F118" s="34"/>
      <c r="G118" s="4" t="s">
        <v>291</v>
      </c>
      <c r="H118" s="3" t="s">
        <v>292</v>
      </c>
      <c r="K118" s="74" t="str" cm="1">
        <f t="array" ref="K118">IF(ISBLANK(J118), IF(ISBLANK(I118), "N/A", _xlfn.IFS(L118="AS", I118+15, L118="NCR", I118+30, L118="submitted", I118+30, TRUE, "N/A")), _xlfn.IFS(L118="AS", J118+15, L118="NCR", J118+30, L118="submitted", J118+30, TRUE, "N/A"))</f>
        <v>N/A</v>
      </c>
      <c r="M118" s="317"/>
      <c r="N118" s="747"/>
      <c r="O118" s="748"/>
      <c r="P118" s="748"/>
      <c r="Q118" s="749"/>
    </row>
    <row r="119" spans="2:17" s="1" customFormat="1" ht="15" customHeight="1">
      <c r="B119" s="4"/>
      <c r="C119" s="111"/>
      <c r="D119" s="35"/>
      <c r="E119" s="35"/>
      <c r="F119" s="35"/>
      <c r="G119" s="4" t="s">
        <v>293</v>
      </c>
      <c r="H119" s="17" t="s">
        <v>294</v>
      </c>
      <c r="K119" s="74" t="str" cm="1">
        <f t="array" ref="K119">IF(ISBLANK(J119), IF(ISBLANK(I119), "N/A", _xlfn.IFS(L119="AS", I119+15, L119="NCR", I119+30, L119="submitted", I119+30, TRUE, "N/A")), _xlfn.IFS(L119="AS", J119+15, L119="NCR", J119+30, L119="submitted", J119+30, TRUE, "N/A"))</f>
        <v>N/A</v>
      </c>
      <c r="M119" s="317"/>
      <c r="N119" s="747"/>
      <c r="O119" s="748"/>
      <c r="P119" s="748"/>
      <c r="Q119" s="749"/>
    </row>
    <row r="120" spans="2:17" s="1" customFormat="1" ht="15" customHeight="1">
      <c r="B120" s="4"/>
      <c r="C120" s="95"/>
      <c r="D120" s="36"/>
      <c r="E120" s="35"/>
      <c r="F120" s="35"/>
      <c r="G120" s="4" t="s">
        <v>134</v>
      </c>
      <c r="H120" s="3" t="s">
        <v>295</v>
      </c>
      <c r="K120" s="74" t="str" cm="1">
        <f t="array" ref="K120">IF(ISBLANK(J120), IF(ISBLANK(I120), "N/A", _xlfn.IFS(L120="AS", I120+15, L120="NCR", I120+30, L120="submitted", I120+30, TRUE, "N/A")), _xlfn.IFS(L120="AS", J120+15, L120="NCR", J120+30, L120="submitted", J120+30, TRUE, "N/A"))</f>
        <v>N/A</v>
      </c>
      <c r="M120" s="317"/>
      <c r="N120" s="745" t="s">
        <v>133</v>
      </c>
      <c r="O120" s="762"/>
      <c r="P120" s="762"/>
      <c r="Q120" s="763"/>
    </row>
    <row r="121" spans="2:17" s="150" customFormat="1" ht="15" customHeight="1">
      <c r="B121" s="22" t="s">
        <v>940</v>
      </c>
      <c r="C121" s="310" t="s">
        <v>941</v>
      </c>
      <c r="D121" s="232" t="s">
        <v>942</v>
      </c>
      <c r="E121" s="202"/>
      <c r="F121" s="580" t="s">
        <v>764</v>
      </c>
      <c r="G121" s="203" t="s">
        <v>240</v>
      </c>
      <c r="H121" s="24" t="s">
        <v>943</v>
      </c>
      <c r="I121" s="25">
        <v>45894</v>
      </c>
      <c r="J121" s="25">
        <v>45931</v>
      </c>
      <c r="K121" s="74" cm="1">
        <f t="array" ref="K121">IF(ISBLANK(J121), IF(ISBLANK(I121), "N/A", _xlfn.IFS(L121="AS", I121+15, L121="NCR", I121+30, L121="submitted", I121+30, TRUE, "N/A")), _xlfn.IFS(L121="AS", J121+15, L121="NCR", J121+30, L121="submitted", J121+30, TRUE, "N/A"))</f>
        <v>45961</v>
      </c>
      <c r="L121" s="533" t="s">
        <v>157</v>
      </c>
      <c r="M121" s="317"/>
      <c r="N121" s="746"/>
      <c r="O121" s="764"/>
      <c r="P121" s="764"/>
      <c r="Q121" s="765"/>
    </row>
    <row r="122" spans="2:17" ht="15" customHeight="1">
      <c r="B122" s="9"/>
      <c r="C122" s="310" t="s">
        <v>941</v>
      </c>
      <c r="D122" s="232" t="s">
        <v>942</v>
      </c>
      <c r="E122" s="142"/>
      <c r="F122" s="140"/>
      <c r="G122" s="141" t="s">
        <v>242</v>
      </c>
      <c r="H122" s="13" t="s">
        <v>944</v>
      </c>
      <c r="I122" s="9"/>
      <c r="J122" s="9"/>
      <c r="K122" s="74" t="str" cm="1">
        <f t="array" ref="K122">IF(ISBLANK(J122), IF(ISBLANK(I122), "N/A", _xlfn.IFS(L122="AS", I122+15, L122="NCR", I122+30, L122="submitted", I122+30, TRUE, "N/A")), _xlfn.IFS(L122="AS", J122+15, L122="NCR", J122+30, L122="submitted", J122+30, TRUE, "N/A"))</f>
        <v>N/A</v>
      </c>
      <c r="L122" s="14"/>
      <c r="M122" s="317"/>
      <c r="N122" s="746"/>
      <c r="O122" s="764"/>
      <c r="P122" s="764"/>
      <c r="Q122" s="765"/>
    </row>
    <row r="123" spans="2:17" ht="15" customHeight="1">
      <c r="B123" s="9"/>
      <c r="C123" s="310" t="s">
        <v>941</v>
      </c>
      <c r="D123" s="232" t="s">
        <v>942</v>
      </c>
      <c r="E123" s="142"/>
      <c r="F123" s="140"/>
      <c r="G123" s="141" t="s">
        <v>404</v>
      </c>
      <c r="H123" s="13" t="s">
        <v>328</v>
      </c>
      <c r="I123" s="9"/>
      <c r="J123" s="9"/>
      <c r="K123" s="74" t="str" cm="1">
        <f t="array" ref="K123">IF(ISBLANK(J123), IF(ISBLANK(I123), "N/A", _xlfn.IFS(L123="AS", I123+15, L123="NCR", I123+30, L123="submitted", I123+30, TRUE, "N/A")), _xlfn.IFS(L123="AS", J123+15, L123="NCR", J123+30, L123="submitted", J123+30, TRUE, "N/A"))</f>
        <v>N/A</v>
      </c>
      <c r="L123" s="14"/>
      <c r="M123" s="317"/>
      <c r="N123" s="746"/>
      <c r="O123" s="764"/>
      <c r="P123" s="764"/>
      <c r="Q123" s="765"/>
    </row>
    <row r="124" spans="2:17" ht="15" customHeight="1">
      <c r="B124" s="9"/>
      <c r="C124" s="310" t="s">
        <v>941</v>
      </c>
      <c r="D124" s="232" t="s">
        <v>942</v>
      </c>
      <c r="E124" s="142"/>
      <c r="F124" s="140"/>
      <c r="G124" s="141" t="s">
        <v>405</v>
      </c>
      <c r="H124" s="7" t="s">
        <v>945</v>
      </c>
      <c r="I124" s="9"/>
      <c r="J124" s="9"/>
      <c r="K124" s="74" t="str" cm="1">
        <f t="array" ref="K124">IF(ISBLANK(J124), IF(ISBLANK(I124), "N/A", _xlfn.IFS(L124="AS", I124+15, L124="NCR", I124+30, L124="submitted", I124+30, TRUE, "N/A")), _xlfn.IFS(L124="AS", J124+15, L124="NCR", J124+30, L124="submitted", J124+30, TRUE, "N/A"))</f>
        <v>N/A</v>
      </c>
      <c r="L124" s="14"/>
      <c r="M124" s="317"/>
      <c r="N124" s="746"/>
      <c r="O124" s="764"/>
      <c r="P124" s="764"/>
      <c r="Q124" s="765"/>
    </row>
    <row r="125" spans="2:17" ht="15" customHeight="1">
      <c r="B125" s="9"/>
      <c r="C125" s="310" t="s">
        <v>941</v>
      </c>
      <c r="D125" s="232" t="s">
        <v>942</v>
      </c>
      <c r="E125" s="142"/>
      <c r="F125" s="140"/>
      <c r="G125" s="141" t="s">
        <v>406</v>
      </c>
      <c r="H125" s="13" t="s">
        <v>946</v>
      </c>
      <c r="I125" s="9"/>
      <c r="J125" s="9"/>
      <c r="K125" s="74" t="str" cm="1">
        <f t="array" ref="K125">IF(ISBLANK(J125), IF(ISBLANK(I125), "N/A", _xlfn.IFS(L125="AS", I125+15, L125="NCR", I125+30, L125="submitted", I125+30, TRUE, "N/A")), _xlfn.IFS(L125="AS", J125+15, L125="NCR", J125+30, L125="submitted", J125+30, TRUE, "N/A"))</f>
        <v>N/A</v>
      </c>
      <c r="L125" s="14"/>
      <c r="M125" s="317"/>
      <c r="N125" s="746"/>
      <c r="O125" s="764"/>
      <c r="P125" s="764"/>
      <c r="Q125" s="765"/>
    </row>
    <row r="126" spans="2:17" ht="15" customHeight="1">
      <c r="B126" s="9"/>
      <c r="C126" s="310" t="s">
        <v>941</v>
      </c>
      <c r="D126" s="232" t="s">
        <v>942</v>
      </c>
      <c r="E126" s="142"/>
      <c r="F126" s="140"/>
      <c r="G126" s="141" t="s">
        <v>408</v>
      </c>
      <c r="H126" s="13" t="s">
        <v>341</v>
      </c>
      <c r="I126" s="9"/>
      <c r="J126" s="9"/>
      <c r="K126" s="74" t="str" cm="1">
        <f t="array" ref="K126">IF(ISBLANK(J126), IF(ISBLANK(I126), "N/A", _xlfn.IFS(L126="AS", I126+15, L126="NCR", I126+30, L126="submitted", I126+30, TRUE, "N/A")), _xlfn.IFS(L126="AS", J126+15, L126="NCR", J126+30, L126="submitted", J126+30, TRUE, "N/A"))</f>
        <v>N/A</v>
      </c>
      <c r="L126" s="14"/>
      <c r="M126" s="317"/>
      <c r="N126" s="746"/>
      <c r="O126" s="764"/>
      <c r="P126" s="764"/>
      <c r="Q126" s="765"/>
    </row>
    <row r="127" spans="2:17" ht="15" customHeight="1">
      <c r="B127" s="9"/>
      <c r="C127" s="310" t="s">
        <v>941</v>
      </c>
      <c r="D127" s="232" t="s">
        <v>942</v>
      </c>
      <c r="E127" s="142"/>
      <c r="F127" s="140"/>
      <c r="G127" s="141" t="s">
        <v>441</v>
      </c>
      <c r="H127" s="13" t="s">
        <v>947</v>
      </c>
      <c r="I127" s="9"/>
      <c r="J127" s="9"/>
      <c r="K127" s="74" t="str" cm="1">
        <f t="array" ref="K127">IF(ISBLANK(J127), IF(ISBLANK(I127), "N/A", _xlfn.IFS(L127="AS", I127+15, L127="NCR", I127+30, L127="submitted", I127+30, TRUE, "N/A")), _xlfn.IFS(L127="AS", J127+15, L127="NCR", J127+30, L127="submitted", J127+30, TRUE, "N/A"))</f>
        <v>N/A</v>
      </c>
      <c r="L127" s="14"/>
      <c r="M127" s="317"/>
      <c r="N127" s="746"/>
      <c r="O127" s="764"/>
      <c r="P127" s="764"/>
      <c r="Q127" s="765"/>
    </row>
    <row r="128" spans="2:17" ht="15" customHeight="1">
      <c r="B128" s="9"/>
      <c r="C128" s="310" t="s">
        <v>941</v>
      </c>
      <c r="D128" s="232" t="s">
        <v>942</v>
      </c>
      <c r="E128" s="142"/>
      <c r="F128" s="140"/>
      <c r="G128" s="141" t="s">
        <v>443</v>
      </c>
      <c r="H128" s="13" t="s">
        <v>948</v>
      </c>
      <c r="I128" s="9"/>
      <c r="J128" s="9"/>
      <c r="K128" s="74"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ht="15" customHeight="1">
      <c r="B129" s="9"/>
      <c r="C129" s="310" t="s">
        <v>941</v>
      </c>
      <c r="D129" s="232" t="s">
        <v>942</v>
      </c>
      <c r="E129" s="142"/>
      <c r="F129" s="140"/>
      <c r="G129" s="141" t="s">
        <v>445</v>
      </c>
      <c r="H129" s="13" t="s">
        <v>949</v>
      </c>
      <c r="I129" s="9"/>
      <c r="J129" s="9"/>
      <c r="K129" s="74"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ht="15" customHeight="1">
      <c r="B130" s="9"/>
      <c r="C130" s="310" t="s">
        <v>941</v>
      </c>
      <c r="D130" s="232" t="s">
        <v>942</v>
      </c>
      <c r="E130" s="142"/>
      <c r="F130" s="140"/>
      <c r="G130" s="141" t="s">
        <v>470</v>
      </c>
      <c r="H130" s="13" t="s">
        <v>950</v>
      </c>
      <c r="I130" s="9"/>
      <c r="J130" s="9"/>
      <c r="K130" s="74"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ht="15" customHeight="1">
      <c r="B131" s="9"/>
      <c r="C131" s="310" t="s">
        <v>941</v>
      </c>
      <c r="D131" s="232" t="s">
        <v>942</v>
      </c>
      <c r="E131" s="142"/>
      <c r="F131" s="140"/>
      <c r="G131" s="141" t="s">
        <v>455</v>
      </c>
      <c r="H131" s="13" t="s">
        <v>951</v>
      </c>
      <c r="I131" s="9"/>
      <c r="J131" s="9"/>
      <c r="K131" s="74" t="str" cm="1">
        <f t="array" ref="K131">IF(ISBLANK(J131), IF(ISBLANK(I131), "N/A", _xlfn.IFS(L131="AS", I131+15, L131="NCR", I131+30, L131="submitted", I131+30, TRUE, "N/A")), _xlfn.IFS(L131="AS", J131+15, L131="NCR", J131+30, L131="submitted", J131+30, TRUE, "N/A"))</f>
        <v>N/A</v>
      </c>
      <c r="L131" s="14"/>
      <c r="M131" s="317"/>
      <c r="N131" s="802"/>
      <c r="O131" s="803"/>
      <c r="P131" s="803"/>
      <c r="Q131" s="804"/>
    </row>
    <row r="132" spans="2:17" ht="15" customHeight="1">
      <c r="B132" s="9"/>
      <c r="C132" s="310" t="s">
        <v>941</v>
      </c>
      <c r="D132" s="232" t="s">
        <v>942</v>
      </c>
      <c r="E132" s="142"/>
      <c r="F132" s="140"/>
      <c r="G132" s="141" t="s">
        <v>457</v>
      </c>
      <c r="H132" s="13" t="s">
        <v>952</v>
      </c>
      <c r="I132" s="9"/>
      <c r="J132" s="9"/>
      <c r="K132" s="74" t="str" cm="1">
        <f t="array" ref="K132">IF(ISBLANK(J132), IF(ISBLANK(I132), "N/A", _xlfn.IFS(L132="AS", I132+15, L132="NCR", I132+30, L132="submitted", I132+30, TRUE, "N/A")), _xlfn.IFS(L132="AS", J132+15, L132="NCR", J132+30, L132="submitted", J132+30, TRUE, "N/A"))</f>
        <v>N/A</v>
      </c>
      <c r="L132" s="14"/>
      <c r="M132" s="317"/>
      <c r="N132" s="802"/>
      <c r="O132" s="803"/>
      <c r="P132" s="803"/>
      <c r="Q132" s="804"/>
    </row>
    <row r="133" spans="2:17" ht="15" customHeight="1">
      <c r="B133" s="9"/>
      <c r="C133" s="310" t="s">
        <v>941</v>
      </c>
      <c r="D133" s="232" t="s">
        <v>942</v>
      </c>
      <c r="E133" s="142"/>
      <c r="F133" s="140"/>
      <c r="G133" s="141" t="s">
        <v>459</v>
      </c>
      <c r="H133" s="13" t="s">
        <v>953</v>
      </c>
      <c r="I133" s="9"/>
      <c r="J133" s="9"/>
      <c r="K133" s="74" t="str" cm="1">
        <f t="array" ref="K133">IF(ISBLANK(J133), IF(ISBLANK(I133), "N/A", _xlfn.IFS(L133="AS", I133+15, L133="NCR", I133+30, L133="submitted", I133+30, TRUE, "N/A")), _xlfn.IFS(L133="AS", J133+15, L133="NCR", J133+30, L133="submitted", J133+30, TRUE, "N/A"))</f>
        <v>N/A</v>
      </c>
      <c r="L133" s="14"/>
      <c r="M133" s="318"/>
      <c r="N133" s="802"/>
      <c r="O133" s="803"/>
      <c r="P133" s="803"/>
      <c r="Q133" s="804"/>
    </row>
    <row r="134" spans="2:17" ht="15" customHeight="1">
      <c r="B134" s="9"/>
      <c r="C134" s="310" t="s">
        <v>941</v>
      </c>
      <c r="D134" s="232" t="s">
        <v>942</v>
      </c>
      <c r="E134" s="142"/>
      <c r="F134" s="140"/>
      <c r="G134" s="141" t="s">
        <v>461</v>
      </c>
      <c r="H134" s="13" t="s">
        <v>954</v>
      </c>
      <c r="I134" s="9"/>
      <c r="J134" s="9"/>
      <c r="K134" s="74" t="str" cm="1">
        <f t="array" ref="K134">IF(ISBLANK(J134), IF(ISBLANK(I134), "N/A", _xlfn.IFS(L134="AS", I134+15, L134="NCR", I134+30, L134="submitted", I134+30, TRUE, "N/A")), _xlfn.IFS(L134="AS", J134+15, L134="NCR", J134+30, L134="submitted", J134+30, TRUE, "N/A"))</f>
        <v>N/A</v>
      </c>
      <c r="L134" s="14"/>
      <c r="M134" s="317"/>
      <c r="N134" s="802"/>
      <c r="O134" s="803"/>
      <c r="P134" s="803"/>
      <c r="Q134" s="804"/>
    </row>
    <row r="135" spans="2:17" ht="15" customHeight="1">
      <c r="B135" s="9"/>
      <c r="C135" s="310" t="s">
        <v>941</v>
      </c>
      <c r="D135" s="232" t="s">
        <v>942</v>
      </c>
      <c r="E135" s="142"/>
      <c r="F135" s="140"/>
      <c r="G135" s="141" t="s">
        <v>955</v>
      </c>
      <c r="H135" s="13" t="s">
        <v>956</v>
      </c>
      <c r="I135" s="9"/>
      <c r="J135" s="9"/>
      <c r="K135" s="74" t="str" cm="1">
        <f t="array" ref="K135">IF(ISBLANK(J135), IF(ISBLANK(I135), "N/A", _xlfn.IFS(L135="AS", I135+15, L135="NCR", I135+30, L135="submitted", I135+30, TRUE, "N/A")), _xlfn.IFS(L135="AS", J135+15, L135="NCR", J135+30, L135="submitted", J135+30, TRUE, "N/A"))</f>
        <v>N/A</v>
      </c>
      <c r="L135" s="14"/>
      <c r="M135" s="317"/>
      <c r="N135" s="802"/>
      <c r="O135" s="803"/>
      <c r="P135" s="803"/>
      <c r="Q135" s="804"/>
    </row>
    <row r="136" spans="2:17" ht="15" customHeight="1">
      <c r="B136" s="9"/>
      <c r="C136" s="310" t="s">
        <v>941</v>
      </c>
      <c r="D136" s="232" t="s">
        <v>942</v>
      </c>
      <c r="E136" s="583"/>
      <c r="F136" s="140"/>
      <c r="G136" s="141" t="s">
        <v>957</v>
      </c>
      <c r="H136" s="13" t="s">
        <v>696</v>
      </c>
      <c r="I136" s="9"/>
      <c r="J136" s="9"/>
      <c r="K136" s="74" t="str" cm="1">
        <f t="array" ref="K136">IF(ISBLANK(J136), IF(ISBLANK(I136), "N/A", _xlfn.IFS(L136="AS", I136+15, L136="NCR", I136+30, L136="submitted", I136+30, TRUE, "N/A")), _xlfn.IFS(L136="AS", J136+15, L136="NCR", J136+30, L136="submitted", J136+30, TRUE, "N/A"))</f>
        <v>N/A</v>
      </c>
      <c r="L136" s="14"/>
      <c r="M136" s="317"/>
      <c r="N136" s="802"/>
      <c r="O136" s="803"/>
      <c r="P136" s="803"/>
      <c r="Q136" s="804"/>
    </row>
    <row r="137" spans="2:17" ht="15" customHeight="1">
      <c r="B137" s="582"/>
      <c r="C137" s="581" t="s">
        <v>958</v>
      </c>
      <c r="D137" s="143" t="s">
        <v>959</v>
      </c>
      <c r="E137" s="143"/>
      <c r="F137" s="5"/>
      <c r="G137" s="4" t="s">
        <v>234</v>
      </c>
      <c r="H137" s="17" t="s">
        <v>960</v>
      </c>
      <c r="I137" s="4"/>
      <c r="J137" s="4"/>
      <c r="K137" s="74"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ht="27" customHeight="1">
      <c r="B138" s="582"/>
      <c r="C138" s="581"/>
      <c r="D138" s="143" t="s">
        <v>959</v>
      </c>
      <c r="E138" s="143"/>
      <c r="F138" s="5"/>
      <c r="G138" s="4" t="s">
        <v>236</v>
      </c>
      <c r="H138" s="3" t="s">
        <v>961</v>
      </c>
      <c r="I138" s="4"/>
      <c r="J138" s="4"/>
      <c r="K138" s="74" t="str" cm="1">
        <f t="array" ref="K138">IF(ISBLANK(J138), IF(ISBLANK(I138), "N/A", _xlfn.IFS(L138="AS", I138+15, L138="NCR", I138+30, L138="submitted", I138+30, TRUE, "N/A")), _xlfn.IFS(L138="AS", J138+15, L138="NCR", J138+30, L138="submitted", J138+30, TRUE, "N/A"))</f>
        <v>N/A</v>
      </c>
      <c r="L138" s="18"/>
      <c r="M138" s="317"/>
      <c r="N138" s="802"/>
      <c r="O138" s="803"/>
      <c r="P138" s="803"/>
      <c r="Q138" s="804"/>
    </row>
    <row r="139" spans="2:17" ht="15" customHeight="1">
      <c r="B139" s="582"/>
      <c r="C139" s="581"/>
      <c r="D139" s="143" t="s">
        <v>959</v>
      </c>
      <c r="E139" s="143"/>
      <c r="F139" s="5"/>
      <c r="G139" s="4" t="s">
        <v>337</v>
      </c>
      <c r="H139" s="17" t="s">
        <v>282</v>
      </c>
      <c r="I139" s="4"/>
      <c r="J139" s="4"/>
      <c r="K139" s="74" t="str" cm="1">
        <f t="array" ref="K139">IF(ISBLANK(J139), IF(ISBLANK(I139), "N/A", _xlfn.IFS(L139="AS", I139+15, L139="NCR", I139+30, L139="submitted", I139+30, TRUE, "N/A")), _xlfn.IFS(L139="AS", J139+15, L139="NCR", J139+30, L139="submitted", J139+30, TRUE, "N/A"))</f>
        <v>N/A</v>
      </c>
      <c r="L139" s="18"/>
      <c r="M139" s="317"/>
      <c r="N139" s="802"/>
      <c r="O139" s="803"/>
      <c r="P139" s="803"/>
      <c r="Q139" s="804"/>
    </row>
    <row r="140" spans="2:17" ht="15" customHeight="1">
      <c r="B140" s="582"/>
      <c r="C140" s="581"/>
      <c r="D140" s="143" t="s">
        <v>959</v>
      </c>
      <c r="E140" s="143"/>
      <c r="F140" s="5"/>
      <c r="G140" s="4" t="s">
        <v>404</v>
      </c>
      <c r="H140" s="17" t="s">
        <v>946</v>
      </c>
      <c r="I140" s="4"/>
      <c r="J140" s="4"/>
      <c r="K140" s="74" t="str" cm="1">
        <f t="array" ref="K140">IF(ISBLANK(J140), IF(ISBLANK(I140), "N/A", _xlfn.IFS(L140="AS", I140+15, L140="NCR", I140+30, L140="submitted", I140+30, TRUE, "N/A")), _xlfn.IFS(L140="AS", J140+15, L140="NCR", J140+30, L140="submitted", J140+30, TRUE, "N/A"))</f>
        <v>N/A</v>
      </c>
      <c r="L140" s="18"/>
      <c r="M140" s="317"/>
      <c r="N140" s="802"/>
      <c r="O140" s="803"/>
      <c r="P140" s="803"/>
      <c r="Q140" s="804"/>
    </row>
    <row r="141" spans="2:17" ht="15" customHeight="1">
      <c r="B141" s="582"/>
      <c r="C141" s="581"/>
      <c r="D141" s="143" t="s">
        <v>959</v>
      </c>
      <c r="E141" s="143"/>
      <c r="F141" s="5"/>
      <c r="G141" s="4" t="s">
        <v>405</v>
      </c>
      <c r="H141" s="17" t="s">
        <v>803</v>
      </c>
      <c r="I141" s="4"/>
      <c r="J141" s="4"/>
      <c r="K141" s="74" t="str" cm="1">
        <f t="array" ref="K141">IF(ISBLANK(J141), IF(ISBLANK(I141), "N/A", _xlfn.IFS(L141="AS", I141+15, L141="NCR", I141+30, L141="submitted", I141+30, TRUE, "N/A")), _xlfn.IFS(L141="AS", J141+15, L141="NCR", J141+30, L141="submitted", J141+30, TRUE, "N/A"))</f>
        <v>N/A</v>
      </c>
      <c r="L141" s="18"/>
      <c r="M141" s="317"/>
      <c r="N141" s="802"/>
      <c r="O141" s="803"/>
      <c r="P141" s="803"/>
      <c r="Q141" s="804"/>
    </row>
    <row r="142" spans="2:17" ht="15" customHeight="1">
      <c r="B142" s="582"/>
      <c r="C142" s="581"/>
      <c r="D142" s="143" t="s">
        <v>959</v>
      </c>
      <c r="E142" s="143"/>
      <c r="F142" s="5"/>
      <c r="G142" s="4" t="s">
        <v>346</v>
      </c>
      <c r="H142" s="3" t="s">
        <v>962</v>
      </c>
      <c r="I142" s="4"/>
      <c r="J142" s="4"/>
      <c r="K142" s="74" t="str" cm="1">
        <f t="array" ref="K142">IF(ISBLANK(J142), IF(ISBLANK(I142), "N/A", _xlfn.IFS(L142="AS", I142+15, L142="NCR", I142+30, L142="submitted", I142+30, TRUE, "N/A")), _xlfn.IFS(L142="AS", J142+15, L142="NCR", J142+30, L142="submitted", J142+30, TRUE, "N/A"))</f>
        <v>N/A</v>
      </c>
      <c r="L142" s="18"/>
      <c r="M142" s="317"/>
      <c r="N142" s="802"/>
      <c r="O142" s="803"/>
      <c r="P142" s="803"/>
      <c r="Q142" s="804"/>
    </row>
    <row r="143" spans="2:17" ht="15" customHeight="1">
      <c r="B143" s="582"/>
      <c r="C143" s="581"/>
      <c r="D143" s="143" t="s">
        <v>959</v>
      </c>
      <c r="E143" s="143"/>
      <c r="F143" s="5"/>
      <c r="G143" s="4" t="s">
        <v>745</v>
      </c>
      <c r="H143" s="3" t="s">
        <v>963</v>
      </c>
      <c r="I143" s="4"/>
      <c r="J143" s="4"/>
      <c r="K143" s="74" t="str" cm="1">
        <f t="array" ref="K143">IF(ISBLANK(J143), IF(ISBLANK(I143), "N/A", _xlfn.IFS(L143="AS", I143+15, L143="NCR", I143+30, L143="submitted", I143+30, TRUE, "N/A")), _xlfn.IFS(L143="AS", J143+15, L143="NCR", J143+30, L143="submitted", J143+30, TRUE, "N/A"))</f>
        <v>N/A</v>
      </c>
      <c r="L143" s="18"/>
      <c r="M143" s="317"/>
      <c r="N143" s="802"/>
      <c r="O143" s="803"/>
      <c r="P143" s="803"/>
      <c r="Q143" s="804"/>
    </row>
    <row r="144" spans="2:17" ht="15" customHeight="1">
      <c r="B144" s="582"/>
      <c r="C144" s="581"/>
      <c r="D144" s="143" t="s">
        <v>959</v>
      </c>
      <c r="E144" s="143"/>
      <c r="F144" s="5"/>
      <c r="G144" s="4" t="s">
        <v>408</v>
      </c>
      <c r="H144" s="17" t="s">
        <v>964</v>
      </c>
      <c r="I144" s="4"/>
      <c r="J144" s="4"/>
      <c r="K144" s="74" t="str" cm="1">
        <f t="array" ref="K144">IF(ISBLANK(J144), IF(ISBLANK(I144), "N/A", _xlfn.IFS(L144="AS", I144+15, L144="NCR", I144+30, L144="submitted", I144+30, TRUE, "N/A")), _xlfn.IFS(L144="AS", J144+15, L144="NCR", J144+30, L144="submitted", J144+30, TRUE, "N/A"))</f>
        <v>N/A</v>
      </c>
      <c r="L144" s="18"/>
      <c r="M144" s="317"/>
      <c r="N144" s="802"/>
      <c r="O144" s="803"/>
      <c r="P144" s="803"/>
      <c r="Q144" s="804"/>
    </row>
    <row r="145" spans="2:17" ht="15" customHeight="1">
      <c r="B145" s="582"/>
      <c r="C145" s="581"/>
      <c r="D145" s="143" t="s">
        <v>959</v>
      </c>
      <c r="E145" s="143"/>
      <c r="F145" s="5"/>
      <c r="G145" s="4" t="s">
        <v>441</v>
      </c>
      <c r="H145" s="17" t="s">
        <v>965</v>
      </c>
      <c r="I145" s="4"/>
      <c r="J145" s="4"/>
      <c r="K145" s="74" t="str" cm="1">
        <f t="array" ref="K145">IF(ISBLANK(J145), IF(ISBLANK(I145), "N/A", _xlfn.IFS(L145="AS", I145+15, L145="NCR", I145+30, L145="submitted", I145+30, TRUE, "N/A")), _xlfn.IFS(L145="AS", J145+15, L145="NCR", J145+30, L145="submitted", J145+30, TRUE, "N/A"))</f>
        <v>N/A</v>
      </c>
      <c r="L145" s="18"/>
      <c r="M145" s="317"/>
      <c r="N145" s="802"/>
      <c r="O145" s="803"/>
      <c r="P145" s="803"/>
      <c r="Q145" s="804"/>
    </row>
    <row r="146" spans="2:17" ht="15" customHeight="1">
      <c r="B146" s="582"/>
      <c r="C146" s="581"/>
      <c r="D146" s="143" t="s">
        <v>959</v>
      </c>
      <c r="E146" s="143"/>
      <c r="F146" s="5"/>
      <c r="G146" s="4" t="s">
        <v>443</v>
      </c>
      <c r="H146" s="17" t="s">
        <v>966</v>
      </c>
      <c r="I146" s="4"/>
      <c r="J146" s="4"/>
      <c r="K146" s="74"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ht="27" customHeight="1">
      <c r="B147" s="582"/>
      <c r="C147" s="581"/>
      <c r="D147" s="143" t="s">
        <v>959</v>
      </c>
      <c r="E147" s="143"/>
      <c r="F147" s="5"/>
      <c r="G147" s="4" t="s">
        <v>445</v>
      </c>
      <c r="H147" s="3" t="s">
        <v>967</v>
      </c>
      <c r="I147" s="4"/>
      <c r="J147" s="4"/>
      <c r="K147" s="74" t="str" cm="1">
        <f t="array" ref="K147">IF(ISBLANK(J147), IF(ISBLANK(I147), "N/A", _xlfn.IFS(L147="AS", I147+15, L147="NCR", I147+30, L147="submitted", I147+30, TRUE, "N/A")), _xlfn.IFS(L147="AS", J147+15, L147="NCR", J147+30, L147="submitted", J147+30, TRUE, "N/A"))</f>
        <v>N/A</v>
      </c>
      <c r="L147" s="18"/>
      <c r="M147" s="317"/>
      <c r="N147" s="802"/>
      <c r="O147" s="803"/>
      <c r="P147" s="803"/>
      <c r="Q147" s="804"/>
    </row>
    <row r="148" spans="2:17" ht="15" customHeight="1">
      <c r="B148" s="582"/>
      <c r="C148" s="581"/>
      <c r="D148" s="143" t="s">
        <v>959</v>
      </c>
      <c r="E148" s="143"/>
      <c r="F148" s="5"/>
      <c r="G148" s="4" t="s">
        <v>470</v>
      </c>
      <c r="H148" s="17" t="s">
        <v>696</v>
      </c>
      <c r="I148" s="4"/>
      <c r="J148" s="4"/>
      <c r="K148" s="74"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ht="27" customHeight="1">
      <c r="B149" s="582"/>
      <c r="C149" s="581"/>
      <c r="D149" s="143" t="s">
        <v>959</v>
      </c>
      <c r="E149" s="143"/>
      <c r="F149" s="5"/>
      <c r="G149" s="4" t="s">
        <v>455</v>
      </c>
      <c r="H149" s="3" t="s">
        <v>968</v>
      </c>
      <c r="I149" s="4"/>
      <c r="J149" s="4"/>
      <c r="K149" s="74"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ht="15" customHeight="1">
      <c r="B150" s="182"/>
      <c r="C150" s="564" t="s">
        <v>969</v>
      </c>
      <c r="D150" s="142" t="s">
        <v>970</v>
      </c>
      <c r="E150" s="142"/>
      <c r="F150" s="1"/>
      <c r="G150" s="9" t="s">
        <v>336</v>
      </c>
      <c r="H150" s="13" t="s">
        <v>436</v>
      </c>
      <c r="I150" s="9"/>
      <c r="J150" s="9"/>
      <c r="K150" s="74" t="str" cm="1">
        <f t="array" ref="K150">IF(ISBLANK(J150), IF(ISBLANK(I150), "N/A", _xlfn.IFS(L150="AS", I150+15, L150="NCR", I150+30, L150="submitted", I150+30, TRUE, "N/A")), _xlfn.IFS(L150="AS", J150+15, L150="NCR", J150+30, L150="submitted", J150+30, TRUE, "N/A"))</f>
        <v>N/A</v>
      </c>
      <c r="L150" s="14"/>
      <c r="M150" s="317"/>
      <c r="N150" s="802"/>
      <c r="O150" s="803"/>
      <c r="P150" s="803"/>
      <c r="Q150" s="804"/>
    </row>
    <row r="151" spans="2:17" ht="15" customHeight="1">
      <c r="B151" s="182"/>
      <c r="C151" s="564"/>
      <c r="D151" s="142" t="s">
        <v>970</v>
      </c>
      <c r="E151" s="142"/>
      <c r="F151" s="1"/>
      <c r="G151" s="9" t="s">
        <v>337</v>
      </c>
      <c r="H151" s="13" t="s">
        <v>282</v>
      </c>
      <c r="I151" s="9"/>
      <c r="J151" s="9"/>
      <c r="K151" s="74" t="str" cm="1">
        <f t="array" ref="K151">IF(ISBLANK(J151), IF(ISBLANK(I151), "N/A", _xlfn.IFS(L151="AS", I151+15, L151="NCR", I151+30, L151="submitted", I151+30, TRUE, "N/A")), _xlfn.IFS(L151="AS", J151+15, L151="NCR", J151+30, L151="submitted", J151+30, TRUE, "N/A"))</f>
        <v>N/A</v>
      </c>
      <c r="L151" s="14"/>
      <c r="M151" s="317"/>
      <c r="N151" s="802"/>
      <c r="O151" s="803"/>
      <c r="P151" s="803"/>
      <c r="Q151" s="804"/>
    </row>
    <row r="152" spans="2:17" ht="15" customHeight="1">
      <c r="B152" s="182"/>
      <c r="C152" s="564"/>
      <c r="D152" s="142" t="s">
        <v>970</v>
      </c>
      <c r="E152" s="142"/>
      <c r="F152" s="1"/>
      <c r="G152" s="9" t="s">
        <v>404</v>
      </c>
      <c r="H152" s="7" t="s">
        <v>971</v>
      </c>
      <c r="I152" s="9"/>
      <c r="J152" s="9"/>
      <c r="K152" s="74"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ht="15" customHeight="1">
      <c r="B153" s="182"/>
      <c r="C153" s="564"/>
      <c r="D153" s="142" t="s">
        <v>970</v>
      </c>
      <c r="E153" s="142"/>
      <c r="F153" s="1"/>
      <c r="G153" s="9" t="s">
        <v>405</v>
      </c>
      <c r="H153" s="13" t="s">
        <v>972</v>
      </c>
      <c r="I153" s="9"/>
      <c r="J153" s="9"/>
      <c r="K153" s="74"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ht="15" customHeight="1">
      <c r="B154" s="182"/>
      <c r="C154" s="564"/>
      <c r="D154" s="142" t="s">
        <v>970</v>
      </c>
      <c r="E154" s="142"/>
      <c r="F154" s="1"/>
      <c r="G154" s="9" t="s">
        <v>346</v>
      </c>
      <c r="H154" s="7" t="s">
        <v>973</v>
      </c>
      <c r="I154" s="9"/>
      <c r="J154" s="9"/>
      <c r="K154" s="74"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ht="15" customHeight="1">
      <c r="B155" s="182"/>
      <c r="C155" s="564"/>
      <c r="D155" s="142" t="s">
        <v>970</v>
      </c>
      <c r="E155" s="142"/>
      <c r="F155" s="1"/>
      <c r="G155" s="9" t="s">
        <v>745</v>
      </c>
      <c r="H155" s="13" t="s">
        <v>974</v>
      </c>
      <c r="I155" s="9"/>
      <c r="J155" s="9"/>
      <c r="K155" s="74"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ht="15" customHeight="1">
      <c r="B156" s="182"/>
      <c r="C156" s="564"/>
      <c r="D156" s="142" t="s">
        <v>970</v>
      </c>
      <c r="E156" s="142"/>
      <c r="F156" s="1"/>
      <c r="G156" s="9" t="s">
        <v>975</v>
      </c>
      <c r="H156" s="13" t="s">
        <v>976</v>
      </c>
      <c r="I156" s="9"/>
      <c r="J156" s="9"/>
      <c r="K156" s="74"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ht="27" customHeight="1">
      <c r="B157" s="182"/>
      <c r="C157" s="564"/>
      <c r="D157" s="142" t="s">
        <v>970</v>
      </c>
      <c r="E157" s="142"/>
      <c r="F157" s="1"/>
      <c r="G157" s="9" t="s">
        <v>408</v>
      </c>
      <c r="H157" s="7" t="s">
        <v>977</v>
      </c>
      <c r="I157" s="9"/>
      <c r="J157" s="9"/>
      <c r="K157" s="74" t="str" cm="1">
        <f t="array" ref="K157">IF(ISBLANK(J157), IF(ISBLANK(I157), "N/A", _xlfn.IFS(L157="AS", I157+15, L157="NCR", I157+30, L157="submitted", I157+30, TRUE, "N/A")), _xlfn.IFS(L157="AS", J157+15, L157="NCR", J157+30, L157="submitted", J157+30, TRUE, "N/A"))</f>
        <v>N/A</v>
      </c>
      <c r="L157" s="14"/>
      <c r="M157" s="317"/>
      <c r="N157" s="802"/>
      <c r="O157" s="803"/>
      <c r="P157" s="803"/>
      <c r="Q157" s="804"/>
    </row>
    <row r="158" spans="2:17" ht="27" customHeight="1">
      <c r="B158" s="182"/>
      <c r="C158" s="564"/>
      <c r="D158" s="142" t="s">
        <v>970</v>
      </c>
      <c r="E158" s="142"/>
      <c r="F158" s="1"/>
      <c r="G158" s="9" t="s">
        <v>441</v>
      </c>
      <c r="H158" s="7" t="s">
        <v>978</v>
      </c>
      <c r="I158" s="9"/>
      <c r="J158" s="9"/>
      <c r="K158" s="74" t="str" cm="1">
        <f t="array" ref="K158">IF(ISBLANK(J158), IF(ISBLANK(I158), "N/A", _xlfn.IFS(L158="AS", I158+15, L158="NCR", I158+30, L158="submitted", I158+30, TRUE, "N/A")), _xlfn.IFS(L158="AS", J158+15, L158="NCR", J158+30, L158="submitted", J158+30, TRUE, "N/A"))</f>
        <v>N/A</v>
      </c>
      <c r="L158" s="14"/>
      <c r="M158" s="317"/>
      <c r="N158" s="802"/>
      <c r="O158" s="803"/>
      <c r="P158" s="803"/>
      <c r="Q158" s="804"/>
    </row>
    <row r="159" spans="2:17" ht="15" customHeight="1">
      <c r="B159" s="182"/>
      <c r="C159" s="564"/>
      <c r="D159" s="142" t="s">
        <v>970</v>
      </c>
      <c r="E159" s="142"/>
      <c r="F159" s="1"/>
      <c r="G159" s="9" t="s">
        <v>443</v>
      </c>
      <c r="H159" s="13" t="s">
        <v>979</v>
      </c>
      <c r="I159" s="9"/>
      <c r="J159" s="9"/>
      <c r="K159" s="74"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ht="15" customHeight="1">
      <c r="B160" s="182"/>
      <c r="C160" s="564"/>
      <c r="D160" s="142" t="s">
        <v>970</v>
      </c>
      <c r="E160" s="142"/>
      <c r="F160" s="1"/>
      <c r="G160" s="9" t="s">
        <v>445</v>
      </c>
      <c r="H160" s="7" t="s">
        <v>980</v>
      </c>
      <c r="I160" s="9"/>
      <c r="J160" s="9"/>
      <c r="K160" s="74"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ht="15" customHeight="1">
      <c r="B161" s="182"/>
      <c r="C161" s="564"/>
      <c r="D161" s="142" t="s">
        <v>970</v>
      </c>
      <c r="E161" s="142"/>
      <c r="F161" s="1"/>
      <c r="G161" s="9" t="s">
        <v>447</v>
      </c>
      <c r="H161" s="13" t="s">
        <v>981</v>
      </c>
      <c r="I161" s="9"/>
      <c r="J161" s="9"/>
      <c r="K161" s="74"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ht="15" customHeight="1">
      <c r="B162" s="182"/>
      <c r="C162" s="564"/>
      <c r="D162" s="142" t="s">
        <v>970</v>
      </c>
      <c r="E162" s="142"/>
      <c r="F162" s="1"/>
      <c r="G162" s="9" t="s">
        <v>982</v>
      </c>
      <c r="H162" s="7" t="s">
        <v>983</v>
      </c>
      <c r="I162" s="9"/>
      <c r="J162" s="9"/>
      <c r="K162" s="74"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ht="15" customHeight="1">
      <c r="B163" s="182"/>
      <c r="C163" s="564"/>
      <c r="D163" s="142" t="s">
        <v>970</v>
      </c>
      <c r="E163" s="142"/>
      <c r="F163" s="1"/>
      <c r="G163" s="9" t="s">
        <v>984</v>
      </c>
      <c r="H163" s="7" t="s">
        <v>985</v>
      </c>
      <c r="I163" s="9"/>
      <c r="J163" s="9"/>
      <c r="K163" s="74"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ht="15" customHeight="1">
      <c r="B164" s="182"/>
      <c r="C164" s="564"/>
      <c r="D164" s="142" t="s">
        <v>970</v>
      </c>
      <c r="E164" s="142"/>
      <c r="F164" s="1"/>
      <c r="G164" s="9" t="s">
        <v>986</v>
      </c>
      <c r="H164" s="7" t="s">
        <v>987</v>
      </c>
      <c r="I164" s="9"/>
      <c r="J164" s="9"/>
      <c r="K164" s="74"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ht="15" customHeight="1">
      <c r="B165" s="182"/>
      <c r="C165" s="564"/>
      <c r="D165" s="142" t="s">
        <v>970</v>
      </c>
      <c r="E165" s="142"/>
      <c r="F165" s="1"/>
      <c r="G165" s="9" t="s">
        <v>988</v>
      </c>
      <c r="H165" s="7" t="s">
        <v>989</v>
      </c>
      <c r="I165" s="9"/>
      <c r="J165" s="9"/>
      <c r="K165" s="74"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ht="15" customHeight="1">
      <c r="B166" s="182"/>
      <c r="C166" s="564"/>
      <c r="D166" s="142" t="s">
        <v>970</v>
      </c>
      <c r="E166" s="142"/>
      <c r="F166" s="1"/>
      <c r="G166" s="9" t="s">
        <v>451</v>
      </c>
      <c r="H166" s="13" t="s">
        <v>990</v>
      </c>
      <c r="I166" s="9"/>
      <c r="J166" s="9"/>
      <c r="K166" s="74"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ht="15" customHeight="1">
      <c r="B167" s="182"/>
      <c r="C167" s="564"/>
      <c r="D167" s="142" t="s">
        <v>970</v>
      </c>
      <c r="E167" s="142"/>
      <c r="F167" s="1"/>
      <c r="G167" s="9" t="s">
        <v>991</v>
      </c>
      <c r="H167" s="13" t="s">
        <v>992</v>
      </c>
      <c r="I167" s="9"/>
      <c r="J167" s="9"/>
      <c r="K167" s="74" t="str" cm="1">
        <f t="array" ref="K167">IF(ISBLANK(J167), IF(ISBLANK(I167), "N/A", _xlfn.IFS(L167="AS", I167+15, L167="NCR", I167+30, L167="submitted", I167+30, TRUE, "N/A")), _xlfn.IFS(L167="AS", J167+15, L167="NCR", J167+30, L167="submitted", J167+30, TRUE, "N/A"))</f>
        <v>N/A</v>
      </c>
      <c r="L167" s="14"/>
      <c r="M167" s="317"/>
      <c r="N167" s="802"/>
      <c r="O167" s="803"/>
      <c r="P167" s="803"/>
      <c r="Q167" s="804"/>
    </row>
    <row r="168" spans="2:17" ht="40.5" customHeight="1">
      <c r="B168" s="182"/>
      <c r="C168" s="564"/>
      <c r="D168" s="142" t="s">
        <v>970</v>
      </c>
      <c r="E168" s="142"/>
      <c r="F168" s="1"/>
      <c r="G168" s="9" t="s">
        <v>993</v>
      </c>
      <c r="H168" s="7" t="s">
        <v>994</v>
      </c>
      <c r="I168" s="9"/>
      <c r="J168" s="9"/>
      <c r="K168" s="74" t="str" cm="1">
        <f t="array" ref="K168">IF(ISBLANK(J168), IF(ISBLANK(I168), "N/A", _xlfn.IFS(L168="AS", I168+15, L168="NCR", I168+30, L168="submitted", I168+30, TRUE, "N/A")), _xlfn.IFS(L168="AS", J168+15, L168="NCR", J168+30, L168="submitted", J168+30, TRUE, "N/A"))</f>
        <v>N/A</v>
      </c>
      <c r="L168" s="14"/>
      <c r="M168" s="317"/>
      <c r="N168" s="802"/>
      <c r="O168" s="803"/>
      <c r="P168" s="803"/>
      <c r="Q168" s="804"/>
    </row>
    <row r="169" spans="2:17" ht="15" customHeight="1">
      <c r="B169" s="182"/>
      <c r="C169" s="564"/>
      <c r="D169" s="142" t="s">
        <v>970</v>
      </c>
      <c r="E169" s="142"/>
      <c r="F169" s="1"/>
      <c r="G169" s="9" t="s">
        <v>995</v>
      </c>
      <c r="H169" s="13" t="s">
        <v>996</v>
      </c>
      <c r="I169" s="9"/>
      <c r="J169" s="9"/>
      <c r="K169" s="74" t="str" cm="1">
        <f t="array" ref="K169">IF(ISBLANK(J169), IF(ISBLANK(I169), "N/A", _xlfn.IFS(L169="AS", I169+15, L169="NCR", I169+30, L169="submitted", I169+30, TRUE, "N/A")), _xlfn.IFS(L169="AS", J169+15, L169="NCR", J169+30, L169="submitted", J169+30, TRUE, "N/A"))</f>
        <v>N/A</v>
      </c>
      <c r="L169" s="14"/>
      <c r="M169" s="317"/>
      <c r="N169" s="802"/>
      <c r="O169" s="803"/>
      <c r="P169" s="803"/>
      <c r="Q169" s="804"/>
    </row>
    <row r="170" spans="2:17" ht="15" customHeight="1">
      <c r="B170" s="182"/>
      <c r="C170" s="564"/>
      <c r="D170" s="142" t="s">
        <v>970</v>
      </c>
      <c r="E170" s="142"/>
      <c r="F170" s="1"/>
      <c r="G170" s="9" t="s">
        <v>997</v>
      </c>
      <c r="H170" s="13" t="s">
        <v>998</v>
      </c>
      <c r="I170" s="9"/>
      <c r="J170" s="9"/>
      <c r="K170" s="74" t="str" cm="1">
        <f t="array" ref="K170">IF(ISBLANK(J170), IF(ISBLANK(I170), "N/A", _xlfn.IFS(L170="AS", I170+15, L170="NCR", I170+30, L170="submitted", I170+30, TRUE, "N/A")), _xlfn.IFS(L170="AS", J170+15, L170="NCR", J170+30, L170="submitted", J170+30, TRUE, "N/A"))</f>
        <v>N/A</v>
      </c>
      <c r="L170" s="14"/>
      <c r="M170" s="317"/>
      <c r="N170" s="802"/>
      <c r="O170" s="803"/>
      <c r="P170" s="803"/>
      <c r="Q170" s="804"/>
    </row>
    <row r="171" spans="2:17" ht="15" customHeight="1">
      <c r="B171" s="182"/>
      <c r="C171" s="564"/>
      <c r="D171" s="142" t="s">
        <v>970</v>
      </c>
      <c r="E171" s="142"/>
      <c r="F171" s="1"/>
      <c r="G171" s="9" t="s">
        <v>999</v>
      </c>
      <c r="H171" s="7" t="s">
        <v>1000</v>
      </c>
      <c r="I171" s="9"/>
      <c r="J171" s="9"/>
      <c r="K171" s="74" t="str" cm="1">
        <f t="array" ref="K171">IF(ISBLANK(J171), IF(ISBLANK(I171), "N/A", _xlfn.IFS(L171="AS", I171+15, L171="NCR", I171+30, L171="submitted", I171+30, TRUE, "N/A")), _xlfn.IFS(L171="AS", J171+15, L171="NCR", J171+30, L171="submitted", J171+30, TRUE, "N/A"))</f>
        <v>N/A</v>
      </c>
      <c r="L171" s="14"/>
      <c r="M171" s="317"/>
      <c r="N171" s="802"/>
      <c r="O171" s="803"/>
      <c r="P171" s="803"/>
      <c r="Q171" s="804"/>
    </row>
    <row r="172" spans="2:17" ht="15" customHeight="1">
      <c r="B172" s="182"/>
      <c r="C172" s="564"/>
      <c r="D172" s="142" t="s">
        <v>970</v>
      </c>
      <c r="E172" s="142"/>
      <c r="F172" s="1"/>
      <c r="G172" s="9" t="s">
        <v>1001</v>
      </c>
      <c r="H172" s="13" t="s">
        <v>1002</v>
      </c>
      <c r="I172" s="9"/>
      <c r="J172" s="9"/>
      <c r="K172" s="74" t="str" cm="1">
        <f t="array" ref="K172">IF(ISBLANK(J172), IF(ISBLANK(I172), "N/A", _xlfn.IFS(L172="AS", I172+15, L172="NCR", I172+30, L172="submitted", I172+30, TRUE, "N/A")), _xlfn.IFS(L172="AS", J172+15, L172="NCR", J172+30, L172="submitted", J172+30, TRUE, "N/A"))</f>
        <v>N/A</v>
      </c>
      <c r="L172" s="14"/>
      <c r="M172" s="317"/>
      <c r="N172" s="802"/>
      <c r="O172" s="803"/>
      <c r="P172" s="803"/>
      <c r="Q172" s="804"/>
    </row>
    <row r="173" spans="2:17" ht="15" customHeight="1">
      <c r="B173" s="182"/>
      <c r="C173" s="564"/>
      <c r="D173" s="142" t="s">
        <v>970</v>
      </c>
      <c r="E173" s="142"/>
      <c r="F173" s="1"/>
      <c r="G173" s="9" t="s">
        <v>1003</v>
      </c>
      <c r="H173" s="13" t="s">
        <v>1004</v>
      </c>
      <c r="I173" s="9"/>
      <c r="J173" s="9"/>
      <c r="K173" s="74" t="str" cm="1">
        <f t="array" ref="K173">IF(ISBLANK(J173), IF(ISBLANK(I173), "N/A", _xlfn.IFS(L173="AS", I173+15, L173="NCR", I173+30, L173="submitted", I173+30, TRUE, "N/A")), _xlfn.IFS(L173="AS", J173+15, L173="NCR", J173+30, L173="submitted", J173+30, TRUE, "N/A"))</f>
        <v>N/A</v>
      </c>
      <c r="L173" s="14"/>
      <c r="M173" s="317"/>
      <c r="N173" s="802"/>
      <c r="O173" s="803"/>
      <c r="P173" s="803"/>
      <c r="Q173" s="804"/>
    </row>
    <row r="174" spans="2:17" ht="15" customHeight="1">
      <c r="B174" s="182"/>
      <c r="C174" s="564"/>
      <c r="D174" s="142" t="s">
        <v>970</v>
      </c>
      <c r="E174" s="142"/>
      <c r="F174" s="1"/>
      <c r="G174" s="9" t="s">
        <v>1005</v>
      </c>
      <c r="H174" s="13" t="s">
        <v>1006</v>
      </c>
      <c r="I174" s="9"/>
      <c r="J174" s="9"/>
      <c r="K174" s="74" t="str" cm="1">
        <f t="array" ref="K174">IF(ISBLANK(J174), IF(ISBLANK(I174), "N/A", _xlfn.IFS(L174="AS", I174+15, L174="NCR", I174+30, L174="submitted", I174+30, TRUE, "N/A")), _xlfn.IFS(L174="AS", J174+15, L174="NCR", J174+30, L174="submitted", J174+30, TRUE, "N/A"))</f>
        <v>N/A</v>
      </c>
      <c r="L174" s="14"/>
      <c r="M174" s="317"/>
      <c r="N174" s="802"/>
      <c r="O174" s="803"/>
      <c r="P174" s="803"/>
      <c r="Q174" s="804"/>
    </row>
    <row r="175" spans="2:17" ht="15" customHeight="1">
      <c r="B175" s="182"/>
      <c r="C175" s="564"/>
      <c r="D175" s="142" t="s">
        <v>970</v>
      </c>
      <c r="E175" s="142"/>
      <c r="F175" s="1"/>
      <c r="G175" s="9" t="s">
        <v>1007</v>
      </c>
      <c r="H175" s="7" t="s">
        <v>1008</v>
      </c>
      <c r="I175" s="9"/>
      <c r="J175" s="9"/>
      <c r="K175" s="74" t="str" cm="1">
        <f t="array" ref="K175">IF(ISBLANK(J175), IF(ISBLANK(I175), "N/A", _xlfn.IFS(L175="AS", I175+15, L175="NCR", I175+30, L175="submitted", I175+30, TRUE, "N/A")), _xlfn.IFS(L175="AS", J175+15, L175="NCR", J175+30, L175="submitted", J175+30, TRUE, "N/A"))</f>
        <v>N/A</v>
      </c>
      <c r="L175" s="14"/>
      <c r="M175" s="317"/>
      <c r="N175" s="802"/>
      <c r="O175" s="803"/>
      <c r="P175" s="803"/>
      <c r="Q175" s="804"/>
    </row>
    <row r="176" spans="2:17" ht="15" customHeight="1">
      <c r="B176" s="182"/>
      <c r="C176" s="564"/>
      <c r="D176" s="142" t="s">
        <v>970</v>
      </c>
      <c r="E176" s="142"/>
      <c r="F176" s="1"/>
      <c r="G176" s="9" t="s">
        <v>1009</v>
      </c>
      <c r="H176" s="13" t="s">
        <v>1010</v>
      </c>
      <c r="I176" s="9"/>
      <c r="J176" s="9"/>
      <c r="K176" s="74" t="str" cm="1">
        <f t="array" ref="K176">IF(ISBLANK(J176), IF(ISBLANK(I176), "N/A", _xlfn.IFS(L176="AS", I176+15, L176="NCR", I176+30, L176="submitted", I176+30, TRUE, "N/A")), _xlfn.IFS(L176="AS", J176+15, L176="NCR", J176+30, L176="submitted", J176+30, TRUE, "N/A"))</f>
        <v>N/A</v>
      </c>
      <c r="L176" s="14"/>
      <c r="M176" s="317"/>
      <c r="N176" s="802"/>
      <c r="O176" s="803"/>
      <c r="P176" s="803"/>
      <c r="Q176" s="804"/>
    </row>
    <row r="177" spans="2:17" ht="27" customHeight="1">
      <c r="B177" s="182"/>
      <c r="C177" s="564"/>
      <c r="D177" s="142" t="s">
        <v>970</v>
      </c>
      <c r="E177" s="142"/>
      <c r="F177" s="1"/>
      <c r="G177" s="9" t="s">
        <v>1011</v>
      </c>
      <c r="H177" s="7" t="s">
        <v>1012</v>
      </c>
      <c r="I177" s="9"/>
      <c r="J177" s="9"/>
      <c r="K177" s="74" t="str" cm="1">
        <f t="array" ref="K177">IF(ISBLANK(J177), IF(ISBLANK(I177), "N/A", _xlfn.IFS(L177="AS", I177+15, L177="NCR", I177+30, L177="submitted", I177+30, TRUE, "N/A")), _xlfn.IFS(L177="AS", J177+15, L177="NCR", J177+30, L177="submitted", J177+30, TRUE, "N/A"))</f>
        <v>N/A</v>
      </c>
      <c r="L177" s="14"/>
      <c r="M177" s="317"/>
      <c r="N177" s="802"/>
      <c r="O177" s="803"/>
      <c r="P177" s="803"/>
      <c r="Q177" s="804"/>
    </row>
    <row r="178" spans="2:17" ht="27" customHeight="1">
      <c r="B178" s="182"/>
      <c r="C178" s="564"/>
      <c r="D178" s="142" t="s">
        <v>970</v>
      </c>
      <c r="E178" s="142"/>
      <c r="F178" s="1"/>
      <c r="G178" s="9" t="s">
        <v>1013</v>
      </c>
      <c r="H178" s="7" t="s">
        <v>1014</v>
      </c>
      <c r="I178" s="9"/>
      <c r="J178" s="9"/>
      <c r="K178" s="74" t="str" cm="1">
        <f t="array" ref="K178">IF(ISBLANK(J178), IF(ISBLANK(I178), "N/A", _xlfn.IFS(L178="AS", I178+15, L178="NCR", I178+30, L178="submitted", I178+30, TRUE, "N/A")), _xlfn.IFS(L178="AS", J178+15, L178="NCR", J178+30, L178="submitted", J178+30, TRUE, "N/A"))</f>
        <v>N/A</v>
      </c>
      <c r="L178" s="14"/>
      <c r="M178" s="317"/>
      <c r="N178" s="802"/>
      <c r="O178" s="803"/>
      <c r="P178" s="803"/>
      <c r="Q178" s="804"/>
    </row>
    <row r="179" spans="2:17" ht="15" customHeight="1">
      <c r="B179" s="182"/>
      <c r="C179" s="564"/>
      <c r="D179" s="142" t="s">
        <v>970</v>
      </c>
      <c r="E179" s="142"/>
      <c r="F179" s="1"/>
      <c r="G179" s="9" t="s">
        <v>1015</v>
      </c>
      <c r="H179" s="13" t="s">
        <v>1016</v>
      </c>
      <c r="I179" s="9"/>
      <c r="J179" s="9"/>
      <c r="K179" s="74" t="str" cm="1">
        <f t="array" ref="K179">IF(ISBLANK(J179), IF(ISBLANK(I179), "N/A", _xlfn.IFS(L179="AS", I179+15, L179="NCR", I179+30, L179="submitted", I179+30, TRUE, "N/A")), _xlfn.IFS(L179="AS", J179+15, L179="NCR", J179+30, L179="submitted", J179+30, TRUE, "N/A"))</f>
        <v>N/A</v>
      </c>
      <c r="L179" s="14"/>
      <c r="M179" s="317"/>
      <c r="N179" s="802"/>
      <c r="O179" s="803"/>
      <c r="P179" s="803"/>
      <c r="Q179" s="804"/>
    </row>
    <row r="180" spans="2:17" ht="15" customHeight="1">
      <c r="B180" s="182"/>
      <c r="C180" s="564"/>
      <c r="D180" s="142" t="s">
        <v>970</v>
      </c>
      <c r="E180" s="142"/>
      <c r="F180" s="1"/>
      <c r="G180" s="9" t="s">
        <v>1017</v>
      </c>
      <c r="H180" s="13" t="s">
        <v>1018</v>
      </c>
      <c r="I180" s="9"/>
      <c r="J180" s="9"/>
      <c r="K180" s="74" t="str" cm="1">
        <f t="array" ref="K180">IF(ISBLANK(J180), IF(ISBLANK(I180), "N/A", _xlfn.IFS(L180="AS", I180+15, L180="NCR", I180+30, L180="submitted", I180+30, TRUE, "N/A")), _xlfn.IFS(L180="AS", J180+15, L180="NCR", J180+30, L180="submitted", J180+30, TRUE, "N/A"))</f>
        <v>N/A</v>
      </c>
      <c r="L180" s="14"/>
      <c r="M180" s="317"/>
      <c r="N180" s="802"/>
      <c r="O180" s="803"/>
      <c r="P180" s="803"/>
      <c r="Q180" s="804"/>
    </row>
    <row r="181" spans="2:17" ht="15" customHeight="1">
      <c r="B181" s="182"/>
      <c r="C181" s="564"/>
      <c r="D181" s="142" t="s">
        <v>970</v>
      </c>
      <c r="E181" s="142"/>
      <c r="F181" s="1"/>
      <c r="G181" s="9" t="s">
        <v>1019</v>
      </c>
      <c r="H181" s="13" t="s">
        <v>1020</v>
      </c>
      <c r="I181" s="9"/>
      <c r="J181" s="9"/>
      <c r="K181" s="74" t="str" cm="1">
        <f t="array" ref="K181">IF(ISBLANK(J181), IF(ISBLANK(I181), "N/A", _xlfn.IFS(L181="AS", I181+15, L181="NCR", I181+30, L181="submitted", I181+30, TRUE, "N/A")), _xlfn.IFS(L181="AS", J181+15, L181="NCR", J181+30, L181="submitted", J181+30, TRUE, "N/A"))</f>
        <v>N/A</v>
      </c>
      <c r="L181" s="14"/>
      <c r="M181" s="317"/>
      <c r="N181" s="802"/>
      <c r="O181" s="803"/>
      <c r="P181" s="803"/>
      <c r="Q181" s="804"/>
    </row>
    <row r="182" spans="2:17" ht="15" customHeight="1">
      <c r="B182" s="182"/>
      <c r="C182" s="564"/>
      <c r="D182" s="142" t="s">
        <v>970</v>
      </c>
      <c r="E182" s="142"/>
      <c r="F182" s="1"/>
      <c r="G182" s="9" t="s">
        <v>1021</v>
      </c>
      <c r="H182" s="13" t="s">
        <v>1022</v>
      </c>
      <c r="I182" s="9"/>
      <c r="J182" s="9"/>
      <c r="K182" s="74" t="str" cm="1">
        <f t="array" ref="K182">IF(ISBLANK(J182), IF(ISBLANK(I182), "N/A", _xlfn.IFS(L182="AS", I182+15, L182="NCR", I182+30, L182="submitted", I182+30, TRUE, "N/A")), _xlfn.IFS(L182="AS", J182+15, L182="NCR", J182+30, L182="submitted", J182+30, TRUE, "N/A"))</f>
        <v>N/A</v>
      </c>
      <c r="L182" s="14"/>
      <c r="M182" s="317"/>
      <c r="N182" s="802"/>
      <c r="O182" s="803"/>
      <c r="P182" s="803"/>
      <c r="Q182" s="804"/>
    </row>
    <row r="183" spans="2:17" ht="15" customHeight="1">
      <c r="B183" s="182"/>
      <c r="C183" s="564"/>
      <c r="D183" s="142" t="s">
        <v>970</v>
      </c>
      <c r="E183" s="142"/>
      <c r="F183" s="1"/>
      <c r="G183" s="9" t="s">
        <v>1023</v>
      </c>
      <c r="H183" s="13" t="s">
        <v>1024</v>
      </c>
      <c r="I183" s="9"/>
      <c r="J183" s="9"/>
      <c r="K183" s="74" t="str" cm="1">
        <f t="array" ref="K183">IF(ISBLANK(J183), IF(ISBLANK(I183), "N/A", _xlfn.IFS(L183="AS", I183+15, L183="NCR", I183+30, L183="submitted", I183+30, TRUE, "N/A")), _xlfn.IFS(L183="AS", J183+15, L183="NCR", J183+30, L183="submitted", J183+30, TRUE, "N/A"))</f>
        <v>N/A</v>
      </c>
      <c r="L183" s="14"/>
      <c r="M183" s="317"/>
      <c r="N183" s="802"/>
      <c r="O183" s="803"/>
      <c r="P183" s="803"/>
      <c r="Q183" s="804"/>
    </row>
    <row r="184" spans="2:17" ht="15" customHeight="1">
      <c r="B184" s="182"/>
      <c r="C184" s="564"/>
      <c r="D184" s="142" t="s">
        <v>970</v>
      </c>
      <c r="E184" s="142"/>
      <c r="F184" s="1"/>
      <c r="G184" s="9" t="s">
        <v>1025</v>
      </c>
      <c r="H184" s="13" t="s">
        <v>1026</v>
      </c>
      <c r="I184" s="9"/>
      <c r="J184" s="9"/>
      <c r="K184" s="74" t="str" cm="1">
        <f t="array" ref="K184">IF(ISBLANK(J184), IF(ISBLANK(I184), "N/A", _xlfn.IFS(L184="AS", I184+15, L184="NCR", I184+30, L184="submitted", I184+30, TRUE, "N/A")), _xlfn.IFS(L184="AS", J184+15, L184="NCR", J184+30, L184="submitted", J184+30, TRUE, "N/A"))</f>
        <v>N/A</v>
      </c>
      <c r="L184" s="14"/>
      <c r="M184" s="317"/>
      <c r="N184" s="802"/>
      <c r="O184" s="803"/>
      <c r="P184" s="803"/>
      <c r="Q184" s="804"/>
    </row>
    <row r="185" spans="2:17" ht="15" customHeight="1">
      <c r="B185" s="182"/>
      <c r="C185" s="564"/>
      <c r="D185" s="142" t="s">
        <v>970</v>
      </c>
      <c r="E185" s="142"/>
      <c r="F185" s="1"/>
      <c r="G185" s="9" t="s">
        <v>1027</v>
      </c>
      <c r="H185" s="13" t="s">
        <v>1028</v>
      </c>
      <c r="I185" s="9"/>
      <c r="J185" s="9"/>
      <c r="K185" s="74"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ht="15" customHeight="1">
      <c r="B186" s="182"/>
      <c r="C186" s="564"/>
      <c r="D186" s="142" t="s">
        <v>970</v>
      </c>
      <c r="E186" s="142"/>
      <c r="F186" s="1"/>
      <c r="G186" s="9" t="s">
        <v>1029</v>
      </c>
      <c r="H186" s="13" t="s">
        <v>1030</v>
      </c>
      <c r="I186" s="9"/>
      <c r="J186" s="9"/>
      <c r="K186" s="74"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ht="15" customHeight="1">
      <c r="B187" s="182"/>
      <c r="C187" s="564"/>
      <c r="D187" s="142" t="s">
        <v>970</v>
      </c>
      <c r="E187" s="142"/>
      <c r="F187" s="1"/>
      <c r="G187" s="9" t="s">
        <v>1031</v>
      </c>
      <c r="H187" s="13" t="s">
        <v>1032</v>
      </c>
      <c r="I187" s="9"/>
      <c r="J187" s="9"/>
      <c r="K187" s="74"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ht="15" customHeight="1">
      <c r="B188" s="182"/>
      <c r="C188" s="564"/>
      <c r="D188" s="142" t="s">
        <v>970</v>
      </c>
      <c r="E188" s="142"/>
      <c r="F188" s="1"/>
      <c r="G188" s="9" t="s">
        <v>1033</v>
      </c>
      <c r="H188" s="13" t="s">
        <v>1034</v>
      </c>
      <c r="I188" s="9"/>
      <c r="J188" s="9"/>
      <c r="K188" s="74"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ht="27" customHeight="1">
      <c r="B189" s="182"/>
      <c r="C189" s="564"/>
      <c r="D189" s="142" t="s">
        <v>970</v>
      </c>
      <c r="E189" s="142"/>
      <c r="F189" s="1"/>
      <c r="G189" s="9" t="s">
        <v>1035</v>
      </c>
      <c r="H189" s="7" t="s">
        <v>1036</v>
      </c>
      <c r="I189" s="9"/>
      <c r="J189" s="9"/>
      <c r="K189" s="74"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ht="15" customHeight="1">
      <c r="B190" s="182"/>
      <c r="C190" s="564"/>
      <c r="D190" s="142" t="s">
        <v>970</v>
      </c>
      <c r="E190" s="142"/>
      <c r="F190" s="1"/>
      <c r="G190" s="9" t="s">
        <v>457</v>
      </c>
      <c r="H190" s="13" t="s">
        <v>1037</v>
      </c>
      <c r="I190" s="9"/>
      <c r="J190" s="9"/>
      <c r="K190" s="74"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ht="15" customHeight="1">
      <c r="B191" s="182"/>
      <c r="C191" s="564"/>
      <c r="D191" s="142" t="s">
        <v>970</v>
      </c>
      <c r="E191" s="142"/>
      <c r="F191" s="1"/>
      <c r="G191" s="9" t="s">
        <v>459</v>
      </c>
      <c r="H191" s="13" t="s">
        <v>1038</v>
      </c>
      <c r="I191" s="9"/>
      <c r="J191" s="9"/>
      <c r="K191" s="74" t="str" cm="1">
        <f t="array" ref="K191">IF(ISBLANK(J191), IF(ISBLANK(I191), "N/A", _xlfn.IFS(L191="AS", I191+15, L191="NCR", I191+30, L191="submitted", I191+30, TRUE, "N/A")), _xlfn.IFS(L191="AS", J191+15, L191="NCR", J191+30, L191="submitted", J191+30, TRUE, "N/A"))</f>
        <v>N/A</v>
      </c>
      <c r="L191" s="14"/>
      <c r="M191" s="317"/>
      <c r="N191" s="802"/>
      <c r="O191" s="803"/>
      <c r="P191" s="803"/>
      <c r="Q191" s="804"/>
    </row>
    <row r="192" spans="2:17" ht="15" customHeight="1">
      <c r="B192" s="182"/>
      <c r="C192" s="564"/>
      <c r="D192" s="142" t="s">
        <v>970</v>
      </c>
      <c r="E192" s="142"/>
      <c r="F192" s="1"/>
      <c r="G192" s="9" t="s">
        <v>461</v>
      </c>
      <c r="H192" s="13" t="s">
        <v>1039</v>
      </c>
      <c r="I192" s="9"/>
      <c r="J192" s="9"/>
      <c r="K192" s="74" t="str" cm="1">
        <f t="array" ref="K192">IF(ISBLANK(J192), IF(ISBLANK(I192), "N/A", _xlfn.IFS(L192="AS", I192+15, L192="NCR", I192+30, L192="submitted", I192+30, TRUE, "N/A")), _xlfn.IFS(L192="AS", J192+15, L192="NCR", J192+30, L192="submitted", J192+30, TRUE, "N/A"))</f>
        <v>N/A</v>
      </c>
      <c r="L192" s="14"/>
      <c r="M192" s="317"/>
      <c r="N192" s="802"/>
      <c r="O192" s="803"/>
      <c r="P192" s="803"/>
      <c r="Q192" s="804"/>
    </row>
    <row r="193" spans="2:17" ht="15" customHeight="1">
      <c r="B193" s="182"/>
      <c r="C193" s="564"/>
      <c r="D193" s="142" t="s">
        <v>970</v>
      </c>
      <c r="E193" s="142"/>
      <c r="F193" s="1"/>
      <c r="G193" s="9" t="s">
        <v>955</v>
      </c>
      <c r="H193" s="13" t="s">
        <v>444</v>
      </c>
      <c r="I193" s="9"/>
      <c r="J193" s="9"/>
      <c r="K193" s="74" t="str" cm="1">
        <f t="array" ref="K193">IF(ISBLANK(J193), IF(ISBLANK(I193), "N/A", _xlfn.IFS(L193="AS", I193+15, L193="NCR", I193+30, L193="submitted", I193+30, TRUE, "N/A")), _xlfn.IFS(L193="AS", J193+15, L193="NCR", J193+30, L193="submitted", J193+30, TRUE, "N/A"))</f>
        <v>N/A</v>
      </c>
      <c r="L193" s="14"/>
      <c r="M193" s="317"/>
      <c r="N193" s="802"/>
      <c r="O193" s="803"/>
      <c r="P193" s="803"/>
      <c r="Q193" s="804"/>
    </row>
    <row r="194" spans="2:17" ht="15" customHeight="1">
      <c r="B194" s="182"/>
      <c r="C194" s="564"/>
      <c r="D194" s="142" t="s">
        <v>970</v>
      </c>
      <c r="E194" s="142"/>
      <c r="F194" s="1"/>
      <c r="G194" s="9" t="s">
        <v>957</v>
      </c>
      <c r="H194" s="13" t="s">
        <v>696</v>
      </c>
      <c r="I194" s="9"/>
      <c r="J194" s="9"/>
      <c r="K194" s="74" t="str" cm="1">
        <f t="array" ref="K194">IF(ISBLANK(J194), IF(ISBLANK(I194), "N/A", _xlfn.IFS(L194="AS", I194+15, L194="NCR", I194+30, L194="submitted", I194+30, TRUE, "N/A")), _xlfn.IFS(L194="AS", J194+15, L194="NCR", J194+30, L194="submitted", J194+30, TRUE, "N/A"))</f>
        <v>N/A</v>
      </c>
      <c r="L194" s="14"/>
      <c r="M194" s="317"/>
      <c r="N194" s="802"/>
      <c r="O194" s="803"/>
      <c r="P194" s="803"/>
      <c r="Q194" s="804"/>
    </row>
    <row r="195" spans="2:17" ht="15" customHeight="1">
      <c r="B195" s="182"/>
      <c r="C195" s="564"/>
      <c r="D195" s="142" t="s">
        <v>970</v>
      </c>
      <c r="E195" s="142"/>
      <c r="F195" s="1"/>
      <c r="G195" s="9" t="s">
        <v>1040</v>
      </c>
      <c r="H195" s="13" t="s">
        <v>1041</v>
      </c>
      <c r="I195" s="9"/>
      <c r="J195" s="9"/>
      <c r="K195" s="74" t="str" cm="1">
        <f t="array" ref="K195">IF(ISBLANK(J195), IF(ISBLANK(I195), "N/A", _xlfn.IFS(L195="AS", I195+15, L195="NCR", I195+30, L195="submitted", I195+30, TRUE, "N/A")), _xlfn.IFS(L195="AS", J195+15, L195="NCR", J195+30, L195="submitted", J195+30, TRUE, "N/A"))</f>
        <v>N/A</v>
      </c>
      <c r="L195" s="14"/>
      <c r="M195" s="317"/>
      <c r="N195" s="802"/>
      <c r="O195" s="803"/>
      <c r="P195" s="803"/>
      <c r="Q195" s="804"/>
    </row>
    <row r="196" spans="2:17" ht="15" customHeight="1">
      <c r="B196" s="582"/>
      <c r="C196" s="581" t="s">
        <v>1042</v>
      </c>
      <c r="D196" s="143" t="s">
        <v>1043</v>
      </c>
      <c r="E196" s="143"/>
      <c r="F196" s="5"/>
      <c r="G196" s="4" t="s">
        <v>336</v>
      </c>
      <c r="H196" s="17" t="s">
        <v>1044</v>
      </c>
      <c r="I196" s="4"/>
      <c r="J196" s="4"/>
      <c r="K196" s="74" t="str" cm="1">
        <f t="array" ref="K196">IF(ISBLANK(J196), IF(ISBLANK(I196), "N/A", _xlfn.IFS(L196="AS", I196+15, L196="NCR", I196+30, L196="submitted", I196+30, TRUE, "N/A")), _xlfn.IFS(L196="AS", J196+15, L196="NCR", J196+30, L196="submitted", J196+30, TRUE, "N/A"))</f>
        <v>N/A</v>
      </c>
      <c r="L196" s="18"/>
      <c r="M196" s="317"/>
      <c r="N196" s="802"/>
      <c r="O196" s="803"/>
      <c r="P196" s="803"/>
      <c r="Q196" s="804"/>
    </row>
    <row r="197" spans="2:17" ht="15" customHeight="1">
      <c r="B197" s="582"/>
      <c r="C197" s="581"/>
      <c r="D197" s="143"/>
      <c r="E197" s="143"/>
      <c r="F197" s="5"/>
      <c r="G197" s="4" t="s">
        <v>405</v>
      </c>
      <c r="H197" s="17" t="s">
        <v>328</v>
      </c>
      <c r="I197" s="4"/>
      <c r="J197" s="4"/>
      <c r="K197" s="74" t="str" cm="1">
        <f t="array" ref="K197">IF(ISBLANK(J197), IF(ISBLANK(I197), "N/A", _xlfn.IFS(L197="AS", I197+15, L197="NCR", I197+30, L197="submitted", I197+30, TRUE, "N/A")), _xlfn.IFS(L197="AS", J197+15, L197="NCR", J197+30, L197="submitted", J197+30, TRUE, "N/A"))</f>
        <v>N/A</v>
      </c>
      <c r="L197" s="18"/>
      <c r="M197" s="317"/>
      <c r="N197" s="802"/>
      <c r="O197" s="803"/>
      <c r="P197" s="803"/>
      <c r="Q197" s="804"/>
    </row>
    <row r="198" spans="2:17" ht="15" customHeight="1">
      <c r="B198" s="582"/>
      <c r="C198" s="581"/>
      <c r="D198" s="143"/>
      <c r="E198" s="143"/>
      <c r="F198" s="5"/>
      <c r="G198" s="4" t="s">
        <v>346</v>
      </c>
      <c r="H198" s="17" t="s">
        <v>1045</v>
      </c>
      <c r="I198" s="4"/>
      <c r="J198" s="4"/>
      <c r="K198" s="74" t="str" cm="1">
        <f t="array" ref="K198">IF(ISBLANK(J198), IF(ISBLANK(I198), "N/A", _xlfn.IFS(L198="AS", I198+15, L198="NCR", I198+30, L198="submitted", I198+30, TRUE, "N/A")), _xlfn.IFS(L198="AS", J198+15, L198="NCR", J198+30, L198="submitted", J198+30, TRUE, "N/A"))</f>
        <v>N/A</v>
      </c>
      <c r="L198" s="18"/>
      <c r="M198" s="317"/>
      <c r="N198" s="802"/>
      <c r="O198" s="803"/>
      <c r="P198" s="803"/>
      <c r="Q198" s="804"/>
    </row>
    <row r="199" spans="2:17" ht="15" customHeight="1">
      <c r="B199" s="582"/>
      <c r="C199" s="581"/>
      <c r="D199" s="143"/>
      <c r="E199" s="143"/>
      <c r="F199" s="5"/>
      <c r="G199" s="4" t="s">
        <v>1046</v>
      </c>
      <c r="H199" s="17" t="s">
        <v>1047</v>
      </c>
      <c r="I199" s="4"/>
      <c r="J199" s="4"/>
      <c r="K199" s="74" t="str" cm="1">
        <f t="array" ref="K199">IF(ISBLANK(J199), IF(ISBLANK(I199), "N/A", _xlfn.IFS(L199="AS", I199+15, L199="NCR", I199+30, L199="submitted", I199+30, TRUE, "N/A")), _xlfn.IFS(L199="AS", J199+15, L199="NCR", J199+30, L199="submitted", J199+30, TRUE, "N/A"))</f>
        <v>N/A</v>
      </c>
      <c r="L199" s="18"/>
      <c r="M199" s="317"/>
      <c r="N199" s="802"/>
      <c r="O199" s="803"/>
      <c r="P199" s="803"/>
      <c r="Q199" s="804"/>
    </row>
    <row r="200" spans="2:17" ht="15" customHeight="1">
      <c r="B200" s="582"/>
      <c r="C200" s="581"/>
      <c r="D200" s="143"/>
      <c r="E200" s="143"/>
      <c r="F200" s="5"/>
      <c r="G200" s="4" t="s">
        <v>1048</v>
      </c>
      <c r="H200" s="3" t="s">
        <v>1049</v>
      </c>
      <c r="I200" s="4"/>
      <c r="J200" s="4"/>
      <c r="K200" s="74" t="str" cm="1">
        <f t="array" ref="K200">IF(ISBLANK(J200), IF(ISBLANK(I200), "N/A", _xlfn.IFS(L200="AS", I200+15, L200="NCR", I200+30, L200="submitted", I200+30, TRUE, "N/A")), _xlfn.IFS(L200="AS", J200+15, L200="NCR", J200+30, L200="submitted", J200+30, TRUE, "N/A"))</f>
        <v>N/A</v>
      </c>
      <c r="L200" s="18"/>
      <c r="M200" s="317"/>
      <c r="N200" s="802"/>
      <c r="O200" s="803"/>
      <c r="P200" s="803"/>
      <c r="Q200" s="804"/>
    </row>
    <row r="201" spans="2:17" ht="15" customHeight="1">
      <c r="B201" s="582"/>
      <c r="C201" s="581"/>
      <c r="D201" s="143"/>
      <c r="E201" s="143"/>
      <c r="F201" s="5"/>
      <c r="G201" s="4" t="s">
        <v>1050</v>
      </c>
      <c r="H201" s="3" t="s">
        <v>1051</v>
      </c>
      <c r="I201" s="4"/>
      <c r="J201" s="4"/>
      <c r="K201" s="74" t="str" cm="1">
        <f t="array" ref="K201">IF(ISBLANK(J201), IF(ISBLANK(I201), "N/A", _xlfn.IFS(L201="AS", I201+15, L201="NCR", I201+30, L201="submitted", I201+30, TRUE, "N/A")), _xlfn.IFS(L201="AS", J201+15, L201="NCR", J201+30, L201="submitted", J201+30, TRUE, "N/A"))</f>
        <v>N/A</v>
      </c>
      <c r="L201" s="18"/>
      <c r="M201" s="317"/>
      <c r="N201" s="802"/>
      <c r="O201" s="803"/>
      <c r="P201" s="803"/>
      <c r="Q201" s="804"/>
    </row>
    <row r="202" spans="2:17" ht="15" customHeight="1">
      <c r="B202" s="582"/>
      <c r="C202" s="581"/>
      <c r="D202" s="143"/>
      <c r="E202" s="143"/>
      <c r="F202" s="5"/>
      <c r="G202" s="4" t="s">
        <v>1052</v>
      </c>
      <c r="H202" s="3" t="s">
        <v>1053</v>
      </c>
      <c r="I202" s="4"/>
      <c r="J202" s="4"/>
      <c r="K202" s="74" t="str" cm="1">
        <f t="array" ref="K202">IF(ISBLANK(J202), IF(ISBLANK(I202), "N/A", _xlfn.IFS(L202="AS", I202+15, L202="NCR", I202+30, L202="submitted", I202+30, TRUE, "N/A")), _xlfn.IFS(L202="AS", J202+15, L202="NCR", J202+30, L202="submitted", J202+30, TRUE, "N/A"))</f>
        <v>N/A</v>
      </c>
      <c r="L202" s="18"/>
      <c r="M202" s="317"/>
      <c r="N202" s="802"/>
      <c r="O202" s="803"/>
      <c r="P202" s="803"/>
      <c r="Q202" s="804"/>
    </row>
    <row r="203" spans="2:17" ht="15" customHeight="1">
      <c r="B203" s="582"/>
      <c r="C203" s="581"/>
      <c r="D203" s="143"/>
      <c r="E203" s="143"/>
      <c r="F203" s="5"/>
      <c r="G203" s="4" t="s">
        <v>975</v>
      </c>
      <c r="H203" s="17" t="s">
        <v>1054</v>
      </c>
      <c r="I203" s="4"/>
      <c r="J203" s="4"/>
      <c r="K203" s="74" t="str" cm="1">
        <f t="array" ref="K203">IF(ISBLANK(J203), IF(ISBLANK(I203), "N/A", _xlfn.IFS(L203="AS", I203+15, L203="NCR", I203+30, L203="submitted", I203+30, TRUE, "N/A")), _xlfn.IFS(L203="AS", J203+15, L203="NCR", J203+30, L203="submitted", J203+30, TRUE, "N/A"))</f>
        <v>N/A</v>
      </c>
      <c r="L203" s="18"/>
      <c r="M203" s="317"/>
      <c r="N203" s="796" t="s">
        <v>133</v>
      </c>
      <c r="O203" s="797"/>
      <c r="P203" s="797"/>
      <c r="Q203" s="798"/>
    </row>
    <row r="204" spans="2:17" ht="15" customHeight="1">
      <c r="B204" s="582"/>
      <c r="C204" s="581"/>
      <c r="D204" s="143"/>
      <c r="E204" s="143"/>
      <c r="F204" s="5"/>
      <c r="G204" s="4" t="s">
        <v>1055</v>
      </c>
      <c r="H204" s="17" t="s">
        <v>1056</v>
      </c>
      <c r="I204" s="4"/>
      <c r="J204" s="4"/>
      <c r="K204" s="74" t="str" cm="1">
        <f t="array" ref="K204">IF(ISBLANK(J204), IF(ISBLANK(I204), "N/A", _xlfn.IFS(L204="AS", I204+15, L204="NCR", I204+30, L204="submitted", I204+30, TRUE, "N/A")), _xlfn.IFS(L204="AS", J204+15, L204="NCR", J204+30, L204="submitted", J204+30, TRUE, "N/A"))</f>
        <v>N/A</v>
      </c>
      <c r="L204" s="18"/>
      <c r="M204" s="317"/>
      <c r="N204" s="799"/>
      <c r="O204" s="800"/>
      <c r="P204" s="800"/>
      <c r="Q204" s="801"/>
    </row>
    <row r="205" spans="2:17" ht="40.5" customHeight="1">
      <c r="B205" s="582"/>
      <c r="C205" s="581"/>
      <c r="D205" s="143"/>
      <c r="E205" s="143"/>
      <c r="F205" s="5"/>
      <c r="G205" s="4" t="s">
        <v>1057</v>
      </c>
      <c r="H205" s="3" t="s">
        <v>1058</v>
      </c>
      <c r="I205" s="4"/>
      <c r="J205" s="4"/>
      <c r="K205" s="74" t="str" cm="1">
        <f t="array" ref="K205">IF(ISBLANK(J205), IF(ISBLANK(I205), "N/A", _xlfn.IFS(L205="AS", I205+15, L205="NCR", I205+30, L205="submitted", I205+30, TRUE, "N/A")), _xlfn.IFS(L205="AS", J205+15, L205="NCR", J205+30, L205="submitted", J205+30, TRUE, "N/A"))</f>
        <v>N/A</v>
      </c>
      <c r="L205" s="18"/>
      <c r="M205" s="317"/>
      <c r="N205" s="799"/>
      <c r="O205" s="800"/>
      <c r="P205" s="800"/>
      <c r="Q205" s="801"/>
    </row>
    <row r="206" spans="2:17" ht="15" customHeight="1">
      <c r="B206" s="582"/>
      <c r="C206" s="581"/>
      <c r="D206" s="143"/>
      <c r="E206" s="143"/>
      <c r="F206" s="5"/>
      <c r="G206" s="4" t="s">
        <v>1059</v>
      </c>
      <c r="H206" s="17" t="s">
        <v>1060</v>
      </c>
      <c r="I206" s="4"/>
      <c r="J206" s="4"/>
      <c r="K206" s="74" t="str" cm="1">
        <f t="array" ref="K206">IF(ISBLANK(J206), IF(ISBLANK(I206), "N/A", _xlfn.IFS(L206="AS", I206+15, L206="NCR", I206+30, L206="submitted", I206+30, TRUE, "N/A")), _xlfn.IFS(L206="AS", J206+15, L206="NCR", J206+30, L206="submitted", J206+30, TRUE, "N/A"))</f>
        <v>N/A</v>
      </c>
      <c r="L206" s="18"/>
      <c r="M206" s="317"/>
      <c r="N206" s="799"/>
      <c r="O206" s="800"/>
      <c r="P206" s="800"/>
      <c r="Q206" s="801"/>
    </row>
    <row r="207" spans="2:17" ht="27" customHeight="1">
      <c r="B207" s="582"/>
      <c r="C207" s="581"/>
      <c r="D207" s="143"/>
      <c r="E207" s="143"/>
      <c r="F207" s="5"/>
      <c r="G207" s="4" t="s">
        <v>1061</v>
      </c>
      <c r="H207" s="3" t="s">
        <v>1062</v>
      </c>
      <c r="I207" s="4"/>
      <c r="J207" s="4"/>
      <c r="K207" s="74" t="str" cm="1">
        <f t="array" ref="K207">IF(ISBLANK(J207), IF(ISBLANK(I207), "N/A", _xlfn.IFS(L207="AS", I207+15, L207="NCR", I207+30, L207="submitted", I207+30, TRUE, "N/A")), _xlfn.IFS(L207="AS", J207+15, L207="NCR", J207+30, L207="submitted", J207+30, TRUE, "N/A"))</f>
        <v>N/A</v>
      </c>
      <c r="L207" s="18"/>
      <c r="M207" s="317"/>
      <c r="N207" s="799"/>
      <c r="O207" s="800"/>
      <c r="P207" s="800"/>
      <c r="Q207" s="801"/>
    </row>
    <row r="208" spans="2:17" ht="15" customHeight="1">
      <c r="B208" s="582"/>
      <c r="C208" s="581"/>
      <c r="D208" s="143"/>
      <c r="E208" s="143"/>
      <c r="F208" s="5"/>
      <c r="G208" s="4" t="s">
        <v>1063</v>
      </c>
      <c r="H208" s="3" t="s">
        <v>1064</v>
      </c>
      <c r="I208" s="4"/>
      <c r="J208" s="4"/>
      <c r="K208" s="74" t="str" cm="1">
        <f t="array" ref="K208">IF(ISBLANK(J208), IF(ISBLANK(I208), "N/A", _xlfn.IFS(L208="AS", I208+15, L208="NCR", I208+30, L208="submitted", I208+30, TRUE, "N/A")), _xlfn.IFS(L208="AS", J208+15, L208="NCR", J208+30, L208="submitted", J208+30, TRUE, "N/A"))</f>
        <v>N/A</v>
      </c>
      <c r="L208" s="18"/>
      <c r="M208" s="317"/>
      <c r="N208" s="799"/>
      <c r="O208" s="800"/>
      <c r="P208" s="800"/>
      <c r="Q208" s="801"/>
    </row>
    <row r="209" spans="2:17" ht="15" customHeight="1">
      <c r="B209" s="582"/>
      <c r="C209" s="581"/>
      <c r="D209" s="143"/>
      <c r="E209" s="143"/>
      <c r="F209" s="5"/>
      <c r="G209" s="4" t="s">
        <v>1065</v>
      </c>
      <c r="H209" s="3" t="s">
        <v>1066</v>
      </c>
      <c r="I209" s="4"/>
      <c r="J209" s="4"/>
      <c r="K209" s="74" t="str" cm="1">
        <f t="array" ref="K209">IF(ISBLANK(J209), IF(ISBLANK(I209), "N/A", _xlfn.IFS(L209="AS", I209+15, L209="NCR", I209+30, L209="submitted", I209+30, TRUE, "N/A")), _xlfn.IFS(L209="AS", J209+15, L209="NCR", J209+30, L209="submitted", J209+30, TRUE, "N/A"))</f>
        <v>N/A</v>
      </c>
      <c r="L209" s="18"/>
      <c r="M209" s="317"/>
      <c r="N209" s="799"/>
      <c r="O209" s="800"/>
      <c r="P209" s="800"/>
      <c r="Q209" s="801"/>
    </row>
    <row r="210" spans="2:17" ht="15" customHeight="1">
      <c r="B210" s="582"/>
      <c r="C210" s="581"/>
      <c r="D210" s="143"/>
      <c r="E210" s="143"/>
      <c r="F210" s="5"/>
      <c r="G210" s="4" t="s">
        <v>1067</v>
      </c>
      <c r="H210" s="3" t="s">
        <v>1068</v>
      </c>
      <c r="I210" s="4"/>
      <c r="J210" s="4"/>
      <c r="K210" s="74" t="str" cm="1">
        <f t="array" ref="K210">IF(ISBLANK(J210), IF(ISBLANK(I210), "N/A", _xlfn.IFS(L210="AS", I210+15, L210="NCR", I210+30, L210="submitted", I210+30, TRUE, "N/A")), _xlfn.IFS(L210="AS", J210+15, L210="NCR", J210+30, L210="submitted", J210+30, TRUE, "N/A"))</f>
        <v>N/A</v>
      </c>
      <c r="L210" s="18"/>
      <c r="M210" s="317"/>
      <c r="N210" s="799"/>
      <c r="O210" s="800"/>
      <c r="P210" s="800"/>
      <c r="Q210" s="801"/>
    </row>
    <row r="211" spans="2:17" ht="15" customHeight="1">
      <c r="B211" s="582"/>
      <c r="C211" s="581"/>
      <c r="D211" s="143"/>
      <c r="E211" s="143"/>
      <c r="F211" s="5"/>
      <c r="G211" s="4" t="s">
        <v>1069</v>
      </c>
      <c r="H211" s="3" t="s">
        <v>1070</v>
      </c>
      <c r="I211" s="4"/>
      <c r="J211" s="4"/>
      <c r="K211" s="74" t="str" cm="1">
        <f t="array" ref="K211">IF(ISBLANK(J211), IF(ISBLANK(I211), "N/A", _xlfn.IFS(L211="AS", I211+15, L211="NCR", I211+30, L211="submitted", I211+30, TRUE, "N/A")), _xlfn.IFS(L211="AS", J211+15, L211="NCR", J211+30, L211="submitted", J211+30, TRUE, "N/A"))</f>
        <v>N/A</v>
      </c>
      <c r="L211" s="18"/>
      <c r="M211" s="317"/>
      <c r="N211" s="747" t="s">
        <v>148</v>
      </c>
      <c r="O211" s="748"/>
      <c r="P211" s="748"/>
      <c r="Q211" s="749"/>
    </row>
    <row r="212" spans="2:17" ht="15" customHeight="1">
      <c r="B212" s="582"/>
      <c r="C212" s="581"/>
      <c r="D212" s="143"/>
      <c r="E212" s="143"/>
      <c r="F212" s="5"/>
      <c r="G212" s="4" t="s">
        <v>1071</v>
      </c>
      <c r="H212" s="3" t="s">
        <v>1072</v>
      </c>
      <c r="I212" s="4"/>
      <c r="J212" s="4"/>
      <c r="K212" s="74" t="str" cm="1">
        <f t="array" ref="K212">IF(ISBLANK(J212), IF(ISBLANK(I212), "N/A", _xlfn.IFS(L212="AS", I212+15, L212="NCR", I212+30, L212="submitted", I212+30, TRUE, "N/A")), _xlfn.IFS(L212="AS", J212+15, L212="NCR", J212+30, L212="submitted", J212+30, TRUE, "N/A"))</f>
        <v>N/A</v>
      </c>
      <c r="L212" s="18"/>
      <c r="M212" s="317"/>
      <c r="N212" s="747"/>
      <c r="O212" s="748"/>
      <c r="P212" s="748"/>
      <c r="Q212" s="749"/>
    </row>
    <row r="213" spans="2:17" ht="15" customHeight="1">
      <c r="B213" s="582"/>
      <c r="C213" s="581"/>
      <c r="D213" s="143"/>
      <c r="E213" s="143"/>
      <c r="F213" s="5"/>
      <c r="G213" s="4" t="s">
        <v>1073</v>
      </c>
      <c r="H213" s="3" t="s">
        <v>1074</v>
      </c>
      <c r="I213" s="4"/>
      <c r="J213" s="4"/>
      <c r="K213" s="74" t="str" cm="1">
        <f t="array" ref="K213">IF(ISBLANK(J213), IF(ISBLANK(I213), "N/A", _xlfn.IFS(L213="AS", I213+15, L213="NCR", I213+30, L213="submitted", I213+30, TRUE, "N/A")), _xlfn.IFS(L213="AS", J213+15, L213="NCR", J213+30, L213="submitted", J213+30, TRUE, "N/A"))</f>
        <v>N/A</v>
      </c>
      <c r="L213" s="18"/>
      <c r="M213" s="317"/>
      <c r="N213" s="747"/>
      <c r="O213" s="748"/>
      <c r="P213" s="748"/>
      <c r="Q213" s="749"/>
    </row>
    <row r="214" spans="2:17" ht="15" customHeight="1">
      <c r="B214" s="582"/>
      <c r="C214" s="581"/>
      <c r="D214" s="143"/>
      <c r="E214" s="143"/>
      <c r="F214" s="5"/>
      <c r="G214" s="4" t="s">
        <v>746</v>
      </c>
      <c r="H214" s="3" t="s">
        <v>1075</v>
      </c>
      <c r="I214" s="4"/>
      <c r="J214" s="4"/>
      <c r="K214" s="74" t="str" cm="1">
        <f t="array" ref="K214">IF(ISBLANK(J214), IF(ISBLANK(I214), "N/A", _xlfn.IFS(L214="AS", I214+15, L214="NCR", I214+30, L214="submitted", I214+30, TRUE, "N/A")), _xlfn.IFS(L214="AS", J214+15, L214="NCR", J214+30, L214="submitted", J214+30, TRUE, "N/A"))</f>
        <v>N/A</v>
      </c>
      <c r="L214" s="18"/>
      <c r="M214" s="317"/>
      <c r="N214" s="747"/>
      <c r="O214" s="748"/>
      <c r="P214" s="748"/>
      <c r="Q214" s="749"/>
    </row>
    <row r="215" spans="2:17" ht="27" customHeight="1">
      <c r="B215" s="582"/>
      <c r="C215" s="581"/>
      <c r="D215" s="143"/>
      <c r="E215" s="143"/>
      <c r="F215" s="5"/>
      <c r="G215" s="4" t="s">
        <v>892</v>
      </c>
      <c r="H215" s="3" t="s">
        <v>1076</v>
      </c>
      <c r="I215" s="4"/>
      <c r="J215" s="4"/>
      <c r="K215" s="74" t="str" cm="1">
        <f t="array" ref="K215">IF(ISBLANK(J215), IF(ISBLANK(I215), "N/A", _xlfn.IFS(L215="AS", I215+15, L215="NCR", I215+30, L215="submitted", I215+30, TRUE, "N/A")), _xlfn.IFS(L215="AS", J215+15, L215="NCR", J215+30, L215="submitted", J215+30, TRUE, "N/A"))</f>
        <v>N/A</v>
      </c>
      <c r="L215" s="18"/>
      <c r="M215" s="317"/>
      <c r="N215" s="747"/>
      <c r="O215" s="748"/>
      <c r="P215" s="748"/>
      <c r="Q215" s="749"/>
    </row>
    <row r="216" spans="2:17" ht="15" customHeight="1">
      <c r="B216" s="582"/>
      <c r="C216" s="581"/>
      <c r="D216" s="143"/>
      <c r="E216" s="143"/>
      <c r="F216" s="5"/>
      <c r="G216" s="4" t="s">
        <v>1077</v>
      </c>
      <c r="H216" s="17" t="s">
        <v>1078</v>
      </c>
      <c r="I216" s="4"/>
      <c r="J216" s="4"/>
      <c r="K216" s="74" t="str" cm="1">
        <f t="array" ref="K216">IF(ISBLANK(J216), IF(ISBLANK(I216), "N/A", _xlfn.IFS(L216="AS", I216+15, L216="NCR", I216+30, L216="submitted", I216+30, TRUE, "N/A")), _xlfn.IFS(L216="AS", J216+15, L216="NCR", J216+30, L216="submitted", J216+30, TRUE, "N/A"))</f>
        <v>N/A</v>
      </c>
      <c r="L216" s="18"/>
      <c r="M216" s="318"/>
      <c r="N216" s="747"/>
      <c r="O216" s="748"/>
      <c r="P216" s="748"/>
      <c r="Q216" s="749"/>
    </row>
    <row r="217" spans="2:17" ht="15" customHeight="1">
      <c r="B217" s="582"/>
      <c r="C217" s="581"/>
      <c r="D217" s="143"/>
      <c r="E217" s="143"/>
      <c r="F217" s="5"/>
      <c r="G217" s="4" t="s">
        <v>1079</v>
      </c>
      <c r="H217" s="17" t="s">
        <v>1080</v>
      </c>
      <c r="I217" s="4"/>
      <c r="J217" s="4"/>
      <c r="K217" s="74" t="str" cm="1">
        <f t="array" ref="K217">IF(ISBLANK(J217), IF(ISBLANK(I217), "N/A", _xlfn.IFS(L217="AS", I217+15, L217="NCR", I217+30, L217="submitted", I217+30, TRUE, "N/A")), _xlfn.IFS(L217="AS", J217+15, L217="NCR", J217+30, L217="submitted", J217+30, TRUE, "N/A"))</f>
        <v>N/A</v>
      </c>
      <c r="L217" s="18"/>
      <c r="M217" s="317"/>
      <c r="N217" s="747"/>
      <c r="O217" s="748"/>
      <c r="P217" s="748"/>
      <c r="Q217" s="749"/>
    </row>
    <row r="218" spans="2:17" ht="15" customHeight="1">
      <c r="B218" s="582"/>
      <c r="C218" s="581"/>
      <c r="D218" s="143"/>
      <c r="E218" s="143"/>
      <c r="F218" s="5"/>
      <c r="G218" s="4" t="s">
        <v>1081</v>
      </c>
      <c r="H218" s="17" t="s">
        <v>1082</v>
      </c>
      <c r="I218" s="4"/>
      <c r="J218" s="4"/>
      <c r="K218" s="74" t="str" cm="1">
        <f t="array" ref="K218">IF(ISBLANK(J218), IF(ISBLANK(I218), "N/A", _xlfn.IFS(L218="AS", I218+15, L218="NCR", I218+30, L218="submitted", I218+30, TRUE, "N/A")), _xlfn.IFS(L218="AS", J218+15, L218="NCR", J218+30, L218="submitted", J218+30, TRUE, "N/A"))</f>
        <v>N/A</v>
      </c>
      <c r="L218" s="18"/>
      <c r="M218" s="317"/>
      <c r="N218" s="747"/>
      <c r="O218" s="748"/>
      <c r="P218" s="748"/>
      <c r="Q218" s="749"/>
    </row>
    <row r="219" spans="2:17" ht="15" customHeight="1">
      <c r="B219" s="582"/>
      <c r="C219" s="581"/>
      <c r="D219" s="143"/>
      <c r="E219" s="143"/>
      <c r="F219" s="5"/>
      <c r="G219" s="4" t="s">
        <v>1083</v>
      </c>
      <c r="H219" s="3" t="s">
        <v>1084</v>
      </c>
      <c r="I219" s="4"/>
      <c r="J219" s="4"/>
      <c r="K219" s="74" t="str" cm="1">
        <f t="array" ref="K219">IF(ISBLANK(J219), IF(ISBLANK(I219), "N/A", _xlfn.IFS(L219="AS", I219+15, L219="NCR", I219+30, L219="submitted", I219+30, TRUE, "N/A")), _xlfn.IFS(L219="AS", J219+15, L219="NCR", J219+30, L219="submitted", J219+30, TRUE, "N/A"))</f>
        <v>N/A</v>
      </c>
      <c r="L219" s="18"/>
      <c r="M219" s="317"/>
      <c r="N219" s="747"/>
      <c r="O219" s="748"/>
      <c r="P219" s="748"/>
      <c r="Q219" s="749"/>
    </row>
    <row r="220" spans="2:17" ht="15" customHeight="1">
      <c r="B220" s="582"/>
      <c r="C220" s="581"/>
      <c r="D220" s="143"/>
      <c r="E220" s="143"/>
      <c r="F220" s="5"/>
      <c r="G220" s="4" t="s">
        <v>1085</v>
      </c>
      <c r="H220" s="3" t="s">
        <v>1086</v>
      </c>
      <c r="I220" s="4"/>
      <c r="J220" s="4"/>
      <c r="K220" s="74" t="str" cm="1">
        <f t="array" ref="K220">IF(ISBLANK(J220), IF(ISBLANK(I220), "N/A", _xlfn.IFS(L220="AS", I220+15, L220="NCR", I220+30, L220="submitted", I220+30, TRUE, "N/A")), _xlfn.IFS(L220="AS", J220+15, L220="NCR", J220+30, L220="submitted", J220+30, TRUE, "N/A"))</f>
        <v>N/A</v>
      </c>
      <c r="L220" s="18"/>
      <c r="M220" s="317"/>
      <c r="N220" s="747"/>
      <c r="O220" s="748"/>
      <c r="P220" s="748"/>
      <c r="Q220" s="749"/>
    </row>
    <row r="221" spans="2:17" ht="15" customHeight="1">
      <c r="B221" s="582"/>
      <c r="C221" s="581"/>
      <c r="D221" s="143"/>
      <c r="E221" s="143"/>
      <c r="F221" s="5"/>
      <c r="G221" s="4" t="s">
        <v>1087</v>
      </c>
      <c r="H221" s="3" t="s">
        <v>1088</v>
      </c>
      <c r="I221" s="4"/>
      <c r="J221" s="4"/>
      <c r="K221" s="74" t="str" cm="1">
        <f t="array" ref="K221">IF(ISBLANK(J221), IF(ISBLANK(I221), "N/A", _xlfn.IFS(L221="AS", I221+15, L221="NCR", I221+30, L221="submitted", I221+30, TRUE, "N/A")), _xlfn.IFS(L221="AS", J221+15, L221="NCR", J221+30, L221="submitted", J221+30, TRUE, "N/A"))</f>
        <v>N/A</v>
      </c>
      <c r="L221" s="18"/>
      <c r="M221" s="317"/>
      <c r="N221" s="747"/>
      <c r="O221" s="748"/>
      <c r="P221" s="748"/>
      <c r="Q221" s="749"/>
    </row>
    <row r="222" spans="2:17" ht="15" customHeight="1">
      <c r="B222" s="582"/>
      <c r="C222" s="581"/>
      <c r="D222" s="143"/>
      <c r="E222" s="143"/>
      <c r="F222" s="5"/>
      <c r="G222" s="4" t="s">
        <v>1089</v>
      </c>
      <c r="H222" s="3" t="s">
        <v>1090</v>
      </c>
      <c r="I222" s="4"/>
      <c r="J222" s="4"/>
      <c r="K222" s="74" t="str" cm="1">
        <f t="array" ref="K222">IF(ISBLANK(J222), IF(ISBLANK(I222), "N/A", _xlfn.IFS(L222="AS", I222+15, L222="NCR", I222+30, L222="submitted", I222+30, TRUE, "N/A")), _xlfn.IFS(L222="AS", J222+15, L222="NCR", J222+30, L222="submitted", J222+30, TRUE, "N/A"))</f>
        <v>N/A</v>
      </c>
      <c r="L222" s="18"/>
      <c r="M222" s="317"/>
      <c r="N222" s="747"/>
      <c r="O222" s="748"/>
      <c r="P222" s="748"/>
      <c r="Q222" s="749"/>
    </row>
    <row r="223" spans="2:17" ht="15" customHeight="1">
      <c r="B223" s="582"/>
      <c r="C223" s="581"/>
      <c r="D223" s="143"/>
      <c r="E223" s="143"/>
      <c r="F223" s="5"/>
      <c r="G223" s="4" t="s">
        <v>1091</v>
      </c>
      <c r="H223" s="3" t="s">
        <v>1092</v>
      </c>
      <c r="I223" s="4"/>
      <c r="J223" s="4"/>
      <c r="K223" s="74" t="str" cm="1">
        <f t="array" ref="K223">IF(ISBLANK(J223), IF(ISBLANK(I223), "N/A", _xlfn.IFS(L223="AS", I223+15, L223="NCR", I223+30, L223="submitted", I223+30, TRUE, "N/A")), _xlfn.IFS(L223="AS", J223+15, L223="NCR", J223+30, L223="submitted", J223+30, TRUE, "N/A"))</f>
        <v>N/A</v>
      </c>
      <c r="L223" s="18"/>
      <c r="M223" s="317"/>
      <c r="N223" s="747"/>
      <c r="O223" s="748"/>
      <c r="P223" s="748"/>
      <c r="Q223" s="749"/>
    </row>
    <row r="224" spans="2:17" ht="15" customHeight="1">
      <c r="B224" s="582"/>
      <c r="C224" s="581"/>
      <c r="D224" s="143"/>
      <c r="E224" s="143"/>
      <c r="F224" s="5"/>
      <c r="G224" s="4" t="s">
        <v>1093</v>
      </c>
      <c r="H224" s="17" t="s">
        <v>1094</v>
      </c>
      <c r="I224" s="4"/>
      <c r="J224" s="4"/>
      <c r="K224" s="74" t="str" cm="1">
        <f t="array" ref="K224">IF(ISBLANK(J224), IF(ISBLANK(I224), "N/A", _xlfn.IFS(L224="AS", I224+15, L224="NCR", I224+30, L224="submitted", I224+30, TRUE, "N/A")), _xlfn.IFS(L224="AS", J224+15, L224="NCR", J224+30, L224="submitted", J224+30, TRUE, "N/A"))</f>
        <v>N/A</v>
      </c>
      <c r="L224" s="18"/>
      <c r="M224" s="317"/>
      <c r="N224" s="747"/>
      <c r="O224" s="748"/>
      <c r="P224" s="748"/>
      <c r="Q224" s="749"/>
    </row>
    <row r="225" spans="2:12" ht="15" customHeight="1">
      <c r="B225" s="582"/>
      <c r="C225" s="581"/>
      <c r="D225" s="143"/>
      <c r="E225" s="143"/>
      <c r="F225" s="5"/>
      <c r="G225" s="4" t="s">
        <v>1095</v>
      </c>
      <c r="H225" s="17" t="s">
        <v>1096</v>
      </c>
      <c r="I225" s="4"/>
      <c r="J225" s="4"/>
      <c r="K225" s="74" t="str" cm="1">
        <f t="array" ref="K225">IF(ISBLANK(J225), IF(ISBLANK(I225), "N/A", _xlfn.IFS(L225="AS", I225+15, L225="NCR", I225+30, L225="submitted", I225+30, TRUE, "N/A")), _xlfn.IFS(L225="AS", J225+15, L225="NCR", J225+30, L225="submitted", J225+30, TRUE, "N/A"))</f>
        <v>N/A</v>
      </c>
      <c r="L225" s="18"/>
    </row>
    <row r="226" spans="2:12" ht="15" customHeight="1">
      <c r="B226" s="582"/>
      <c r="C226" s="581"/>
      <c r="D226" s="143"/>
      <c r="E226" s="143"/>
      <c r="F226" s="5"/>
      <c r="G226" s="4" t="s">
        <v>1097</v>
      </c>
      <c r="H226" s="3" t="s">
        <v>1098</v>
      </c>
      <c r="I226" s="4"/>
      <c r="J226" s="4"/>
      <c r="K226" s="74" t="str" cm="1">
        <f t="array" ref="K226">IF(ISBLANK(J226), IF(ISBLANK(I226), "N/A", _xlfn.IFS(L226="AS", I226+15, L226="NCR", I226+30, L226="submitted", I226+30, TRUE, "N/A")), _xlfn.IFS(L226="AS", J226+15, L226="NCR", J226+30, L226="submitted", J226+30, TRUE, "N/A"))</f>
        <v>N/A</v>
      </c>
      <c r="L226" s="18"/>
    </row>
    <row r="227" spans="2:12" ht="15" customHeight="1">
      <c r="B227" s="582"/>
      <c r="C227" s="581"/>
      <c r="D227" s="143"/>
      <c r="E227" s="143"/>
      <c r="F227" s="5"/>
      <c r="G227" s="4" t="s">
        <v>443</v>
      </c>
      <c r="H227" s="3" t="s">
        <v>1099</v>
      </c>
      <c r="I227" s="4"/>
      <c r="J227" s="4"/>
      <c r="K227" s="74" t="str" cm="1">
        <f t="array" ref="K227">IF(ISBLANK(J227), IF(ISBLANK(I227), "N/A", _xlfn.IFS(L227="AS", I227+15, L227="NCR", I227+30, L227="submitted", I227+30, TRUE, "N/A")), _xlfn.IFS(L227="AS", J227+15, L227="NCR", J227+30, L227="submitted", J227+30, TRUE, "N/A"))</f>
        <v>N/A</v>
      </c>
      <c r="L227" s="18"/>
    </row>
    <row r="228" spans="2:12" ht="15" customHeight="1">
      <c r="B228" s="582"/>
      <c r="C228" s="581"/>
      <c r="D228" s="143"/>
      <c r="E228" s="143"/>
      <c r="F228" s="5"/>
      <c r="G228" s="4" t="s">
        <v>1100</v>
      </c>
      <c r="H228" s="3" t="s">
        <v>1101</v>
      </c>
      <c r="I228" s="4"/>
      <c r="J228" s="4"/>
      <c r="K228" s="74" t="str" cm="1">
        <f t="array" ref="K228">IF(ISBLANK(J228), IF(ISBLANK(I228), "N/A", _xlfn.IFS(L228="AS", I228+15, L228="NCR", I228+30, L228="submitted", I228+30, TRUE, "N/A")), _xlfn.IFS(L228="AS", J228+15, L228="NCR", J228+30, L228="submitted", J228+30, TRUE, "N/A"))</f>
        <v>N/A</v>
      </c>
      <c r="L228" s="18"/>
    </row>
    <row r="229" spans="2:12" ht="15" customHeight="1">
      <c r="B229" s="582"/>
      <c r="C229" s="581"/>
      <c r="D229" s="143"/>
      <c r="E229" s="143"/>
      <c r="F229" s="5"/>
      <c r="G229" s="4" t="s">
        <v>1102</v>
      </c>
      <c r="H229" s="3" t="s">
        <v>1103</v>
      </c>
      <c r="I229" s="4"/>
      <c r="J229" s="4"/>
      <c r="K229" s="74" t="str" cm="1">
        <f t="array" ref="K229">IF(ISBLANK(J229), IF(ISBLANK(I229), "N/A", _xlfn.IFS(L229="AS", I229+15, L229="NCR", I229+30, L229="submitted", I229+30, TRUE, "N/A")), _xlfn.IFS(L229="AS", J229+15, L229="NCR", J229+30, L229="submitted", J229+30, TRUE, "N/A"))</f>
        <v>N/A</v>
      </c>
      <c r="L229" s="18"/>
    </row>
    <row r="230" spans="2:12" ht="40.5" customHeight="1">
      <c r="B230" s="582"/>
      <c r="C230" s="581"/>
      <c r="D230" s="143"/>
      <c r="E230" s="143"/>
      <c r="F230" s="5"/>
      <c r="G230" s="4" t="s">
        <v>1104</v>
      </c>
      <c r="H230" s="3" t="s">
        <v>1105</v>
      </c>
      <c r="I230" s="4"/>
      <c r="J230" s="4"/>
      <c r="K230" s="74" t="str" cm="1">
        <f t="array" ref="K230">IF(ISBLANK(J230), IF(ISBLANK(I230), "N/A", _xlfn.IFS(L230="AS", I230+15, L230="NCR", I230+30, L230="submitted", I230+30, TRUE, "N/A")), _xlfn.IFS(L230="AS", J230+15, L230="NCR", J230+30, L230="submitted", J230+30, TRUE, "N/A"))</f>
        <v>N/A</v>
      </c>
      <c r="L230" s="18"/>
    </row>
    <row r="231" spans="2:12" ht="27" customHeight="1">
      <c r="B231" s="582"/>
      <c r="C231" s="581"/>
      <c r="D231" s="143"/>
      <c r="E231" s="143"/>
      <c r="F231" s="5"/>
      <c r="G231" s="4" t="s">
        <v>1106</v>
      </c>
      <c r="H231" s="3" t="s">
        <v>1107</v>
      </c>
      <c r="I231" s="4"/>
      <c r="J231" s="4"/>
      <c r="K231" s="74" t="str" cm="1">
        <f t="array" ref="K231">IF(ISBLANK(J231), IF(ISBLANK(I231), "N/A", _xlfn.IFS(L231="AS", I231+15, L231="NCR", I231+30, L231="submitted", I231+30, TRUE, "N/A")), _xlfn.IFS(L231="AS", J231+15, L231="NCR", J231+30, L231="submitted", J231+30, TRUE, "N/A"))</f>
        <v>N/A</v>
      </c>
      <c r="L231" s="18"/>
    </row>
    <row r="232" spans="2:12" ht="40.5" customHeight="1">
      <c r="B232" s="582"/>
      <c r="C232" s="581"/>
      <c r="D232" s="143"/>
      <c r="E232" s="143"/>
      <c r="F232" s="5"/>
      <c r="G232" s="4" t="s">
        <v>1108</v>
      </c>
      <c r="H232" s="3" t="s">
        <v>1109</v>
      </c>
      <c r="I232" s="4"/>
      <c r="J232" s="4"/>
      <c r="K232" s="74" t="str" cm="1">
        <f t="array" ref="K232">IF(ISBLANK(J232), IF(ISBLANK(I232), "N/A", _xlfn.IFS(L232="AS", I232+15, L232="NCR", I232+30, L232="submitted", I232+30, TRUE, "N/A")), _xlfn.IFS(L232="AS", J232+15, L232="NCR", J232+30, L232="submitted", J232+30, TRUE, "N/A"))</f>
        <v>N/A</v>
      </c>
      <c r="L232" s="18"/>
    </row>
    <row r="233" spans="2:12" ht="27" customHeight="1">
      <c r="B233" s="582"/>
      <c r="C233" s="581"/>
      <c r="D233" s="143"/>
      <c r="E233" s="143"/>
      <c r="F233" s="5"/>
      <c r="G233" s="4" t="s">
        <v>1110</v>
      </c>
      <c r="H233" s="3" t="s">
        <v>1111</v>
      </c>
      <c r="I233" s="4"/>
      <c r="J233" s="4"/>
      <c r="K233" s="74" t="str" cm="1">
        <f t="array" ref="K233">IF(ISBLANK(J233), IF(ISBLANK(I233), "N/A", _xlfn.IFS(L233="AS", I233+15, L233="NCR", I233+30, L233="submitted", I233+30, TRUE, "N/A")), _xlfn.IFS(L233="AS", J233+15, L233="NCR", J233+30, L233="submitted", J233+30, TRUE, "N/A"))</f>
        <v>N/A</v>
      </c>
      <c r="L233" s="18"/>
    </row>
    <row r="234" spans="2:12" ht="15" customHeight="1">
      <c r="B234" s="582"/>
      <c r="C234" s="581"/>
      <c r="D234" s="143"/>
      <c r="E234" s="143"/>
      <c r="F234" s="5"/>
      <c r="G234" s="4" t="s">
        <v>470</v>
      </c>
      <c r="H234" s="3" t="s">
        <v>1038</v>
      </c>
      <c r="I234" s="4"/>
      <c r="J234" s="4"/>
      <c r="K234" s="74" t="str" cm="1">
        <f t="array" ref="K234">IF(ISBLANK(J234), IF(ISBLANK(I234), "N/A", _xlfn.IFS(L234="AS", I234+15, L234="NCR", I234+30, L234="submitted", I234+30, TRUE, "N/A")), _xlfn.IFS(L234="AS", J234+15, L234="NCR", J234+30, L234="submitted", J234+30, TRUE, "N/A"))</f>
        <v>N/A</v>
      </c>
      <c r="L234" s="18"/>
    </row>
    <row r="235" spans="2:12" ht="15" customHeight="1">
      <c r="B235" s="582"/>
      <c r="C235" s="581"/>
      <c r="D235" s="143"/>
      <c r="E235" s="143"/>
      <c r="F235" s="5"/>
      <c r="G235" s="4" t="s">
        <v>455</v>
      </c>
      <c r="H235" s="3" t="s">
        <v>1039</v>
      </c>
      <c r="I235" s="4"/>
      <c r="J235" s="4"/>
      <c r="K235" s="74" t="str" cm="1">
        <f t="array" ref="K235">IF(ISBLANK(J235), IF(ISBLANK(I235), "N/A", _xlfn.IFS(L235="AS", I235+15, L235="NCR", I235+30, L235="submitted", I235+30, TRUE, "N/A")), _xlfn.IFS(L235="AS", J235+15, L235="NCR", J235+30, L235="submitted", J235+30, TRUE, "N/A"))</f>
        <v>N/A</v>
      </c>
      <c r="L235" s="18"/>
    </row>
    <row r="236" spans="2:12" ht="15" customHeight="1">
      <c r="B236" s="582"/>
      <c r="C236" s="581"/>
      <c r="D236" s="143"/>
      <c r="E236" s="143"/>
      <c r="F236" s="5"/>
      <c r="G236" s="4" t="s">
        <v>457</v>
      </c>
      <c r="H236" s="3" t="s">
        <v>444</v>
      </c>
      <c r="I236" s="4"/>
      <c r="J236" s="4"/>
      <c r="K236" s="74" t="str" cm="1">
        <f t="array" ref="K236">IF(ISBLANK(J236), IF(ISBLANK(I236), "N/A", _xlfn.IFS(L236="AS", I236+15, L236="NCR", I236+30, L236="submitted", I236+30, TRUE, "N/A")), _xlfn.IFS(L236="AS", J236+15, L236="NCR", J236+30, L236="submitted", J236+30, TRUE, "N/A"))</f>
        <v>N/A</v>
      </c>
      <c r="L236" s="18"/>
    </row>
    <row r="237" spans="2:12" ht="15" customHeight="1">
      <c r="B237" s="582"/>
      <c r="C237" s="581"/>
      <c r="D237" s="143"/>
      <c r="E237" s="143"/>
      <c r="F237" s="5"/>
      <c r="G237" s="4" t="s">
        <v>459</v>
      </c>
      <c r="H237" s="3" t="s">
        <v>979</v>
      </c>
      <c r="I237" s="4"/>
      <c r="J237" s="4"/>
      <c r="K237" s="74" t="str" cm="1">
        <f t="array" ref="K237">IF(ISBLANK(J237), IF(ISBLANK(I237), "N/A", _xlfn.IFS(L237="AS", I237+15, L237="NCR", I237+30, L237="submitted", I237+30, TRUE, "N/A")), _xlfn.IFS(L237="AS", J237+15, L237="NCR", J237+30, L237="submitted", J237+30, TRUE, "N/A"))</f>
        <v>N/A</v>
      </c>
      <c r="L237" s="18"/>
    </row>
    <row r="238" spans="2:12" ht="15" customHeight="1">
      <c r="B238" s="582"/>
      <c r="C238" s="581"/>
      <c r="D238" s="143"/>
      <c r="E238" s="143"/>
      <c r="F238" s="5"/>
      <c r="G238" s="4" t="s">
        <v>461</v>
      </c>
      <c r="H238" s="3" t="s">
        <v>1112</v>
      </c>
      <c r="I238" s="4"/>
      <c r="J238" s="4"/>
      <c r="K238" s="74" t="str" cm="1">
        <f t="array" ref="K238">IF(ISBLANK(J238), IF(ISBLANK(I238), "N/A", _xlfn.IFS(L238="AS", I238+15, L238="NCR", I238+30, L238="submitted", I238+30, TRUE, "N/A")), _xlfn.IFS(L238="AS", J238+15, L238="NCR", J238+30, L238="submitted", J238+30, TRUE, "N/A"))</f>
        <v>N/A</v>
      </c>
      <c r="L238" s="18"/>
    </row>
    <row r="239" spans="2:12" ht="15" customHeight="1">
      <c r="B239" s="582"/>
      <c r="C239" s="581"/>
      <c r="D239" s="143"/>
      <c r="E239" s="143"/>
      <c r="F239" s="5"/>
      <c r="G239" s="4" t="s">
        <v>955</v>
      </c>
      <c r="H239" s="17" t="s">
        <v>1037</v>
      </c>
      <c r="I239" s="4"/>
      <c r="J239" s="4"/>
      <c r="K239" s="74" t="str" cm="1">
        <f t="array" ref="K239">IF(ISBLANK(J239), IF(ISBLANK(I239), "N/A", _xlfn.IFS(L239="AS", I239+15, L239="NCR", I239+30, L239="submitted", I239+30, TRUE, "N/A")), _xlfn.IFS(L239="AS", J239+15, L239="NCR", J239+30, L239="submitted", J239+30, TRUE, "N/A"))</f>
        <v>N/A</v>
      </c>
      <c r="L239" s="18"/>
    </row>
    <row r="240" spans="2:12" ht="27" customHeight="1">
      <c r="B240" s="582"/>
      <c r="C240" s="581"/>
      <c r="D240" s="143"/>
      <c r="E240" s="143"/>
      <c r="F240" s="5"/>
      <c r="G240" s="4" t="s">
        <v>957</v>
      </c>
      <c r="H240" s="3" t="s">
        <v>1113</v>
      </c>
      <c r="I240" s="4"/>
      <c r="J240" s="4"/>
      <c r="K240" s="74" t="str" cm="1">
        <f t="array" ref="K240">IF(ISBLANK(J240), IF(ISBLANK(I240), "N/A", _xlfn.IFS(L240="AS", I240+15, L240="NCR", I240+30, L240="submitted", I240+30, TRUE, "N/A")), _xlfn.IFS(L240="AS", J240+15, L240="NCR", J240+30, L240="submitted", J240+30, TRUE, "N/A"))</f>
        <v>N/A</v>
      </c>
      <c r="L240" s="18"/>
    </row>
    <row r="241" spans="2:12" ht="27" customHeight="1">
      <c r="B241" s="582"/>
      <c r="C241" s="581"/>
      <c r="D241" s="143"/>
      <c r="E241" s="143"/>
      <c r="F241" s="5"/>
      <c r="G241" s="4" t="s">
        <v>1040</v>
      </c>
      <c r="H241" s="3" t="s">
        <v>978</v>
      </c>
      <c r="I241" s="4"/>
      <c r="J241" s="4"/>
      <c r="K241" s="74" t="str" cm="1">
        <f t="array" ref="K241">IF(ISBLANK(J241), IF(ISBLANK(I241), "N/A", _xlfn.IFS(L241="AS", I241+15, L241="NCR", I241+30, L241="submitted", I241+30, TRUE, "N/A")), _xlfn.IFS(L241="AS", J241+15, L241="NCR", J241+30, L241="submitted", J241+30, TRUE, "N/A"))</f>
        <v>N/A</v>
      </c>
      <c r="L241" s="18"/>
    </row>
    <row r="242" spans="2:12" ht="15" customHeight="1">
      <c r="B242" s="582"/>
      <c r="C242" s="581"/>
      <c r="D242" s="143"/>
      <c r="E242" s="143"/>
      <c r="F242" s="5"/>
      <c r="G242" s="4" t="s">
        <v>1114</v>
      </c>
      <c r="H242" s="17" t="s">
        <v>696</v>
      </c>
      <c r="I242" s="4"/>
      <c r="J242" s="4"/>
      <c r="K242" s="74" t="str" cm="1">
        <f t="array" ref="K242">IF(ISBLANK(J242), IF(ISBLANK(I242), "N/A", _xlfn.IFS(L242="AS", I242+15, L242="NCR", I242+30, L242="submitted", I242+30, TRUE, "N/A")), _xlfn.IFS(L242="AS", J242+15, L242="NCR", J242+30, L242="submitted", J242+30, TRUE, "N/A"))</f>
        <v>N/A</v>
      </c>
      <c r="L242" s="18"/>
    </row>
    <row r="243" spans="2:12" ht="15" customHeight="1">
      <c r="B243" s="582"/>
      <c r="C243" s="581"/>
      <c r="D243" s="143"/>
      <c r="E243" s="143"/>
      <c r="F243" s="5"/>
      <c r="G243" s="4" t="s">
        <v>1115</v>
      </c>
      <c r="H243" s="17" t="s">
        <v>1041</v>
      </c>
      <c r="I243" s="4"/>
      <c r="J243" s="4"/>
      <c r="K243" s="74" t="str" cm="1">
        <f t="array" ref="K243">IF(ISBLANK(J243), IF(ISBLANK(I243), "N/A", _xlfn.IFS(L243="AS", I243+15, L243="NCR", I243+30, L243="submitted", I243+30, TRUE, "N/A")), _xlfn.IFS(L243="AS", J243+15, L243="NCR", J243+30, L243="submitted", J243+30, TRUE, "N/A"))</f>
        <v>N/A</v>
      </c>
      <c r="L243" s="18"/>
    </row>
    <row r="244" spans="2:12" s="148" customFormat="1" ht="15" customHeight="1">
      <c r="B244" s="146" t="s">
        <v>1116</v>
      </c>
      <c r="C244" s="333" t="s">
        <v>1117</v>
      </c>
      <c r="D244" s="219" t="s">
        <v>1118</v>
      </c>
      <c r="E244" s="576" t="s">
        <v>1119</v>
      </c>
      <c r="F244" s="149" t="s">
        <v>809</v>
      </c>
      <c r="G244" s="146" t="s">
        <v>281</v>
      </c>
      <c r="H244" s="147" t="s">
        <v>484</v>
      </c>
      <c r="I244" s="233">
        <v>45902</v>
      </c>
      <c r="J244" s="233">
        <v>45923</v>
      </c>
      <c r="K244" s="74" t="str" cm="1">
        <f t="array" ref="K244">IF(ISBLANK(J244), IF(ISBLANK(I244), "N/A", _xlfn.IFS(L244="AS", I244+15, L244="NCR", I244+30, L244="submitted", I244+30, TRUE, "N/A")), _xlfn.IFS(L244="AS", J244+15, L244="NCR", J244+30, L244="submitted", J244+30, TRUE, "N/A"))</f>
        <v>N/A</v>
      </c>
      <c r="L244" s="233" t="s">
        <v>888</v>
      </c>
    </row>
    <row r="245" spans="2:12" s="148" customFormat="1" ht="15" customHeight="1">
      <c r="B245" s="146" t="s">
        <v>1116</v>
      </c>
      <c r="C245" s="333" t="s">
        <v>1117</v>
      </c>
      <c r="D245" s="219" t="s">
        <v>1118</v>
      </c>
      <c r="E245" s="576" t="s">
        <v>1119</v>
      </c>
      <c r="F245" s="149" t="s">
        <v>809</v>
      </c>
      <c r="G245" s="146" t="s">
        <v>269</v>
      </c>
      <c r="H245" s="147" t="s">
        <v>274</v>
      </c>
      <c r="I245" s="233">
        <v>45902</v>
      </c>
      <c r="J245" s="233">
        <v>45923</v>
      </c>
      <c r="K245" s="74" t="str" cm="1">
        <f t="array" ref="K245">IF(ISBLANK(J245), IF(ISBLANK(I245), "N/A", _xlfn.IFS(L245="AS", I245+15, L245="NCR", I245+30, L245="submitted", I245+30, TRUE, "N/A")), _xlfn.IFS(L245="AS", J245+15, L245="NCR", J245+30, L245="submitted", J245+30, TRUE, "N/A"))</f>
        <v>N/A</v>
      </c>
      <c r="L245" s="233" t="s">
        <v>888</v>
      </c>
    </row>
    <row r="246" spans="2:12" ht="15" customHeight="1">
      <c r="B246" s="9"/>
      <c r="C246" s="33"/>
      <c r="D246" s="39"/>
      <c r="E246" s="20"/>
      <c r="F246" s="1"/>
      <c r="G246" s="9" t="s">
        <v>259</v>
      </c>
      <c r="H246" s="13" t="s">
        <v>353</v>
      </c>
      <c r="I246" s="9"/>
      <c r="J246" s="9"/>
      <c r="K246" s="74" t="str" cm="1">
        <f t="array" ref="K246">IF(ISBLANK(J246), IF(ISBLANK(I246), "N/A", _xlfn.IFS(L246="AS", I246+15, L246="NCR", I246+30, L246="submitted", I246+30, TRUE, "N/A")), _xlfn.IFS(L246="AS", J246+15, L246="NCR", J246+30, L246="submitted", J246+30, TRUE, "N/A"))</f>
        <v>N/A</v>
      </c>
      <c r="L246" s="14"/>
    </row>
    <row r="247" spans="2:12" ht="15" customHeight="1">
      <c r="B247" s="9"/>
      <c r="C247" s="33"/>
      <c r="D247" s="39"/>
      <c r="E247" s="20"/>
      <c r="F247" s="1"/>
      <c r="G247" s="9" t="s">
        <v>503</v>
      </c>
      <c r="H247" s="7" t="s">
        <v>383</v>
      </c>
      <c r="I247" s="9"/>
      <c r="J247" s="9"/>
      <c r="K247" s="74" t="str" cm="1">
        <f t="array" ref="K247">IF(ISBLANK(J247), IF(ISBLANK(I247), "N/A", _xlfn.IFS(L247="AS", I247+15, L247="NCR", I247+30, L247="submitted", I247+30, TRUE, "N/A")), _xlfn.IFS(L247="AS", J247+15, L247="NCR", J247+30, L247="submitted", J247+30, TRUE, "N/A"))</f>
        <v>N/A</v>
      </c>
      <c r="L247" s="14"/>
    </row>
    <row r="248" spans="2:12" ht="27" customHeight="1">
      <c r="B248" s="9"/>
      <c r="C248" s="33"/>
      <c r="D248" s="39"/>
      <c r="E248" s="20"/>
      <c r="F248" s="1"/>
      <c r="G248" s="9" t="s">
        <v>1120</v>
      </c>
      <c r="H248" s="7" t="s">
        <v>385</v>
      </c>
      <c r="I248" s="9"/>
      <c r="J248" s="9"/>
      <c r="K248" s="74" t="str" cm="1">
        <f t="array" ref="K248">IF(ISBLANK(J248), IF(ISBLANK(I248), "N/A", _xlfn.IFS(L248="AS", I248+15, L248="NCR", I248+30, L248="submitted", I248+30, TRUE, "N/A")), _xlfn.IFS(L248="AS", J248+15, L248="NCR", J248+30, L248="submitted", J248+30, TRUE, "N/A"))</f>
        <v>N/A</v>
      </c>
      <c r="L248" s="14"/>
    </row>
    <row r="249" spans="2:12" ht="27" customHeight="1">
      <c r="B249" s="9"/>
      <c r="C249" s="97"/>
      <c r="D249" s="46"/>
      <c r="E249" s="20"/>
      <c r="F249" s="1"/>
      <c r="G249" s="9" t="s">
        <v>382</v>
      </c>
      <c r="H249" s="7" t="s">
        <v>1121</v>
      </c>
      <c r="I249" s="9"/>
      <c r="J249" s="9"/>
      <c r="K249" s="74" t="str" cm="1">
        <f t="array" ref="K249">IF(ISBLANK(J249), IF(ISBLANK(I249), "N/A", _xlfn.IFS(L249="AS", I249+15, L249="NCR", I249+30, L249="submitted", I249+30, TRUE, "N/A")), _xlfn.IFS(L249="AS", J249+15, L249="NCR", J249+30, L249="submitted", J249+30, TRUE, "N/A"))</f>
        <v>N/A</v>
      </c>
      <c r="L249" s="14"/>
    </row>
    <row r="250" spans="2:12" ht="15" customHeight="1">
      <c r="B250" s="4"/>
      <c r="C250" s="86" t="s">
        <v>1122</v>
      </c>
      <c r="D250" s="34" t="s">
        <v>1123</v>
      </c>
      <c r="E250" s="103"/>
      <c r="F250" s="5"/>
      <c r="G250" s="4" t="s">
        <v>281</v>
      </c>
      <c r="H250" s="17" t="s">
        <v>235</v>
      </c>
      <c r="I250" s="4"/>
      <c r="J250" s="4"/>
      <c r="K250" s="74" t="str" cm="1">
        <f t="array" ref="K250">IF(ISBLANK(J250), IF(ISBLANK(I250), "N/A", _xlfn.IFS(L250="AS", I250+15, L250="NCR", I250+30, L250="submitted", I250+30, TRUE, "N/A")), _xlfn.IFS(L250="AS", J250+15, L250="NCR", J250+30, L250="submitted", J250+30, TRUE, "N/A"))</f>
        <v>N/A</v>
      </c>
      <c r="L250" s="18"/>
    </row>
    <row r="251" spans="2:12" ht="15" customHeight="1">
      <c r="B251" s="4"/>
      <c r="C251" s="111"/>
      <c r="D251" s="35"/>
      <c r="E251" s="103"/>
      <c r="F251" s="5"/>
      <c r="G251" s="4" t="s">
        <v>269</v>
      </c>
      <c r="H251" s="17" t="s">
        <v>328</v>
      </c>
      <c r="I251" s="4"/>
      <c r="J251" s="4"/>
      <c r="K251" s="74" t="str" cm="1">
        <f t="array" ref="K251">IF(ISBLANK(J251), IF(ISBLANK(I251), "N/A", _xlfn.IFS(L251="AS", I251+15, L251="NCR", I251+30, L251="submitted", I251+30, TRUE, "N/A")), _xlfn.IFS(L251="AS", J251+15, L251="NCR", J251+30, L251="submitted", J251+30, TRUE, "N/A"))</f>
        <v>N/A</v>
      </c>
      <c r="L251" s="18"/>
    </row>
    <row r="252" spans="2:12" ht="15" customHeight="1">
      <c r="B252" s="4"/>
      <c r="C252" s="111"/>
      <c r="D252" s="35"/>
      <c r="E252" s="103"/>
      <c r="F252" s="5"/>
      <c r="G252" s="4" t="s">
        <v>372</v>
      </c>
      <c r="H252" s="3" t="s">
        <v>1124</v>
      </c>
      <c r="I252" s="4"/>
      <c r="J252" s="4"/>
      <c r="K252" s="74" t="str" cm="1">
        <f t="array" ref="K252">IF(ISBLANK(J252), IF(ISBLANK(I252), "N/A", _xlfn.IFS(L252="AS", I252+15, L252="NCR", I252+30, L252="submitted", I252+30, TRUE, "N/A")), _xlfn.IFS(L252="AS", J252+15, L252="NCR", J252+30, L252="submitted", J252+30, TRUE, "N/A"))</f>
        <v>N/A</v>
      </c>
      <c r="L252" s="18"/>
    </row>
    <row r="253" spans="2:12" ht="15" customHeight="1">
      <c r="B253" s="4"/>
      <c r="C253" s="111"/>
      <c r="D253" s="35"/>
      <c r="E253" s="103"/>
      <c r="F253" s="5"/>
      <c r="G253" s="4" t="s">
        <v>352</v>
      </c>
      <c r="H253" s="17" t="s">
        <v>1125</v>
      </c>
      <c r="I253" s="4"/>
      <c r="J253" s="4"/>
      <c r="K253" s="74" t="str" cm="1">
        <f t="array" ref="K253">IF(ISBLANK(J253), IF(ISBLANK(I253), "N/A", _xlfn.IFS(L253="AS", I253+15, L253="NCR", I253+30, L253="submitted", I253+30, TRUE, "N/A")), _xlfn.IFS(L253="AS", J253+15, L253="NCR", J253+30, L253="submitted", J253+30, TRUE, "N/A"))</f>
        <v>N/A</v>
      </c>
      <c r="L253" s="18"/>
    </row>
    <row r="254" spans="2:12" ht="15" customHeight="1">
      <c r="B254" s="4"/>
      <c r="C254" s="111"/>
      <c r="D254" s="35"/>
      <c r="E254" s="103"/>
      <c r="F254" s="5"/>
      <c r="G254" s="4" t="s">
        <v>354</v>
      </c>
      <c r="H254" s="3" t="s">
        <v>1126</v>
      </c>
      <c r="I254" s="4"/>
      <c r="J254" s="4"/>
      <c r="K254" s="74" t="str" cm="1">
        <f t="array" ref="K254">IF(ISBLANK(J254), IF(ISBLANK(I254), "N/A", _xlfn.IFS(L254="AS", I254+15, L254="NCR", I254+30, L254="submitted", I254+30, TRUE, "N/A")), _xlfn.IFS(L254="AS", J254+15, L254="NCR", J254+30, L254="submitted", J254+30, TRUE, "N/A"))</f>
        <v>N/A</v>
      </c>
      <c r="L254" s="18"/>
    </row>
    <row r="255" spans="2:12" ht="15" customHeight="1">
      <c r="B255" s="4"/>
      <c r="C255" s="111"/>
      <c r="D255" s="35"/>
      <c r="E255" s="103"/>
      <c r="F255" s="5"/>
      <c r="G255" s="4" t="s">
        <v>1127</v>
      </c>
      <c r="H255" s="3" t="s">
        <v>422</v>
      </c>
      <c r="I255" s="4"/>
      <c r="J255" s="4"/>
      <c r="K255" s="74" t="str" cm="1">
        <f t="array" ref="K255">IF(ISBLANK(J255), IF(ISBLANK(I255), "N/A", _xlfn.IFS(L255="AS", I255+15, L255="NCR", I255+30, L255="submitted", I255+30, TRUE, "N/A")), _xlfn.IFS(L255="AS", J255+15, L255="NCR", J255+30, L255="submitted", J255+30, TRUE, "N/A"))</f>
        <v>N/A</v>
      </c>
      <c r="L255" s="18"/>
    </row>
    <row r="256" spans="2:12" ht="15" customHeight="1">
      <c r="B256" s="4"/>
      <c r="C256" s="111"/>
      <c r="D256" s="35"/>
      <c r="E256" s="103"/>
      <c r="F256" s="5"/>
      <c r="G256" s="4" t="s">
        <v>1128</v>
      </c>
      <c r="H256" s="3" t="s">
        <v>424</v>
      </c>
      <c r="I256" s="4"/>
      <c r="J256" s="4"/>
      <c r="K256" s="74" t="str" cm="1">
        <f t="array" ref="K256">IF(ISBLANK(J256), IF(ISBLANK(I256), "N/A", _xlfn.IFS(L256="AS", I256+15, L256="NCR", I256+30, L256="submitted", I256+30, TRUE, "N/A")), _xlfn.IFS(L256="AS", J256+15, L256="NCR", J256+30, L256="submitted", J256+30, TRUE, "N/A"))</f>
        <v>N/A</v>
      </c>
      <c r="L256" s="18"/>
    </row>
    <row r="257" spans="2:12" ht="15" customHeight="1">
      <c r="B257" s="4"/>
      <c r="C257" s="111"/>
      <c r="D257" s="35"/>
      <c r="E257" s="103"/>
      <c r="F257" s="5"/>
      <c r="G257" s="4" t="s">
        <v>1129</v>
      </c>
      <c r="H257" s="3" t="s">
        <v>819</v>
      </c>
      <c r="I257" s="4"/>
      <c r="J257" s="4"/>
      <c r="K257" s="74" t="str" cm="1">
        <f t="array" ref="K257">IF(ISBLANK(J257), IF(ISBLANK(I257), "N/A", _xlfn.IFS(L257="AS", I257+15, L257="NCR", I257+30, L257="submitted", I257+30, TRUE, "N/A")), _xlfn.IFS(L257="AS", J257+15, L257="NCR", J257+30, L257="submitted", J257+30, TRUE, "N/A"))</f>
        <v>N/A</v>
      </c>
      <c r="L257" s="18"/>
    </row>
    <row r="258" spans="2:12" ht="15" customHeight="1">
      <c r="B258" s="4"/>
      <c r="C258" s="111"/>
      <c r="D258" s="35"/>
      <c r="E258" s="103"/>
      <c r="F258" s="5"/>
      <c r="G258" s="4" t="s">
        <v>1130</v>
      </c>
      <c r="H258" s="3" t="s">
        <v>428</v>
      </c>
      <c r="I258" s="4"/>
      <c r="J258" s="4"/>
      <c r="K258" s="74" t="str" cm="1">
        <f t="array" ref="K258">IF(ISBLANK(J258), IF(ISBLANK(I258), "N/A", _xlfn.IFS(L258="AS", I258+15, L258="NCR", I258+30, L258="submitted", I258+30, TRUE, "N/A")), _xlfn.IFS(L258="AS", J258+15, L258="NCR", J258+30, L258="submitted", J258+30, TRUE, "N/A"))</f>
        <v>N/A</v>
      </c>
      <c r="L258" s="18"/>
    </row>
    <row r="259" spans="2:12" ht="15" customHeight="1">
      <c r="B259" s="4"/>
      <c r="C259" s="111"/>
      <c r="D259" s="35"/>
      <c r="E259" s="103"/>
      <c r="F259" s="5"/>
      <c r="G259" s="4" t="s">
        <v>1131</v>
      </c>
      <c r="H259" s="3" t="s">
        <v>430</v>
      </c>
      <c r="I259" s="4"/>
      <c r="J259" s="4"/>
      <c r="K259" s="74" t="str" cm="1">
        <f t="array" ref="K259">IF(ISBLANK(J259), IF(ISBLANK(I259), "N/A", _xlfn.IFS(L259="AS", I259+15, L259="NCR", I259+30, L259="submitted", I259+30, TRUE, "N/A")), _xlfn.IFS(L259="AS", J259+15, L259="NCR", J259+30, L259="submitted", J259+30, TRUE, "N/A"))</f>
        <v>N/A</v>
      </c>
      <c r="L259" s="18"/>
    </row>
    <row r="260" spans="2:12" ht="15" customHeight="1">
      <c r="B260" s="4"/>
      <c r="C260" s="111"/>
      <c r="D260" s="35"/>
      <c r="E260" s="103"/>
      <c r="F260" s="5"/>
      <c r="G260" s="4" t="s">
        <v>1132</v>
      </c>
      <c r="H260" s="17" t="s">
        <v>823</v>
      </c>
      <c r="I260" s="4"/>
      <c r="J260" s="4"/>
      <c r="K260" s="74" t="str" cm="1">
        <f t="array" ref="K260">IF(ISBLANK(J260), IF(ISBLANK(I260), "N/A", _xlfn.IFS(L260="AS", I260+15, L260="NCR", I260+30, L260="submitted", I260+30, TRUE, "N/A")), _xlfn.IFS(L260="AS", J260+15, L260="NCR", J260+30, L260="submitted", J260+30, TRUE, "N/A"))</f>
        <v>N/A</v>
      </c>
      <c r="L260" s="18"/>
    </row>
    <row r="261" spans="2:12" ht="27" customHeight="1">
      <c r="B261" s="4"/>
      <c r="C261" s="95"/>
      <c r="D261" s="36"/>
      <c r="E261" s="103"/>
      <c r="F261" s="5"/>
      <c r="G261" s="4" t="s">
        <v>1133</v>
      </c>
      <c r="H261" s="3" t="s">
        <v>415</v>
      </c>
      <c r="I261" s="4"/>
      <c r="J261" s="4"/>
      <c r="K261" s="74" t="str" cm="1">
        <f t="array" ref="K261">IF(ISBLANK(J261), IF(ISBLANK(I261), "N/A", _xlfn.IFS(L261="AS", I261+15, L261="NCR", I261+30, L261="submitted", I261+30, TRUE, "N/A")), _xlfn.IFS(L261="AS", J261+15, L261="NCR", J261+30, L261="submitted", J261+30, TRUE, "N/A"))</f>
        <v>N/A</v>
      </c>
      <c r="L261" s="18"/>
    </row>
    <row r="262" spans="2:12" ht="27" customHeight="1">
      <c r="B262" s="22" t="s">
        <v>1134</v>
      </c>
      <c r="C262" s="310" t="s">
        <v>1135</v>
      </c>
      <c r="D262" s="76" t="s">
        <v>1136</v>
      </c>
      <c r="E262" s="573"/>
      <c r="F262" s="26"/>
      <c r="G262" s="22" t="s">
        <v>483</v>
      </c>
      <c r="H262" s="28" t="s">
        <v>552</v>
      </c>
      <c r="I262" s="25">
        <v>45929</v>
      </c>
      <c r="J262" s="22"/>
      <c r="K262" s="74" cm="1">
        <f t="array" ref="K262">IF(ISBLANK(J262), IF(ISBLANK(I262), "N/A", _xlfn.IFS(L262="AS", I262+15, L262="NCR", I262+30, L262="submitted", I262+30, TRUE, "N/A")), _xlfn.IFS(L262="AS", J262+15, L262="NCR", J262+30, L262="submitted", J262+30, TRUE, "N/A"))</f>
        <v>45959</v>
      </c>
      <c r="L262" s="25" t="s">
        <v>581</v>
      </c>
    </row>
    <row r="263" spans="2:12" ht="15" customHeight="1">
      <c r="B263" s="22" t="s">
        <v>1134</v>
      </c>
      <c r="C263" s="310" t="s">
        <v>1135</v>
      </c>
      <c r="D263" s="76" t="s">
        <v>1136</v>
      </c>
      <c r="E263" s="573"/>
      <c r="F263" s="26"/>
      <c r="G263" s="22" t="s">
        <v>485</v>
      </c>
      <c r="H263" s="28" t="s">
        <v>282</v>
      </c>
      <c r="I263" s="25">
        <v>45929</v>
      </c>
      <c r="J263" s="22"/>
      <c r="K263" s="74" cm="1">
        <f t="array" ref="K263">IF(ISBLANK(J263), IF(ISBLANK(I263), "N/A", _xlfn.IFS(L263="AS", I263+15, L263="NCR", I263+30, L263="submitted", I263+30, TRUE, "N/A")), _xlfn.IFS(L263="AS", J263+15, L263="NCR", J263+30, L263="submitted", J263+30, TRUE, "N/A"))</f>
        <v>45959</v>
      </c>
      <c r="L263" s="25" t="s">
        <v>581</v>
      </c>
    </row>
    <row r="264" spans="2:12" ht="15" customHeight="1">
      <c r="B264" s="22"/>
      <c r="C264" s="310" t="s">
        <v>1135</v>
      </c>
      <c r="D264" s="76" t="s">
        <v>1136</v>
      </c>
      <c r="E264" s="573"/>
      <c r="F264" s="26"/>
      <c r="G264" s="22" t="s">
        <v>486</v>
      </c>
      <c r="H264" s="28" t="s">
        <v>353</v>
      </c>
      <c r="I264" s="22"/>
      <c r="J264" s="22"/>
      <c r="K264" s="74" t="str" cm="1">
        <f t="array" ref="K264">IF(ISBLANK(J264), IF(ISBLANK(I264), "N/A", _xlfn.IFS(L264="AS", I264+15, L264="NCR", I264+30, L264="submitted", I264+30, TRUE, "N/A")), _xlfn.IFS(L264="AS", J264+15, L264="NCR", J264+30, L264="submitted", J264+30, TRUE, "N/A"))</f>
        <v>N/A</v>
      </c>
      <c r="L264" s="25"/>
    </row>
    <row r="265" spans="2:12" ht="27" customHeight="1">
      <c r="B265" s="22"/>
      <c r="C265" s="310" t="s">
        <v>1135</v>
      </c>
      <c r="D265" s="76" t="s">
        <v>1136</v>
      </c>
      <c r="E265" s="573"/>
      <c r="F265" s="26"/>
      <c r="G265" s="22" t="s">
        <v>861</v>
      </c>
      <c r="H265" s="28" t="s">
        <v>1137</v>
      </c>
      <c r="I265" s="22"/>
      <c r="J265" s="22"/>
      <c r="K265" s="74" t="str" cm="1">
        <f t="array" ref="K265">IF(ISBLANK(J265), IF(ISBLANK(I265), "N/A", _xlfn.IFS(L265="AS", I265+15, L265="NCR", I265+30, L265="submitted", I265+30, TRUE, "N/A")), _xlfn.IFS(L265="AS", J265+15, L265="NCR", J265+30, L265="submitted", J265+30, TRUE, "N/A"))</f>
        <v>N/A</v>
      </c>
      <c r="L265" s="25"/>
    </row>
    <row r="266" spans="2:12" ht="15" customHeight="1">
      <c r="B266" s="22"/>
      <c r="C266" s="310" t="s">
        <v>1135</v>
      </c>
      <c r="D266" s="76" t="s">
        <v>1136</v>
      </c>
      <c r="E266" s="573"/>
      <c r="F266" s="26"/>
      <c r="G266" s="22" t="s">
        <v>488</v>
      </c>
      <c r="H266" s="28" t="s">
        <v>830</v>
      </c>
      <c r="I266" s="22"/>
      <c r="J266" s="22"/>
      <c r="K266" s="74" t="str" cm="1">
        <f t="array" ref="K266">IF(ISBLANK(J266), IF(ISBLANK(I266), "N/A", _xlfn.IFS(L266="AS", I266+15, L266="NCR", I266+30, L266="submitted", I266+30, TRUE, "N/A")), _xlfn.IFS(L266="AS", J266+15, L266="NCR", J266+30, L266="submitted", J266+30, TRUE, "N/A"))</f>
        <v>N/A</v>
      </c>
      <c r="L266" s="25"/>
    </row>
    <row r="267" spans="2:12" ht="27" customHeight="1">
      <c r="B267" s="22"/>
      <c r="C267" s="310" t="s">
        <v>1135</v>
      </c>
      <c r="D267" s="76" t="s">
        <v>1136</v>
      </c>
      <c r="E267" s="573"/>
      <c r="F267" s="26"/>
      <c r="G267" s="22" t="s">
        <v>1138</v>
      </c>
      <c r="H267" s="28" t="s">
        <v>831</v>
      </c>
      <c r="I267" s="22"/>
      <c r="J267" s="22"/>
      <c r="K267" s="74" t="str" cm="1">
        <f t="array" ref="K267">IF(ISBLANK(J267), IF(ISBLANK(I267), "N/A", _xlfn.IFS(L267="AS", I267+15, L267="NCR", I267+30, L267="submitted", I267+30, TRUE, "N/A")), _xlfn.IFS(L267="AS", J267+15, L267="NCR", J267+30, L267="submitted", J267+30, TRUE, "N/A"))</f>
        <v>N/A</v>
      </c>
      <c r="L267" s="25"/>
    </row>
    <row r="268" spans="2:12" ht="27" customHeight="1">
      <c r="B268" s="4"/>
      <c r="C268" s="86" t="s">
        <v>1139</v>
      </c>
      <c r="D268" s="53" t="s">
        <v>1140</v>
      </c>
      <c r="E268" s="574"/>
      <c r="F268" s="5"/>
      <c r="G268" s="4" t="s">
        <v>234</v>
      </c>
      <c r="H268" s="3" t="s">
        <v>1141</v>
      </c>
      <c r="I268" s="4"/>
      <c r="J268" s="4"/>
      <c r="K268" s="74" t="str" cm="1">
        <f t="array" ref="K268">IF(ISBLANK(J268), IF(ISBLANK(I268), "N/A", _xlfn.IFS(L268="AS", I268+15, L268="NCR", I268+30, L268="submitted", I268+30, TRUE, "N/A")), _xlfn.IFS(L268="AS", J268+15, L268="NCR", J268+30, L268="submitted", J268+30, TRUE, "N/A"))</f>
        <v>N/A</v>
      </c>
      <c r="L268" s="18"/>
    </row>
    <row r="269" spans="2:12" ht="15" customHeight="1">
      <c r="B269" s="4"/>
      <c r="C269" s="111"/>
      <c r="D269" s="59"/>
      <c r="E269" s="574"/>
      <c r="F269" s="5"/>
      <c r="G269" s="4" t="s">
        <v>1142</v>
      </c>
      <c r="H269" s="17" t="s">
        <v>1143</v>
      </c>
      <c r="I269" s="4"/>
      <c r="J269" s="4"/>
      <c r="K269" s="74" t="str" cm="1">
        <f t="array" ref="K269">IF(ISBLANK(J269), IF(ISBLANK(I269), "N/A", _xlfn.IFS(L269="AS", I269+15, L269="NCR", I269+30, L269="submitted", I269+30, TRUE, "N/A")), _xlfn.IFS(L269="AS", J269+15, L269="NCR", J269+30, L269="submitted", J269+30, TRUE, "N/A"))</f>
        <v>N/A</v>
      </c>
      <c r="L269" s="18"/>
    </row>
    <row r="270" spans="2:12" ht="15" customHeight="1">
      <c r="B270" s="4"/>
      <c r="C270" s="111"/>
      <c r="D270" s="59"/>
      <c r="E270" s="574"/>
      <c r="F270" s="5"/>
      <c r="G270" s="4" t="s">
        <v>1144</v>
      </c>
      <c r="H270" s="17" t="s">
        <v>1145</v>
      </c>
      <c r="I270" s="4"/>
      <c r="J270" s="4"/>
      <c r="K270" s="74" t="str" cm="1">
        <f t="array" ref="K270">IF(ISBLANK(J270), IF(ISBLANK(I270), "N/A", _xlfn.IFS(L270="AS", I270+15, L270="NCR", I270+30, L270="submitted", I270+30, TRUE, "N/A")), _xlfn.IFS(L270="AS", J270+15, L270="NCR", J270+30, L270="submitted", J270+30, TRUE, "N/A"))</f>
        <v>N/A</v>
      </c>
      <c r="L270" s="18"/>
    </row>
    <row r="271" spans="2:12" ht="15" customHeight="1">
      <c r="B271" s="4"/>
      <c r="C271" s="111"/>
      <c r="D271" s="59"/>
      <c r="E271" s="574"/>
      <c r="F271" s="5"/>
      <c r="G271" s="4" t="s">
        <v>1146</v>
      </c>
      <c r="H271" s="17" t="s">
        <v>819</v>
      </c>
      <c r="I271" s="4"/>
      <c r="J271" s="4"/>
      <c r="K271" s="74" t="str" cm="1">
        <f t="array" ref="K271">IF(ISBLANK(J271), IF(ISBLANK(I271), "N/A", _xlfn.IFS(L271="AS", I271+15, L271="NCR", I271+30, L271="submitted", I271+30, TRUE, "N/A")), _xlfn.IFS(L271="AS", J271+15, L271="NCR", J271+30, L271="submitted", J271+30, TRUE, "N/A"))</f>
        <v>N/A</v>
      </c>
      <c r="L271" s="18"/>
    </row>
    <row r="272" spans="2:12" ht="15" customHeight="1">
      <c r="B272" s="4"/>
      <c r="C272" s="111"/>
      <c r="D272" s="59"/>
      <c r="E272" s="574"/>
      <c r="F272" s="5"/>
      <c r="G272" s="4" t="s">
        <v>1147</v>
      </c>
      <c r="H272" s="17" t="s">
        <v>428</v>
      </c>
      <c r="I272" s="4"/>
      <c r="J272" s="4"/>
      <c r="K272" s="74" t="str" cm="1">
        <f t="array" ref="K272">IF(ISBLANK(J272), IF(ISBLANK(I272), "N/A", _xlfn.IFS(L272="AS", I272+15, L272="NCR", I272+30, L272="submitted", I272+30, TRUE, "N/A")), _xlfn.IFS(L272="AS", J272+15, L272="NCR", J272+30, L272="submitted", J272+30, TRUE, "N/A"))</f>
        <v>N/A</v>
      </c>
      <c r="L272" s="18"/>
    </row>
    <row r="273" spans="2:14" ht="15" customHeight="1">
      <c r="B273" s="4"/>
      <c r="C273" s="111"/>
      <c r="D273" s="59"/>
      <c r="E273" s="574"/>
      <c r="F273" s="5"/>
      <c r="G273" s="4" t="s">
        <v>1148</v>
      </c>
      <c r="H273" s="17" t="s">
        <v>430</v>
      </c>
      <c r="I273" s="4"/>
      <c r="J273" s="4"/>
      <c r="K273" s="74" t="str" cm="1">
        <f t="array" ref="K273">IF(ISBLANK(J273), IF(ISBLANK(I273), "N/A", _xlfn.IFS(L273="AS", I273+15, L273="NCR", I273+30, L273="submitted", I273+30, TRUE, "N/A")), _xlfn.IFS(L273="AS", J273+15, L273="NCR", J273+30, L273="submitted", J273+30, TRUE, "N/A"))</f>
        <v>N/A</v>
      </c>
      <c r="L273" s="18"/>
      <c r="M273" s="317"/>
      <c r="N273" s="747"/>
    </row>
    <row r="274" spans="2:14" ht="15" customHeight="1">
      <c r="B274" s="4"/>
      <c r="C274" s="111"/>
      <c r="D274" s="59"/>
      <c r="E274" s="574"/>
      <c r="F274" s="5"/>
      <c r="G274" s="4" t="s">
        <v>242</v>
      </c>
      <c r="H274" s="17" t="s">
        <v>1149</v>
      </c>
      <c r="I274" s="4"/>
      <c r="J274" s="4"/>
      <c r="K274" s="74" t="str" cm="1">
        <f t="array" ref="K274">IF(ISBLANK(J274), IF(ISBLANK(I274), "N/A", _xlfn.IFS(L274="AS", I274+15, L274="NCR", I274+30, L274="submitted", I274+30, TRUE, "N/A")), _xlfn.IFS(L274="AS", J274+15, L274="NCR", J274+30, L274="submitted", J274+30, TRUE, "N/A"))</f>
        <v>N/A</v>
      </c>
      <c r="L274" s="18"/>
      <c r="M274" s="317"/>
      <c r="N274" s="747"/>
    </row>
    <row r="275" spans="2:14" ht="27" customHeight="1">
      <c r="B275" s="4"/>
      <c r="C275" s="111"/>
      <c r="D275" s="59"/>
      <c r="E275" s="574"/>
      <c r="F275" s="5"/>
      <c r="G275" s="4" t="s">
        <v>404</v>
      </c>
      <c r="H275" s="3" t="s">
        <v>934</v>
      </c>
      <c r="I275" s="4"/>
      <c r="J275" s="4"/>
      <c r="K275" s="74" t="str" cm="1">
        <f t="array" ref="K275">IF(ISBLANK(J275), IF(ISBLANK(I275), "N/A", _xlfn.IFS(L275="AS", I275+15, L275="NCR", I275+30, L275="submitted", I275+30, TRUE, "N/A")), _xlfn.IFS(L275="AS", J275+15, L275="NCR", J275+30, L275="submitted", J275+30, TRUE, "N/A"))</f>
        <v>N/A</v>
      </c>
      <c r="L275" s="18"/>
      <c r="M275" s="317"/>
      <c r="N275" s="747"/>
    </row>
    <row r="276" spans="2:14" ht="15" customHeight="1">
      <c r="B276" s="4"/>
      <c r="C276" s="111"/>
      <c r="D276" s="59"/>
      <c r="E276" s="574"/>
      <c r="F276" s="5"/>
      <c r="G276" s="4" t="s">
        <v>340</v>
      </c>
      <c r="H276" s="17" t="s">
        <v>1150</v>
      </c>
      <c r="I276" s="4"/>
      <c r="J276" s="4"/>
      <c r="K276" s="74" t="str" cm="1">
        <f t="array" ref="K276">IF(ISBLANK(J276), IF(ISBLANK(I276), "N/A", _xlfn.IFS(L276="AS", I276+15, L276="NCR", I276+30, L276="submitted", I276+30, TRUE, "N/A")), _xlfn.IFS(L276="AS", J276+15, L276="NCR", J276+30, L276="submitted", J276+30, TRUE, "N/A"))</f>
        <v>N/A</v>
      </c>
      <c r="L276" s="18"/>
      <c r="M276" s="317"/>
      <c r="N276" s="747"/>
    </row>
    <row r="277" spans="2:14" ht="15" customHeight="1">
      <c r="B277" s="4"/>
      <c r="C277" s="111"/>
      <c r="D277" s="59"/>
      <c r="E277" s="574"/>
      <c r="F277" s="5"/>
      <c r="G277" s="4" t="s">
        <v>1151</v>
      </c>
      <c r="H277" s="17" t="s">
        <v>1152</v>
      </c>
      <c r="I277" s="4"/>
      <c r="J277" s="4"/>
      <c r="K277" s="74" t="str" cm="1">
        <f t="array" ref="K277">IF(ISBLANK(J277), IF(ISBLANK(I277), "N/A", _xlfn.IFS(L277="AS", I277+15, L277="NCR", I277+30, L277="submitted", I277+30, TRUE, "N/A")), _xlfn.IFS(L277="AS", J277+15, L277="NCR", J277+30, L277="submitted", J277+30, TRUE, "N/A"))</f>
        <v>N/A</v>
      </c>
      <c r="L277" s="18"/>
      <c r="M277" s="317"/>
      <c r="N277" s="747"/>
    </row>
    <row r="278" spans="2:14" ht="15" customHeight="1">
      <c r="B278" s="4"/>
      <c r="C278" s="111"/>
      <c r="D278" s="59"/>
      <c r="E278" s="574"/>
      <c r="F278" s="5"/>
      <c r="G278" s="4" t="s">
        <v>344</v>
      </c>
      <c r="H278" s="17" t="s">
        <v>1153</v>
      </c>
      <c r="I278" s="4"/>
      <c r="J278" s="4"/>
      <c r="K278" s="74" t="str" cm="1">
        <f t="array" ref="K278">IF(ISBLANK(J278), IF(ISBLANK(I278), "N/A", _xlfn.IFS(L278="AS", I278+15, L278="NCR", I278+30, L278="submitted", I278+30, TRUE, "N/A")), _xlfn.IFS(L278="AS", J278+15, L278="NCR", J278+30, L278="submitted", J278+30, TRUE, "N/A"))</f>
        <v>N/A</v>
      </c>
      <c r="L278" s="18"/>
      <c r="M278" s="317"/>
      <c r="N278" s="747"/>
    </row>
    <row r="279" spans="2:14" ht="15" customHeight="1">
      <c r="B279" s="4"/>
      <c r="C279" s="111"/>
      <c r="D279" s="59"/>
      <c r="E279" s="574"/>
      <c r="F279" s="5"/>
      <c r="G279" s="4" t="s">
        <v>1154</v>
      </c>
      <c r="H279" s="17" t="s">
        <v>328</v>
      </c>
      <c r="I279" s="4"/>
      <c r="J279" s="4"/>
      <c r="K279" s="74" t="str" cm="1">
        <f t="array" ref="K279">IF(ISBLANK(J279), IF(ISBLANK(I279), "N/A", _xlfn.IFS(L279="AS", I279+15, L279="NCR", I279+30, L279="submitted", I279+30, TRUE, "N/A")), _xlfn.IFS(L279="AS", J279+15, L279="NCR", J279+30, L279="submitted", J279+30, TRUE, "N/A"))</f>
        <v>N/A</v>
      </c>
      <c r="L279" s="18"/>
      <c r="M279" s="317"/>
      <c r="N279" s="747"/>
    </row>
    <row r="280" spans="2:14" ht="15" customHeight="1">
      <c r="B280" s="4"/>
      <c r="C280" s="95"/>
      <c r="D280" s="75"/>
      <c r="E280" s="574"/>
      <c r="F280" s="5"/>
      <c r="G280" s="4" t="s">
        <v>1155</v>
      </c>
      <c r="H280" s="17" t="s">
        <v>1156</v>
      </c>
      <c r="I280" s="4"/>
      <c r="J280" s="4"/>
      <c r="K280" s="74" t="str" cm="1">
        <f t="array" ref="K280">IF(ISBLANK(J280), IF(ISBLANK(I280), "N/A", _xlfn.IFS(L280="AS", I280+15, L280="NCR", I280+30, L280="submitted", I280+30, TRUE, "N/A")), _xlfn.IFS(L280="AS", J280+15, L280="NCR", J280+30, L280="submitted", J280+30, TRUE, "N/A"))</f>
        <v>N/A</v>
      </c>
      <c r="L280" s="18"/>
      <c r="M280" s="317"/>
      <c r="N280" s="747"/>
    </row>
    <row r="281" spans="2:14" ht="27" customHeight="1">
      <c r="B281" s="9"/>
      <c r="C281" s="38" t="s">
        <v>1157</v>
      </c>
      <c r="D281" s="40" t="s">
        <v>1158</v>
      </c>
      <c r="E281" s="102"/>
      <c r="F281" s="1"/>
      <c r="G281" s="9" t="s">
        <v>868</v>
      </c>
      <c r="H281" s="7" t="s">
        <v>917</v>
      </c>
      <c r="I281" s="9"/>
      <c r="J281" s="9"/>
      <c r="K281" s="74" t="str" cm="1">
        <f t="array" ref="K281">IF(ISBLANK(J281), IF(ISBLANK(I281), "N/A", _xlfn.IFS(L281="AS", I281+15, L281="NCR", I281+30, L281="submitted", I281+30, TRUE, "N/A")), _xlfn.IFS(L281="AS", J281+15, L281="NCR", J281+30, L281="submitted", J281+30, TRUE, "N/A"))</f>
        <v>N/A</v>
      </c>
      <c r="L281" s="14"/>
      <c r="M281" s="317"/>
      <c r="N281" s="747"/>
    </row>
    <row r="282" spans="2:14" ht="15" customHeight="1">
      <c r="B282" s="9"/>
      <c r="C282" s="100"/>
      <c r="D282" s="50"/>
      <c r="E282" s="102"/>
      <c r="F282" s="1"/>
      <c r="G282" s="9" t="s">
        <v>918</v>
      </c>
      <c r="H282" s="13" t="s">
        <v>422</v>
      </c>
      <c r="I282" s="9"/>
      <c r="J282" s="9"/>
      <c r="K282" s="74" t="str" cm="1">
        <f t="array" ref="K282">IF(ISBLANK(J282), IF(ISBLANK(I282), "N/A", _xlfn.IFS(L282="AS", I282+15, L282="NCR", I282+30, L282="submitted", I282+30, TRUE, "N/A")), _xlfn.IFS(L282="AS", J282+15, L282="NCR", J282+30, L282="submitted", J282+30, TRUE, "N/A"))</f>
        <v>N/A</v>
      </c>
      <c r="L282" s="14"/>
      <c r="M282" s="317"/>
      <c r="N282" s="747"/>
    </row>
    <row r="283" spans="2:14" ht="15" customHeight="1">
      <c r="B283" s="9"/>
      <c r="C283" s="100"/>
      <c r="D283" s="50"/>
      <c r="E283" s="102"/>
      <c r="F283" s="1"/>
      <c r="G283" s="9" t="s">
        <v>920</v>
      </c>
      <c r="H283" s="13" t="s">
        <v>1145</v>
      </c>
      <c r="I283" s="9"/>
      <c r="J283" s="9"/>
      <c r="K283" s="74" t="str" cm="1">
        <f t="array" ref="K283">IF(ISBLANK(J283), IF(ISBLANK(I283), "N/A", _xlfn.IFS(L283="AS", I283+15, L283="NCR", I283+30, L283="submitted", I283+30, TRUE, "N/A")), _xlfn.IFS(L283="AS", J283+15, L283="NCR", J283+30, L283="submitted", J283+30, TRUE, "N/A"))</f>
        <v>N/A</v>
      </c>
      <c r="L283" s="14"/>
      <c r="M283" s="317"/>
      <c r="N283" s="747"/>
    </row>
    <row r="284" spans="2:14" ht="15" customHeight="1">
      <c r="B284" s="9"/>
      <c r="C284" s="100"/>
      <c r="D284" s="50"/>
      <c r="E284" s="102"/>
      <c r="F284" s="1"/>
      <c r="G284" s="9" t="s">
        <v>921</v>
      </c>
      <c r="H284" s="13" t="s">
        <v>426</v>
      </c>
      <c r="I284" s="9"/>
      <c r="J284" s="9"/>
      <c r="K284" s="74" t="str" cm="1">
        <f t="array" ref="K284">IF(ISBLANK(J284), IF(ISBLANK(I284), "N/A", _xlfn.IFS(L284="AS", I284+15, L284="NCR", I284+30, L284="submitted", I284+30, TRUE, "N/A")), _xlfn.IFS(L284="AS", J284+15, L284="NCR", J284+30, L284="submitted", J284+30, TRUE, "N/A"))</f>
        <v>N/A</v>
      </c>
      <c r="L284" s="14"/>
      <c r="M284" s="317"/>
      <c r="N284" s="747"/>
    </row>
    <row r="285" spans="2:14" ht="15" customHeight="1">
      <c r="B285" s="9"/>
      <c r="C285" s="100"/>
      <c r="D285" s="50"/>
      <c r="E285" s="102"/>
      <c r="F285" s="1"/>
      <c r="G285" s="9" t="s">
        <v>923</v>
      </c>
      <c r="H285" s="13" t="s">
        <v>428</v>
      </c>
      <c r="I285" s="9"/>
      <c r="J285" s="9"/>
      <c r="K285" s="74" t="str" cm="1">
        <f t="array" ref="K285">IF(ISBLANK(J285), IF(ISBLANK(I285), "N/A", _xlfn.IFS(L285="AS", I285+15, L285="NCR", I285+30, L285="submitted", I285+30, TRUE, "N/A")), _xlfn.IFS(L285="AS", J285+15, L285="NCR", J285+30, L285="submitted", J285+30, TRUE, "N/A"))</f>
        <v>N/A</v>
      </c>
      <c r="L285" s="14"/>
      <c r="M285" s="317"/>
      <c r="N285" s="747"/>
    </row>
    <row r="286" spans="2:14" ht="15" customHeight="1">
      <c r="B286" s="9"/>
      <c r="C286" s="100"/>
      <c r="D286" s="50"/>
      <c r="E286" s="102"/>
      <c r="F286" s="1"/>
      <c r="G286" s="9" t="s">
        <v>925</v>
      </c>
      <c r="H286" s="13" t="s">
        <v>430</v>
      </c>
      <c r="I286" s="9"/>
      <c r="J286" s="9"/>
      <c r="K286" s="74" t="str" cm="1">
        <f t="array" ref="K286">IF(ISBLANK(J286), IF(ISBLANK(I286), "N/A", _xlfn.IFS(L286="AS", I286+15, L286="NCR", I286+30, L286="submitted", I286+30, TRUE, "N/A")), _xlfn.IFS(L286="AS", J286+15, L286="NCR", J286+30, L286="submitted", J286+30, TRUE, "N/A"))</f>
        <v>N/A</v>
      </c>
      <c r="L286" s="14"/>
      <c r="M286" s="317"/>
      <c r="N286" s="747"/>
    </row>
    <row r="287" spans="2:14" ht="15" customHeight="1">
      <c r="B287" s="9"/>
      <c r="C287" s="100"/>
      <c r="D287" s="50"/>
      <c r="E287" s="102"/>
      <c r="F287" s="1"/>
      <c r="G287" s="9" t="s">
        <v>1159</v>
      </c>
      <c r="H287" s="13" t="s">
        <v>823</v>
      </c>
      <c r="I287" s="9"/>
      <c r="J287" s="9"/>
      <c r="K287" s="74" t="str" cm="1">
        <f t="array" ref="K287">IF(ISBLANK(J287), IF(ISBLANK(I287), "N/A", _xlfn.IFS(L287="AS", I287+15, L287="NCR", I287+30, L287="submitted", I287+30, TRUE, "N/A")), _xlfn.IFS(L287="AS", J287+15, L287="NCR", J287+30, L287="submitted", J287+30, TRUE, "N/A"))</f>
        <v>N/A</v>
      </c>
      <c r="L287" s="14"/>
      <c r="M287" s="317"/>
      <c r="N287" s="747"/>
    </row>
    <row r="288" spans="2:14" ht="15" customHeight="1">
      <c r="B288" s="9"/>
      <c r="C288" s="100"/>
      <c r="D288" s="50"/>
      <c r="E288" s="102"/>
      <c r="F288" s="1"/>
      <c r="G288" s="9" t="s">
        <v>878</v>
      </c>
      <c r="H288" s="13" t="s">
        <v>1160</v>
      </c>
      <c r="I288" s="9"/>
      <c r="J288" s="9"/>
      <c r="K288" s="74" t="str" cm="1">
        <f t="array" ref="K288">IF(ISBLANK(J288), IF(ISBLANK(I288), "N/A", _xlfn.IFS(L288="AS", I288+15, L288="NCR", I288+30, L288="submitted", I288+30, TRUE, "N/A")), _xlfn.IFS(L288="AS", J288+15, L288="NCR", J288+30, L288="submitted", J288+30, TRUE, "N/A"))</f>
        <v>N/A</v>
      </c>
      <c r="L288" s="14"/>
      <c r="M288" s="317"/>
      <c r="N288" s="745" t="s">
        <v>133</v>
      </c>
    </row>
    <row r="289" spans="2:14" ht="15" customHeight="1">
      <c r="B289" s="9"/>
      <c r="C289" s="100"/>
      <c r="D289" s="50"/>
      <c r="E289" s="102"/>
      <c r="F289" s="1"/>
      <c r="G289" s="9" t="s">
        <v>931</v>
      </c>
      <c r="H289" s="13" t="s">
        <v>235</v>
      </c>
      <c r="I289" s="9"/>
      <c r="J289" s="9"/>
      <c r="K289" s="74" t="str" cm="1">
        <f t="array" ref="K289">IF(ISBLANK(J289), IF(ISBLANK(I289), "N/A", _xlfn.IFS(L289="AS", I289+15, L289="NCR", I289+30, L289="submitted", I289+30, TRUE, "N/A")), _xlfn.IFS(L289="AS", J289+15, L289="NCR", J289+30, L289="submitted", J289+30, TRUE, "N/A"))</f>
        <v>N/A</v>
      </c>
      <c r="L289" s="14"/>
      <c r="M289" s="317"/>
      <c r="N289" s="746"/>
    </row>
    <row r="290" spans="2:14" ht="15" customHeight="1">
      <c r="B290" s="9"/>
      <c r="C290" s="100"/>
      <c r="D290" s="50"/>
      <c r="E290" s="102"/>
      <c r="F290" s="1"/>
      <c r="G290" s="9" t="s">
        <v>1161</v>
      </c>
      <c r="H290" s="13" t="s">
        <v>328</v>
      </c>
      <c r="I290" s="9"/>
      <c r="J290" s="9"/>
      <c r="K290" s="74" t="str" cm="1">
        <f t="array" ref="K290">IF(ISBLANK(J290), IF(ISBLANK(I290), "N/A", _xlfn.IFS(L290="AS", I290+15, L290="NCR", I290+30, L290="submitted", I290+30, TRUE, "N/A")), _xlfn.IFS(L290="AS", J290+15, L290="NCR", J290+30, L290="submitted", J290+30, TRUE, "N/A"))</f>
        <v>N/A</v>
      </c>
      <c r="L290" s="14"/>
      <c r="M290" s="317"/>
      <c r="N290" s="746"/>
    </row>
    <row r="291" spans="2:14" ht="27" customHeight="1">
      <c r="B291" s="9"/>
      <c r="C291" s="100"/>
      <c r="D291" s="50"/>
      <c r="E291" s="102"/>
      <c r="F291" s="1"/>
      <c r="G291" s="9" t="s">
        <v>861</v>
      </c>
      <c r="H291" s="7" t="s">
        <v>1162</v>
      </c>
      <c r="I291" s="9"/>
      <c r="J291" s="9"/>
      <c r="K291" s="74" t="str" cm="1">
        <f t="array" ref="K291">IF(ISBLANK(J291), IF(ISBLANK(I291), "N/A", _xlfn.IFS(L291="AS", I291+15, L291="NCR", I291+30, L291="submitted", I291+30, TRUE, "N/A")), _xlfn.IFS(L291="AS", J291+15, L291="NCR", J291+30, L291="submitted", J291+30, TRUE, "N/A"))</f>
        <v>N/A</v>
      </c>
      <c r="L291" s="14"/>
      <c r="M291" s="317"/>
      <c r="N291" s="746"/>
    </row>
    <row r="292" spans="2:14" ht="40.5" customHeight="1">
      <c r="B292" s="9"/>
      <c r="C292" s="100"/>
      <c r="D292" s="50"/>
      <c r="E292" s="102"/>
      <c r="F292" s="1"/>
      <c r="G292" s="9" t="s">
        <v>497</v>
      </c>
      <c r="H292" s="7" t="s">
        <v>1163</v>
      </c>
      <c r="I292" s="9"/>
      <c r="J292" s="9"/>
      <c r="K292" s="74" t="str" cm="1">
        <f t="array" ref="K292">IF(ISBLANK(J292), IF(ISBLANK(I292), "N/A", _xlfn.IFS(L292="AS", I292+15, L292="NCR", I292+30, L292="submitted", I292+30, TRUE, "N/A")), _xlfn.IFS(L292="AS", J292+15, L292="NCR", J292+30, L292="submitted", J292+30, TRUE, "N/A"))</f>
        <v>N/A</v>
      </c>
      <c r="L292" s="14"/>
      <c r="M292" s="317"/>
      <c r="N292" s="746"/>
    </row>
    <row r="293" spans="2:14" ht="27" customHeight="1">
      <c r="B293" s="9"/>
      <c r="C293" s="100"/>
      <c r="D293" s="50"/>
      <c r="E293" s="102"/>
      <c r="F293" s="1"/>
      <c r="G293" s="9" t="s">
        <v>489</v>
      </c>
      <c r="H293" s="7" t="s">
        <v>1164</v>
      </c>
      <c r="I293" s="9"/>
      <c r="J293" s="9"/>
      <c r="K293" s="74" t="str" cm="1">
        <f t="array" ref="K293">IF(ISBLANK(J293), IF(ISBLANK(I293), "N/A", _xlfn.IFS(L293="AS", I293+15, L293="NCR", I293+30, L293="submitted", I293+30, TRUE, "N/A")), _xlfn.IFS(L293="AS", J293+15, L293="NCR", J293+30, L293="submitted", J293+30, TRUE, "N/A"))</f>
        <v>N/A</v>
      </c>
      <c r="L293" s="14"/>
      <c r="M293" s="317"/>
      <c r="N293" s="746"/>
    </row>
    <row r="294" spans="2:14" ht="27" customHeight="1">
      <c r="B294" s="9"/>
      <c r="C294" s="100"/>
      <c r="D294" s="50"/>
      <c r="E294" s="102"/>
      <c r="F294" s="1"/>
      <c r="G294" s="9" t="s">
        <v>864</v>
      </c>
      <c r="H294" s="7" t="s">
        <v>1165</v>
      </c>
      <c r="I294" s="9"/>
      <c r="J294" s="9"/>
      <c r="K294" s="74" t="str" cm="1">
        <f t="array" ref="K294">IF(ISBLANK(J294), IF(ISBLANK(I294), "N/A", _xlfn.IFS(L294="AS", I294+15, L294="NCR", I294+30, L294="submitted", I294+30, TRUE, "N/A")), _xlfn.IFS(L294="AS", J294+15, L294="NCR", J294+30, L294="submitted", J294+30, TRUE, "N/A"))</f>
        <v>N/A</v>
      </c>
      <c r="L294" s="14"/>
      <c r="M294" s="317"/>
      <c r="N294" s="746"/>
    </row>
    <row r="295" spans="2:14" ht="27" customHeight="1">
      <c r="B295" s="9"/>
      <c r="C295" s="21"/>
      <c r="D295" s="52"/>
      <c r="E295" s="102"/>
      <c r="F295" s="1"/>
      <c r="G295" s="9" t="s">
        <v>1166</v>
      </c>
      <c r="H295" s="7" t="s">
        <v>415</v>
      </c>
      <c r="I295" s="9"/>
      <c r="J295" s="9"/>
      <c r="K295" s="74" t="str" cm="1">
        <f t="array" ref="K295">IF(ISBLANK(J295), IF(ISBLANK(I295), "N/A", _xlfn.IFS(L295="AS", I295+15, L295="NCR", I295+30, L295="submitted", I295+30, TRUE, "N/A")), _xlfn.IFS(L295="AS", J295+15, L295="NCR", J295+30, L295="submitted", J295+30, TRUE, "N/A"))</f>
        <v>N/A</v>
      </c>
      <c r="L295" s="14"/>
      <c r="M295" s="317"/>
      <c r="N295" s="746"/>
    </row>
    <row r="296" spans="2:14" ht="15" customHeight="1">
      <c r="B296" s="4"/>
      <c r="C296" s="86" t="s">
        <v>1167</v>
      </c>
      <c r="D296" s="34" t="s">
        <v>1168</v>
      </c>
      <c r="E296" s="103"/>
      <c r="F296" s="5"/>
      <c r="G296" s="4" t="s">
        <v>483</v>
      </c>
      <c r="H296" s="17" t="s">
        <v>328</v>
      </c>
      <c r="I296" s="4"/>
      <c r="J296" s="4"/>
      <c r="K296" s="74" t="str" cm="1">
        <f t="array" ref="K296">IF(ISBLANK(J296), IF(ISBLANK(I296), "N/A", _xlfn.IFS(L296="AS", I296+15, L296="NCR", I296+30, L296="submitted", I296+30, TRUE, "N/A")), _xlfn.IFS(L296="AS", J296+15, L296="NCR", J296+30, L296="submitted", J296+30, TRUE, "N/A"))</f>
        <v>N/A</v>
      </c>
      <c r="L296" s="18"/>
      <c r="M296" s="317"/>
      <c r="N296" s="747" t="s">
        <v>148</v>
      </c>
    </row>
    <row r="297" spans="2:14" ht="15" customHeight="1">
      <c r="B297" s="4"/>
      <c r="C297" s="111"/>
      <c r="D297" s="35"/>
      <c r="E297" s="103"/>
      <c r="F297" s="5"/>
      <c r="G297" s="4" t="s">
        <v>876</v>
      </c>
      <c r="H297" s="17" t="s">
        <v>690</v>
      </c>
      <c r="I297" s="4"/>
      <c r="J297" s="4"/>
      <c r="K297" s="74" t="str" cm="1">
        <f t="array" ref="K297">IF(ISBLANK(J297), IF(ISBLANK(I297), "N/A", _xlfn.IFS(L297="AS", I297+15, L297="NCR", I297+30, L297="submitted", I297+30, TRUE, "N/A")), _xlfn.IFS(L297="AS", J297+15, L297="NCR", J297+30, L297="submitted", J297+30, TRUE, "N/A"))</f>
        <v>N/A</v>
      </c>
      <c r="L297" s="18"/>
      <c r="M297" s="317"/>
      <c r="N297" s="747"/>
    </row>
    <row r="298" spans="2:14" ht="15" customHeight="1">
      <c r="B298" s="4"/>
      <c r="C298" s="111"/>
      <c r="D298" s="35"/>
      <c r="E298" s="103"/>
      <c r="F298" s="5"/>
      <c r="G298" s="4" t="s">
        <v>1159</v>
      </c>
      <c r="H298" s="17" t="s">
        <v>691</v>
      </c>
      <c r="I298" s="4"/>
      <c r="J298" s="4"/>
      <c r="K298" s="74" t="str" cm="1">
        <f t="array" ref="K298">IF(ISBLANK(J298), IF(ISBLANK(I298), "N/A", _xlfn.IFS(L298="AS", I298+15, L298="NCR", I298+30, L298="submitted", I298+30, TRUE, "N/A")), _xlfn.IFS(L298="AS", J298+15, L298="NCR", J298+30, L298="submitted", J298+30, TRUE, "N/A"))</f>
        <v>N/A</v>
      </c>
      <c r="L298" s="18"/>
      <c r="M298" s="317"/>
      <c r="N298" s="747"/>
    </row>
    <row r="299" spans="2:14" ht="15" customHeight="1">
      <c r="B299" s="4"/>
      <c r="C299" s="111"/>
      <c r="D299" s="35"/>
      <c r="E299" s="103"/>
      <c r="F299" s="5"/>
      <c r="G299" s="4" t="s">
        <v>1169</v>
      </c>
      <c r="H299" s="17" t="s">
        <v>1170</v>
      </c>
      <c r="I299" s="4"/>
      <c r="J299" s="4"/>
      <c r="K299" s="74" t="str" cm="1">
        <f t="array" ref="K299">IF(ISBLANK(J299), IF(ISBLANK(I299), "N/A", _xlfn.IFS(L299="AS", I299+15, L299="NCR", I299+30, L299="submitted", I299+30, TRUE, "N/A")), _xlfn.IFS(L299="AS", J299+15, L299="NCR", J299+30, L299="submitted", J299+30, TRUE, "N/A"))</f>
        <v>N/A</v>
      </c>
      <c r="L299" s="18"/>
      <c r="M299" s="317"/>
      <c r="N299" s="747"/>
    </row>
    <row r="300" spans="2:14" ht="15" customHeight="1">
      <c r="B300" s="4"/>
      <c r="C300" s="111"/>
      <c r="D300" s="35"/>
      <c r="E300" s="103"/>
      <c r="F300" s="5"/>
      <c r="G300" s="4" t="s">
        <v>1171</v>
      </c>
      <c r="H300" s="17" t="s">
        <v>1172</v>
      </c>
      <c r="I300" s="4"/>
      <c r="J300" s="4"/>
      <c r="K300" s="74" t="str" cm="1">
        <f t="array" ref="K300">IF(ISBLANK(J300), IF(ISBLANK(I300), "N/A", _xlfn.IFS(L300="AS", I300+15, L300="NCR", I300+30, L300="submitted", I300+30, TRUE, "N/A")), _xlfn.IFS(L300="AS", J300+15, L300="NCR", J300+30, L300="submitted", J300+30, TRUE, "N/A"))</f>
        <v>N/A</v>
      </c>
      <c r="L300" s="18"/>
      <c r="M300" s="317"/>
      <c r="N300" s="747"/>
    </row>
    <row r="301" spans="2:14" ht="15" customHeight="1">
      <c r="B301" s="4"/>
      <c r="C301" s="111"/>
      <c r="D301" s="35"/>
      <c r="E301" s="103"/>
      <c r="F301" s="5"/>
      <c r="G301" s="4" t="s">
        <v>1173</v>
      </c>
      <c r="H301" s="17" t="s">
        <v>1174</v>
      </c>
      <c r="I301" s="4"/>
      <c r="J301" s="4"/>
      <c r="K301" s="74" t="str" cm="1">
        <f t="array" ref="K301">IF(ISBLANK(J301), IF(ISBLANK(I301), "N/A", _xlfn.IFS(L301="AS", I301+15, L301="NCR", I301+30, L301="submitted", I301+30, TRUE, "N/A")), _xlfn.IFS(L301="AS", J301+15, L301="NCR", J301+30, L301="submitted", J301+30, TRUE, "N/A"))</f>
        <v>N/A</v>
      </c>
      <c r="L301" s="18"/>
      <c r="M301" s="318"/>
      <c r="N301" s="747"/>
    </row>
    <row r="302" spans="2:14" ht="15" customHeight="1">
      <c r="B302" s="4"/>
      <c r="C302" s="111"/>
      <c r="D302" s="35"/>
      <c r="E302" s="103"/>
      <c r="F302" s="5"/>
      <c r="G302" s="4" t="s">
        <v>1175</v>
      </c>
      <c r="H302" s="17" t="s">
        <v>1176</v>
      </c>
      <c r="I302" s="4"/>
      <c r="J302" s="4"/>
      <c r="K302" s="74" t="str" cm="1">
        <f t="array" ref="K302">IF(ISBLANK(J302), IF(ISBLANK(I302), "N/A", _xlfn.IFS(L302="AS", I302+15, L302="NCR", I302+30, L302="submitted", I302+30, TRUE, "N/A")), _xlfn.IFS(L302="AS", J302+15, L302="NCR", J302+30, L302="submitted", J302+30, TRUE, "N/A"))</f>
        <v>N/A</v>
      </c>
      <c r="L302" s="18"/>
      <c r="M302" s="317"/>
      <c r="N302" s="747"/>
    </row>
    <row r="303" spans="2:14" ht="15" customHeight="1">
      <c r="B303" s="4"/>
      <c r="C303" s="111"/>
      <c r="D303" s="35"/>
      <c r="E303" s="103"/>
      <c r="F303" s="5"/>
      <c r="G303" s="4" t="s">
        <v>1177</v>
      </c>
      <c r="H303" s="17" t="s">
        <v>1178</v>
      </c>
      <c r="I303" s="4"/>
      <c r="J303" s="4"/>
      <c r="K303" s="74" t="str" cm="1">
        <f t="array" ref="K303">IF(ISBLANK(J303), IF(ISBLANK(I303), "N/A", _xlfn.IFS(L303="AS", I303+15, L303="NCR", I303+30, L303="submitted", I303+30, TRUE, "N/A")), _xlfn.IFS(L303="AS", J303+15, L303="NCR", J303+30, L303="submitted", J303+30, TRUE, "N/A"))</f>
        <v>N/A</v>
      </c>
      <c r="L303" s="18"/>
      <c r="M303" s="317"/>
      <c r="N303" s="747"/>
    </row>
    <row r="304" spans="2:14" ht="15" customHeight="1">
      <c r="B304" s="4"/>
      <c r="C304" s="111"/>
      <c r="D304" s="35"/>
      <c r="E304" s="103"/>
      <c r="F304" s="5"/>
      <c r="G304" s="4" t="s">
        <v>1179</v>
      </c>
      <c r="H304" s="17" t="s">
        <v>1180</v>
      </c>
      <c r="I304" s="4"/>
      <c r="J304" s="4"/>
      <c r="K304" s="74" t="str" cm="1">
        <f t="array" ref="K304">IF(ISBLANK(J304), IF(ISBLANK(I304), "N/A", _xlfn.IFS(L304="AS", I304+15, L304="NCR", I304+30, L304="submitted", I304+30, TRUE, "N/A")), _xlfn.IFS(L304="AS", J304+15, L304="NCR", J304+30, L304="submitted", J304+30, TRUE, "N/A"))</f>
        <v>N/A</v>
      </c>
      <c r="L304" s="18"/>
      <c r="M304" s="317"/>
      <c r="N304" s="747"/>
    </row>
    <row r="305" spans="2:12" ht="15" customHeight="1">
      <c r="B305" s="4"/>
      <c r="C305" s="111"/>
      <c r="D305" s="35"/>
      <c r="E305" s="103"/>
      <c r="F305" s="5"/>
      <c r="G305" s="4" t="s">
        <v>1181</v>
      </c>
      <c r="H305" s="17" t="s">
        <v>1182</v>
      </c>
      <c r="I305" s="4"/>
      <c r="J305" s="4"/>
      <c r="K305" s="74" t="str" cm="1">
        <f t="array" ref="K305">IF(ISBLANK(J305), IF(ISBLANK(I305), "N/A", _xlfn.IFS(L305="AS", I305+15, L305="NCR", I305+30, L305="submitted", I305+30, TRUE, "N/A")), _xlfn.IFS(L305="AS", J305+15, L305="NCR", J305+30, L305="submitted", J305+30, TRUE, "N/A"))</f>
        <v>N/A</v>
      </c>
      <c r="L305" s="18"/>
    </row>
    <row r="306" spans="2:12" ht="15" customHeight="1">
      <c r="B306" s="4"/>
      <c r="C306" s="111"/>
      <c r="D306" s="35"/>
      <c r="E306" s="103"/>
      <c r="F306" s="5"/>
      <c r="G306" s="4" t="s">
        <v>1183</v>
      </c>
      <c r="H306" s="17" t="s">
        <v>1184</v>
      </c>
      <c r="I306" s="4"/>
      <c r="J306" s="4"/>
      <c r="K306" s="74" t="str" cm="1">
        <f t="array" ref="K306">IF(ISBLANK(J306), IF(ISBLANK(I306), "N/A", _xlfn.IFS(L306="AS", I306+15, L306="NCR", I306+30, L306="submitted", I306+30, TRUE, "N/A")), _xlfn.IFS(L306="AS", J306+15, L306="NCR", J306+30, L306="submitted", J306+30, TRUE, "N/A"))</f>
        <v>N/A</v>
      </c>
      <c r="L306" s="18"/>
    </row>
    <row r="307" spans="2:12" ht="15" customHeight="1">
      <c r="B307" s="4"/>
      <c r="C307" s="111"/>
      <c r="D307" s="35"/>
      <c r="E307" s="103"/>
      <c r="F307" s="5"/>
      <c r="G307" s="4" t="s">
        <v>1185</v>
      </c>
      <c r="H307" s="17" t="s">
        <v>1186</v>
      </c>
      <c r="I307" s="4"/>
      <c r="J307" s="4"/>
      <c r="K307" s="74" t="str" cm="1">
        <f t="array" ref="K307">IF(ISBLANK(J307), IF(ISBLANK(I307), "N/A", _xlfn.IFS(L307="AS", I307+15, L307="NCR", I307+30, L307="submitted", I307+30, TRUE, "N/A")), _xlfn.IFS(L307="AS", J307+15, L307="NCR", J307+30, L307="submitted", J307+30, TRUE, "N/A"))</f>
        <v>N/A</v>
      </c>
      <c r="L307" s="18"/>
    </row>
    <row r="308" spans="2:12" ht="15" customHeight="1">
      <c r="B308" s="4"/>
      <c r="C308" s="111"/>
      <c r="D308" s="35"/>
      <c r="E308" s="103"/>
      <c r="F308" s="5"/>
      <c r="G308" s="4" t="s">
        <v>1187</v>
      </c>
      <c r="H308" s="17" t="s">
        <v>1188</v>
      </c>
      <c r="I308" s="4"/>
      <c r="J308" s="4"/>
      <c r="K308" s="74" t="str" cm="1">
        <f t="array" ref="K308">IF(ISBLANK(J308), IF(ISBLANK(I308), "N/A", _xlfn.IFS(L308="AS", I308+15, L308="NCR", I308+30, L308="submitted", I308+30, TRUE, "N/A")), _xlfn.IFS(L308="AS", J308+15, L308="NCR", J308+30, L308="submitted", J308+30, TRUE, "N/A"))</f>
        <v>N/A</v>
      </c>
      <c r="L308" s="18"/>
    </row>
    <row r="309" spans="2:12" ht="15" customHeight="1">
      <c r="B309" s="4"/>
      <c r="C309" s="111"/>
      <c r="D309" s="35"/>
      <c r="E309" s="103"/>
      <c r="F309" s="5"/>
      <c r="G309" s="4" t="s">
        <v>1189</v>
      </c>
      <c r="H309" s="3" t="s">
        <v>1190</v>
      </c>
      <c r="I309" s="4"/>
      <c r="J309" s="4"/>
      <c r="K309" s="74" t="str" cm="1">
        <f t="array" ref="K309">IF(ISBLANK(J309), IF(ISBLANK(I309), "N/A", _xlfn.IFS(L309="AS", I309+15, L309="NCR", I309+30, L309="submitted", I309+30, TRUE, "N/A")), _xlfn.IFS(L309="AS", J309+15, L309="NCR", J309+30, L309="submitted", J309+30, TRUE, "N/A"))</f>
        <v>N/A</v>
      </c>
      <c r="L309" s="18"/>
    </row>
    <row r="310" spans="2:12" ht="27" customHeight="1">
      <c r="B310" s="4"/>
      <c r="C310" s="111"/>
      <c r="D310" s="35"/>
      <c r="E310" s="103"/>
      <c r="F310" s="5"/>
      <c r="G310" s="4" t="s">
        <v>861</v>
      </c>
      <c r="H310" s="3" t="s">
        <v>1191</v>
      </c>
      <c r="I310" s="4"/>
      <c r="J310" s="4"/>
      <c r="K310" s="74" t="str" cm="1">
        <f t="array" ref="K310">IF(ISBLANK(J310), IF(ISBLANK(I310), "N/A", _xlfn.IFS(L310="AS", I310+15, L310="NCR", I310+30, L310="submitted", I310+30, TRUE, "N/A")), _xlfn.IFS(L310="AS", J310+15, L310="NCR", J310+30, L310="submitted", J310+30, TRUE, "N/A"))</f>
        <v>N/A</v>
      </c>
      <c r="L310" s="18"/>
    </row>
    <row r="311" spans="2:12" ht="15" customHeight="1">
      <c r="B311" s="4"/>
      <c r="C311" s="111"/>
      <c r="D311" s="35"/>
      <c r="E311" s="103"/>
      <c r="F311" s="5"/>
      <c r="G311" s="4" t="s">
        <v>497</v>
      </c>
      <c r="H311" s="3" t="s">
        <v>696</v>
      </c>
      <c r="I311" s="4"/>
      <c r="J311" s="4"/>
      <c r="K311" s="74" t="str" cm="1">
        <f t="array" ref="K311">IF(ISBLANK(J311), IF(ISBLANK(I311), "N/A", _xlfn.IFS(L311="AS", I311+15, L311="NCR", I311+30, L311="submitted", I311+30, TRUE, "N/A")), _xlfn.IFS(L311="AS", J311+15, L311="NCR", J311+30, L311="submitted", J311+30, TRUE, "N/A"))</f>
        <v>N/A</v>
      </c>
      <c r="L311" s="18"/>
    </row>
    <row r="312" spans="2:12" ht="15" customHeight="1">
      <c r="B312" s="4"/>
      <c r="C312" s="111"/>
      <c r="D312" s="35"/>
      <c r="E312" s="103"/>
      <c r="F312" s="5"/>
      <c r="G312" s="4" t="s">
        <v>1192</v>
      </c>
      <c r="H312" s="3" t="s">
        <v>1193</v>
      </c>
      <c r="I312" s="4"/>
      <c r="J312" s="4"/>
      <c r="K312" s="74" t="str" cm="1">
        <f t="array" ref="K312">IF(ISBLANK(J312), IF(ISBLANK(I312), "N/A", _xlfn.IFS(L312="AS", I312+15, L312="NCR", I312+30, L312="submitted", I312+30, TRUE, "N/A")), _xlfn.IFS(L312="AS", J312+15, L312="NCR", J312+30, L312="submitted", J312+30, TRUE, "N/A"))</f>
        <v>N/A</v>
      </c>
      <c r="L312" s="18"/>
    </row>
    <row r="313" spans="2:12" ht="15" customHeight="1">
      <c r="B313" s="4"/>
      <c r="C313" s="111"/>
      <c r="D313" s="35"/>
      <c r="E313" s="103"/>
      <c r="F313" s="5"/>
      <c r="G313" s="4" t="s">
        <v>1194</v>
      </c>
      <c r="H313" s="3" t="s">
        <v>1195</v>
      </c>
      <c r="I313" s="4"/>
      <c r="J313" s="4"/>
      <c r="K313" s="74" t="str" cm="1">
        <f t="array" ref="K313">IF(ISBLANK(J313), IF(ISBLANK(I313), "N/A", _xlfn.IFS(L313="AS", I313+15, L313="NCR", I313+30, L313="submitted", I313+30, TRUE, "N/A")), _xlfn.IFS(L313="AS", J313+15, L313="NCR", J313+30, L313="submitted", J313+30, TRUE, "N/A"))</f>
        <v>N/A</v>
      </c>
      <c r="L313" s="18"/>
    </row>
    <row r="314" spans="2:12" ht="27" customHeight="1">
      <c r="B314" s="4"/>
      <c r="C314" s="111"/>
      <c r="D314" s="35"/>
      <c r="E314" s="103"/>
      <c r="F314" s="5"/>
      <c r="G314" s="4" t="s">
        <v>864</v>
      </c>
      <c r="H314" s="3" t="s">
        <v>1196</v>
      </c>
      <c r="I314" s="4"/>
      <c r="J314" s="4"/>
      <c r="K314" s="74" t="str" cm="1">
        <f t="array" ref="K314">IF(ISBLANK(J314), IF(ISBLANK(I314), "N/A", _xlfn.IFS(L314="AS", I314+15, L314="NCR", I314+30, L314="submitted", I314+30, TRUE, "N/A")), _xlfn.IFS(L314="AS", J314+15, L314="NCR", J314+30, L314="submitted", J314+30, TRUE, "N/A"))</f>
        <v>N/A</v>
      </c>
      <c r="L314" s="18"/>
    </row>
    <row r="315" spans="2:12" ht="15" customHeight="1">
      <c r="B315" s="4"/>
      <c r="C315" s="95"/>
      <c r="D315" s="36"/>
      <c r="E315" s="103"/>
      <c r="F315" s="5"/>
      <c r="G315" s="4" t="s">
        <v>1197</v>
      </c>
      <c r="H315" s="3" t="s">
        <v>1198</v>
      </c>
      <c r="I315" s="4"/>
      <c r="J315" s="4"/>
      <c r="K315" s="74" t="str" cm="1">
        <f t="array" ref="K315">IF(ISBLANK(J315), IF(ISBLANK(I315), "N/A", _xlfn.IFS(L315="AS", I315+15, L315="NCR", I315+30, L315="submitted", I315+30, TRUE, "N/A")), _xlfn.IFS(L315="AS", J315+15, L315="NCR", J315+30, L315="submitted", J315+30, TRUE, "N/A"))</f>
        <v>N/A</v>
      </c>
      <c r="L315" s="18"/>
    </row>
    <row r="316" spans="2:12" ht="15" customHeight="1">
      <c r="B316" s="9"/>
      <c r="C316" s="32" t="s">
        <v>1199</v>
      </c>
      <c r="D316" s="37" t="s">
        <v>1200</v>
      </c>
      <c r="E316" s="20"/>
      <c r="F316" s="1"/>
      <c r="G316" s="9" t="s">
        <v>486</v>
      </c>
      <c r="H316" s="7" t="s">
        <v>1201</v>
      </c>
      <c r="I316" s="9"/>
      <c r="J316" s="9"/>
      <c r="K316" s="74" t="str" cm="1">
        <f t="array" ref="K316">IF(ISBLANK(J316), IF(ISBLANK(I316), "N/A", _xlfn.IFS(L316="AS", I316+15, L316="NCR", I316+30, L316="submitted", I316+30, TRUE, "N/A")), _xlfn.IFS(L316="AS", J316+15, L316="NCR", J316+30, L316="submitted", J316+30, TRUE, "N/A"))</f>
        <v>N/A</v>
      </c>
      <c r="L316" s="14"/>
    </row>
    <row r="317" spans="2:12" ht="15" customHeight="1">
      <c r="B317" s="9"/>
      <c r="C317" s="33"/>
      <c r="D317" s="39"/>
      <c r="E317" s="20"/>
      <c r="F317" s="1"/>
      <c r="G317" s="22" t="s">
        <v>861</v>
      </c>
      <c r="H317" s="28" t="s">
        <v>1202</v>
      </c>
      <c r="I317" s="9"/>
      <c r="J317" s="9"/>
      <c r="K317" s="74" t="str" cm="1">
        <f t="array" ref="K317">IF(ISBLANK(J317), IF(ISBLANK(I317), "N/A", _xlfn.IFS(L317="AS", I317+15, L317="NCR", I317+30, L317="submitted", I317+30, TRUE, "N/A")), _xlfn.IFS(L317="AS", J317+15, L317="NCR", J317+30, L317="submitted", J317+30, TRUE, "N/A"))</f>
        <v>N/A</v>
      </c>
      <c r="L317" s="14"/>
    </row>
    <row r="318" spans="2:12" ht="15" customHeight="1">
      <c r="B318" s="9"/>
      <c r="C318" s="33"/>
      <c r="D318" s="39"/>
      <c r="E318" s="20"/>
      <c r="F318" s="1"/>
      <c r="G318" s="22" t="s">
        <v>497</v>
      </c>
      <c r="H318" s="28" t="s">
        <v>1203</v>
      </c>
      <c r="I318" s="9"/>
      <c r="J318" s="9"/>
      <c r="K318" s="74" t="str" cm="1">
        <f t="array" ref="K318">IF(ISBLANK(J318), IF(ISBLANK(I318), "N/A", _xlfn.IFS(L318="AS", I318+15, L318="NCR", I318+30, L318="submitted", I318+30, TRUE, "N/A")), _xlfn.IFS(L318="AS", J318+15, L318="NCR", J318+30, L318="submitted", J318+30, TRUE, "N/A"))</f>
        <v>N/A</v>
      </c>
      <c r="L318" s="14"/>
    </row>
    <row r="319" spans="2:12" ht="15" customHeight="1">
      <c r="B319" s="9"/>
      <c r="C319" s="33"/>
      <c r="D319" s="39"/>
      <c r="E319" s="20"/>
      <c r="F319" s="1"/>
      <c r="G319" s="9" t="s">
        <v>489</v>
      </c>
      <c r="H319" s="7" t="s">
        <v>1204</v>
      </c>
      <c r="I319" s="9"/>
      <c r="J319" s="9"/>
      <c r="K319" s="74" t="str" cm="1">
        <f t="array" ref="K319">IF(ISBLANK(J319), IF(ISBLANK(I319), "N/A", _xlfn.IFS(L319="AS", I319+15, L319="NCR", I319+30, L319="submitted", I319+30, TRUE, "N/A")), _xlfn.IFS(L319="AS", J319+15, L319="NCR", J319+30, L319="submitted", J319+30, TRUE, "N/A"))</f>
        <v>N/A</v>
      </c>
      <c r="L319" s="14"/>
    </row>
    <row r="320" spans="2:12" ht="15" customHeight="1">
      <c r="B320" s="9"/>
      <c r="C320" s="33"/>
      <c r="D320" s="39"/>
      <c r="E320" s="20"/>
      <c r="F320" s="1"/>
      <c r="G320" s="9" t="s">
        <v>864</v>
      </c>
      <c r="H320" s="7" t="s">
        <v>1205</v>
      </c>
      <c r="I320" s="9"/>
      <c r="J320" s="9"/>
      <c r="K320" s="74" t="str" cm="1">
        <f t="array" ref="K320">IF(ISBLANK(J320), IF(ISBLANK(I320), "N/A", _xlfn.IFS(L320="AS", I320+15, L320="NCR", I320+30, L320="submitted", I320+30, TRUE, "N/A")), _xlfn.IFS(L320="AS", J320+15, L320="NCR", J320+30, L320="submitted", J320+30, TRUE, "N/A"))</f>
        <v>N/A</v>
      </c>
      <c r="L320" s="14"/>
    </row>
    <row r="321" spans="2:12" ht="15" customHeight="1">
      <c r="B321" s="9"/>
      <c r="C321" s="33"/>
      <c r="D321" s="39"/>
      <c r="E321" s="20"/>
      <c r="F321" s="1"/>
      <c r="G321" s="9" t="s">
        <v>1197</v>
      </c>
      <c r="H321" s="7" t="s">
        <v>1206</v>
      </c>
      <c r="I321" s="9"/>
      <c r="J321" s="9"/>
      <c r="K321" s="74" t="str" cm="1">
        <f t="array" ref="K321">IF(ISBLANK(J321), IF(ISBLANK(I321), "N/A", _xlfn.IFS(L321="AS", I321+15, L321="NCR", I321+30, L321="submitted", I321+30, TRUE, "N/A")), _xlfn.IFS(L321="AS", J321+15, L321="NCR", J321+30, L321="submitted", J321+30, TRUE, "N/A"))</f>
        <v>N/A</v>
      </c>
      <c r="L321" s="14"/>
    </row>
    <row r="322" spans="2:12" ht="15" customHeight="1">
      <c r="B322" s="9"/>
      <c r="C322" s="33"/>
      <c r="D322" s="39"/>
      <c r="E322" s="20"/>
      <c r="F322" s="1"/>
      <c r="G322" s="9" t="s">
        <v>1207</v>
      </c>
      <c r="H322" s="7" t="s">
        <v>1208</v>
      </c>
      <c r="I322" s="9"/>
      <c r="J322" s="9"/>
      <c r="K322" s="74" t="str" cm="1">
        <f t="array" ref="K322">IF(ISBLANK(J322), IF(ISBLANK(I322), "N/A", _xlfn.IFS(L322="AS", I322+15, L322="NCR", I322+30, L322="submitted", I322+30, TRUE, "N/A")), _xlfn.IFS(L322="AS", J322+15, L322="NCR", J322+30, L322="submitted", J322+30, TRUE, "N/A"))</f>
        <v>N/A</v>
      </c>
      <c r="L322" s="14"/>
    </row>
    <row r="323" spans="2:12" ht="27" customHeight="1">
      <c r="B323" s="9"/>
      <c r="C323" s="33"/>
      <c r="D323" s="39"/>
      <c r="E323" s="20"/>
      <c r="F323" s="1"/>
      <c r="G323" s="9" t="s">
        <v>1209</v>
      </c>
      <c r="H323" s="7" t="s">
        <v>1210</v>
      </c>
      <c r="I323" s="9"/>
      <c r="J323" s="9"/>
      <c r="K323" s="74" t="str" cm="1">
        <f t="array" ref="K323">IF(ISBLANK(J323), IF(ISBLANK(I323), "N/A", _xlfn.IFS(L323="AS", I323+15, L323="NCR", I323+30, L323="submitted", I323+30, TRUE, "N/A")), _xlfn.IFS(L323="AS", J323+15, L323="NCR", J323+30, L323="submitted", J323+30, TRUE, "N/A"))</f>
        <v>N/A</v>
      </c>
      <c r="L323" s="14"/>
    </row>
    <row r="324" spans="2:12" ht="15" customHeight="1">
      <c r="B324" s="9"/>
      <c r="C324" s="33"/>
      <c r="D324" s="39"/>
      <c r="E324" s="20"/>
      <c r="F324" s="1"/>
      <c r="G324" s="22" t="s">
        <v>1211</v>
      </c>
      <c r="H324" s="28" t="s">
        <v>1212</v>
      </c>
      <c r="I324" s="9"/>
      <c r="J324" s="9"/>
      <c r="K324" s="74" t="str" cm="1">
        <f t="array" ref="K324">IF(ISBLANK(J324), IF(ISBLANK(I324), "N/A", _xlfn.IFS(L324="AS", I324+15, L324="NCR", I324+30, L324="submitted", I324+30, TRUE, "N/A")), _xlfn.IFS(L324="AS", J324+15, L324="NCR", J324+30, L324="submitted", J324+30, TRUE, "N/A"))</f>
        <v>N/A</v>
      </c>
      <c r="L324" s="14"/>
    </row>
    <row r="325" spans="2:12" ht="15" customHeight="1">
      <c r="B325" s="9"/>
      <c r="C325" s="33"/>
      <c r="D325" s="39"/>
      <c r="E325" s="20"/>
      <c r="F325" s="1"/>
      <c r="G325" s="9" t="s">
        <v>1213</v>
      </c>
      <c r="H325" s="7" t="s">
        <v>490</v>
      </c>
      <c r="I325" s="9"/>
      <c r="J325" s="9"/>
      <c r="K325" s="74" t="str" cm="1">
        <f t="array" ref="K325">IF(ISBLANK(J325), IF(ISBLANK(I325), "N/A", _xlfn.IFS(L325="AS", I325+15, L325="NCR", I325+30, L325="submitted", I325+30, TRUE, "N/A")), _xlfn.IFS(L325="AS", J325+15, L325="NCR", J325+30, L325="submitted", J325+30, TRUE, "N/A"))</f>
        <v>N/A</v>
      </c>
      <c r="L325" s="14"/>
    </row>
    <row r="326" spans="2:12" ht="27" customHeight="1">
      <c r="B326" s="9"/>
      <c r="C326" s="33"/>
      <c r="D326" s="39"/>
      <c r="E326" s="20"/>
      <c r="F326" s="1"/>
      <c r="G326" s="9" t="s">
        <v>1214</v>
      </c>
      <c r="H326" s="7" t="s">
        <v>1215</v>
      </c>
      <c r="I326" s="9"/>
      <c r="J326" s="9"/>
      <c r="K326" s="74" t="str" cm="1">
        <f t="array" ref="K326">IF(ISBLANK(J326), IF(ISBLANK(I326), "N/A", _xlfn.IFS(L326="AS", I326+15, L326="NCR", I326+30, L326="submitted", I326+30, TRUE, "N/A")), _xlfn.IFS(L326="AS", J326+15, L326="NCR", J326+30, L326="submitted", J326+30, TRUE, "N/A"))</f>
        <v>N/A</v>
      </c>
      <c r="L326" s="14"/>
    </row>
    <row r="327" spans="2:12" ht="15" customHeight="1">
      <c r="B327" s="9"/>
      <c r="C327" s="33"/>
      <c r="D327" s="39"/>
      <c r="E327" s="20"/>
      <c r="F327" s="1"/>
      <c r="G327" s="9" t="s">
        <v>1216</v>
      </c>
      <c r="H327" s="7" t="s">
        <v>1037</v>
      </c>
      <c r="I327" s="9"/>
      <c r="J327" s="9"/>
      <c r="K327" s="74" t="str" cm="1">
        <f t="array" ref="K327">IF(ISBLANK(J327), IF(ISBLANK(I327), "N/A", _xlfn.IFS(L327="AS", I327+15, L327="NCR", I327+30, L327="submitted", I327+30, TRUE, "N/A")), _xlfn.IFS(L327="AS", J327+15, L327="NCR", J327+30, L327="submitted", J327+30, TRUE, "N/A"))</f>
        <v>N/A</v>
      </c>
      <c r="L327" s="14"/>
    </row>
    <row r="328" spans="2:12" ht="27" customHeight="1">
      <c r="B328" s="9"/>
      <c r="C328" s="33"/>
      <c r="D328" s="39"/>
      <c r="E328" s="20"/>
      <c r="F328" s="1"/>
      <c r="G328" s="9" t="s">
        <v>1217</v>
      </c>
      <c r="H328" s="7" t="s">
        <v>1218</v>
      </c>
      <c r="I328" s="9"/>
      <c r="J328" s="9"/>
      <c r="K328" s="74" t="str" cm="1">
        <f t="array" ref="K328">IF(ISBLANK(J328), IF(ISBLANK(I328), "N/A", _xlfn.IFS(L328="AS", I328+15, L328="NCR", I328+30, L328="submitted", I328+30, TRUE, "N/A")), _xlfn.IFS(L328="AS", J328+15, L328="NCR", J328+30, L328="submitted", J328+30, TRUE, "N/A"))</f>
        <v>N/A</v>
      </c>
      <c r="L328" s="14"/>
    </row>
    <row r="329" spans="2:12" ht="15" customHeight="1">
      <c r="B329" s="9"/>
      <c r="C329" s="33"/>
      <c r="D329" s="39"/>
      <c r="E329" s="20"/>
      <c r="F329" s="1"/>
      <c r="G329" s="9" t="s">
        <v>1219</v>
      </c>
      <c r="H329" s="7" t="s">
        <v>1220</v>
      </c>
      <c r="I329" s="9"/>
      <c r="J329" s="9"/>
      <c r="K329" s="74" t="str" cm="1">
        <f t="array" ref="K329">IF(ISBLANK(J329), IF(ISBLANK(I329), "N/A", _xlfn.IFS(L329="AS", I329+15, L329="NCR", I329+30, L329="submitted", I329+30, TRUE, "N/A")), _xlfn.IFS(L329="AS", J329+15, L329="NCR", J329+30, L329="submitted", J329+30, TRUE, "N/A"))</f>
        <v>N/A</v>
      </c>
      <c r="L329" s="14"/>
    </row>
    <row r="330" spans="2:12" ht="27" customHeight="1">
      <c r="B330" s="38"/>
      <c r="C330" s="33"/>
      <c r="D330" s="39"/>
      <c r="E330" s="20"/>
      <c r="F330" s="1"/>
      <c r="G330" s="38" t="s">
        <v>1221</v>
      </c>
      <c r="H330" s="40" t="s">
        <v>1222</v>
      </c>
      <c r="I330" s="38"/>
      <c r="J330" s="38"/>
      <c r="K330" s="785" t="str" cm="1">
        <f t="array" ref="K330">IF(ISBLANK(J330), IF(ISBLANK(I330), "N/A", _xlfn.IFS(L330="AS", I330+15, L330="NCR", I330+30, L330="submitted", I330+30, TRUE, "N/A")), _xlfn.IFS(L330="AS", J330+15, L330="NCR", J330+30, L330="submitted", J330+30, TRUE, "N/A"))</f>
        <v>N/A</v>
      </c>
      <c r="L330" s="41"/>
    </row>
    <row r="331" spans="2:12" s="784" customFormat="1" ht="15" customHeight="1">
      <c r="B331" s="776" t="s">
        <v>1223</v>
      </c>
      <c r="C331" s="777" t="s">
        <v>1224</v>
      </c>
      <c r="D331" s="778" t="s">
        <v>1225</v>
      </c>
      <c r="E331" s="779"/>
      <c r="F331" s="780" t="s">
        <v>809</v>
      </c>
      <c r="G331" s="781" t="s">
        <v>208</v>
      </c>
      <c r="H331" s="778" t="s">
        <v>484</v>
      </c>
      <c r="I331" s="782">
        <v>45904</v>
      </c>
      <c r="J331" s="782">
        <v>45931</v>
      </c>
      <c r="K331" s="783" cm="1">
        <f t="array" ref="K331">IF(ISBLANK(J331), IF(ISBLANK(I331), "N/A", _xlfn.IFS(L331="AS", I331+15, L331="NCR", I331+30, L331="submitted", I331+30, TRUE, "N/A")), _xlfn.IFS(L331="AS", J331+15, L331="NCR", J331+30, L331="submitted", J331+30, TRUE, "N/A"))</f>
        <v>45961</v>
      </c>
      <c r="L331" s="782" t="s">
        <v>157</v>
      </c>
    </row>
    <row r="332" spans="2:12" s="148" customFormat="1" ht="15" customHeight="1">
      <c r="B332" s="240" t="s">
        <v>76</v>
      </c>
      <c r="C332" s="333" t="s">
        <v>1226</v>
      </c>
      <c r="D332" s="219" t="s">
        <v>1227</v>
      </c>
      <c r="E332" s="576"/>
      <c r="F332" s="149"/>
      <c r="G332" s="786" t="s">
        <v>212</v>
      </c>
      <c r="H332" s="787" t="s">
        <v>1228</v>
      </c>
      <c r="I332" s="788">
        <v>45825</v>
      </c>
      <c r="J332" s="789">
        <v>45903</v>
      </c>
      <c r="K332" s="74" t="str" cm="1">
        <f t="array" ref="K332">IF(ISBLANK(J332), IF(ISBLANK(I332), "N/A", _xlfn.IFS(L332="AS", I332+15, L332="NCR", I332+30, L332="submitted", I332+30, TRUE, "N/A")), _xlfn.IFS(L332="AS", J332+15, L332="NCR", J332+30, L332="submitted", J332+30, TRUE, "N/A"))</f>
        <v>N/A</v>
      </c>
      <c r="L332" s="789" t="s">
        <v>147</v>
      </c>
    </row>
    <row r="333" spans="2:12" s="148" customFormat="1" ht="15" customHeight="1">
      <c r="B333" s="146" t="s">
        <v>1229</v>
      </c>
      <c r="C333" s="425" t="s">
        <v>1226</v>
      </c>
      <c r="D333" s="231" t="s">
        <v>1227</v>
      </c>
      <c r="E333" s="576"/>
      <c r="F333" s="149"/>
      <c r="G333" s="538" t="s">
        <v>212</v>
      </c>
      <c r="H333" s="167" t="s">
        <v>1228</v>
      </c>
      <c r="I333" s="539">
        <v>45902</v>
      </c>
      <c r="J333" s="233">
        <v>45939</v>
      </c>
      <c r="K333" s="74" t="str" cm="1">
        <f t="array" ref="K333">IF(ISBLANK(J333), IF(ISBLANK(I333), "N/A", _xlfn.IFS(L333="AS", I333+15, L333="NCR", I333+30, L333="submitted", I333+30, TRUE, "N/A")), _xlfn.IFS(L333="AS", J333+15, L333="NCR", J333+30, L333="submitted", J333+30, TRUE, "N/A"))</f>
        <v>N/A</v>
      </c>
      <c r="L333" s="233" t="s">
        <v>638</v>
      </c>
    </row>
    <row r="334" spans="2:12" ht="15" customHeight="1">
      <c r="B334" s="140"/>
      <c r="C334" s="32" t="s">
        <v>1226</v>
      </c>
      <c r="D334" s="39"/>
      <c r="E334" s="20"/>
      <c r="F334" s="1"/>
      <c r="G334" s="9" t="s">
        <v>240</v>
      </c>
      <c r="H334" s="13" t="s">
        <v>1230</v>
      </c>
      <c r="I334" s="9"/>
      <c r="J334" s="9"/>
      <c r="K334" s="74" t="str" cm="1">
        <f t="array" ref="K334">IF(ISBLANK(J334), IF(ISBLANK(I334), "N/A", _xlfn.IFS(L334="AS", I334+15, L334="NCR", I334+30, L334="submitted", I334+30, TRUE, "N/A")), _xlfn.IFS(L334="AS", J334+15, L334="NCR", J334+30, L334="submitted", J334+30, TRUE, "N/A"))</f>
        <v>N/A</v>
      </c>
      <c r="L334" s="14"/>
    </row>
    <row r="335" spans="2:12" s="148" customFormat="1" ht="27" customHeight="1">
      <c r="B335" s="538" t="s">
        <v>76</v>
      </c>
      <c r="C335" s="425" t="s">
        <v>1226</v>
      </c>
      <c r="D335" s="231" t="s">
        <v>1227</v>
      </c>
      <c r="E335" s="576"/>
      <c r="F335" s="149"/>
      <c r="G335" s="146" t="s">
        <v>242</v>
      </c>
      <c r="H335" s="193" t="s">
        <v>1231</v>
      </c>
      <c r="I335" s="539">
        <v>45825</v>
      </c>
      <c r="J335" s="233">
        <v>45903</v>
      </c>
      <c r="K335" s="74" t="str" cm="1">
        <f t="array" ref="K335">IF(ISBLANK(J335), IF(ISBLANK(I335), "N/A", _xlfn.IFS(L335="AS", I335+15, L335="NCR", I335+30, L335="submitted", I335+30, TRUE, "N/A")), _xlfn.IFS(L335="AS", J335+15, L335="NCR", J335+30, L335="submitted", J335+30, TRUE, "N/A"))</f>
        <v>N/A</v>
      </c>
      <c r="L335" s="233" t="s">
        <v>147</v>
      </c>
    </row>
    <row r="336" spans="2:12" s="148" customFormat="1" ht="27" customHeight="1">
      <c r="B336" s="538" t="s">
        <v>1229</v>
      </c>
      <c r="C336" s="425" t="s">
        <v>1226</v>
      </c>
      <c r="D336" s="231" t="s">
        <v>1227</v>
      </c>
      <c r="E336" s="576"/>
      <c r="F336" s="149"/>
      <c r="G336" s="146" t="s">
        <v>242</v>
      </c>
      <c r="H336" s="193" t="s">
        <v>1231</v>
      </c>
      <c r="I336" s="539">
        <v>45902</v>
      </c>
      <c r="J336" s="233">
        <v>45939</v>
      </c>
      <c r="K336" s="74" t="str" cm="1">
        <f t="array" ref="K336">IF(ISBLANK(J336), IF(ISBLANK(I336), "N/A", _xlfn.IFS(L336="AS", I336+15, L336="NCR", I336+30, L336="submitted", I336+30, TRUE, "N/A")), _xlfn.IFS(L336="AS", J336+15, L336="NCR", J336+30, L336="submitted", J336+30, TRUE, "N/A"))</f>
        <v>N/A</v>
      </c>
      <c r="L336" s="233" t="s">
        <v>638</v>
      </c>
    </row>
    <row r="337" spans="2:12" ht="53.25">
      <c r="B337" s="21"/>
      <c r="C337" s="32" t="s">
        <v>1226</v>
      </c>
      <c r="D337" s="39"/>
      <c r="E337" s="20"/>
      <c r="F337" s="1"/>
      <c r="G337" s="9" t="s">
        <v>1232</v>
      </c>
      <c r="H337" s="7" t="s">
        <v>1233</v>
      </c>
      <c r="I337" s="9"/>
      <c r="J337" s="9"/>
      <c r="K337" s="74" t="str" cm="1">
        <f t="array" ref="K337">IF(ISBLANK(J337), IF(ISBLANK(I337), "N/A", _xlfn.IFS(L337="AS", I337+15, L337="NCR", I337+30, L337="submitted", I337+30, TRUE, "N/A")), _xlfn.IFS(L337="AS", J337+15, L337="NCR", J337+30, L337="submitted", J337+30, TRUE, "N/A"))</f>
        <v>N/A</v>
      </c>
      <c r="L337" s="14"/>
    </row>
    <row r="338" spans="2:12" ht="27" customHeight="1">
      <c r="B338" s="9"/>
      <c r="C338" s="32" t="s">
        <v>1226</v>
      </c>
      <c r="D338" s="39"/>
      <c r="E338" s="20"/>
      <c r="F338" s="1"/>
      <c r="G338" s="9" t="s">
        <v>1234</v>
      </c>
      <c r="H338" s="7" t="s">
        <v>1235</v>
      </c>
      <c r="I338" s="9"/>
      <c r="J338" s="9"/>
      <c r="K338" s="74" t="str" cm="1">
        <f t="array" ref="K338">IF(ISBLANK(J338), IF(ISBLANK(I338), "N/A", _xlfn.IFS(L338="AS", I338+15, L338="NCR", I338+30, L338="submitted", I338+30, TRUE, "N/A")), _xlfn.IFS(L338="AS", J338+15, L338="NCR", J338+30, L338="submitted", J338+30, TRUE, "N/A"))</f>
        <v>N/A</v>
      </c>
      <c r="L338" s="14"/>
    </row>
    <row r="339" spans="2:12" ht="15" customHeight="1">
      <c r="B339" s="9"/>
      <c r="C339" s="32" t="s">
        <v>1226</v>
      </c>
      <c r="D339" s="39"/>
      <c r="E339" s="20"/>
      <c r="F339" s="1"/>
      <c r="G339" s="9" t="s">
        <v>1236</v>
      </c>
      <c r="H339" s="13" t="s">
        <v>1237</v>
      </c>
      <c r="I339" s="9"/>
      <c r="J339" s="9"/>
      <c r="K339" s="74" t="str" cm="1">
        <f t="array" ref="K339">IF(ISBLANK(J339), IF(ISBLANK(I339), "N/A", _xlfn.IFS(L339="AS", I339+15, L339="NCR", I339+30, L339="submitted", I339+30, TRUE, "N/A")), _xlfn.IFS(L339="AS", J339+15, L339="NCR", J339+30, L339="submitted", J339+30, TRUE, "N/A"))</f>
        <v>N/A</v>
      </c>
      <c r="L339" s="14"/>
    </row>
    <row r="340" spans="2:12" ht="27" customHeight="1">
      <c r="B340" s="9"/>
      <c r="C340" s="32" t="s">
        <v>1226</v>
      </c>
      <c r="D340" s="39"/>
      <c r="E340" s="20"/>
      <c r="F340" s="1"/>
      <c r="G340" s="9" t="s">
        <v>1238</v>
      </c>
      <c r="H340" s="7" t="s">
        <v>1239</v>
      </c>
      <c r="I340" s="9"/>
      <c r="J340" s="9"/>
      <c r="K340" s="74" t="str" cm="1">
        <f t="array" ref="K340">IF(ISBLANK(J340), IF(ISBLANK(I340), "N/A", _xlfn.IFS(L340="AS", I340+15, L340="NCR", I340+30, L340="submitted", I340+30, TRUE, "N/A")), _xlfn.IFS(L340="AS", J340+15, L340="NCR", J340+30, L340="submitted", J340+30, TRUE, "N/A"))</f>
        <v>N/A</v>
      </c>
      <c r="L340" s="14"/>
    </row>
    <row r="341" spans="2:12" ht="40.5" customHeight="1">
      <c r="B341" s="9"/>
      <c r="C341" s="32" t="s">
        <v>1226</v>
      </c>
      <c r="D341" s="39"/>
      <c r="E341" s="20"/>
      <c r="F341" s="1"/>
      <c r="G341" s="9" t="s">
        <v>1240</v>
      </c>
      <c r="H341" s="7" t="s">
        <v>1241</v>
      </c>
      <c r="I341" s="9"/>
      <c r="J341" s="9"/>
      <c r="K341" s="74" t="str" cm="1">
        <f t="array" ref="K341">IF(ISBLANK(J341), IF(ISBLANK(I341), "N/A", _xlfn.IFS(L341="AS", I341+15, L341="NCR", I341+30, L341="submitted", I341+30, TRUE, "N/A")), _xlfn.IFS(L341="AS", J341+15, L341="NCR", J341+30, L341="submitted", J341+30, TRUE, "N/A"))</f>
        <v>N/A</v>
      </c>
      <c r="L341" s="14"/>
    </row>
    <row r="342" spans="2:12" ht="15" customHeight="1">
      <c r="B342" s="9"/>
      <c r="C342" s="32" t="s">
        <v>1226</v>
      </c>
      <c r="D342" s="39"/>
      <c r="E342" s="20"/>
      <c r="F342" s="1"/>
      <c r="G342" s="9" t="s">
        <v>1242</v>
      </c>
      <c r="H342" s="13" t="s">
        <v>1243</v>
      </c>
      <c r="I342" s="9"/>
      <c r="J342" s="9"/>
      <c r="K342" s="74" t="str" cm="1">
        <f t="array" ref="K342">IF(ISBLANK(J342), IF(ISBLANK(I342), "N/A", _xlfn.IFS(L342="AS", I342+15, L342="NCR", I342+30, L342="submitted", I342+30, TRUE, "N/A")), _xlfn.IFS(L342="AS", J342+15, L342="NCR", J342+30, L342="submitted", J342+30, TRUE, "N/A"))</f>
        <v>N/A</v>
      </c>
      <c r="L342" s="14"/>
    </row>
    <row r="343" spans="2:12" ht="27" customHeight="1">
      <c r="B343" s="9"/>
      <c r="C343" s="32" t="s">
        <v>1226</v>
      </c>
      <c r="D343" s="39"/>
      <c r="E343" s="20"/>
      <c r="F343" s="1"/>
      <c r="G343" s="9" t="s">
        <v>1244</v>
      </c>
      <c r="H343" s="7" t="s">
        <v>1245</v>
      </c>
      <c r="I343" s="9"/>
      <c r="J343" s="9"/>
      <c r="K343" s="74" t="str" cm="1">
        <f t="array" ref="K343">IF(ISBLANK(J343), IF(ISBLANK(I343), "N/A", _xlfn.IFS(L343="AS", I343+15, L343="NCR", I343+30, L343="submitted", I343+30, TRUE, "N/A")), _xlfn.IFS(L343="AS", J343+15, L343="NCR", J343+30, L343="submitted", J343+30, TRUE, "N/A"))</f>
        <v>N/A</v>
      </c>
      <c r="L343" s="14"/>
    </row>
    <row r="344" spans="2:12" ht="15" customHeight="1">
      <c r="B344" s="9"/>
      <c r="C344" s="32" t="s">
        <v>1226</v>
      </c>
      <c r="D344" s="39"/>
      <c r="E344" s="20"/>
      <c r="F344" s="1"/>
      <c r="G344" s="9" t="s">
        <v>1246</v>
      </c>
      <c r="H344" s="13" t="s">
        <v>1247</v>
      </c>
      <c r="I344" s="9"/>
      <c r="J344" s="9"/>
      <c r="K344" s="74" t="str" cm="1">
        <f t="array" ref="K344">IF(ISBLANK(J344), IF(ISBLANK(I344), "N/A", _xlfn.IFS(L344="AS", I344+15, L344="NCR", I344+30, L344="submitted", I344+30, TRUE, "N/A")), _xlfn.IFS(L344="AS", J344+15, L344="NCR", J344+30, L344="submitted", J344+30, TRUE, "N/A"))</f>
        <v>N/A</v>
      </c>
      <c r="L344" s="14"/>
    </row>
    <row r="345" spans="2:12" ht="27" customHeight="1">
      <c r="B345" s="9"/>
      <c r="C345" s="32" t="s">
        <v>1226</v>
      </c>
      <c r="D345" s="39"/>
      <c r="E345" s="20"/>
      <c r="F345" s="1"/>
      <c r="G345" s="9" t="s">
        <v>1248</v>
      </c>
      <c r="H345" s="7" t="s">
        <v>1249</v>
      </c>
      <c r="I345" s="9"/>
      <c r="J345" s="9"/>
      <c r="K345" s="74" t="str" cm="1">
        <f t="array" ref="K345">IF(ISBLANK(J345), IF(ISBLANK(I345), "N/A", _xlfn.IFS(L345="AS", I345+15, L345="NCR", I345+30, L345="submitted", I345+30, TRUE, "N/A")), _xlfn.IFS(L345="AS", J345+15, L345="NCR", J345+30, L345="submitted", J345+30, TRUE, "N/A"))</f>
        <v>N/A</v>
      </c>
      <c r="L345" s="14"/>
    </row>
    <row r="346" spans="2:12" ht="15" customHeight="1">
      <c r="B346" s="9"/>
      <c r="C346" s="32" t="s">
        <v>1226</v>
      </c>
      <c r="D346" s="39"/>
      <c r="E346" s="20"/>
      <c r="F346" s="1"/>
      <c r="G346" s="9" t="s">
        <v>1250</v>
      </c>
      <c r="H346" s="7" t="s">
        <v>1251</v>
      </c>
      <c r="I346" s="9"/>
      <c r="J346" s="9"/>
      <c r="K346" s="74" t="str" cm="1">
        <f t="array" ref="K346">IF(ISBLANK(J346), IF(ISBLANK(I346), "N/A", _xlfn.IFS(L346="AS", I346+15, L346="NCR", I346+30, L346="submitted", I346+30, TRUE, "N/A")), _xlfn.IFS(L346="AS", J346+15, L346="NCR", J346+30, L346="submitted", J346+30, TRUE, "N/A"))</f>
        <v>N/A</v>
      </c>
      <c r="L346" s="14"/>
    </row>
    <row r="347" spans="2:12" ht="27" customHeight="1">
      <c r="B347" s="9"/>
      <c r="C347" s="32" t="s">
        <v>1226</v>
      </c>
      <c r="D347" s="39"/>
      <c r="E347" s="20"/>
      <c r="F347" s="1"/>
      <c r="G347" s="9" t="s">
        <v>1252</v>
      </c>
      <c r="H347" s="7" t="s">
        <v>1253</v>
      </c>
      <c r="I347" s="9"/>
      <c r="J347" s="9"/>
      <c r="K347" s="74" t="str" cm="1">
        <f t="array" ref="K347">IF(ISBLANK(J347), IF(ISBLANK(I347), "N/A", _xlfn.IFS(L347="AS", I347+15, L347="NCR", I347+30, L347="submitted", I347+30, TRUE, "N/A")), _xlfn.IFS(L347="AS", J347+15, L347="NCR", J347+30, L347="submitted", J347+30, TRUE, "N/A"))</f>
        <v>N/A</v>
      </c>
      <c r="L347" s="14"/>
    </row>
    <row r="348" spans="2:12" ht="15" customHeight="1">
      <c r="B348" s="9"/>
      <c r="C348" s="32" t="s">
        <v>1226</v>
      </c>
      <c r="D348" s="39"/>
      <c r="E348" s="20"/>
      <c r="F348" s="1"/>
      <c r="G348" s="9" t="s">
        <v>1254</v>
      </c>
      <c r="H348" s="13" t="s">
        <v>1255</v>
      </c>
      <c r="I348" s="9"/>
      <c r="J348" s="9"/>
      <c r="K348" s="74" t="str" cm="1">
        <f t="array" ref="K348">IF(ISBLANK(J348), IF(ISBLANK(I348), "N/A", _xlfn.IFS(L348="AS", I348+15, L348="NCR", I348+30, L348="submitted", I348+30, TRUE, "N/A")), _xlfn.IFS(L348="AS", J348+15, L348="NCR", J348+30, L348="submitted", J348+30, TRUE, "N/A"))</f>
        <v>N/A</v>
      </c>
      <c r="L348" s="14"/>
    </row>
    <row r="349" spans="2:12" ht="40.5" customHeight="1">
      <c r="B349" s="9"/>
      <c r="C349" s="32" t="s">
        <v>1226</v>
      </c>
      <c r="D349" s="39"/>
      <c r="E349" s="20"/>
      <c r="F349" s="1"/>
      <c r="G349" s="9" t="s">
        <v>1256</v>
      </c>
      <c r="H349" s="7" t="s">
        <v>1257</v>
      </c>
      <c r="I349" s="9"/>
      <c r="J349" s="9"/>
      <c r="K349" s="74" t="str" cm="1">
        <f t="array" ref="K349">IF(ISBLANK(J349), IF(ISBLANK(I349), "N/A", _xlfn.IFS(L349="AS", I349+15, L349="NCR", I349+30, L349="submitted", I349+30, TRUE, "N/A")), _xlfn.IFS(L349="AS", J349+15, L349="NCR", J349+30, L349="submitted", J349+30, TRUE, "N/A"))</f>
        <v>N/A</v>
      </c>
      <c r="L349" s="14"/>
    </row>
    <row r="350" spans="2:12" ht="27" customHeight="1">
      <c r="B350" s="9"/>
      <c r="C350" s="32" t="s">
        <v>1226</v>
      </c>
      <c r="D350" s="39"/>
      <c r="E350" s="20"/>
      <c r="F350" s="1"/>
      <c r="G350" s="9" t="s">
        <v>1258</v>
      </c>
      <c r="H350" s="7" t="s">
        <v>1259</v>
      </c>
      <c r="I350" s="9"/>
      <c r="J350" s="9"/>
      <c r="K350" s="74" t="str" cm="1">
        <f t="array" ref="K350">IF(ISBLANK(J350), IF(ISBLANK(I350), "N/A", _xlfn.IFS(L350="AS", I350+15, L350="NCR", I350+30, L350="submitted", I350+30, TRUE, "N/A")), _xlfn.IFS(L350="AS", J350+15, L350="NCR", J350+30, L350="submitted", J350+30, TRUE, "N/A"))</f>
        <v>N/A</v>
      </c>
      <c r="L350" s="14"/>
    </row>
    <row r="351" spans="2:12" ht="27" customHeight="1">
      <c r="B351" s="9"/>
      <c r="C351" s="32" t="s">
        <v>1226</v>
      </c>
      <c r="D351" s="39"/>
      <c r="E351" s="20"/>
      <c r="F351" s="1"/>
      <c r="G351" s="9" t="s">
        <v>1260</v>
      </c>
      <c r="H351" s="7" t="s">
        <v>1261</v>
      </c>
      <c r="I351" s="9"/>
      <c r="J351" s="9"/>
      <c r="K351" s="74" t="str" cm="1">
        <f t="array" ref="K351">IF(ISBLANK(J351), IF(ISBLANK(I351), "N/A", _xlfn.IFS(L351="AS", I351+15, L351="NCR", I351+30, L351="submitted", I351+30, TRUE, "N/A")), _xlfn.IFS(L351="AS", J351+15, L351="NCR", J351+30, L351="submitted", J351+30, TRUE, "N/A"))</f>
        <v>N/A</v>
      </c>
      <c r="L351" s="14"/>
    </row>
    <row r="352" spans="2:12" ht="15" customHeight="1">
      <c r="B352" s="9"/>
      <c r="C352" s="32" t="s">
        <v>1226</v>
      </c>
      <c r="D352" s="39"/>
      <c r="E352" s="20"/>
      <c r="F352" s="1"/>
      <c r="G352" s="9" t="s">
        <v>1262</v>
      </c>
      <c r="H352" s="13" t="s">
        <v>1263</v>
      </c>
      <c r="I352" s="9"/>
      <c r="J352" s="9"/>
      <c r="K352" s="74" t="str" cm="1">
        <f t="array" ref="K352">IF(ISBLANK(J352), IF(ISBLANK(I352), "N/A", _xlfn.IFS(L352="AS", I352+15, L352="NCR", I352+30, L352="submitted", I352+30, TRUE, "N/A")), _xlfn.IFS(L352="AS", J352+15, L352="NCR", J352+30, L352="submitted", J352+30, TRUE, "N/A"))</f>
        <v>N/A</v>
      </c>
      <c r="L352" s="14"/>
    </row>
    <row r="353" spans="2:12" ht="27" customHeight="1">
      <c r="B353" s="9"/>
      <c r="C353" s="32" t="s">
        <v>1226</v>
      </c>
      <c r="D353" s="39"/>
      <c r="E353" s="20"/>
      <c r="F353" s="1"/>
      <c r="G353" s="9" t="s">
        <v>338</v>
      </c>
      <c r="H353" s="7" t="s">
        <v>1264</v>
      </c>
      <c r="I353" s="9"/>
      <c r="J353" s="9"/>
      <c r="K353" s="74" t="str" cm="1">
        <f t="array" ref="K353">IF(ISBLANK(J353), IF(ISBLANK(I353), "N/A", _xlfn.IFS(L353="AS", I353+15, L353="NCR", I353+30, L353="submitted", I353+30, TRUE, "N/A")), _xlfn.IFS(L353="AS", J353+15, L353="NCR", J353+30, L353="submitted", J353+30, TRUE, "N/A"))</f>
        <v>N/A</v>
      </c>
      <c r="L353" s="14"/>
    </row>
    <row r="354" spans="2:12" ht="15" customHeight="1">
      <c r="B354" s="9"/>
      <c r="C354" s="32" t="s">
        <v>1226</v>
      </c>
      <c r="D354" s="39"/>
      <c r="E354" s="20"/>
      <c r="F354" s="1"/>
      <c r="G354" s="9" t="s">
        <v>1265</v>
      </c>
      <c r="H354" s="7" t="s">
        <v>1266</v>
      </c>
      <c r="I354" s="9"/>
      <c r="J354" s="9"/>
      <c r="K354" s="74" t="str" cm="1">
        <f t="array" ref="K354">IF(ISBLANK(J354), IF(ISBLANK(I354), "N/A", _xlfn.IFS(L354="AS", I354+15, L354="NCR", I354+30, L354="submitted", I354+30, TRUE, "N/A")), _xlfn.IFS(L354="AS", J354+15, L354="NCR", J354+30, L354="submitted", J354+30, TRUE, "N/A"))</f>
        <v>N/A</v>
      </c>
      <c r="L354" s="14"/>
    </row>
    <row r="355" spans="2:12" ht="15" customHeight="1">
      <c r="B355" s="9"/>
      <c r="C355" s="32" t="s">
        <v>1226</v>
      </c>
      <c r="D355" s="39"/>
      <c r="E355" s="20"/>
      <c r="F355" s="1"/>
      <c r="G355" s="9" t="s">
        <v>1267</v>
      </c>
      <c r="H355" s="13" t="s">
        <v>1268</v>
      </c>
      <c r="I355" s="9"/>
      <c r="J355" s="9"/>
      <c r="K355" s="74" t="str" cm="1">
        <f t="array" ref="K355">IF(ISBLANK(J355), IF(ISBLANK(I355), "N/A", _xlfn.IFS(L355="AS", I355+15, L355="NCR", I355+30, L355="submitted", I355+30, TRUE, "N/A")), _xlfn.IFS(L355="AS", J355+15, L355="NCR", J355+30, L355="submitted", J355+30, TRUE, "N/A"))</f>
        <v>N/A</v>
      </c>
      <c r="L355" s="14"/>
    </row>
    <row r="356" spans="2:12" ht="15" customHeight="1">
      <c r="B356" s="9"/>
      <c r="C356" s="32" t="s">
        <v>1226</v>
      </c>
      <c r="D356" s="39"/>
      <c r="E356" s="20"/>
      <c r="F356" s="1"/>
      <c r="G356" s="9" t="s">
        <v>1269</v>
      </c>
      <c r="H356" s="13" t="s">
        <v>1270</v>
      </c>
      <c r="I356" s="9"/>
      <c r="J356" s="9"/>
      <c r="K356" s="74" t="str" cm="1">
        <f t="array" ref="K356">IF(ISBLANK(J356), IF(ISBLANK(I356), "N/A", _xlfn.IFS(L356="AS", I356+15, L356="NCR", I356+30, L356="submitted", I356+30, TRUE, "N/A")), _xlfn.IFS(L356="AS", J356+15, L356="NCR", J356+30, L356="submitted", J356+30, TRUE, "N/A"))</f>
        <v>N/A</v>
      </c>
      <c r="L356" s="14"/>
    </row>
    <row r="357" spans="2:12" ht="27" customHeight="1">
      <c r="B357" s="9"/>
      <c r="C357" s="32" t="s">
        <v>1226</v>
      </c>
      <c r="D357" s="39"/>
      <c r="E357" s="20"/>
      <c r="F357" s="1"/>
      <c r="G357" s="9" t="s">
        <v>405</v>
      </c>
      <c r="H357" s="7" t="s">
        <v>1271</v>
      </c>
      <c r="I357" s="9"/>
      <c r="J357" s="9"/>
      <c r="K357" s="74" t="str" cm="1">
        <f t="array" ref="K357">IF(ISBLANK(J357), IF(ISBLANK(I357), "N/A", _xlfn.IFS(L357="AS", I357+15, L357="NCR", I357+30, L357="submitted", I357+30, TRUE, "N/A")), _xlfn.IFS(L357="AS", J357+15, L357="NCR", J357+30, L357="submitted", J357+30, TRUE, "N/A"))</f>
        <v>N/A</v>
      </c>
      <c r="L357" s="14"/>
    </row>
    <row r="358" spans="2:12" ht="27" customHeight="1">
      <c r="B358" s="9"/>
      <c r="C358" s="32" t="s">
        <v>1226</v>
      </c>
      <c r="D358" s="39"/>
      <c r="E358" s="20"/>
      <c r="F358" s="1"/>
      <c r="G358" s="9" t="s">
        <v>406</v>
      </c>
      <c r="H358" s="7" t="s">
        <v>1272</v>
      </c>
      <c r="I358" s="9"/>
      <c r="J358" s="9"/>
      <c r="K358" s="74" t="str" cm="1">
        <f t="array" ref="K358">IF(ISBLANK(J358), IF(ISBLANK(I358), "N/A", _xlfn.IFS(L358="AS", I358+15, L358="NCR", I358+30, L358="submitted", I358+30, TRUE, "N/A")), _xlfn.IFS(L358="AS", J358+15, L358="NCR", J358+30, L358="submitted", J358+30, TRUE, "N/A"))</f>
        <v>N/A</v>
      </c>
      <c r="L358" s="14"/>
    </row>
    <row r="359" spans="2:12" ht="15" customHeight="1">
      <c r="B359" s="22" t="s">
        <v>76</v>
      </c>
      <c r="C359" s="310" t="s">
        <v>1226</v>
      </c>
      <c r="D359" s="76" t="s">
        <v>1227</v>
      </c>
      <c r="E359" s="573"/>
      <c r="F359" s="26"/>
      <c r="G359" s="22" t="s">
        <v>408</v>
      </c>
      <c r="H359" s="24" t="s">
        <v>1273</v>
      </c>
      <c r="I359" s="251">
        <v>45825</v>
      </c>
      <c r="J359" s="25">
        <v>45903</v>
      </c>
      <c r="K359" s="74" t="str" cm="1">
        <f t="array" ref="K359">IF(ISBLANK(J359), IF(ISBLANK(I359), "N/A", _xlfn.IFS(L359="AS", I359+15, L359="NCR", I359+30, L359="submitted", I359+30, TRUE, "N/A")), _xlfn.IFS(L359="AS", J359+15, L359="NCR", J359+30, L359="submitted", J359+30, TRUE, "N/A"))</f>
        <v>N/A</v>
      </c>
      <c r="L359" s="25" t="s">
        <v>147</v>
      </c>
    </row>
    <row r="360" spans="2:12" ht="15" customHeight="1">
      <c r="B360" s="22" t="s">
        <v>1229</v>
      </c>
      <c r="C360" s="310" t="s">
        <v>1226</v>
      </c>
      <c r="D360" s="76" t="s">
        <v>1227</v>
      </c>
      <c r="E360" s="573"/>
      <c r="F360" s="26"/>
      <c r="G360" s="22" t="s">
        <v>408</v>
      </c>
      <c r="H360" s="24" t="s">
        <v>1273</v>
      </c>
      <c r="I360" s="251">
        <v>45903</v>
      </c>
      <c r="J360" s="25">
        <v>45939</v>
      </c>
      <c r="K360" s="74" t="str" cm="1">
        <f t="array" ref="K360">IF(ISBLANK(J360), IF(ISBLANK(I360), "N/A", _xlfn.IFS(L360="AS", I360+15, L360="NCR", I360+30, L360="submitted", I360+30, TRUE, "N/A")), _xlfn.IFS(L360="AS", J360+15, L360="NCR", J360+30, L360="submitted", J360+30, TRUE, "N/A"))</f>
        <v>N/A</v>
      </c>
      <c r="L360" s="25" t="s">
        <v>638</v>
      </c>
    </row>
    <row r="361" spans="2:12" ht="15" customHeight="1">
      <c r="B361" s="1"/>
      <c r="C361" s="32" t="s">
        <v>1226</v>
      </c>
      <c r="D361" s="46"/>
      <c r="E361" s="20"/>
      <c r="F361" s="1"/>
      <c r="G361" s="9" t="s">
        <v>441</v>
      </c>
      <c r="H361" s="13" t="s">
        <v>1274</v>
      </c>
      <c r="I361" s="9"/>
      <c r="J361" s="9"/>
      <c r="K361" s="74" t="str" cm="1">
        <f t="array" ref="K361">IF(ISBLANK(J361), IF(ISBLANK(I361), "N/A", _xlfn.IFS(L361="AS", I361+15, L361="NCR", I361+30, L361="submitted", I361+30, TRUE, "N/A")), _xlfn.IFS(L361="AS", J361+15, L361="NCR", J361+30, L361="submitted", J361+30, TRUE, "N/A"))</f>
        <v>N/A</v>
      </c>
      <c r="L361" s="14"/>
    </row>
    <row r="362" spans="2:12" s="139" customFormat="1" ht="27" customHeight="1">
      <c r="B362" s="151" t="s">
        <v>1275</v>
      </c>
      <c r="C362" s="239" t="s">
        <v>1276</v>
      </c>
      <c r="D362" s="168" t="s">
        <v>1277</v>
      </c>
      <c r="E362" s="623" t="s">
        <v>1278</v>
      </c>
      <c r="F362" s="138" t="s">
        <v>809</v>
      </c>
      <c r="G362" s="151" t="s">
        <v>240</v>
      </c>
      <c r="H362" s="153" t="s">
        <v>1279</v>
      </c>
      <c r="I362" s="261">
        <v>45902</v>
      </c>
      <c r="J362" s="261">
        <v>45912</v>
      </c>
      <c r="K362" s="74" t="str" cm="1">
        <f t="array" ref="K362">IF(ISBLANK(J362), IF(ISBLANK(I362), "N/A", _xlfn.IFS(L362="AS", I362+15, L362="NCR", I362+30, L362="submitted", I362+30, TRUE, "N/A")), _xlfn.IFS(L362="AS", J362+15, L362="NCR", J362+30, L362="submitted", J362+30, TRUE, "N/A"))</f>
        <v>N/A</v>
      </c>
      <c r="L362" s="261" t="s">
        <v>151</v>
      </c>
    </row>
    <row r="363" spans="2:12" s="139" customFormat="1" ht="27" customHeight="1">
      <c r="B363" s="151" t="s">
        <v>1275</v>
      </c>
      <c r="C363" s="239" t="s">
        <v>1276</v>
      </c>
      <c r="D363" s="168" t="s">
        <v>1277</v>
      </c>
      <c r="E363" s="623" t="s">
        <v>1278</v>
      </c>
      <c r="F363" s="138" t="s">
        <v>809</v>
      </c>
      <c r="G363" s="151" t="s">
        <v>242</v>
      </c>
      <c r="H363" s="153" t="s">
        <v>1231</v>
      </c>
      <c r="I363" s="261">
        <v>45902</v>
      </c>
      <c r="J363" s="261">
        <v>45912</v>
      </c>
      <c r="K363" s="74" t="str" cm="1">
        <f t="array" ref="K363">IF(ISBLANK(J363), IF(ISBLANK(I363), "N/A", _xlfn.IFS(L363="AS", I363+15, L363="NCR", I363+30, L363="submitted", I363+30, TRUE, "N/A")), _xlfn.IFS(L363="AS", J363+15, L363="NCR", J363+30, L363="submitted", J363+30, TRUE, "N/A"))</f>
        <v>N/A</v>
      </c>
      <c r="L363" s="261" t="s">
        <v>151</v>
      </c>
    </row>
    <row r="364" spans="2:12" s="139" customFormat="1" ht="53.25">
      <c r="B364" s="151" t="s">
        <v>1275</v>
      </c>
      <c r="C364" s="239" t="s">
        <v>1276</v>
      </c>
      <c r="D364" s="168" t="s">
        <v>1277</v>
      </c>
      <c r="E364" s="623" t="s">
        <v>1278</v>
      </c>
      <c r="F364" s="138" t="s">
        <v>809</v>
      </c>
      <c r="G364" s="151" t="s">
        <v>1232</v>
      </c>
      <c r="H364" s="153" t="s">
        <v>1233</v>
      </c>
      <c r="I364" s="261">
        <v>45902</v>
      </c>
      <c r="J364" s="261">
        <v>45912</v>
      </c>
      <c r="K364" s="74" t="str" cm="1">
        <f t="array" ref="K364">IF(ISBLANK(J364), IF(ISBLANK(I364), "N/A", _xlfn.IFS(L364="AS", I364+15, L364="NCR", I364+30, L364="submitted", I364+30, TRUE, "N/A")), _xlfn.IFS(L364="AS", J364+15, L364="NCR", J364+30, L364="submitted", J364+30, TRUE, "N/A"))</f>
        <v>N/A</v>
      </c>
      <c r="L364" s="261" t="s">
        <v>151</v>
      </c>
    </row>
    <row r="365" spans="2:12" s="139" customFormat="1" ht="27" customHeight="1">
      <c r="B365" s="151" t="s">
        <v>1275</v>
      </c>
      <c r="C365" s="239" t="s">
        <v>1276</v>
      </c>
      <c r="D365" s="168" t="s">
        <v>1277</v>
      </c>
      <c r="E365" s="623" t="s">
        <v>1278</v>
      </c>
      <c r="F365" s="138" t="s">
        <v>809</v>
      </c>
      <c r="G365" s="151" t="s">
        <v>1234</v>
      </c>
      <c r="H365" s="153" t="s">
        <v>1235</v>
      </c>
      <c r="I365" s="261">
        <v>45902</v>
      </c>
      <c r="J365" s="261">
        <v>45912</v>
      </c>
      <c r="K365" s="74" t="str" cm="1">
        <f t="array" ref="K365">IF(ISBLANK(J365), IF(ISBLANK(I365), "N/A", _xlfn.IFS(L365="AS", I365+15, L365="NCR", I365+30, L365="submitted", I365+30, TRUE, "N/A")), _xlfn.IFS(L365="AS", J365+15, L365="NCR", J365+30, L365="submitted", J365+30, TRUE, "N/A"))</f>
        <v>N/A</v>
      </c>
      <c r="L365" s="261" t="s">
        <v>151</v>
      </c>
    </row>
    <row r="366" spans="2:12" s="139" customFormat="1" ht="15" customHeight="1">
      <c r="B366" s="151" t="s">
        <v>1275</v>
      </c>
      <c r="C366" s="239" t="s">
        <v>1276</v>
      </c>
      <c r="D366" s="168" t="s">
        <v>1277</v>
      </c>
      <c r="E366" s="623" t="s">
        <v>1278</v>
      </c>
      <c r="F366" s="138" t="s">
        <v>809</v>
      </c>
      <c r="G366" s="151" t="s">
        <v>1236</v>
      </c>
      <c r="H366" s="152" t="s">
        <v>1237</v>
      </c>
      <c r="I366" s="261">
        <v>45902</v>
      </c>
      <c r="J366" s="261">
        <v>45912</v>
      </c>
      <c r="K366" s="74" t="str" cm="1">
        <f t="array" ref="K366">IF(ISBLANK(J366), IF(ISBLANK(I366), "N/A", _xlfn.IFS(L366="AS", I366+15, L366="NCR", I366+30, L366="submitted", I366+30, TRUE, "N/A")), _xlfn.IFS(L366="AS", J366+15, L366="NCR", J366+30, L366="submitted", J366+30, TRUE, "N/A"))</f>
        <v>N/A</v>
      </c>
      <c r="L366" s="261" t="s">
        <v>151</v>
      </c>
    </row>
    <row r="367" spans="2:12" s="139" customFormat="1" ht="27" customHeight="1">
      <c r="B367" s="151" t="s">
        <v>1275</v>
      </c>
      <c r="C367" s="239" t="s">
        <v>1276</v>
      </c>
      <c r="D367" s="168" t="s">
        <v>1277</v>
      </c>
      <c r="E367" s="623" t="s">
        <v>1278</v>
      </c>
      <c r="F367" s="138" t="s">
        <v>809</v>
      </c>
      <c r="G367" s="151" t="s">
        <v>1238</v>
      </c>
      <c r="H367" s="153" t="s">
        <v>1239</v>
      </c>
      <c r="I367" s="261">
        <v>45902</v>
      </c>
      <c r="J367" s="261">
        <v>45912</v>
      </c>
      <c r="K367" s="74" t="str" cm="1">
        <f t="array" ref="K367">IF(ISBLANK(J367), IF(ISBLANK(I367), "N/A", _xlfn.IFS(L367="AS", I367+15, L367="NCR", I367+30, L367="submitted", I367+30, TRUE, "N/A")), _xlfn.IFS(L367="AS", J367+15, L367="NCR", J367+30, L367="submitted", J367+30, TRUE, "N/A"))</f>
        <v>N/A</v>
      </c>
      <c r="L367" s="261" t="s">
        <v>151</v>
      </c>
    </row>
    <row r="368" spans="2:12" s="139" customFormat="1" ht="40.5" customHeight="1">
      <c r="B368" s="151" t="s">
        <v>1275</v>
      </c>
      <c r="C368" s="239" t="s">
        <v>1276</v>
      </c>
      <c r="D368" s="168" t="s">
        <v>1277</v>
      </c>
      <c r="E368" s="623" t="s">
        <v>1278</v>
      </c>
      <c r="F368" s="138" t="s">
        <v>809</v>
      </c>
      <c r="G368" s="151" t="s">
        <v>1240</v>
      </c>
      <c r="H368" s="153" t="s">
        <v>1241</v>
      </c>
      <c r="I368" s="261">
        <v>45902</v>
      </c>
      <c r="J368" s="261">
        <v>45912</v>
      </c>
      <c r="K368" s="74" t="str" cm="1">
        <f t="array" ref="K368">IF(ISBLANK(J368), IF(ISBLANK(I368), "N/A", _xlfn.IFS(L368="AS", I368+15, L368="NCR", I368+30, L368="submitted", I368+30, TRUE, "N/A")), _xlfn.IFS(L368="AS", J368+15, L368="NCR", J368+30, L368="submitted", J368+30, TRUE, "N/A"))</f>
        <v>N/A</v>
      </c>
      <c r="L368" s="261" t="s">
        <v>151</v>
      </c>
    </row>
    <row r="369" spans="2:17" s="139" customFormat="1" ht="15" customHeight="1">
      <c r="B369" s="151" t="s">
        <v>1275</v>
      </c>
      <c r="C369" s="239" t="s">
        <v>1276</v>
      </c>
      <c r="D369" s="168" t="s">
        <v>1277</v>
      </c>
      <c r="E369" s="623" t="s">
        <v>1278</v>
      </c>
      <c r="F369" s="138" t="s">
        <v>809</v>
      </c>
      <c r="G369" s="151" t="s">
        <v>1242</v>
      </c>
      <c r="H369" s="152" t="s">
        <v>1280</v>
      </c>
      <c r="I369" s="261">
        <v>45902</v>
      </c>
      <c r="J369" s="261">
        <v>45912</v>
      </c>
      <c r="K369" s="74" t="str" cm="1">
        <f t="array" ref="K369">IF(ISBLANK(J369), IF(ISBLANK(I369), "N/A", _xlfn.IFS(L369="AS", I369+15, L369="NCR", I369+30, L369="submitted", I369+30, TRUE, "N/A")), _xlfn.IFS(L369="AS", J369+15, L369="NCR", J369+30, L369="submitted", J369+30, TRUE, "N/A"))</f>
        <v>N/A</v>
      </c>
      <c r="L369" s="261" t="s">
        <v>151</v>
      </c>
    </row>
    <row r="370" spans="2:17" s="139" customFormat="1" ht="27" customHeight="1">
      <c r="B370" s="151" t="s">
        <v>1275</v>
      </c>
      <c r="C370" s="239" t="s">
        <v>1276</v>
      </c>
      <c r="D370" s="168" t="s">
        <v>1277</v>
      </c>
      <c r="E370" s="623" t="s">
        <v>1278</v>
      </c>
      <c r="F370" s="138" t="s">
        <v>809</v>
      </c>
      <c r="G370" s="151" t="s">
        <v>1244</v>
      </c>
      <c r="H370" s="153" t="s">
        <v>1245</v>
      </c>
      <c r="I370" s="261">
        <v>45902</v>
      </c>
      <c r="J370" s="261">
        <v>45912</v>
      </c>
      <c r="K370" s="74" t="str" cm="1">
        <f t="array" ref="K370">IF(ISBLANK(J370), IF(ISBLANK(I370), "N/A", _xlfn.IFS(L370="AS", I370+15, L370="NCR", I370+30, L370="submitted", I370+30, TRUE, "N/A")), _xlfn.IFS(L370="AS", J370+15, L370="NCR", J370+30, L370="submitted", J370+30, TRUE, "N/A"))</f>
        <v>N/A</v>
      </c>
      <c r="L370" s="261" t="s">
        <v>151</v>
      </c>
    </row>
    <row r="371" spans="2:17" s="139" customFormat="1" ht="15" customHeight="1">
      <c r="B371" s="151" t="s">
        <v>1275</v>
      </c>
      <c r="C371" s="239" t="s">
        <v>1276</v>
      </c>
      <c r="D371" s="168" t="s">
        <v>1277</v>
      </c>
      <c r="E371" s="623" t="s">
        <v>1278</v>
      </c>
      <c r="F371" s="138" t="s">
        <v>809</v>
      </c>
      <c r="G371" s="151" t="s">
        <v>1246</v>
      </c>
      <c r="H371" s="152" t="s">
        <v>1281</v>
      </c>
      <c r="I371" s="261">
        <v>45902</v>
      </c>
      <c r="J371" s="261">
        <v>45912</v>
      </c>
      <c r="K371" s="74" t="str" cm="1">
        <f t="array" ref="K371">IF(ISBLANK(J371), IF(ISBLANK(I371), "N/A", _xlfn.IFS(L371="AS", I371+15, L371="NCR", I371+30, L371="submitted", I371+30, TRUE, "N/A")), _xlfn.IFS(L371="AS", J371+15, L371="NCR", J371+30, L371="submitted", J371+30, TRUE, "N/A"))</f>
        <v>N/A</v>
      </c>
      <c r="L371" s="261" t="s">
        <v>151</v>
      </c>
    </row>
    <row r="372" spans="2:17" s="139" customFormat="1" ht="27" customHeight="1">
      <c r="B372" s="151" t="s">
        <v>1275</v>
      </c>
      <c r="C372" s="239" t="s">
        <v>1276</v>
      </c>
      <c r="D372" s="168" t="s">
        <v>1277</v>
      </c>
      <c r="E372" s="623" t="s">
        <v>1278</v>
      </c>
      <c r="F372" s="138" t="s">
        <v>809</v>
      </c>
      <c r="G372" s="151" t="s">
        <v>1248</v>
      </c>
      <c r="H372" s="153" t="s">
        <v>1282</v>
      </c>
      <c r="I372" s="261">
        <v>45902</v>
      </c>
      <c r="J372" s="261">
        <v>45912</v>
      </c>
      <c r="K372" s="74" t="str" cm="1">
        <f t="array" ref="K372">IF(ISBLANK(J372), IF(ISBLANK(I372), "N/A", _xlfn.IFS(L372="AS", I372+15, L372="NCR", I372+30, L372="submitted", I372+30, TRUE, "N/A")), _xlfn.IFS(L372="AS", J372+15, L372="NCR", J372+30, L372="submitted", J372+30, TRUE, "N/A"))</f>
        <v>N/A</v>
      </c>
      <c r="L372" s="261" t="s">
        <v>151</v>
      </c>
      <c r="N372" s="379"/>
      <c r="O372" s="380"/>
      <c r="P372" s="380"/>
      <c r="Q372" s="381"/>
    </row>
    <row r="373" spans="2:17" s="139" customFormat="1" ht="15" customHeight="1">
      <c r="B373" s="151" t="s">
        <v>1275</v>
      </c>
      <c r="C373" s="239" t="s">
        <v>1276</v>
      </c>
      <c r="D373" s="168" t="s">
        <v>1277</v>
      </c>
      <c r="E373" s="623" t="s">
        <v>1278</v>
      </c>
      <c r="F373" s="138" t="s">
        <v>809</v>
      </c>
      <c r="G373" s="151" t="s">
        <v>1250</v>
      </c>
      <c r="H373" s="152" t="s">
        <v>1283</v>
      </c>
      <c r="I373" s="261">
        <v>45902</v>
      </c>
      <c r="J373" s="261">
        <v>45912</v>
      </c>
      <c r="K373" s="74" t="str" cm="1">
        <f t="array" ref="K373">IF(ISBLANK(J373), IF(ISBLANK(I373), "N/A", _xlfn.IFS(L373="AS", I373+15, L373="NCR", I373+30, L373="submitted", I373+30, TRUE, "N/A")), _xlfn.IFS(L373="AS", J373+15, L373="NCR", J373+30, L373="submitted", J373+30, TRUE, "N/A"))</f>
        <v>N/A</v>
      </c>
      <c r="L373" s="261" t="s">
        <v>151</v>
      </c>
      <c r="N373" s="379"/>
      <c r="O373" s="380"/>
      <c r="P373" s="380"/>
      <c r="Q373" s="381"/>
    </row>
    <row r="374" spans="2:17" s="139" customFormat="1" ht="27" customHeight="1">
      <c r="B374" s="151" t="s">
        <v>1275</v>
      </c>
      <c r="C374" s="239" t="s">
        <v>1276</v>
      </c>
      <c r="D374" s="168" t="s">
        <v>1277</v>
      </c>
      <c r="E374" s="623" t="s">
        <v>1278</v>
      </c>
      <c r="F374" s="138" t="s">
        <v>809</v>
      </c>
      <c r="G374" s="151" t="s">
        <v>1252</v>
      </c>
      <c r="H374" s="153" t="s">
        <v>1284</v>
      </c>
      <c r="I374" s="261">
        <v>45902</v>
      </c>
      <c r="J374" s="261">
        <v>45912</v>
      </c>
      <c r="K374" s="74" t="str" cm="1">
        <f t="array" ref="K374">IF(ISBLANK(J374), IF(ISBLANK(I374), "N/A", _xlfn.IFS(L374="AS", I374+15, L374="NCR", I374+30, L374="submitted", I374+30, TRUE, "N/A")), _xlfn.IFS(L374="AS", J374+15, L374="NCR", J374+30, L374="submitted", J374+30, TRUE, "N/A"))</f>
        <v>N/A</v>
      </c>
      <c r="L374" s="261" t="s">
        <v>151</v>
      </c>
      <c r="N374" s="379"/>
      <c r="O374" s="380"/>
      <c r="P374" s="380"/>
      <c r="Q374" s="381"/>
    </row>
    <row r="375" spans="2:17" s="139" customFormat="1" ht="15" customHeight="1">
      <c r="B375" s="151" t="s">
        <v>1275</v>
      </c>
      <c r="C375" s="239" t="s">
        <v>1276</v>
      </c>
      <c r="D375" s="168" t="s">
        <v>1277</v>
      </c>
      <c r="E375" s="623" t="s">
        <v>1278</v>
      </c>
      <c r="F375" s="138" t="s">
        <v>809</v>
      </c>
      <c r="G375" s="151" t="s">
        <v>1254</v>
      </c>
      <c r="H375" s="152" t="s">
        <v>1285</v>
      </c>
      <c r="I375" s="261">
        <v>45902</v>
      </c>
      <c r="J375" s="261">
        <v>45912</v>
      </c>
      <c r="K375" s="74" t="str" cm="1">
        <f t="array" ref="K375">IF(ISBLANK(J375), IF(ISBLANK(I375), "N/A", _xlfn.IFS(L375="AS", I375+15, L375="NCR", I375+30, L375="submitted", I375+30, TRUE, "N/A")), _xlfn.IFS(L375="AS", J375+15, L375="NCR", J375+30, L375="submitted", J375+30, TRUE, "N/A"))</f>
        <v>N/A</v>
      </c>
      <c r="L375" s="261" t="s">
        <v>151</v>
      </c>
      <c r="N375" s="379"/>
      <c r="O375" s="380"/>
      <c r="P375" s="380"/>
      <c r="Q375" s="381"/>
    </row>
    <row r="376" spans="2:17" s="139" customFormat="1" ht="40.5" customHeight="1">
      <c r="B376" s="151" t="s">
        <v>1275</v>
      </c>
      <c r="C376" s="239" t="s">
        <v>1276</v>
      </c>
      <c r="D376" s="168" t="s">
        <v>1277</v>
      </c>
      <c r="E376" s="623" t="s">
        <v>1278</v>
      </c>
      <c r="F376" s="138" t="s">
        <v>809</v>
      </c>
      <c r="G376" s="151" t="s">
        <v>1256</v>
      </c>
      <c r="H376" s="153" t="s">
        <v>1286</v>
      </c>
      <c r="I376" s="261">
        <v>45902</v>
      </c>
      <c r="J376" s="261">
        <v>45912</v>
      </c>
      <c r="K376" s="74" t="str" cm="1">
        <f t="array" ref="K376">IF(ISBLANK(J376), IF(ISBLANK(I376), "N/A", _xlfn.IFS(L376="AS", I376+15, L376="NCR", I376+30, L376="submitted", I376+30, TRUE, "N/A")), _xlfn.IFS(L376="AS", J376+15, L376="NCR", J376+30, L376="submitted", J376+30, TRUE, "N/A"))</f>
        <v>N/A</v>
      </c>
      <c r="L376" s="261" t="s">
        <v>151</v>
      </c>
      <c r="N376" s="379"/>
      <c r="O376" s="380"/>
      <c r="P376" s="380"/>
      <c r="Q376" s="381"/>
    </row>
    <row r="377" spans="2:17" s="139" customFormat="1" ht="40.5" customHeight="1">
      <c r="B377" s="151" t="s">
        <v>1275</v>
      </c>
      <c r="C377" s="239" t="s">
        <v>1276</v>
      </c>
      <c r="D377" s="168" t="s">
        <v>1277</v>
      </c>
      <c r="E377" s="623" t="s">
        <v>1278</v>
      </c>
      <c r="F377" s="138" t="s">
        <v>809</v>
      </c>
      <c r="G377" s="151" t="s">
        <v>1258</v>
      </c>
      <c r="H377" s="153" t="s">
        <v>1287</v>
      </c>
      <c r="I377" s="261">
        <v>45902</v>
      </c>
      <c r="J377" s="261">
        <v>45912</v>
      </c>
      <c r="K377" s="74" t="str" cm="1">
        <f t="array" ref="K377">IF(ISBLANK(J377), IF(ISBLANK(I377), "N/A", _xlfn.IFS(L377="AS", I377+15, L377="NCR", I377+30, L377="submitted", I377+30, TRUE, "N/A")), _xlfn.IFS(L377="AS", J377+15, L377="NCR", J377+30, L377="submitted", J377+30, TRUE, "N/A"))</f>
        <v>N/A</v>
      </c>
      <c r="L377" s="261" t="s">
        <v>151</v>
      </c>
      <c r="N377" s="379"/>
      <c r="O377" s="380"/>
      <c r="P377" s="380"/>
      <c r="Q377" s="381"/>
    </row>
    <row r="378" spans="2:17" s="139" customFormat="1" ht="27">
      <c r="B378" s="151" t="s">
        <v>1275</v>
      </c>
      <c r="C378" s="239" t="s">
        <v>1276</v>
      </c>
      <c r="D378" s="168" t="s">
        <v>1277</v>
      </c>
      <c r="E378" s="623" t="s">
        <v>1278</v>
      </c>
      <c r="F378" s="138" t="s">
        <v>809</v>
      </c>
      <c r="G378" s="151" t="s">
        <v>1260</v>
      </c>
      <c r="H378" s="153" t="s">
        <v>1288</v>
      </c>
      <c r="I378" s="261">
        <v>45902</v>
      </c>
      <c r="J378" s="261">
        <v>45912</v>
      </c>
      <c r="K378" s="74" t="str" cm="1">
        <f t="array" ref="K378">IF(ISBLANK(J378), IF(ISBLANK(I378), "N/A", _xlfn.IFS(L378="AS", I378+15, L378="NCR", I378+30, L378="submitted", I378+30, TRUE, "N/A")), _xlfn.IFS(L378="AS", J378+15, L378="NCR", J378+30, L378="submitted", J378+30, TRUE, "N/A"))</f>
        <v>N/A</v>
      </c>
      <c r="L378" s="261" t="s">
        <v>151</v>
      </c>
      <c r="N378" s="850" t="s">
        <v>133</v>
      </c>
      <c r="O378" s="851"/>
      <c r="P378" s="851"/>
      <c r="Q378" s="852"/>
    </row>
    <row r="379" spans="2:17" s="139" customFormat="1">
      <c r="B379" s="151" t="s">
        <v>1275</v>
      </c>
      <c r="C379" s="611"/>
      <c r="D379" s="168" t="s">
        <v>1277</v>
      </c>
      <c r="E379" s="623" t="s">
        <v>1278</v>
      </c>
      <c r="F379" s="138" t="s">
        <v>809</v>
      </c>
      <c r="G379" s="151" t="s">
        <v>1262</v>
      </c>
      <c r="H379" s="152" t="s">
        <v>1263</v>
      </c>
      <c r="I379" s="261">
        <v>45902</v>
      </c>
      <c r="J379" s="261">
        <v>45912</v>
      </c>
      <c r="K379" s="74" t="str" cm="1">
        <f t="array" ref="K379">IF(ISBLANK(J379), IF(ISBLANK(I379), "N/A", _xlfn.IFS(L379="AS", I379+15, L379="NCR", I379+30, L379="submitted", I379+30, TRUE, "N/A")), _xlfn.IFS(L379="AS", J379+15, L379="NCR", J379+30, L379="submitted", J379+30, TRUE, "N/A"))</f>
        <v>N/A</v>
      </c>
      <c r="L379" s="261" t="s">
        <v>151</v>
      </c>
      <c r="N379" s="853"/>
      <c r="O379" s="854"/>
      <c r="P379" s="854"/>
      <c r="Q379" s="855"/>
    </row>
    <row r="380" spans="2:17" ht="27">
      <c r="B380" s="4"/>
      <c r="C380" s="111"/>
      <c r="D380" s="35"/>
      <c r="E380" s="103"/>
      <c r="F380" s="5"/>
      <c r="G380" s="4" t="s">
        <v>338</v>
      </c>
      <c r="H380" s="3" t="s">
        <v>1264</v>
      </c>
      <c r="I380" s="4"/>
      <c r="J380" s="4"/>
      <c r="K380" s="74" t="str" cm="1">
        <f t="array" ref="K380">IF(ISBLANK(J380), IF(ISBLANK(I380), "N/A", _xlfn.IFS(L380="AS", I380+15, L380="NCR", I380+30, L380="submitted", I380+30, TRUE, "N/A")), _xlfn.IFS(L380="AS", J380+15, L380="NCR", J380+30, L380="submitted", J380+30, TRUE, "N/A"))</f>
        <v>N/A</v>
      </c>
      <c r="L380" s="18"/>
      <c r="M380" s="317"/>
      <c r="N380" s="853"/>
      <c r="O380" s="854"/>
      <c r="P380" s="854"/>
      <c r="Q380" s="855"/>
    </row>
    <row r="381" spans="2:17">
      <c r="B381" s="4"/>
      <c r="C381" s="111"/>
      <c r="D381" s="35"/>
      <c r="E381" s="103"/>
      <c r="F381" s="5"/>
      <c r="G381" s="4" t="s">
        <v>1265</v>
      </c>
      <c r="H381" s="3" t="s">
        <v>1266</v>
      </c>
      <c r="I381" s="4"/>
      <c r="J381" s="4"/>
      <c r="K381" s="74" t="str" cm="1">
        <f t="array" ref="K381">IF(ISBLANK(J381), IF(ISBLANK(I381), "N/A", _xlfn.IFS(L381="AS", I381+15, L381="NCR", I381+30, L381="submitted", I381+30, TRUE, "N/A")), _xlfn.IFS(L381="AS", J381+15, L381="NCR", J381+30, L381="submitted", J381+30, TRUE, "N/A"))</f>
        <v>N/A</v>
      </c>
      <c r="L381" s="18"/>
      <c r="M381" s="317"/>
      <c r="N381" s="853"/>
      <c r="O381" s="854"/>
      <c r="P381" s="854"/>
      <c r="Q381" s="855"/>
    </row>
    <row r="382" spans="2:17">
      <c r="B382" s="4"/>
      <c r="C382" s="111"/>
      <c r="D382" s="35"/>
      <c r="E382" s="103"/>
      <c r="F382" s="5"/>
      <c r="G382" s="4" t="s">
        <v>1267</v>
      </c>
      <c r="H382" s="17" t="s">
        <v>1289</v>
      </c>
      <c r="I382" s="4"/>
      <c r="J382" s="4"/>
      <c r="K382" s="74" t="str" cm="1">
        <f t="array" ref="K382">IF(ISBLANK(J382), IF(ISBLANK(I382), "N/A", _xlfn.IFS(L382="AS", I382+15, L382="NCR", I382+30, L382="submitted", I382+30, TRUE, "N/A")), _xlfn.IFS(L382="AS", J382+15, L382="NCR", J382+30, L382="submitted", J382+30, TRUE, "N/A"))</f>
        <v>N/A</v>
      </c>
      <c r="L382" s="18"/>
      <c r="M382" s="317"/>
      <c r="N382" s="853"/>
      <c r="O382" s="854"/>
      <c r="P382" s="854"/>
      <c r="Q382" s="855"/>
    </row>
    <row r="383" spans="2:17">
      <c r="B383" s="4"/>
      <c r="C383" s="111"/>
      <c r="D383" s="35"/>
      <c r="E383" s="103"/>
      <c r="F383" s="5"/>
      <c r="G383" s="4" t="s">
        <v>1269</v>
      </c>
      <c r="H383" s="17" t="s">
        <v>1270</v>
      </c>
      <c r="I383" s="4"/>
      <c r="J383" s="4"/>
      <c r="K383" s="74" t="str" cm="1">
        <f t="array" ref="K383">IF(ISBLANK(J383), IF(ISBLANK(I383), "N/A", _xlfn.IFS(L383="AS", I383+15, L383="NCR", I383+30, L383="submitted", I383+30, TRUE, "N/A")), _xlfn.IFS(L383="AS", J383+15, L383="NCR", J383+30, L383="submitted", J383+30, TRUE, "N/A"))</f>
        <v>N/A</v>
      </c>
      <c r="L383" s="18"/>
      <c r="M383" s="317"/>
      <c r="N383" s="853"/>
      <c r="O383" s="854"/>
      <c r="P383" s="854"/>
      <c r="Q383" s="855"/>
    </row>
    <row r="384" spans="2:17" ht="27">
      <c r="B384" s="4"/>
      <c r="C384" s="111"/>
      <c r="D384" s="35"/>
      <c r="E384" s="103"/>
      <c r="F384" s="5"/>
      <c r="G384" s="4" t="s">
        <v>405</v>
      </c>
      <c r="H384" s="3" t="s">
        <v>1271</v>
      </c>
      <c r="I384" s="4"/>
      <c r="J384" s="4"/>
      <c r="K384" s="74" t="str" cm="1">
        <f t="array" ref="K384">IF(ISBLANK(J384), IF(ISBLANK(I384), "N/A", _xlfn.IFS(L384="AS", I384+15, L384="NCR", I384+30, L384="submitted", I384+30, TRUE, "N/A")), _xlfn.IFS(L384="AS", J384+15, L384="NCR", J384+30, L384="submitted", J384+30, TRUE, "N/A"))</f>
        <v>N/A</v>
      </c>
      <c r="L384" s="18"/>
      <c r="M384" s="317"/>
      <c r="N384" s="853"/>
      <c r="O384" s="854"/>
      <c r="P384" s="854"/>
      <c r="Q384" s="855"/>
    </row>
    <row r="385" spans="2:17" ht="27">
      <c r="B385" s="4"/>
      <c r="C385" s="111"/>
      <c r="D385" s="35"/>
      <c r="E385" s="103"/>
      <c r="F385" s="5"/>
      <c r="G385" s="4" t="s">
        <v>406</v>
      </c>
      <c r="H385" s="3" t="s">
        <v>1290</v>
      </c>
      <c r="I385" s="4"/>
      <c r="J385" s="4"/>
      <c r="K385" s="74" t="str" cm="1">
        <f t="array" ref="K385">IF(ISBLANK(J385), IF(ISBLANK(I385), "N/A", _xlfn.IFS(L385="AS", I385+15, L385="NCR", I385+30, L385="submitted", I385+30, TRUE, "N/A")), _xlfn.IFS(L385="AS", J385+15, L385="NCR", J385+30, L385="submitted", J385+30, TRUE, "N/A"))</f>
        <v>N/A</v>
      </c>
      <c r="L385" s="18"/>
      <c r="M385" s="317"/>
      <c r="N385" s="853"/>
      <c r="O385" s="854"/>
      <c r="P385" s="854"/>
      <c r="Q385" s="855"/>
    </row>
    <row r="386" spans="2:17">
      <c r="B386" s="4"/>
      <c r="C386" s="111"/>
      <c r="D386" s="35"/>
      <c r="E386" s="103"/>
      <c r="F386" s="5"/>
      <c r="G386" s="4" t="s">
        <v>408</v>
      </c>
      <c r="H386" s="17" t="s">
        <v>1273</v>
      </c>
      <c r="I386" s="4"/>
      <c r="J386" s="4"/>
      <c r="K386" s="74" t="str" cm="1">
        <f t="array" ref="K386">IF(ISBLANK(J386), IF(ISBLANK(I386), "N/A", _xlfn.IFS(L386="AS", I386+15, L386="NCR", I386+30, L386="submitted", I386+30, TRUE, "N/A")), _xlfn.IFS(L386="AS", J386+15, L386="NCR", J386+30, L386="submitted", J386+30, TRUE, "N/A"))</f>
        <v>N/A</v>
      </c>
      <c r="L386" s="18"/>
      <c r="M386" s="317"/>
      <c r="N386" s="856" t="s">
        <v>148</v>
      </c>
      <c r="O386" s="857"/>
      <c r="P386" s="857"/>
      <c r="Q386" s="858"/>
    </row>
    <row r="387" spans="2:17">
      <c r="B387" s="4"/>
      <c r="C387" s="95"/>
      <c r="D387" s="36"/>
      <c r="E387" s="103"/>
      <c r="F387" s="5"/>
      <c r="G387" s="4" t="s">
        <v>441</v>
      </c>
      <c r="H387" s="17" t="s">
        <v>1274</v>
      </c>
      <c r="I387" s="4"/>
      <c r="J387" s="4"/>
      <c r="K387" s="74" t="str" cm="1">
        <f t="array" ref="K387">IF(ISBLANK(J387), IF(ISBLANK(I387), "N/A", _xlfn.IFS(L387="AS", I387+15, L387="NCR", I387+30, L387="submitted", I387+30, TRUE, "N/A")), _xlfn.IFS(L387="AS", J387+15, L387="NCR", J387+30, L387="submitted", J387+30, TRUE, "N/A"))</f>
        <v>N/A</v>
      </c>
      <c r="L387" s="18"/>
      <c r="M387" s="317"/>
      <c r="N387" s="856"/>
      <c r="O387" s="857"/>
      <c r="P387" s="857"/>
      <c r="Q387" s="858"/>
    </row>
    <row r="388" spans="2:17" s="148" customFormat="1" ht="27">
      <c r="B388" s="146" t="s">
        <v>1291</v>
      </c>
      <c r="C388" s="425" t="s">
        <v>1292</v>
      </c>
      <c r="D388" s="231" t="s">
        <v>1293</v>
      </c>
      <c r="E388" s="576"/>
      <c r="F388" s="149"/>
      <c r="G388" s="146" t="s">
        <v>240</v>
      </c>
      <c r="H388" s="193" t="s">
        <v>1294</v>
      </c>
      <c r="I388" s="233">
        <v>45902</v>
      </c>
      <c r="J388" s="233">
        <v>45910</v>
      </c>
      <c r="K388" s="74" t="str" cm="1">
        <f t="array" ref="K388">IF(ISBLANK(J388), IF(ISBLANK(I388), "N/A", _xlfn.IFS(L388="AS", I388+15, L388="NCR", I388+30, L388="submitted", I388+30, TRUE, "N/A")), _xlfn.IFS(L388="AS", J388+15, L388="NCR", J388+30, L388="submitted", J388+30, TRUE, "N/A"))</f>
        <v>N/A</v>
      </c>
      <c r="L388" s="231" t="s">
        <v>147</v>
      </c>
      <c r="N388" s="856"/>
      <c r="O388" s="857"/>
      <c r="P388" s="857"/>
      <c r="Q388" s="858"/>
    </row>
    <row r="389" spans="2:17" s="148" customFormat="1">
      <c r="B389" s="146" t="s">
        <v>1291</v>
      </c>
      <c r="C389" s="425" t="s">
        <v>1292</v>
      </c>
      <c r="D389" s="231" t="s">
        <v>1293</v>
      </c>
      <c r="E389" s="576"/>
      <c r="F389" s="149"/>
      <c r="G389" s="146" t="s">
        <v>242</v>
      </c>
      <c r="H389" s="193" t="s">
        <v>1295</v>
      </c>
      <c r="I389" s="233">
        <v>45902</v>
      </c>
      <c r="J389" s="233">
        <v>45910</v>
      </c>
      <c r="K389" s="74" t="str" cm="1">
        <f t="array" ref="K389">IF(ISBLANK(J389), IF(ISBLANK(I389), "N/A", _xlfn.IFS(L389="AS", I389+15, L389="NCR", I389+30, L389="submitted", I389+30, TRUE, "N/A")), _xlfn.IFS(L389="AS", J389+15, L389="NCR", J389+30, L389="submitted", J389+30, TRUE, "N/A"))</f>
        <v>N/A</v>
      </c>
      <c r="L389" s="231" t="s">
        <v>147</v>
      </c>
      <c r="N389" s="856"/>
      <c r="O389" s="857"/>
      <c r="P389" s="857"/>
      <c r="Q389" s="858"/>
    </row>
    <row r="390" spans="2:17" s="148" customFormat="1" ht="67.5">
      <c r="B390" s="146" t="s">
        <v>1291</v>
      </c>
      <c r="C390" s="425" t="s">
        <v>1292</v>
      </c>
      <c r="D390" s="231" t="s">
        <v>1293</v>
      </c>
      <c r="E390" s="576"/>
      <c r="F390" s="149"/>
      <c r="G390" s="146" t="s">
        <v>1232</v>
      </c>
      <c r="H390" s="193" t="s">
        <v>1296</v>
      </c>
      <c r="I390" s="233">
        <v>45902</v>
      </c>
      <c r="J390" s="233">
        <v>45910</v>
      </c>
      <c r="K390" s="74" t="str" cm="1">
        <f t="array" ref="K390">IF(ISBLANK(J390), IF(ISBLANK(I390), "N/A", _xlfn.IFS(L390="AS", I390+15, L390="NCR", I390+30, L390="submitted", I390+30, TRUE, "N/A")), _xlfn.IFS(L390="AS", J390+15, L390="NCR", J390+30, L390="submitted", J390+30, TRUE, "N/A"))</f>
        <v>N/A</v>
      </c>
      <c r="L390" s="231" t="s">
        <v>147</v>
      </c>
      <c r="N390" s="856"/>
      <c r="O390" s="857"/>
      <c r="P390" s="857"/>
      <c r="Q390" s="858"/>
    </row>
    <row r="391" spans="2:17" s="148" customFormat="1">
      <c r="B391" s="146" t="s">
        <v>1291</v>
      </c>
      <c r="C391" s="425" t="s">
        <v>1292</v>
      </c>
      <c r="D391" s="231" t="s">
        <v>1293</v>
      </c>
      <c r="E391" s="576"/>
      <c r="F391" s="149"/>
      <c r="G391" s="146" t="s">
        <v>1234</v>
      </c>
      <c r="H391" s="193" t="s">
        <v>1297</v>
      </c>
      <c r="I391" s="233">
        <v>45902</v>
      </c>
      <c r="J391" s="233">
        <v>45910</v>
      </c>
      <c r="K391" s="74" t="str" cm="1">
        <f t="array" ref="K391">IF(ISBLANK(J391), IF(ISBLANK(I391), "N/A", _xlfn.IFS(L391="AS", I391+15, L391="NCR", I391+30, L391="submitted", I391+30, TRUE, "N/A")), _xlfn.IFS(L391="AS", J391+15, L391="NCR", J391+30, L391="submitted", J391+30, TRUE, "N/A"))</f>
        <v>N/A</v>
      </c>
      <c r="L391" s="231" t="s">
        <v>147</v>
      </c>
      <c r="M391" s="609"/>
      <c r="N391" s="856"/>
      <c r="O391" s="857"/>
      <c r="P391" s="857"/>
      <c r="Q391" s="858"/>
    </row>
    <row r="392" spans="2:17" s="148" customFormat="1">
      <c r="B392" s="146" t="s">
        <v>1291</v>
      </c>
      <c r="C392" s="425" t="s">
        <v>1292</v>
      </c>
      <c r="D392" s="231" t="s">
        <v>1293</v>
      </c>
      <c r="E392" s="576"/>
      <c r="F392" s="149"/>
      <c r="G392" s="146" t="s">
        <v>1236</v>
      </c>
      <c r="H392" s="193" t="s">
        <v>1298</v>
      </c>
      <c r="I392" s="233">
        <v>45902</v>
      </c>
      <c r="J392" s="233">
        <v>45910</v>
      </c>
      <c r="K392" s="74" t="str" cm="1">
        <f t="array" ref="K392">IF(ISBLANK(J392), IF(ISBLANK(I392), "N/A", _xlfn.IFS(L392="AS", I392+15, L392="NCR", I392+30, L392="submitted", I392+30, TRUE, "N/A")), _xlfn.IFS(L392="AS", J392+15, L392="NCR", J392+30, L392="submitted", J392+30, TRUE, "N/A"))</f>
        <v>N/A</v>
      </c>
      <c r="L392" s="231" t="s">
        <v>147</v>
      </c>
      <c r="N392" s="856"/>
      <c r="O392" s="857"/>
      <c r="P392" s="857"/>
      <c r="Q392" s="858"/>
    </row>
    <row r="393" spans="2:17" s="148" customFormat="1">
      <c r="B393" s="146" t="s">
        <v>1291</v>
      </c>
      <c r="C393" s="425" t="s">
        <v>1292</v>
      </c>
      <c r="D393" s="231" t="s">
        <v>1293</v>
      </c>
      <c r="E393" s="576"/>
      <c r="F393" s="149"/>
      <c r="G393" s="599" t="s">
        <v>1238</v>
      </c>
      <c r="H393" s="193" t="s">
        <v>1299</v>
      </c>
      <c r="I393" s="233">
        <v>45902</v>
      </c>
      <c r="J393" s="233">
        <v>45910</v>
      </c>
      <c r="K393" s="74" t="str" cm="1">
        <f t="array" ref="K393">IF(ISBLANK(J393), IF(ISBLANK(I393), "N/A", _xlfn.IFS(L393="AS", I393+15, L393="NCR", I393+30, L393="submitted", I393+30, TRUE, "N/A")), _xlfn.IFS(L393="AS", J393+15, L393="NCR", J393+30, L393="submitted", J393+30, TRUE, "N/A"))</f>
        <v>N/A</v>
      </c>
      <c r="L393" s="231" t="s">
        <v>147</v>
      </c>
      <c r="N393" s="856"/>
      <c r="O393" s="857"/>
      <c r="P393" s="857"/>
      <c r="Q393" s="858"/>
    </row>
    <row r="394" spans="2:17" s="148" customFormat="1" ht="27">
      <c r="B394" s="146" t="s">
        <v>1291</v>
      </c>
      <c r="C394" s="425" t="s">
        <v>1292</v>
      </c>
      <c r="D394" s="231" t="s">
        <v>1293</v>
      </c>
      <c r="E394" s="576"/>
      <c r="F394" s="149"/>
      <c r="G394" s="538" t="s">
        <v>1240</v>
      </c>
      <c r="H394" s="626" t="s">
        <v>1300</v>
      </c>
      <c r="I394" s="233">
        <v>45902</v>
      </c>
      <c r="J394" s="233">
        <v>45910</v>
      </c>
      <c r="K394" s="74" t="str" cm="1">
        <f t="array" ref="K394">IF(ISBLANK(J394), IF(ISBLANK(I394), "N/A", _xlfn.IFS(L394="AS", I394+15, L394="NCR", I394+30, L394="submitted", I394+30, TRUE, "N/A")), _xlfn.IFS(L394="AS", J394+15, L394="NCR", J394+30, L394="submitted", J394+30, TRUE, "N/A"))</f>
        <v>N/A</v>
      </c>
      <c r="L394" s="231" t="s">
        <v>147</v>
      </c>
      <c r="N394" s="856"/>
      <c r="O394" s="857"/>
      <c r="P394" s="857"/>
      <c r="Q394" s="858"/>
    </row>
    <row r="395" spans="2:17" s="148" customFormat="1">
      <c r="B395" s="146" t="s">
        <v>1291</v>
      </c>
      <c r="C395" s="425" t="s">
        <v>1292</v>
      </c>
      <c r="D395" s="231" t="s">
        <v>1293</v>
      </c>
      <c r="E395" s="576"/>
      <c r="F395" s="149"/>
      <c r="G395" s="538" t="s">
        <v>1242</v>
      </c>
      <c r="H395" s="626" t="s">
        <v>1280</v>
      </c>
      <c r="I395" s="233">
        <v>45902</v>
      </c>
      <c r="J395" s="233">
        <v>45910</v>
      </c>
      <c r="K395" s="74" t="str" cm="1">
        <f t="array" ref="K395">IF(ISBLANK(J395), IF(ISBLANK(I395), "N/A", _xlfn.IFS(L395="AS", I395+15, L395="NCR", I395+30, L395="submitted", I395+30, TRUE, "N/A")), _xlfn.IFS(L395="AS", J395+15, L395="NCR", J395+30, L395="submitted", J395+30, TRUE, "N/A"))</f>
        <v>N/A</v>
      </c>
      <c r="L395" s="231" t="s">
        <v>147</v>
      </c>
      <c r="N395" s="856"/>
      <c r="O395" s="857"/>
      <c r="P395" s="857"/>
      <c r="Q395" s="858"/>
    </row>
    <row r="396" spans="2:17" s="148" customFormat="1" ht="27">
      <c r="B396" s="146" t="s">
        <v>1291</v>
      </c>
      <c r="C396" s="425" t="s">
        <v>1292</v>
      </c>
      <c r="D396" s="231" t="s">
        <v>1293</v>
      </c>
      <c r="E396" s="576"/>
      <c r="F396" s="149"/>
      <c r="G396" s="538" t="s">
        <v>1244</v>
      </c>
      <c r="H396" s="626" t="s">
        <v>1301</v>
      </c>
      <c r="I396" s="233">
        <v>45902</v>
      </c>
      <c r="J396" s="233">
        <v>45910</v>
      </c>
      <c r="K396" s="74" t="str" cm="1">
        <f t="array" ref="K396">IF(ISBLANK(J396), IF(ISBLANK(I396), "N/A", _xlfn.IFS(L396="AS", I396+15, L396="NCR", I396+30, L396="submitted", I396+30, TRUE, "N/A")), _xlfn.IFS(L396="AS", J396+15, L396="NCR", J396+30, L396="submitted", J396+30, TRUE, "N/A"))</f>
        <v>N/A</v>
      </c>
      <c r="L396" s="231" t="s">
        <v>147</v>
      </c>
      <c r="N396" s="856"/>
      <c r="O396" s="857"/>
      <c r="P396" s="857"/>
      <c r="Q396" s="858"/>
    </row>
    <row r="397" spans="2:17" s="148" customFormat="1">
      <c r="B397" s="146" t="s">
        <v>1291</v>
      </c>
      <c r="C397" s="425" t="s">
        <v>1292</v>
      </c>
      <c r="D397" s="231" t="s">
        <v>1293</v>
      </c>
      <c r="E397" s="576"/>
      <c r="F397" s="149"/>
      <c r="G397" s="538" t="s">
        <v>1246</v>
      </c>
      <c r="H397" s="626" t="s">
        <v>1281</v>
      </c>
      <c r="I397" s="233">
        <v>45902</v>
      </c>
      <c r="J397" s="233">
        <v>45910</v>
      </c>
      <c r="K397" s="74" t="str" cm="1">
        <f t="array" ref="K397">IF(ISBLANK(J397), IF(ISBLANK(I397), "N/A", _xlfn.IFS(L397="AS", I397+15, L397="NCR", I397+30, L397="submitted", I397+30, TRUE, "N/A")), _xlfn.IFS(L397="AS", J397+15, L397="NCR", J397+30, L397="submitted", J397+30, TRUE, "N/A"))</f>
        <v>N/A</v>
      </c>
      <c r="L397" s="231" t="s">
        <v>147</v>
      </c>
      <c r="N397" s="856"/>
      <c r="O397" s="857"/>
      <c r="P397" s="857"/>
      <c r="Q397" s="858"/>
    </row>
    <row r="398" spans="2:17" s="148" customFormat="1" ht="27">
      <c r="B398" s="146" t="s">
        <v>1291</v>
      </c>
      <c r="C398" s="425" t="s">
        <v>1292</v>
      </c>
      <c r="D398" s="231" t="s">
        <v>1293</v>
      </c>
      <c r="E398" s="576"/>
      <c r="F398" s="149"/>
      <c r="G398" s="538" t="s">
        <v>1248</v>
      </c>
      <c r="H398" s="626" t="s">
        <v>1249</v>
      </c>
      <c r="I398" s="233">
        <v>45902</v>
      </c>
      <c r="J398" s="233">
        <v>45910</v>
      </c>
      <c r="K398" s="74" t="str" cm="1">
        <f t="array" ref="K398">IF(ISBLANK(J398), IF(ISBLANK(I398), "N/A", _xlfn.IFS(L398="AS", I398+15, L398="NCR", I398+30, L398="submitted", I398+30, TRUE, "N/A")), _xlfn.IFS(L398="AS", J398+15, L398="NCR", J398+30, L398="submitted", J398+30, TRUE, "N/A"))</f>
        <v>N/A</v>
      </c>
      <c r="L398" s="231" t="s">
        <v>147</v>
      </c>
      <c r="N398" s="856"/>
      <c r="O398" s="857"/>
      <c r="P398" s="857"/>
      <c r="Q398" s="858"/>
    </row>
    <row r="399" spans="2:17" s="148" customFormat="1">
      <c r="B399" s="146" t="s">
        <v>1291</v>
      </c>
      <c r="C399" s="425" t="s">
        <v>1292</v>
      </c>
      <c r="D399" s="231" t="s">
        <v>1293</v>
      </c>
      <c r="E399" s="576"/>
      <c r="F399" s="149"/>
      <c r="G399" s="538" t="s">
        <v>1250</v>
      </c>
      <c r="H399" s="626" t="s">
        <v>1283</v>
      </c>
      <c r="I399" s="233">
        <v>45902</v>
      </c>
      <c r="J399" s="233">
        <v>45910</v>
      </c>
      <c r="K399" s="74" t="str" cm="1">
        <f t="array" ref="K399">IF(ISBLANK(J399), IF(ISBLANK(I399), "N/A", _xlfn.IFS(L399="AS", I399+15, L399="NCR", I399+30, L399="submitted", I399+30, TRUE, "N/A")), _xlfn.IFS(L399="AS", J399+15, L399="NCR", J399+30, L399="submitted", J399+30, TRUE, "N/A"))</f>
        <v>N/A</v>
      </c>
      <c r="L399" s="231" t="s">
        <v>147</v>
      </c>
      <c r="N399" s="856"/>
      <c r="O399" s="857"/>
      <c r="P399" s="857"/>
      <c r="Q399" s="858"/>
    </row>
    <row r="400" spans="2:17" s="148" customFormat="1">
      <c r="B400" s="146" t="s">
        <v>1291</v>
      </c>
      <c r="C400" s="425" t="s">
        <v>1292</v>
      </c>
      <c r="D400" s="231" t="s">
        <v>1293</v>
      </c>
      <c r="E400" s="576"/>
      <c r="F400" s="149"/>
      <c r="G400" s="538" t="s">
        <v>1252</v>
      </c>
      <c r="H400" s="626" t="s">
        <v>1302</v>
      </c>
      <c r="I400" s="233">
        <v>45902</v>
      </c>
      <c r="J400" s="233">
        <v>45910</v>
      </c>
      <c r="K400" s="74" t="str" cm="1">
        <f t="array" ref="K400">IF(ISBLANK(J400), IF(ISBLANK(I400), "N/A", _xlfn.IFS(L400="AS", I400+15, L400="NCR", I400+30, L400="submitted", I400+30, TRUE, "N/A")), _xlfn.IFS(L400="AS", J400+15, L400="NCR", J400+30, L400="submitted", J400+30, TRUE, "N/A"))</f>
        <v>N/A</v>
      </c>
      <c r="L400" s="231" t="s">
        <v>147</v>
      </c>
      <c r="N400" s="856"/>
      <c r="O400" s="857"/>
      <c r="P400" s="857"/>
      <c r="Q400" s="858"/>
    </row>
    <row r="401" spans="2:17" s="148" customFormat="1">
      <c r="B401" s="146" t="s">
        <v>1291</v>
      </c>
      <c r="C401" s="425" t="s">
        <v>1292</v>
      </c>
      <c r="D401" s="231" t="s">
        <v>1293</v>
      </c>
      <c r="E401" s="576"/>
      <c r="F401" s="149"/>
      <c r="G401" s="538" t="s">
        <v>1254</v>
      </c>
      <c r="H401" s="626" t="s">
        <v>1255</v>
      </c>
      <c r="I401" s="233">
        <v>45902</v>
      </c>
      <c r="J401" s="233">
        <v>45910</v>
      </c>
      <c r="K401" s="74" t="str" cm="1">
        <f t="array" ref="K401">IF(ISBLANK(J401), IF(ISBLANK(I401), "N/A", _xlfn.IFS(L401="AS", I401+15, L401="NCR", I401+30, L401="submitted", I401+30, TRUE, "N/A")), _xlfn.IFS(L401="AS", J401+15, L401="NCR", J401+30, L401="submitted", J401+30, TRUE, "N/A"))</f>
        <v>N/A</v>
      </c>
      <c r="L401" s="231" t="s">
        <v>147</v>
      </c>
      <c r="N401" s="856"/>
      <c r="O401" s="857"/>
      <c r="P401" s="857"/>
      <c r="Q401" s="858"/>
    </row>
    <row r="402" spans="2:17" s="148" customFormat="1" ht="27">
      <c r="B402" s="146" t="s">
        <v>1291</v>
      </c>
      <c r="C402" s="425" t="s">
        <v>1292</v>
      </c>
      <c r="D402" s="231" t="s">
        <v>1293</v>
      </c>
      <c r="E402" s="576"/>
      <c r="F402" s="149"/>
      <c r="G402" s="538" t="s">
        <v>1256</v>
      </c>
      <c r="H402" s="626" t="s">
        <v>1303</v>
      </c>
      <c r="I402" s="233">
        <v>45902</v>
      </c>
      <c r="J402" s="233">
        <v>45910</v>
      </c>
      <c r="K402" s="74" t="str" cm="1">
        <f t="array" ref="K402">IF(ISBLANK(J402), IF(ISBLANK(I402), "N/A", _xlfn.IFS(L402="AS", I402+15, L402="NCR", I402+30, L402="submitted", I402+30, TRUE, "N/A")), _xlfn.IFS(L402="AS", J402+15, L402="NCR", J402+30, L402="submitted", J402+30, TRUE, "N/A"))</f>
        <v>N/A</v>
      </c>
      <c r="L402" s="231" t="s">
        <v>147</v>
      </c>
      <c r="N402" s="856"/>
      <c r="O402" s="857"/>
      <c r="P402" s="857"/>
      <c r="Q402" s="858"/>
    </row>
    <row r="403" spans="2:17" s="148" customFormat="1" ht="27">
      <c r="B403" s="146" t="s">
        <v>1291</v>
      </c>
      <c r="C403" s="425" t="s">
        <v>1292</v>
      </c>
      <c r="D403" s="231" t="s">
        <v>1293</v>
      </c>
      <c r="E403" s="576"/>
      <c r="F403" s="149"/>
      <c r="G403" s="538" t="s">
        <v>1258</v>
      </c>
      <c r="H403" s="626" t="s">
        <v>1304</v>
      </c>
      <c r="I403" s="233">
        <v>45902</v>
      </c>
      <c r="J403" s="233">
        <v>45910</v>
      </c>
      <c r="K403" s="74" t="str" cm="1">
        <f t="array" ref="K403">IF(ISBLANK(J403), IF(ISBLANK(I403), "N/A", _xlfn.IFS(L403="AS", I403+15, L403="NCR", I403+30, L403="submitted", I403+30, TRUE, "N/A")), _xlfn.IFS(L403="AS", J403+15, L403="NCR", J403+30, L403="submitted", J403+30, TRUE, "N/A"))</f>
        <v>N/A</v>
      </c>
      <c r="L403" s="231" t="s">
        <v>147</v>
      </c>
      <c r="N403" s="856"/>
      <c r="O403" s="857"/>
      <c r="P403" s="857"/>
      <c r="Q403" s="858"/>
    </row>
    <row r="404" spans="2:17" s="148" customFormat="1" ht="27">
      <c r="B404" s="146" t="s">
        <v>1291</v>
      </c>
      <c r="C404" s="425" t="s">
        <v>1292</v>
      </c>
      <c r="D404" s="231" t="s">
        <v>1293</v>
      </c>
      <c r="E404" s="576"/>
      <c r="F404" s="149"/>
      <c r="G404" s="538" t="s">
        <v>1260</v>
      </c>
      <c r="H404" s="626" t="s">
        <v>1305</v>
      </c>
      <c r="I404" s="233">
        <v>45902</v>
      </c>
      <c r="J404" s="233">
        <v>45910</v>
      </c>
      <c r="K404" s="74" t="str" cm="1">
        <f t="array" ref="K404">IF(ISBLANK(J404), IF(ISBLANK(I404), "N/A", _xlfn.IFS(L404="AS", I404+15, L404="NCR", I404+30, L404="submitted", I404+30, TRUE, "N/A")), _xlfn.IFS(L404="AS", J404+15, L404="NCR", J404+30, L404="submitted", J404+30, TRUE, "N/A"))</f>
        <v>N/A</v>
      </c>
      <c r="L404" s="231" t="s">
        <v>147</v>
      </c>
      <c r="N404" s="856"/>
      <c r="O404" s="857"/>
      <c r="P404" s="857"/>
      <c r="Q404" s="858"/>
    </row>
    <row r="405" spans="2:17" s="528" customFormat="1" ht="27">
      <c r="B405" s="523" t="s">
        <v>1306</v>
      </c>
      <c r="C405" s="537" t="s">
        <v>1292</v>
      </c>
      <c r="D405" s="524" t="s">
        <v>1293</v>
      </c>
      <c r="E405" s="575" t="s">
        <v>156</v>
      </c>
      <c r="F405" s="525"/>
      <c r="G405" s="523" t="s">
        <v>240</v>
      </c>
      <c r="H405" s="540" t="s">
        <v>1294</v>
      </c>
      <c r="I405" s="533">
        <v>45924</v>
      </c>
      <c r="J405" s="533">
        <v>45939</v>
      </c>
      <c r="K405" s="74" t="str" cm="1">
        <f t="array" ref="K405">IF(ISBLANK(J405), IF(ISBLANK(I405), "N/A", _xlfn.IFS(L405="AS", I405+15, L405="NCR", I405+30, L405="submitted", I405+30, TRUE, "N/A")), _xlfn.IFS(L405="AS", J405+15, L405="NCR", J405+30, L405="submitted", J405+30, TRUE, "N/A"))</f>
        <v>N/A</v>
      </c>
      <c r="L405" s="524" t="s">
        <v>151</v>
      </c>
      <c r="N405" s="856"/>
      <c r="O405" s="857"/>
      <c r="P405" s="857"/>
      <c r="Q405" s="858"/>
    </row>
    <row r="406" spans="2:17" s="528" customFormat="1">
      <c r="B406" s="523" t="s">
        <v>1306</v>
      </c>
      <c r="C406" s="537" t="s">
        <v>1292</v>
      </c>
      <c r="D406" s="524" t="s">
        <v>1293</v>
      </c>
      <c r="E406" s="575" t="s">
        <v>156</v>
      </c>
      <c r="F406" s="525"/>
      <c r="G406" s="523" t="s">
        <v>242</v>
      </c>
      <c r="H406" s="540" t="s">
        <v>1295</v>
      </c>
      <c r="I406" s="533">
        <v>45924</v>
      </c>
      <c r="J406" s="533">
        <v>45939</v>
      </c>
      <c r="K406" s="74" t="str" cm="1">
        <f t="array" ref="K406">IF(ISBLANK(J406), IF(ISBLANK(I406), "N/A", _xlfn.IFS(L406="AS", I406+15, L406="NCR", I406+30, L406="submitted", I406+30, TRUE, "N/A")), _xlfn.IFS(L406="AS", J406+15, L406="NCR", J406+30, L406="submitted", J406+30, TRUE, "N/A"))</f>
        <v>N/A</v>
      </c>
      <c r="L406" s="524" t="s">
        <v>151</v>
      </c>
      <c r="N406" s="856"/>
      <c r="O406" s="857"/>
      <c r="P406" s="857"/>
      <c r="Q406" s="858"/>
    </row>
    <row r="407" spans="2:17" s="528" customFormat="1" ht="67.5">
      <c r="B407" s="523" t="s">
        <v>1306</v>
      </c>
      <c r="C407" s="537" t="s">
        <v>1292</v>
      </c>
      <c r="D407" s="524" t="s">
        <v>1293</v>
      </c>
      <c r="E407" s="575" t="s">
        <v>156</v>
      </c>
      <c r="F407" s="525"/>
      <c r="G407" s="523" t="s">
        <v>1232</v>
      </c>
      <c r="H407" s="540" t="s">
        <v>1296</v>
      </c>
      <c r="I407" s="533">
        <v>45924</v>
      </c>
      <c r="J407" s="533">
        <v>45939</v>
      </c>
      <c r="K407" s="74" t="str" cm="1">
        <f t="array" ref="K407">IF(ISBLANK(J407), IF(ISBLANK(I407), "N/A", _xlfn.IFS(L407="AS", I407+15, L407="NCR", I407+30, L407="submitted", I407+30, TRUE, "N/A")), _xlfn.IFS(L407="AS", J407+15, L407="NCR", J407+30, L407="submitted", J407+30, TRUE, "N/A"))</f>
        <v>N/A</v>
      </c>
      <c r="L407" s="524" t="s">
        <v>151</v>
      </c>
      <c r="N407" s="856"/>
      <c r="O407" s="857"/>
      <c r="P407" s="857"/>
      <c r="Q407" s="858"/>
    </row>
    <row r="408" spans="2:17" s="528" customFormat="1">
      <c r="B408" s="523" t="s">
        <v>1306</v>
      </c>
      <c r="C408" s="537" t="s">
        <v>1292</v>
      </c>
      <c r="D408" s="524" t="s">
        <v>1293</v>
      </c>
      <c r="E408" s="575" t="s">
        <v>156</v>
      </c>
      <c r="F408" s="525"/>
      <c r="G408" s="523" t="s">
        <v>1234</v>
      </c>
      <c r="H408" s="540" t="s">
        <v>1297</v>
      </c>
      <c r="I408" s="533">
        <v>45924</v>
      </c>
      <c r="J408" s="533">
        <v>45939</v>
      </c>
      <c r="K408" s="74" t="str" cm="1">
        <f t="array" ref="K408">IF(ISBLANK(J408), IF(ISBLANK(I408), "N/A", _xlfn.IFS(L408="AS", I408+15, L408="NCR", I408+30, L408="submitted", I408+30, TRUE, "N/A")), _xlfn.IFS(L408="AS", J408+15, L408="NCR", J408+30, L408="submitted", J408+30, TRUE, "N/A"))</f>
        <v>N/A</v>
      </c>
      <c r="L408" s="524" t="s">
        <v>151</v>
      </c>
      <c r="M408" s="698"/>
      <c r="N408" s="856"/>
      <c r="O408" s="857"/>
      <c r="P408" s="857"/>
      <c r="Q408" s="858"/>
    </row>
    <row r="409" spans="2:17" s="528" customFormat="1">
      <c r="B409" s="523" t="s">
        <v>1306</v>
      </c>
      <c r="C409" s="537" t="s">
        <v>1292</v>
      </c>
      <c r="D409" s="524" t="s">
        <v>1293</v>
      </c>
      <c r="E409" s="575" t="s">
        <v>156</v>
      </c>
      <c r="F409" s="525"/>
      <c r="G409" s="523" t="s">
        <v>1236</v>
      </c>
      <c r="H409" s="540" t="s">
        <v>1298</v>
      </c>
      <c r="I409" s="533">
        <v>45924</v>
      </c>
      <c r="J409" s="533">
        <v>45939</v>
      </c>
      <c r="K409" s="74" t="str" cm="1">
        <f t="array" ref="K409">IF(ISBLANK(J409), IF(ISBLANK(I409), "N/A", _xlfn.IFS(L409="AS", I409+15, L409="NCR", I409+30, L409="submitted", I409+30, TRUE, "N/A")), _xlfn.IFS(L409="AS", J409+15, L409="NCR", J409+30, L409="submitted", J409+30, TRUE, "N/A"))</f>
        <v>N/A</v>
      </c>
      <c r="L409" s="524" t="s">
        <v>151</v>
      </c>
      <c r="N409" s="856"/>
      <c r="O409" s="857"/>
      <c r="P409" s="857"/>
      <c r="Q409" s="858"/>
    </row>
    <row r="410" spans="2:17" s="528" customFormat="1">
      <c r="B410" s="523" t="s">
        <v>1306</v>
      </c>
      <c r="C410" s="537" t="s">
        <v>1292</v>
      </c>
      <c r="D410" s="524" t="s">
        <v>1293</v>
      </c>
      <c r="E410" s="575" t="s">
        <v>156</v>
      </c>
      <c r="F410" s="525"/>
      <c r="G410" s="612" t="s">
        <v>1238</v>
      </c>
      <c r="H410" s="540" t="s">
        <v>1299</v>
      </c>
      <c r="I410" s="533">
        <v>45924</v>
      </c>
      <c r="J410" s="533">
        <v>45939</v>
      </c>
      <c r="K410" s="74" t="str" cm="1">
        <f t="array" ref="K410">IF(ISBLANK(J410), IF(ISBLANK(I410), "N/A", _xlfn.IFS(L410="AS", I410+15, L410="NCR", I410+30, L410="submitted", I410+30, TRUE, "N/A")), _xlfn.IFS(L410="AS", J410+15, L410="NCR", J410+30, L410="submitted", J410+30, TRUE, "N/A"))</f>
        <v>N/A</v>
      </c>
      <c r="L410" s="524" t="s">
        <v>151</v>
      </c>
      <c r="N410" s="856"/>
      <c r="O410" s="857"/>
      <c r="P410" s="857"/>
      <c r="Q410" s="858"/>
    </row>
    <row r="411" spans="2:17" s="528" customFormat="1" ht="27">
      <c r="B411" s="523" t="s">
        <v>1306</v>
      </c>
      <c r="C411" s="537" t="s">
        <v>1292</v>
      </c>
      <c r="D411" s="524" t="s">
        <v>1293</v>
      </c>
      <c r="E411" s="575" t="s">
        <v>156</v>
      </c>
      <c r="F411" s="525"/>
      <c r="G411" s="655" t="s">
        <v>1240</v>
      </c>
      <c r="H411" s="699" t="s">
        <v>1300</v>
      </c>
      <c r="I411" s="533">
        <v>45924</v>
      </c>
      <c r="J411" s="533">
        <v>45939</v>
      </c>
      <c r="K411" s="74" t="str" cm="1">
        <f t="array" ref="K411">IF(ISBLANK(J411), IF(ISBLANK(I411), "N/A", _xlfn.IFS(L411="AS", I411+15, L411="NCR", I411+30, L411="submitted", I411+30, TRUE, "N/A")), _xlfn.IFS(L411="AS", J411+15, L411="NCR", J411+30, L411="submitted", J411+30, TRUE, "N/A"))</f>
        <v>N/A</v>
      </c>
      <c r="L411" s="524" t="s">
        <v>151</v>
      </c>
      <c r="N411" s="856"/>
      <c r="O411" s="857"/>
      <c r="P411" s="857"/>
      <c r="Q411" s="858"/>
    </row>
    <row r="412" spans="2:17" s="528" customFormat="1">
      <c r="B412" s="523" t="s">
        <v>1306</v>
      </c>
      <c r="C412" s="537" t="s">
        <v>1292</v>
      </c>
      <c r="D412" s="524" t="s">
        <v>1293</v>
      </c>
      <c r="E412" s="575" t="s">
        <v>156</v>
      </c>
      <c r="F412" s="525"/>
      <c r="G412" s="655" t="s">
        <v>1242</v>
      </c>
      <c r="H412" s="699" t="s">
        <v>1280</v>
      </c>
      <c r="I412" s="533">
        <v>45924</v>
      </c>
      <c r="J412" s="533">
        <v>45939</v>
      </c>
      <c r="K412" s="74" t="str" cm="1">
        <f t="array" ref="K412">IF(ISBLANK(J412), IF(ISBLANK(I412), "N/A", _xlfn.IFS(L412="AS", I412+15, L412="NCR", I412+30, L412="submitted", I412+30, TRUE, "N/A")), _xlfn.IFS(L412="AS", J412+15, L412="NCR", J412+30, L412="submitted", J412+30, TRUE, "N/A"))</f>
        <v>N/A</v>
      </c>
      <c r="L412" s="524" t="s">
        <v>151</v>
      </c>
      <c r="N412" s="856"/>
      <c r="O412" s="857"/>
      <c r="P412" s="857"/>
      <c r="Q412" s="858"/>
    </row>
    <row r="413" spans="2:17" s="528" customFormat="1" ht="27">
      <c r="B413" s="523" t="s">
        <v>1306</v>
      </c>
      <c r="C413" s="537" t="s">
        <v>1292</v>
      </c>
      <c r="D413" s="524" t="s">
        <v>1293</v>
      </c>
      <c r="E413" s="575" t="s">
        <v>156</v>
      </c>
      <c r="F413" s="525"/>
      <c r="G413" s="655" t="s">
        <v>1244</v>
      </c>
      <c r="H413" s="699" t="s">
        <v>1301</v>
      </c>
      <c r="I413" s="533">
        <v>45924</v>
      </c>
      <c r="J413" s="533">
        <v>45939</v>
      </c>
      <c r="K413" s="74" t="str" cm="1">
        <f t="array" ref="K413">IF(ISBLANK(J413), IF(ISBLANK(I413), "N/A", _xlfn.IFS(L413="AS", I413+15, L413="NCR", I413+30, L413="submitted", I413+30, TRUE, "N/A")), _xlfn.IFS(L413="AS", J413+15, L413="NCR", J413+30, L413="submitted", J413+30, TRUE, "N/A"))</f>
        <v>N/A</v>
      </c>
      <c r="L413" s="524" t="s">
        <v>151</v>
      </c>
      <c r="N413" s="856"/>
      <c r="O413" s="857"/>
      <c r="P413" s="857"/>
      <c r="Q413" s="858"/>
    </row>
    <row r="414" spans="2:17" s="528" customFormat="1">
      <c r="B414" s="523" t="s">
        <v>1306</v>
      </c>
      <c r="C414" s="537" t="s">
        <v>1292</v>
      </c>
      <c r="D414" s="524" t="s">
        <v>1293</v>
      </c>
      <c r="E414" s="575" t="s">
        <v>156</v>
      </c>
      <c r="F414" s="525"/>
      <c r="G414" s="655" t="s">
        <v>1246</v>
      </c>
      <c r="H414" s="699" t="s">
        <v>1281</v>
      </c>
      <c r="I414" s="533">
        <v>45924</v>
      </c>
      <c r="J414" s="533">
        <v>45939</v>
      </c>
      <c r="K414" s="74" t="str" cm="1">
        <f t="array" ref="K414">IF(ISBLANK(J414), IF(ISBLANK(I414), "N/A", _xlfn.IFS(L414="AS", I414+15, L414="NCR", I414+30, L414="submitted", I414+30, TRUE, "N/A")), _xlfn.IFS(L414="AS", J414+15, L414="NCR", J414+30, L414="submitted", J414+30, TRUE, "N/A"))</f>
        <v>N/A</v>
      </c>
      <c r="L414" s="524" t="s">
        <v>151</v>
      </c>
      <c r="N414" s="856"/>
      <c r="O414" s="857"/>
      <c r="P414" s="857"/>
      <c r="Q414" s="858"/>
    </row>
    <row r="415" spans="2:17" s="528" customFormat="1" ht="27">
      <c r="B415" s="523" t="s">
        <v>1306</v>
      </c>
      <c r="C415" s="537" t="s">
        <v>1292</v>
      </c>
      <c r="D415" s="524" t="s">
        <v>1293</v>
      </c>
      <c r="E415" s="575" t="s">
        <v>156</v>
      </c>
      <c r="F415" s="525"/>
      <c r="G415" s="655" t="s">
        <v>1248</v>
      </c>
      <c r="H415" s="699" t="s">
        <v>1249</v>
      </c>
      <c r="I415" s="533">
        <v>45924</v>
      </c>
      <c r="J415" s="533">
        <v>45939</v>
      </c>
      <c r="K415" s="74" t="str" cm="1">
        <f t="array" ref="K415">IF(ISBLANK(J415), IF(ISBLANK(I415), "N/A", _xlfn.IFS(L415="AS", I415+15, L415="NCR", I415+30, L415="submitted", I415+30, TRUE, "N/A")), _xlfn.IFS(L415="AS", J415+15, L415="NCR", J415+30, L415="submitted", J415+30, TRUE, "N/A"))</f>
        <v>N/A</v>
      </c>
      <c r="L415" s="524" t="s">
        <v>151</v>
      </c>
      <c r="N415" s="856"/>
      <c r="O415" s="857"/>
      <c r="P415" s="857"/>
      <c r="Q415" s="858"/>
    </row>
    <row r="416" spans="2:17" s="528" customFormat="1">
      <c r="B416" s="523" t="s">
        <v>1306</v>
      </c>
      <c r="C416" s="537" t="s">
        <v>1292</v>
      </c>
      <c r="D416" s="524" t="s">
        <v>1293</v>
      </c>
      <c r="E416" s="575" t="s">
        <v>156</v>
      </c>
      <c r="F416" s="525"/>
      <c r="G416" s="655" t="s">
        <v>1250</v>
      </c>
      <c r="H416" s="699" t="s">
        <v>1283</v>
      </c>
      <c r="I416" s="533">
        <v>45924</v>
      </c>
      <c r="J416" s="533">
        <v>45939</v>
      </c>
      <c r="K416" s="74" t="str" cm="1">
        <f t="array" ref="K416">IF(ISBLANK(J416), IF(ISBLANK(I416), "N/A", _xlfn.IFS(L416="AS", I416+15, L416="NCR", I416+30, L416="submitted", I416+30, TRUE, "N/A")), _xlfn.IFS(L416="AS", J416+15, L416="NCR", J416+30, L416="submitted", J416+30, TRUE, "N/A"))</f>
        <v>N/A</v>
      </c>
      <c r="L416" s="524" t="s">
        <v>151</v>
      </c>
      <c r="N416" s="856"/>
      <c r="O416" s="857"/>
      <c r="P416" s="857"/>
      <c r="Q416" s="858"/>
    </row>
    <row r="417" spans="2:17" s="528" customFormat="1">
      <c r="B417" s="523" t="s">
        <v>1306</v>
      </c>
      <c r="C417" s="537" t="s">
        <v>1292</v>
      </c>
      <c r="D417" s="524" t="s">
        <v>1293</v>
      </c>
      <c r="E417" s="575" t="s">
        <v>156</v>
      </c>
      <c r="F417" s="525"/>
      <c r="G417" s="655" t="s">
        <v>1252</v>
      </c>
      <c r="H417" s="699" t="s">
        <v>1302</v>
      </c>
      <c r="I417" s="533">
        <v>45924</v>
      </c>
      <c r="J417" s="533">
        <v>45939</v>
      </c>
      <c r="K417" s="74" t="str" cm="1">
        <f t="array" ref="K417">IF(ISBLANK(J417), IF(ISBLANK(I417), "N/A", _xlfn.IFS(L417="AS", I417+15, L417="NCR", I417+30, L417="submitted", I417+30, TRUE, "N/A")), _xlfn.IFS(L417="AS", J417+15, L417="NCR", J417+30, L417="submitted", J417+30, TRUE, "N/A"))</f>
        <v>N/A</v>
      </c>
      <c r="L417" s="524" t="s">
        <v>151</v>
      </c>
      <c r="N417" s="856"/>
      <c r="O417" s="857"/>
      <c r="P417" s="857"/>
      <c r="Q417" s="858"/>
    </row>
    <row r="418" spans="2:17" s="528" customFormat="1">
      <c r="B418" s="523" t="s">
        <v>1306</v>
      </c>
      <c r="C418" s="537" t="s">
        <v>1292</v>
      </c>
      <c r="D418" s="524" t="s">
        <v>1293</v>
      </c>
      <c r="E418" s="575" t="s">
        <v>156</v>
      </c>
      <c r="F418" s="525"/>
      <c r="G418" s="655" t="s">
        <v>1254</v>
      </c>
      <c r="H418" s="699" t="s">
        <v>1255</v>
      </c>
      <c r="I418" s="533">
        <v>45924</v>
      </c>
      <c r="J418" s="533">
        <v>45939</v>
      </c>
      <c r="K418" s="74" t="str" cm="1">
        <f t="array" ref="K418">IF(ISBLANK(J418), IF(ISBLANK(I418), "N/A", _xlfn.IFS(L418="AS", I418+15, L418="NCR", I418+30, L418="submitted", I418+30, TRUE, "N/A")), _xlfn.IFS(L418="AS", J418+15, L418="NCR", J418+30, L418="submitted", J418+30, TRUE, "N/A"))</f>
        <v>N/A</v>
      </c>
      <c r="L418" s="524" t="s">
        <v>151</v>
      </c>
      <c r="N418" s="856"/>
      <c r="O418" s="857"/>
      <c r="P418" s="857"/>
      <c r="Q418" s="858"/>
    </row>
    <row r="419" spans="2:17" s="528" customFormat="1" ht="27">
      <c r="B419" s="523" t="s">
        <v>1306</v>
      </c>
      <c r="C419" s="537" t="s">
        <v>1292</v>
      </c>
      <c r="D419" s="524" t="s">
        <v>1293</v>
      </c>
      <c r="E419" s="575" t="s">
        <v>156</v>
      </c>
      <c r="F419" s="525"/>
      <c r="G419" s="655" t="s">
        <v>1256</v>
      </c>
      <c r="H419" s="699" t="s">
        <v>1303</v>
      </c>
      <c r="I419" s="533">
        <v>45924</v>
      </c>
      <c r="J419" s="533">
        <v>45939</v>
      </c>
      <c r="K419" s="74" t="str" cm="1">
        <f t="array" ref="K419">IF(ISBLANK(J419), IF(ISBLANK(I419), "N/A", _xlfn.IFS(L419="AS", I419+15, L419="NCR", I419+30, L419="submitted", I419+30, TRUE, "N/A")), _xlfn.IFS(L419="AS", J419+15, L419="NCR", J419+30, L419="submitted", J419+30, TRUE, "N/A"))</f>
        <v>N/A</v>
      </c>
      <c r="L419" s="524" t="s">
        <v>151</v>
      </c>
      <c r="N419" s="856"/>
      <c r="O419" s="857"/>
      <c r="P419" s="857"/>
      <c r="Q419" s="858"/>
    </row>
    <row r="420" spans="2:17" s="528" customFormat="1" ht="27">
      <c r="B420" s="523" t="s">
        <v>1306</v>
      </c>
      <c r="C420" s="537" t="s">
        <v>1292</v>
      </c>
      <c r="D420" s="524" t="s">
        <v>1293</v>
      </c>
      <c r="E420" s="575" t="s">
        <v>156</v>
      </c>
      <c r="F420" s="525"/>
      <c r="G420" s="655" t="s">
        <v>1258</v>
      </c>
      <c r="H420" s="699" t="s">
        <v>1304</v>
      </c>
      <c r="I420" s="533">
        <v>45924</v>
      </c>
      <c r="J420" s="533">
        <v>45939</v>
      </c>
      <c r="K420" s="74" t="str" cm="1">
        <f t="array" ref="K420">IF(ISBLANK(J420), IF(ISBLANK(I420), "N/A", _xlfn.IFS(L420="AS", I420+15, L420="NCR", I420+30, L420="submitted", I420+30, TRUE, "N/A")), _xlfn.IFS(L420="AS", J420+15, L420="NCR", J420+30, L420="submitted", J420+30, TRUE, "N/A"))</f>
        <v>N/A</v>
      </c>
      <c r="L420" s="524" t="s">
        <v>151</v>
      </c>
      <c r="N420" s="856"/>
      <c r="O420" s="857"/>
      <c r="P420" s="857"/>
      <c r="Q420" s="858"/>
    </row>
    <row r="421" spans="2:17" s="528" customFormat="1" ht="27">
      <c r="B421" s="523" t="s">
        <v>1306</v>
      </c>
      <c r="C421" s="537" t="s">
        <v>1292</v>
      </c>
      <c r="D421" s="524" t="s">
        <v>1293</v>
      </c>
      <c r="E421" s="575" t="s">
        <v>156</v>
      </c>
      <c r="F421" s="525"/>
      <c r="G421" s="655" t="s">
        <v>1260</v>
      </c>
      <c r="H421" s="699" t="s">
        <v>1305</v>
      </c>
      <c r="I421" s="533">
        <v>45924</v>
      </c>
      <c r="J421" s="533">
        <v>45939</v>
      </c>
      <c r="K421" s="74" t="str" cm="1">
        <f t="array" ref="K421">IF(ISBLANK(J421), IF(ISBLANK(I421), "N/A", _xlfn.IFS(L421="AS", I421+15, L421="NCR", I421+30, L421="submitted", I421+30, TRUE, "N/A")), _xlfn.IFS(L421="AS", J421+15, L421="NCR", J421+30, L421="submitted", J421+30, TRUE, "N/A"))</f>
        <v>N/A</v>
      </c>
      <c r="L421" s="524" t="s">
        <v>151</v>
      </c>
      <c r="N421" s="856"/>
      <c r="O421" s="857"/>
      <c r="P421" s="857"/>
      <c r="Q421" s="858"/>
    </row>
    <row r="422" spans="2:17">
      <c r="B422" s="9"/>
      <c r="C422" s="310" t="s">
        <v>1292</v>
      </c>
      <c r="D422" s="76" t="s">
        <v>1293</v>
      </c>
      <c r="E422" s="20"/>
      <c r="F422" s="1" t="s">
        <v>1307</v>
      </c>
      <c r="G422" s="21" t="s">
        <v>1262</v>
      </c>
      <c r="H422" s="7" t="s">
        <v>1263</v>
      </c>
      <c r="I422" s="9"/>
      <c r="J422" s="9"/>
      <c r="K422" s="74" t="str" cm="1">
        <f t="array" ref="K422">IF(ISBLANK(J422), IF(ISBLANK(I422), "N/A", _xlfn.IFS(L422="AS", I422+15, L422="NCR", I422+30, L422="submitted", I422+30, TRUE, "N/A")), _xlfn.IFS(L422="AS", J422+15, L422="NCR", J422+30, L422="submitted", J422+30, TRUE, "N/A"))</f>
        <v>N/A</v>
      </c>
      <c r="L422" s="14"/>
      <c r="M422" s="317"/>
      <c r="N422" s="856"/>
      <c r="O422" s="857"/>
      <c r="P422" s="857"/>
      <c r="Q422" s="858"/>
    </row>
    <row r="423" spans="2:17" ht="27">
      <c r="B423" s="9"/>
      <c r="C423" s="310" t="s">
        <v>1292</v>
      </c>
      <c r="D423" s="76" t="s">
        <v>1293</v>
      </c>
      <c r="E423" s="20"/>
      <c r="F423" s="1" t="s">
        <v>161</v>
      </c>
      <c r="G423" s="9" t="s">
        <v>338</v>
      </c>
      <c r="H423" s="7" t="s">
        <v>1308</v>
      </c>
      <c r="I423" s="9"/>
      <c r="J423" s="9"/>
      <c r="K423" s="74" t="str" cm="1">
        <f t="array" ref="K423">IF(ISBLANK(J423), IF(ISBLANK(I423), "N/A", _xlfn.IFS(L423="AS", I423+15, L423="NCR", I423+30, L423="submitted", I423+30, TRUE, "N/A")), _xlfn.IFS(L423="AS", J423+15, L423="NCR", J423+30, L423="submitted", J423+30, TRUE, "N/A"))</f>
        <v>N/A</v>
      </c>
      <c r="L423" s="14"/>
      <c r="M423" s="317"/>
      <c r="N423" s="856"/>
      <c r="O423" s="857"/>
      <c r="P423" s="857"/>
      <c r="Q423" s="858"/>
    </row>
    <row r="424" spans="2:17">
      <c r="B424" s="9"/>
      <c r="C424" s="310" t="s">
        <v>1292</v>
      </c>
      <c r="D424" s="76" t="s">
        <v>1293</v>
      </c>
      <c r="E424" s="775"/>
      <c r="F424" s="1" t="s">
        <v>161</v>
      </c>
      <c r="G424" s="9" t="s">
        <v>1265</v>
      </c>
      <c r="H424" s="7" t="s">
        <v>1266</v>
      </c>
      <c r="I424" s="9"/>
      <c r="J424" s="9"/>
      <c r="K424" s="74" t="str" cm="1">
        <f t="array" ref="K424">IF(ISBLANK(J424), IF(ISBLANK(I424), "N/A", _xlfn.IFS(L424="AS", I424+15, L424="NCR", I424+30, L424="submitted", I424+30, TRUE, "N/A")), _xlfn.IFS(L424="AS", J424+15, L424="NCR", J424+30, L424="submitted", J424+30, TRUE, "N/A"))</f>
        <v>N/A</v>
      </c>
      <c r="L424" s="14"/>
      <c r="M424" s="317"/>
      <c r="N424" s="856"/>
      <c r="O424" s="857"/>
      <c r="P424" s="857"/>
      <c r="Q424" s="858"/>
    </row>
    <row r="425" spans="2:17">
      <c r="B425" s="9"/>
      <c r="C425" s="310" t="s">
        <v>1292</v>
      </c>
      <c r="D425" s="76" t="s">
        <v>1293</v>
      </c>
      <c r="E425" s="20"/>
      <c r="F425" s="1" t="s">
        <v>161</v>
      </c>
      <c r="G425" s="9" t="s">
        <v>1267</v>
      </c>
      <c r="H425" s="13" t="s">
        <v>1289</v>
      </c>
      <c r="I425" s="9"/>
      <c r="J425" s="9"/>
      <c r="K425" s="74" t="str" cm="1">
        <f t="array" ref="K425">IF(ISBLANK(J425), IF(ISBLANK(I425), "N/A", _xlfn.IFS(L425="AS", I425+15, L425="NCR", I425+30, L425="submitted", I425+30, TRUE, "N/A")), _xlfn.IFS(L425="AS", J425+15, L425="NCR", J425+30, L425="submitted", J425+30, TRUE, "N/A"))</f>
        <v>N/A</v>
      </c>
      <c r="L425" s="14"/>
      <c r="M425" s="317"/>
      <c r="N425" s="856"/>
      <c r="O425" s="857"/>
      <c r="P425" s="857"/>
      <c r="Q425" s="858"/>
    </row>
    <row r="426" spans="2:17">
      <c r="B426" s="9"/>
      <c r="C426" s="310" t="s">
        <v>1292</v>
      </c>
      <c r="D426" s="76" t="s">
        <v>1293</v>
      </c>
      <c r="E426" s="20"/>
      <c r="F426" s="1" t="s">
        <v>161</v>
      </c>
      <c r="G426" s="9" t="s">
        <v>1269</v>
      </c>
      <c r="H426" s="13" t="s">
        <v>1270</v>
      </c>
      <c r="I426" s="9"/>
      <c r="J426" s="9"/>
      <c r="K426" s="74" t="str" cm="1">
        <f t="array" ref="K426">IF(ISBLANK(J426), IF(ISBLANK(I426), "N/A", _xlfn.IFS(L426="AS", I426+15, L426="NCR", I426+30, L426="submitted", I426+30, TRUE, "N/A")), _xlfn.IFS(L426="AS", J426+15, L426="NCR", J426+30, L426="submitted", J426+30, TRUE, "N/A"))</f>
        <v>N/A</v>
      </c>
      <c r="L426" s="14"/>
      <c r="M426" s="317"/>
      <c r="N426" s="856"/>
      <c r="O426" s="857"/>
      <c r="P426" s="857"/>
      <c r="Q426" s="858"/>
    </row>
    <row r="427" spans="2:17" ht="27">
      <c r="B427" s="9"/>
      <c r="C427" s="310" t="s">
        <v>1292</v>
      </c>
      <c r="D427" s="76" t="s">
        <v>1293</v>
      </c>
      <c r="E427" s="20"/>
      <c r="F427" s="1"/>
      <c r="G427" s="9" t="s">
        <v>405</v>
      </c>
      <c r="H427" s="7" t="s">
        <v>1271</v>
      </c>
      <c r="I427" s="9"/>
      <c r="J427" s="9"/>
      <c r="K427" s="74" t="str" cm="1">
        <f t="array" ref="K427">IF(ISBLANK(J427), IF(ISBLANK(I427), "N/A", _xlfn.IFS(L427="AS", I427+15, L427="NCR", I427+30, L427="submitted", I427+30, TRUE, "N/A")), _xlfn.IFS(L427="AS", J427+15, L427="NCR", J427+30, L427="submitted", J427+30, TRUE, "N/A"))</f>
        <v>N/A</v>
      </c>
      <c r="L427" s="14"/>
      <c r="M427" s="317"/>
      <c r="N427" s="856"/>
      <c r="O427" s="857"/>
      <c r="P427" s="857"/>
      <c r="Q427" s="858"/>
    </row>
    <row r="428" spans="2:17" ht="27">
      <c r="B428" s="9"/>
      <c r="C428" s="310" t="s">
        <v>1292</v>
      </c>
      <c r="D428" s="76" t="s">
        <v>1293</v>
      </c>
      <c r="E428" s="20"/>
      <c r="F428" s="1"/>
      <c r="G428" s="9" t="s">
        <v>406</v>
      </c>
      <c r="H428" s="7" t="s">
        <v>1290</v>
      </c>
      <c r="I428" s="9"/>
      <c r="J428" s="9"/>
      <c r="K428" s="74" t="str" cm="1">
        <f t="array" ref="K428">IF(ISBLANK(J428), IF(ISBLANK(I428), "N/A", _xlfn.IFS(L428="AS", I428+15, L428="NCR", I428+30, L428="submitted", I428+30, TRUE, "N/A")), _xlfn.IFS(L428="AS", J428+15, L428="NCR", J428+30, L428="submitted", J428+30, TRUE, "N/A"))</f>
        <v>N/A</v>
      </c>
      <c r="L428" s="14"/>
      <c r="M428" s="317"/>
      <c r="N428" s="856"/>
      <c r="O428" s="857"/>
      <c r="P428" s="857"/>
      <c r="Q428" s="858"/>
    </row>
    <row r="429" spans="2:17">
      <c r="B429" s="9"/>
      <c r="C429" s="310" t="s">
        <v>1292</v>
      </c>
      <c r="D429" s="76" t="s">
        <v>1293</v>
      </c>
      <c r="E429" s="20"/>
      <c r="F429" s="1"/>
      <c r="G429" s="9" t="s">
        <v>408</v>
      </c>
      <c r="H429" s="13" t="s">
        <v>1273</v>
      </c>
      <c r="I429" s="9"/>
      <c r="J429" s="9"/>
      <c r="K429" s="74" t="str" cm="1">
        <f t="array" ref="K429">IF(ISBLANK(J429), IF(ISBLANK(I429), "N/A", _xlfn.IFS(L429="AS", I429+15, L429="NCR", I429+30, L429="submitted", I429+30, TRUE, "N/A")), _xlfn.IFS(L429="AS", J429+15, L429="NCR", J429+30, L429="submitted", J429+30, TRUE, "N/A"))</f>
        <v>N/A</v>
      </c>
      <c r="L429" s="14"/>
      <c r="M429" s="317"/>
      <c r="N429" s="856"/>
      <c r="O429" s="857"/>
      <c r="P429" s="857"/>
      <c r="Q429" s="858"/>
    </row>
    <row r="430" spans="2:17">
      <c r="B430" s="9"/>
      <c r="C430" s="310" t="s">
        <v>1292</v>
      </c>
      <c r="D430" s="76" t="s">
        <v>1293</v>
      </c>
      <c r="E430" s="20"/>
      <c r="F430" s="1"/>
      <c r="G430" s="9" t="s">
        <v>441</v>
      </c>
      <c r="H430" s="13" t="s">
        <v>1309</v>
      </c>
      <c r="I430" s="9"/>
      <c r="J430" s="9"/>
      <c r="K430" s="74" t="str" cm="1">
        <f t="array" ref="K430">IF(ISBLANK(J430), IF(ISBLANK(I430), "N/A", _xlfn.IFS(L430="AS", I430+15, L430="NCR", I430+30, L430="submitted", I430+30, TRUE, "N/A")), _xlfn.IFS(L430="AS", J430+15, L430="NCR", J430+30, L430="submitted", J430+30, TRUE, "N/A"))</f>
        <v>N/A</v>
      </c>
      <c r="L430" s="14"/>
      <c r="M430" s="317"/>
      <c r="N430" s="856"/>
      <c r="O430" s="857"/>
      <c r="P430" s="857"/>
      <c r="Q430" s="858"/>
    </row>
    <row r="431" spans="2:17" s="150" customFormat="1">
      <c r="B431" s="22" t="s">
        <v>1310</v>
      </c>
      <c r="C431" s="310" t="s">
        <v>1311</v>
      </c>
      <c r="D431" s="76" t="s">
        <v>1312</v>
      </c>
      <c r="E431" s="573" t="s">
        <v>1313</v>
      </c>
      <c r="F431" s="26" t="s">
        <v>1314</v>
      </c>
      <c r="G431" s="22" t="s">
        <v>281</v>
      </c>
      <c r="H431" s="24" t="s">
        <v>1315</v>
      </c>
      <c r="I431" s="25">
        <v>45902</v>
      </c>
      <c r="J431" s="25">
        <v>45931</v>
      </c>
      <c r="K431" s="74" cm="1">
        <f t="array" ref="K431">IF(ISBLANK(J431), IF(ISBLANK(I431), "N/A", _xlfn.IFS(L431="AS", I431+15, L431="NCR", I431+30, L431="submitted", I431+30, TRUE, "N/A")), _xlfn.IFS(L431="AS", J431+15, L431="NCR", J431+30, L431="submitted", J431+30, TRUE, "N/A"))</f>
        <v>45961</v>
      </c>
      <c r="L431" s="25" t="s">
        <v>157</v>
      </c>
      <c r="N431" s="856"/>
      <c r="O431" s="857"/>
      <c r="P431" s="857"/>
      <c r="Q431" s="858"/>
    </row>
    <row r="432" spans="2:17" s="150" customFormat="1">
      <c r="B432" s="22" t="s">
        <v>1310</v>
      </c>
      <c r="C432" s="310" t="s">
        <v>1311</v>
      </c>
      <c r="D432" s="76" t="s">
        <v>1312</v>
      </c>
      <c r="E432" s="573" t="s">
        <v>1313</v>
      </c>
      <c r="F432" s="26" t="s">
        <v>1314</v>
      </c>
      <c r="G432" s="22" t="s">
        <v>269</v>
      </c>
      <c r="H432" s="24" t="s">
        <v>282</v>
      </c>
      <c r="I432" s="25">
        <v>45902</v>
      </c>
      <c r="J432" s="25">
        <v>45931</v>
      </c>
      <c r="K432" s="74" cm="1">
        <f t="array" ref="K432">IF(ISBLANK(J432), IF(ISBLANK(I432), "N/A", _xlfn.IFS(L432="AS", I432+15, L432="NCR", I432+30, L432="submitted", I432+30, TRUE, "N/A")), _xlfn.IFS(L432="AS", J432+15, L432="NCR", J432+30, L432="submitted", J432+30, TRUE, "N/A"))</f>
        <v>45961</v>
      </c>
      <c r="L432" s="25" t="s">
        <v>157</v>
      </c>
      <c r="N432" s="856"/>
      <c r="O432" s="857"/>
      <c r="P432" s="857"/>
      <c r="Q432" s="858"/>
    </row>
    <row r="433" spans="2:17">
      <c r="B433" s="4"/>
      <c r="C433" s="86" t="s">
        <v>1311</v>
      </c>
      <c r="D433" s="34" t="s">
        <v>1312</v>
      </c>
      <c r="E433" s="103" t="s">
        <v>1313</v>
      </c>
      <c r="F433" s="5"/>
      <c r="G433" s="4" t="s">
        <v>259</v>
      </c>
      <c r="H433" s="17" t="s">
        <v>353</v>
      </c>
      <c r="I433" s="4"/>
      <c r="J433" s="4"/>
      <c r="K433" s="74" t="str" cm="1">
        <f t="array" ref="K433">IF(ISBLANK(J433), IF(ISBLANK(I433), "N/A", _xlfn.IFS(L433="AS", I433+15, L433="NCR", I433+30, L433="submitted", I433+30, TRUE, "N/A")), _xlfn.IFS(L433="AS", J433+15, L433="NCR", J433+30, L433="submitted", J433+30, TRUE, "N/A"))</f>
        <v>N/A</v>
      </c>
      <c r="L433" s="18"/>
      <c r="M433" s="317"/>
      <c r="N433" s="856"/>
      <c r="O433" s="857"/>
      <c r="P433" s="857"/>
      <c r="Q433" s="858"/>
    </row>
    <row r="434" spans="2:17" s="150" customFormat="1">
      <c r="B434" s="22" t="s">
        <v>1310</v>
      </c>
      <c r="C434" s="310" t="s">
        <v>1311</v>
      </c>
      <c r="D434" s="76" t="s">
        <v>1312</v>
      </c>
      <c r="E434" s="573" t="s">
        <v>1313</v>
      </c>
      <c r="F434" s="26" t="s">
        <v>1314</v>
      </c>
      <c r="G434" s="22" t="s">
        <v>352</v>
      </c>
      <c r="H434" s="24" t="s">
        <v>1316</v>
      </c>
      <c r="I434" s="25">
        <v>45902</v>
      </c>
      <c r="J434" s="25">
        <v>45931</v>
      </c>
      <c r="K434" s="74" cm="1">
        <f t="array" ref="K434">IF(ISBLANK(J434), IF(ISBLANK(I434), "N/A", _xlfn.IFS(L434="AS", I434+15, L434="NCR", I434+30, L434="submitted", I434+30, TRUE, "N/A")), _xlfn.IFS(L434="AS", J434+15, L434="NCR", J434+30, L434="submitted", J434+30, TRUE, "N/A"))</f>
        <v>45961</v>
      </c>
      <c r="L434" s="25" t="s">
        <v>157</v>
      </c>
      <c r="N434" s="856"/>
      <c r="O434" s="857"/>
      <c r="P434" s="857"/>
      <c r="Q434" s="858"/>
    </row>
    <row r="435" spans="2:17">
      <c r="B435" s="4"/>
      <c r="C435" s="86" t="s">
        <v>1311</v>
      </c>
      <c r="D435" s="34" t="s">
        <v>1312</v>
      </c>
      <c r="E435" s="103" t="s">
        <v>1313</v>
      </c>
      <c r="F435" s="5"/>
      <c r="G435" s="4" t="s">
        <v>354</v>
      </c>
      <c r="H435" s="17" t="s">
        <v>1317</v>
      </c>
      <c r="I435" s="4"/>
      <c r="J435" s="4"/>
      <c r="K435" s="74" t="str" cm="1">
        <f t="array" ref="K435">IF(ISBLANK(J435), IF(ISBLANK(I435), "N/A", _xlfn.IFS(L435="AS", I435+15, L435="NCR", I435+30, L435="submitted", I435+30, TRUE, "N/A")), _xlfn.IFS(L435="AS", J435+15, L435="NCR", J435+30, L435="submitted", J435+30, TRUE, "N/A"))</f>
        <v>N/A</v>
      </c>
      <c r="L435" s="18"/>
      <c r="M435" s="317"/>
      <c r="N435" s="856"/>
      <c r="O435" s="857"/>
      <c r="P435" s="857"/>
      <c r="Q435" s="858"/>
    </row>
    <row r="436" spans="2:17">
      <c r="B436" s="4"/>
      <c r="C436" s="86" t="s">
        <v>1311</v>
      </c>
      <c r="D436" s="34" t="s">
        <v>1312</v>
      </c>
      <c r="E436" s="103" t="s">
        <v>1313</v>
      </c>
      <c r="F436" s="5"/>
      <c r="G436" s="4" t="s">
        <v>356</v>
      </c>
      <c r="H436" s="17" t="s">
        <v>707</v>
      </c>
      <c r="I436" s="4"/>
      <c r="J436" s="4"/>
      <c r="K436" s="74" t="str" cm="1">
        <f t="array" ref="K436">IF(ISBLANK(J436), IF(ISBLANK(I436), "N/A", _xlfn.IFS(L436="AS", I436+15, L436="NCR", I436+30, L436="submitted", I436+30, TRUE, "N/A")), _xlfn.IFS(L436="AS", J436+15, L436="NCR", J436+30, L436="submitted", J436+30, TRUE, "N/A"))</f>
        <v>N/A</v>
      </c>
      <c r="L436" s="18"/>
      <c r="M436" s="317"/>
      <c r="N436" s="856"/>
      <c r="O436" s="857"/>
      <c r="P436" s="857"/>
      <c r="Q436" s="858"/>
    </row>
    <row r="437" spans="2:17">
      <c r="B437" s="4"/>
      <c r="C437" s="86" t="s">
        <v>1311</v>
      </c>
      <c r="D437" s="34" t="s">
        <v>1312</v>
      </c>
      <c r="E437" s="103" t="s">
        <v>1313</v>
      </c>
      <c r="F437" s="5"/>
      <c r="G437" s="4" t="s">
        <v>358</v>
      </c>
      <c r="H437" s="17" t="s">
        <v>380</v>
      </c>
      <c r="I437" s="4"/>
      <c r="J437" s="4"/>
      <c r="K437" s="74" t="str" cm="1">
        <f t="array" ref="K437">IF(ISBLANK(J437), IF(ISBLANK(I437), "N/A", _xlfn.IFS(L437="AS", I437+15, L437="NCR", I437+30, L437="submitted", I437+30, TRUE, "N/A")), _xlfn.IFS(L437="AS", J437+15, L437="NCR", J437+30, L437="submitted", J437+30, TRUE, "N/A"))</f>
        <v>N/A</v>
      </c>
      <c r="L437" s="18"/>
      <c r="M437" s="317"/>
      <c r="N437" s="856"/>
      <c r="O437" s="857"/>
      <c r="P437" s="857"/>
      <c r="Q437" s="858"/>
    </row>
    <row r="438" spans="2:17">
      <c r="B438" s="4"/>
      <c r="C438" s="86" t="s">
        <v>1311</v>
      </c>
      <c r="D438" s="34" t="s">
        <v>1312</v>
      </c>
      <c r="E438" s="103" t="s">
        <v>1313</v>
      </c>
      <c r="F438" s="5"/>
      <c r="G438" s="4" t="s">
        <v>1318</v>
      </c>
      <c r="H438" s="3" t="s">
        <v>383</v>
      </c>
      <c r="I438" s="4"/>
      <c r="J438" s="4"/>
      <c r="K438" s="74" t="str" cm="1">
        <f t="array" ref="K438">IF(ISBLANK(J438), IF(ISBLANK(I438), "N/A", _xlfn.IFS(L438="AS", I438+15, L438="NCR", I438+30, L438="submitted", I438+30, TRUE, "N/A")), _xlfn.IFS(L438="AS", J438+15, L438="NCR", J438+30, L438="submitted", J438+30, TRUE, "N/A"))</f>
        <v>N/A</v>
      </c>
      <c r="L438" s="18"/>
      <c r="M438" s="317"/>
      <c r="N438" s="856"/>
      <c r="O438" s="857"/>
      <c r="P438" s="857"/>
      <c r="Q438" s="858"/>
    </row>
    <row r="439" spans="2:17" ht="27">
      <c r="B439" s="4"/>
      <c r="C439" s="86" t="s">
        <v>1311</v>
      </c>
      <c r="D439" s="34" t="s">
        <v>1312</v>
      </c>
      <c r="E439" s="103" t="s">
        <v>1313</v>
      </c>
      <c r="F439" s="5"/>
      <c r="G439" s="4" t="s">
        <v>1319</v>
      </c>
      <c r="H439" s="3" t="s">
        <v>385</v>
      </c>
      <c r="I439" s="4"/>
      <c r="J439" s="4"/>
      <c r="K439" s="74" t="str" cm="1">
        <f t="array" ref="K439">IF(ISBLANK(J439), IF(ISBLANK(I439), "N/A", _xlfn.IFS(L439="AS", I439+15, L439="NCR", I439+30, L439="submitted", I439+30, TRUE, "N/A")), _xlfn.IFS(L439="AS", J439+15, L439="NCR", J439+30, L439="submitted", J439+30, TRUE, "N/A"))</f>
        <v>N/A</v>
      </c>
      <c r="L439" s="18"/>
      <c r="M439" s="317"/>
      <c r="N439" s="856"/>
      <c r="O439" s="857"/>
      <c r="P439" s="857"/>
      <c r="Q439" s="858"/>
    </row>
    <row r="440" spans="2:17" ht="27">
      <c r="B440" s="4"/>
      <c r="C440" s="86" t="s">
        <v>1311</v>
      </c>
      <c r="D440" s="34" t="s">
        <v>1312</v>
      </c>
      <c r="E440" s="103" t="s">
        <v>1313</v>
      </c>
      <c r="F440" s="5"/>
      <c r="G440" s="4" t="s">
        <v>1320</v>
      </c>
      <c r="H440" s="3" t="s">
        <v>480</v>
      </c>
      <c r="I440" s="4"/>
      <c r="J440" s="4"/>
      <c r="K440" s="74" t="str" cm="1">
        <f t="array" ref="K440">IF(ISBLANK(J440), IF(ISBLANK(I440), "N/A", _xlfn.IFS(L440="AS", I440+15, L440="NCR", I440+30, L440="submitted", I440+30, TRUE, "N/A")), _xlfn.IFS(L440="AS", J440+15, L440="NCR", J440+30, L440="submitted", J440+30, TRUE, "N/A"))</f>
        <v>N/A</v>
      </c>
      <c r="L440" s="18"/>
      <c r="M440" s="317"/>
      <c r="N440" s="856"/>
      <c r="O440" s="857"/>
      <c r="P440" s="857"/>
      <c r="Q440" s="858"/>
    </row>
    <row r="441" spans="2:17" s="150" customFormat="1" ht="53.25">
      <c r="B441" s="22" t="s">
        <v>1321</v>
      </c>
      <c r="C441" s="310" t="s">
        <v>1322</v>
      </c>
      <c r="D441" s="76" t="s">
        <v>1323</v>
      </c>
      <c r="E441" s="573" t="s">
        <v>1324</v>
      </c>
      <c r="F441" s="26" t="s">
        <v>809</v>
      </c>
      <c r="G441" s="22" t="s">
        <v>222</v>
      </c>
      <c r="H441" s="28" t="s">
        <v>1325</v>
      </c>
      <c r="I441" s="25">
        <v>45904</v>
      </c>
      <c r="J441" s="25">
        <v>45931</v>
      </c>
      <c r="K441" s="74" cm="1">
        <f t="array" ref="K441">IF(ISBLANK(J441), IF(ISBLANK(I441), "N/A", _xlfn.IFS(L441="AS", I441+15, L441="NCR", I441+30, L441="submitted", I441+30, TRUE, "N/A")), _xlfn.IFS(L441="AS", J441+15, L441="NCR", J441+30, L441="submitted", J441+30, TRUE, "N/A"))</f>
        <v>45961</v>
      </c>
      <c r="L441" s="25" t="s">
        <v>157</v>
      </c>
      <c r="N441" s="856"/>
      <c r="O441" s="857"/>
      <c r="P441" s="857"/>
      <c r="Q441" s="858"/>
    </row>
    <row r="442" spans="2:17">
      <c r="B442" s="9"/>
      <c r="C442" s="310" t="s">
        <v>1322</v>
      </c>
      <c r="D442" s="76" t="s">
        <v>1323</v>
      </c>
      <c r="E442" s="20"/>
      <c r="F442" s="1"/>
      <c r="G442" s="9" t="s">
        <v>543</v>
      </c>
      <c r="H442" s="13" t="s">
        <v>1326</v>
      </c>
      <c r="I442" s="9"/>
      <c r="J442" s="9"/>
      <c r="K442" s="74" t="str" cm="1">
        <f t="array" ref="K442">IF(ISBLANK(J442), IF(ISBLANK(I442), "N/A", _xlfn.IFS(L442="AS", I442+15, L442="NCR", I442+30, L442="submitted", I442+30, TRUE, "N/A")), _xlfn.IFS(L442="AS", J442+15, L442="NCR", J442+30, L442="submitted", J442+30, TRUE, "N/A"))</f>
        <v>N/A</v>
      </c>
      <c r="L442" s="14"/>
      <c r="M442" s="317"/>
      <c r="N442" s="856"/>
      <c r="O442" s="857"/>
      <c r="P442" s="857"/>
      <c r="Q442" s="858"/>
    </row>
    <row r="443" spans="2:17">
      <c r="B443" s="9"/>
      <c r="C443" s="310" t="s">
        <v>1322</v>
      </c>
      <c r="D443" s="76" t="s">
        <v>1323</v>
      </c>
      <c r="E443" s="20"/>
      <c r="F443" s="1"/>
      <c r="G443" s="9" t="s">
        <v>545</v>
      </c>
      <c r="H443" s="13" t="s">
        <v>1327</v>
      </c>
      <c r="I443" s="9"/>
      <c r="J443" s="9"/>
      <c r="K443" s="74" t="str" cm="1">
        <f t="array" ref="K443">IF(ISBLANK(J443), IF(ISBLANK(I443), "N/A", _xlfn.IFS(L443="AS", I443+15, L443="NCR", I443+30, L443="submitted", I443+30, TRUE, "N/A")), _xlfn.IFS(L443="AS", J443+15, L443="NCR", J443+30, L443="submitted", J443+30, TRUE, "N/A"))</f>
        <v>N/A</v>
      </c>
      <c r="L443" s="14"/>
      <c r="M443" s="317"/>
      <c r="N443" s="856"/>
      <c r="O443" s="857"/>
      <c r="P443" s="857"/>
      <c r="Q443" s="858"/>
    </row>
    <row r="444" spans="2:17">
      <c r="B444" s="9"/>
      <c r="C444" s="310" t="s">
        <v>1322</v>
      </c>
      <c r="D444" s="76" t="s">
        <v>1323</v>
      </c>
      <c r="E444" s="20"/>
      <c r="F444" s="1"/>
      <c r="G444" s="9" t="s">
        <v>693</v>
      </c>
      <c r="H444" s="7" t="s">
        <v>1328</v>
      </c>
      <c r="I444" s="9"/>
      <c r="J444" s="9"/>
      <c r="K444" s="74" t="str" cm="1">
        <f t="array" ref="K444">IF(ISBLANK(J444), IF(ISBLANK(I444), "N/A", _xlfn.IFS(L444="AS", I444+15, L444="NCR", I444+30, L444="submitted", I444+30, TRUE, "N/A")), _xlfn.IFS(L444="AS", J444+15, L444="NCR", J444+30, L444="submitted", J444+30, TRUE, "N/A"))</f>
        <v>N/A</v>
      </c>
      <c r="L444" s="14"/>
      <c r="M444" s="317"/>
      <c r="N444" s="856"/>
      <c r="O444" s="857"/>
      <c r="P444" s="857"/>
      <c r="Q444" s="858"/>
    </row>
    <row r="445" spans="2:17" ht="27">
      <c r="B445" s="9"/>
      <c r="C445" s="310" t="s">
        <v>1322</v>
      </c>
      <c r="D445" s="76" t="s">
        <v>1323</v>
      </c>
      <c r="E445" s="20"/>
      <c r="F445" s="1"/>
      <c r="G445" s="9" t="s">
        <v>1329</v>
      </c>
      <c r="H445" s="7" t="s">
        <v>1330</v>
      </c>
      <c r="I445" s="9"/>
      <c r="J445" s="9"/>
      <c r="K445" s="74" t="str" cm="1">
        <f t="array" ref="K445">IF(ISBLANK(J445), IF(ISBLANK(I445), "N/A", _xlfn.IFS(L445="AS", I445+15, L445="NCR", I445+30, L445="submitted", I445+30, TRUE, "N/A")), _xlfn.IFS(L445="AS", J445+15, L445="NCR", J445+30, L445="submitted", J445+30, TRUE, "N/A"))</f>
        <v>N/A</v>
      </c>
      <c r="L445" s="14"/>
      <c r="M445" s="317"/>
      <c r="N445" s="856"/>
      <c r="O445" s="857"/>
      <c r="P445" s="857"/>
      <c r="Q445" s="858"/>
    </row>
    <row r="446" spans="2:17" ht="27">
      <c r="B446" s="9"/>
      <c r="C446" s="310" t="s">
        <v>1322</v>
      </c>
      <c r="D446" s="76" t="s">
        <v>1323</v>
      </c>
      <c r="E446" s="20"/>
      <c r="F446" s="1"/>
      <c r="G446" s="9" t="s">
        <v>1331</v>
      </c>
      <c r="H446" s="7" t="s">
        <v>1332</v>
      </c>
      <c r="I446" s="9"/>
      <c r="J446" s="9"/>
      <c r="K446" s="74" t="str" cm="1">
        <f t="array" ref="K446">IF(ISBLANK(J446), IF(ISBLANK(I446), "N/A", _xlfn.IFS(L446="AS", I446+15, L446="NCR", I446+30, L446="submitted", I446+30, TRUE, "N/A")), _xlfn.IFS(L446="AS", J446+15, L446="NCR", J446+30, L446="submitted", J446+30, TRUE, "N/A"))</f>
        <v>N/A</v>
      </c>
      <c r="L446" s="14"/>
      <c r="M446" s="317"/>
      <c r="N446" s="856"/>
      <c r="O446" s="857"/>
      <c r="P446" s="857"/>
      <c r="Q446" s="858"/>
    </row>
    <row r="447" spans="2:17">
      <c r="B447" s="9"/>
      <c r="C447" s="310" t="s">
        <v>1322</v>
      </c>
      <c r="D447" s="76" t="s">
        <v>1323</v>
      </c>
      <c r="E447" s="20"/>
      <c r="F447" s="1"/>
      <c r="G447" s="9" t="s">
        <v>1333</v>
      </c>
      <c r="H447" s="13" t="s">
        <v>1334</v>
      </c>
      <c r="I447" s="9"/>
      <c r="J447" s="9"/>
      <c r="K447" s="74" t="str" cm="1">
        <f t="array" ref="K447">IF(ISBLANK(J447), IF(ISBLANK(I447), "N/A", _xlfn.IFS(L447="AS", I447+15, L447="NCR", I447+30, L447="submitted", I447+30, TRUE, "N/A")), _xlfn.IFS(L447="AS", J447+15, L447="NCR", J447+30, L447="submitted", J447+30, TRUE, "N/A"))</f>
        <v>N/A</v>
      </c>
      <c r="L447" s="14"/>
      <c r="M447" s="317"/>
      <c r="N447" s="856"/>
      <c r="O447" s="857"/>
      <c r="P447" s="857"/>
      <c r="Q447" s="858"/>
    </row>
    <row r="448" spans="2:17">
      <c r="B448" s="9"/>
      <c r="C448" s="310" t="s">
        <v>1322</v>
      </c>
      <c r="D448" s="76" t="s">
        <v>1323</v>
      </c>
      <c r="E448" s="20"/>
      <c r="F448" s="1"/>
      <c r="G448" s="9" t="s">
        <v>1335</v>
      </c>
      <c r="H448" s="13" t="s">
        <v>1336</v>
      </c>
      <c r="I448" s="9"/>
      <c r="J448" s="9"/>
      <c r="K448" s="74" t="str" cm="1">
        <f t="array" ref="K448">IF(ISBLANK(J448), IF(ISBLANK(I448), "N/A", _xlfn.IFS(L448="AS", I448+15, L448="NCR", I448+30, L448="submitted", I448+30, TRUE, "N/A")), _xlfn.IFS(L448="AS", J448+15, L448="NCR", J448+30, L448="submitted", J448+30, TRUE, "N/A"))</f>
        <v>N/A</v>
      </c>
      <c r="L448" s="14"/>
      <c r="M448" s="317"/>
      <c r="N448" s="856"/>
      <c r="O448" s="857"/>
      <c r="P448" s="857"/>
      <c r="Q448" s="858"/>
    </row>
    <row r="449" spans="2:17">
      <c r="B449" s="9"/>
      <c r="C449" s="310" t="s">
        <v>1322</v>
      </c>
      <c r="D449" s="76" t="s">
        <v>1323</v>
      </c>
      <c r="E449" s="20"/>
      <c r="F449" s="1"/>
      <c r="G449" s="9" t="s">
        <v>1337</v>
      </c>
      <c r="H449" s="13" t="s">
        <v>1338</v>
      </c>
      <c r="I449" s="9"/>
      <c r="J449" s="9"/>
      <c r="K449" s="74" t="str" cm="1">
        <f t="array" ref="K449">IF(ISBLANK(J449), IF(ISBLANK(I449), "N/A", _xlfn.IFS(L449="AS", I449+15, L449="NCR", I449+30, L449="submitted", I449+30, TRUE, "N/A")), _xlfn.IFS(L449="AS", J449+15, L449="NCR", J449+30, L449="submitted", J449+30, TRUE, "N/A"))</f>
        <v>N/A</v>
      </c>
      <c r="L449" s="14"/>
      <c r="M449" s="317"/>
      <c r="N449" s="856"/>
      <c r="O449" s="857"/>
      <c r="P449" s="857"/>
      <c r="Q449" s="858"/>
    </row>
    <row r="450" spans="2:17">
      <c r="B450" s="9"/>
      <c r="C450" s="310" t="s">
        <v>1322</v>
      </c>
      <c r="D450" s="76" t="s">
        <v>1323</v>
      </c>
      <c r="E450" s="20"/>
      <c r="F450" s="1"/>
      <c r="G450" s="9" t="s">
        <v>329</v>
      </c>
      <c r="H450" s="7" t="s">
        <v>1339</v>
      </c>
      <c r="I450" s="9"/>
      <c r="J450" s="9"/>
      <c r="K450" s="74" t="str" cm="1">
        <f t="array" ref="K450">IF(ISBLANK(J450), IF(ISBLANK(I450), "N/A", _xlfn.IFS(L450="AS", I450+15, L450="NCR", I450+30, L450="submitted", I450+30, TRUE, "N/A")), _xlfn.IFS(L450="AS", J450+15, L450="NCR", J450+30, L450="submitted", J450+30, TRUE, "N/A"))</f>
        <v>N/A</v>
      </c>
      <c r="L450" s="14"/>
      <c r="M450" s="317"/>
      <c r="N450" s="856"/>
      <c r="O450" s="857"/>
      <c r="P450" s="857"/>
      <c r="Q450" s="858"/>
    </row>
    <row r="451" spans="2:17">
      <c r="B451" s="9"/>
      <c r="C451" s="310" t="s">
        <v>1322</v>
      </c>
      <c r="D451" s="76" t="s">
        <v>1323</v>
      </c>
      <c r="E451" s="20"/>
      <c r="F451" s="1"/>
      <c r="G451" s="9" t="s">
        <v>601</v>
      </c>
      <c r="H451" s="13" t="s">
        <v>1340</v>
      </c>
      <c r="I451" s="9"/>
      <c r="J451" s="9"/>
      <c r="K451" s="74" t="str" cm="1">
        <f t="array" ref="K451">IF(ISBLANK(J451), IF(ISBLANK(I451), "N/A", _xlfn.IFS(L451="AS", I451+15, L451="NCR", I451+30, L451="submitted", I451+30, TRUE, "N/A")), _xlfn.IFS(L451="AS", J451+15, L451="NCR", J451+30, L451="submitted", J451+30, TRUE, "N/A"))</f>
        <v>N/A</v>
      </c>
      <c r="L451" s="14"/>
      <c r="M451" s="317"/>
      <c r="N451" s="856"/>
      <c r="O451" s="857"/>
      <c r="P451" s="857"/>
      <c r="Q451" s="858"/>
    </row>
    <row r="452" spans="2:17">
      <c r="B452" s="4"/>
      <c r="C452" s="15" t="s">
        <v>1341</v>
      </c>
      <c r="D452" s="17" t="s">
        <v>1342</v>
      </c>
      <c r="E452" s="103"/>
      <c r="F452" s="5"/>
      <c r="G452" s="4" t="s">
        <v>486</v>
      </c>
      <c r="H452" s="17" t="s">
        <v>1343</v>
      </c>
      <c r="I452" s="4"/>
      <c r="J452" s="4"/>
      <c r="K452" s="74" t="str" cm="1">
        <f t="array" ref="K452">IF(ISBLANK(J452), IF(ISBLANK(I452), "N/A", _xlfn.IFS(L452="AS", I452+15, L452="NCR", I452+30, L452="submitted", I452+30, TRUE, "N/A")), _xlfn.IFS(L452="AS", J452+15, L452="NCR", J452+30, L452="submitted", J452+30, TRUE, "N/A"))</f>
        <v>N/A</v>
      </c>
      <c r="L452" s="18"/>
      <c r="M452" s="317"/>
      <c r="N452" s="856"/>
      <c r="O452" s="857"/>
      <c r="P452" s="857"/>
      <c r="Q452" s="858"/>
    </row>
    <row r="453" spans="2:17" ht="40.5">
      <c r="B453" s="9"/>
      <c r="C453" s="32" t="s">
        <v>1344</v>
      </c>
      <c r="D453" s="37" t="s">
        <v>1345</v>
      </c>
      <c r="E453" s="20"/>
      <c r="F453" s="1"/>
      <c r="G453" s="9" t="s">
        <v>758</v>
      </c>
      <c r="H453" s="7" t="s">
        <v>1346</v>
      </c>
      <c r="I453" s="9"/>
      <c r="J453" s="9"/>
      <c r="K453" s="74" t="str" cm="1">
        <f t="array" ref="K453">IF(ISBLANK(J453), IF(ISBLANK(I453), "N/A", _xlfn.IFS(L453="AS", I453+15, L453="NCR", I453+30, L453="submitted", I453+30, TRUE, "N/A")), _xlfn.IFS(L453="AS", J453+15, L453="NCR", J453+30, L453="submitted", J453+30, TRUE, "N/A"))</f>
        <v>N/A</v>
      </c>
      <c r="L453" s="14"/>
      <c r="M453" s="317"/>
      <c r="N453" s="856"/>
      <c r="O453" s="857"/>
      <c r="P453" s="857"/>
      <c r="Q453" s="858"/>
    </row>
    <row r="454" spans="2:17">
      <c r="B454" s="38"/>
      <c r="C454" s="33"/>
      <c r="D454" s="39"/>
      <c r="E454" s="20"/>
      <c r="F454" s="1"/>
      <c r="G454" s="38" t="s">
        <v>868</v>
      </c>
      <c r="H454" s="37" t="s">
        <v>1347</v>
      </c>
      <c r="I454" s="38"/>
      <c r="J454" s="38"/>
      <c r="K454" s="74" t="str" cm="1">
        <f t="array" ref="K454">IF(ISBLANK(J454), IF(ISBLANK(I454), "N/A", _xlfn.IFS(L454="AS", I454+15, L454="NCR", I454+30, L454="submitted", I454+30, TRUE, "N/A")), _xlfn.IFS(L454="AS", J454+15, L454="NCR", J454+30, L454="submitted", J454+30, TRUE, "N/A"))</f>
        <v>N/A</v>
      </c>
      <c r="L454" s="41"/>
      <c r="M454" s="317"/>
      <c r="N454" s="856"/>
      <c r="O454" s="857"/>
      <c r="P454" s="857"/>
      <c r="Q454" s="858"/>
    </row>
    <row r="455" spans="2:17">
      <c r="B455" s="38"/>
      <c r="C455" s="33"/>
      <c r="D455" s="39"/>
      <c r="E455" s="20"/>
      <c r="F455" s="1"/>
      <c r="G455" s="38" t="s">
        <v>870</v>
      </c>
      <c r="H455" s="37" t="s">
        <v>1348</v>
      </c>
      <c r="I455" s="38"/>
      <c r="J455" s="38"/>
      <c r="K455" s="74" t="str" cm="1">
        <f t="array" ref="K455">IF(ISBLANK(J455), IF(ISBLANK(I455), "N/A", _xlfn.IFS(L455="AS", I455+15, L455="NCR", I455+30, L455="submitted", I455+30, TRUE, "N/A")), _xlfn.IFS(L455="AS", J455+15, L455="NCR", J455+30, L455="submitted", J455+30, TRUE, "N/A"))</f>
        <v>N/A</v>
      </c>
      <c r="L455" s="41"/>
      <c r="M455" s="317"/>
      <c r="N455" s="856"/>
      <c r="O455" s="857"/>
      <c r="P455" s="857"/>
      <c r="Q455" s="858"/>
    </row>
    <row r="456" spans="2:17">
      <c r="B456" s="38"/>
      <c r="C456" s="33"/>
      <c r="D456" s="39"/>
      <c r="E456" s="20"/>
      <c r="F456" s="1"/>
      <c r="G456" s="38" t="s">
        <v>872</v>
      </c>
      <c r="H456" s="37" t="s">
        <v>1349</v>
      </c>
      <c r="I456" s="38"/>
      <c r="J456" s="38"/>
      <c r="K456" s="74" t="str" cm="1">
        <f t="array" ref="K456">IF(ISBLANK(J456), IF(ISBLANK(I456), "N/A", _xlfn.IFS(L456="AS", I456+15, L456="NCR", I456+30, L456="submitted", I456+30, TRUE, "N/A")), _xlfn.IFS(L456="AS", J456+15, L456="NCR", J456+30, L456="submitted", J456+30, TRUE, "N/A"))</f>
        <v>N/A</v>
      </c>
      <c r="L456" s="41"/>
      <c r="M456" s="317"/>
      <c r="N456" s="856"/>
      <c r="O456" s="857"/>
      <c r="P456" s="857"/>
      <c r="Q456" s="858"/>
    </row>
    <row r="457" spans="2:17" ht="27">
      <c r="B457" s="38"/>
      <c r="C457" s="33"/>
      <c r="D457" s="39"/>
      <c r="E457" s="20"/>
      <c r="F457" s="1"/>
      <c r="G457" s="38" t="s">
        <v>874</v>
      </c>
      <c r="H457" s="40" t="s">
        <v>1350</v>
      </c>
      <c r="I457" s="38"/>
      <c r="J457" s="38"/>
      <c r="K457" s="74" t="str" cm="1">
        <f t="array" ref="K457">IF(ISBLANK(J457), IF(ISBLANK(I457), "N/A", _xlfn.IFS(L457="AS", I457+15, L457="NCR", I457+30, L457="submitted", I457+30, TRUE, "N/A")), _xlfn.IFS(L457="AS", J457+15, L457="NCR", J457+30, L457="submitted", J457+30, TRUE, "N/A"))</f>
        <v>N/A</v>
      </c>
      <c r="L457" s="41"/>
      <c r="M457" s="317"/>
      <c r="N457" s="856"/>
      <c r="O457" s="857"/>
      <c r="P457" s="857"/>
      <c r="Q457" s="858"/>
    </row>
    <row r="458" spans="2:17" ht="40.5">
      <c r="B458" s="38"/>
      <c r="C458" s="33"/>
      <c r="D458" s="39"/>
      <c r="E458" s="20"/>
      <c r="F458" s="1"/>
      <c r="G458" s="38" t="s">
        <v>1351</v>
      </c>
      <c r="H458" s="40" t="s">
        <v>1352</v>
      </c>
      <c r="I458" s="38"/>
      <c r="J458" s="38"/>
      <c r="K458" s="74" t="str" cm="1">
        <f t="array" ref="K458">IF(ISBLANK(J458), IF(ISBLANK(I458), "N/A", _xlfn.IFS(L458="AS", I458+15, L458="NCR", I458+30, L458="submitted", I458+30, TRUE, "N/A")), _xlfn.IFS(L458="AS", J458+15, L458="NCR", J458+30, L458="submitted", J458+30, TRUE, "N/A"))</f>
        <v>N/A</v>
      </c>
      <c r="L458" s="41"/>
      <c r="M458" s="317"/>
      <c r="N458" s="856"/>
      <c r="O458" s="857"/>
      <c r="P458" s="857"/>
      <c r="Q458" s="858"/>
    </row>
    <row r="459" spans="2:17">
      <c r="B459" s="38"/>
      <c r="C459" s="33"/>
      <c r="D459" s="39"/>
      <c r="E459" s="20"/>
      <c r="F459" s="1"/>
      <c r="G459" s="38" t="s">
        <v>1353</v>
      </c>
      <c r="H459" s="37" t="s">
        <v>1354</v>
      </c>
      <c r="I459" s="38"/>
      <c r="J459" s="38"/>
      <c r="K459" s="74" t="str" cm="1">
        <f t="array" ref="K459">IF(ISBLANK(J459), IF(ISBLANK(I459), "N/A", _xlfn.IFS(L459="AS", I459+15, L459="NCR", I459+30, L459="submitted", I459+30, TRUE, "N/A")), _xlfn.IFS(L459="AS", J459+15, L459="NCR", J459+30, L459="submitted", J459+30, TRUE, "N/A"))</f>
        <v>N/A</v>
      </c>
      <c r="L459" s="41"/>
      <c r="M459" s="317"/>
      <c r="N459" s="856"/>
      <c r="O459" s="857"/>
      <c r="P459" s="857"/>
      <c r="Q459" s="858"/>
    </row>
    <row r="460" spans="2:17" ht="27">
      <c r="B460" s="38"/>
      <c r="C460" s="33"/>
      <c r="D460" s="39"/>
      <c r="E460" s="20"/>
      <c r="F460" s="1"/>
      <c r="G460" s="38" t="s">
        <v>1355</v>
      </c>
      <c r="H460" s="40" t="s">
        <v>1356</v>
      </c>
      <c r="I460" s="38"/>
      <c r="J460" s="38"/>
      <c r="K460" s="74" t="str" cm="1">
        <f t="array" ref="K460">IF(ISBLANK(J460), IF(ISBLANK(I460), "N/A", _xlfn.IFS(L460="AS", I460+15, L460="NCR", I460+30, L460="submitted", I460+30, TRUE, "N/A")), _xlfn.IFS(L460="AS", J460+15, L460="NCR", J460+30, L460="submitted", J460+30, TRUE, "N/A"))</f>
        <v>N/A</v>
      </c>
      <c r="L460" s="41"/>
      <c r="M460" s="317"/>
      <c r="N460" s="856"/>
      <c r="O460" s="857"/>
      <c r="P460" s="857"/>
      <c r="Q460" s="858"/>
    </row>
    <row r="461" spans="2:17" ht="27">
      <c r="B461" s="38"/>
      <c r="C461" s="33"/>
      <c r="D461" s="39"/>
      <c r="E461" s="20"/>
      <c r="F461" s="1"/>
      <c r="G461" s="38" t="s">
        <v>1357</v>
      </c>
      <c r="H461" s="40" t="s">
        <v>1358</v>
      </c>
      <c r="I461" s="38"/>
      <c r="J461" s="38"/>
      <c r="K461" s="74" t="str" cm="1">
        <f t="array" ref="K461">IF(ISBLANK(J461), IF(ISBLANK(I461), "N/A", _xlfn.IFS(L461="AS", I461+15, L461="NCR", I461+30, L461="submitted", I461+30, TRUE, "N/A")), _xlfn.IFS(L461="AS", J461+15, L461="NCR", J461+30, L461="submitted", J461+30, TRUE, "N/A"))</f>
        <v>N/A</v>
      </c>
      <c r="L461" s="41"/>
      <c r="M461" s="317"/>
      <c r="N461" s="856"/>
      <c r="O461" s="857"/>
      <c r="P461" s="857"/>
      <c r="Q461" s="858"/>
    </row>
    <row r="462" spans="2:17" ht="27">
      <c r="B462" s="38"/>
      <c r="C462" s="33"/>
      <c r="D462" s="39"/>
      <c r="E462" s="20"/>
      <c r="F462" s="1"/>
      <c r="G462" s="38" t="s">
        <v>1359</v>
      </c>
      <c r="H462" s="40" t="s">
        <v>1360</v>
      </c>
      <c r="I462" s="38"/>
      <c r="J462" s="38"/>
      <c r="K462" s="74" t="str" cm="1">
        <f t="array" ref="K462">IF(ISBLANK(J462), IF(ISBLANK(I462), "N/A", _xlfn.IFS(L462="AS", I462+15, L462="NCR", I462+30, L462="submitted", I462+30, TRUE, "N/A")), _xlfn.IFS(L462="AS", J462+15, L462="NCR", J462+30, L462="submitted", J462+30, TRUE, "N/A"))</f>
        <v>N/A</v>
      </c>
      <c r="L462" s="41"/>
      <c r="M462" s="317"/>
      <c r="N462" s="856"/>
      <c r="O462" s="857"/>
      <c r="P462" s="857"/>
      <c r="Q462" s="858"/>
    </row>
    <row r="463" spans="2:17" ht="27">
      <c r="B463" s="38"/>
      <c r="C463" s="33"/>
      <c r="D463" s="39"/>
      <c r="E463" s="20"/>
      <c r="F463" s="1"/>
      <c r="G463" s="38" t="s">
        <v>1361</v>
      </c>
      <c r="H463" s="40" t="s">
        <v>1362</v>
      </c>
      <c r="I463" s="38"/>
      <c r="J463" s="38"/>
      <c r="K463" s="74" t="str" cm="1">
        <f t="array" ref="K463">IF(ISBLANK(J463), IF(ISBLANK(I463), "N/A", _xlfn.IFS(L463="AS", I463+15, L463="NCR", I463+30, L463="submitted", I463+30, TRUE, "N/A")), _xlfn.IFS(L463="AS", J463+15, L463="NCR", J463+30, L463="submitted", J463+30, TRUE, "N/A"))</f>
        <v>N/A</v>
      </c>
      <c r="L463" s="41"/>
      <c r="M463" s="317"/>
      <c r="N463" s="856"/>
      <c r="O463" s="857"/>
      <c r="P463" s="857"/>
      <c r="Q463" s="858"/>
    </row>
    <row r="464" spans="2:17">
      <c r="B464" s="38"/>
      <c r="C464" s="33"/>
      <c r="D464" s="39"/>
      <c r="E464" s="20"/>
      <c r="F464" s="1"/>
      <c r="G464" s="38" t="s">
        <v>876</v>
      </c>
      <c r="H464" s="40" t="s">
        <v>1363</v>
      </c>
      <c r="I464" s="38"/>
      <c r="J464" s="38"/>
      <c r="K464" s="74" t="str" cm="1">
        <f t="array" ref="K464">IF(ISBLANK(J464), IF(ISBLANK(I464), "N/A", _xlfn.IFS(L464="AS", I464+15, L464="NCR", I464+30, L464="submitted", I464+30, TRUE, "N/A")), _xlfn.IFS(L464="AS", J464+15, L464="NCR", J464+30, L464="submitted", J464+30, TRUE, "N/A"))</f>
        <v>N/A</v>
      </c>
      <c r="L464" s="41"/>
      <c r="M464" s="317"/>
      <c r="N464" s="856"/>
      <c r="O464" s="857"/>
      <c r="P464" s="857"/>
      <c r="Q464" s="858"/>
    </row>
    <row r="465" spans="1:17">
      <c r="B465" s="38"/>
      <c r="C465" s="33"/>
      <c r="D465" s="39"/>
      <c r="E465" s="20"/>
      <c r="F465" s="1"/>
      <c r="G465" s="38" t="s">
        <v>1159</v>
      </c>
      <c r="H465" s="40" t="s">
        <v>1364</v>
      </c>
      <c r="I465" s="38"/>
      <c r="J465" s="38"/>
      <c r="K465" s="74" t="str" cm="1">
        <f t="array" ref="K465">IF(ISBLANK(J465), IF(ISBLANK(I465), "N/A", _xlfn.IFS(L465="AS", I465+15, L465="NCR", I465+30, L465="submitted", I465+30, TRUE, "N/A")), _xlfn.IFS(L465="AS", J465+15, L465="NCR", J465+30, L465="submitted", J465+30, TRUE, "N/A"))</f>
        <v>N/A</v>
      </c>
      <c r="L465" s="41"/>
      <c r="M465" s="317"/>
      <c r="N465" s="856"/>
      <c r="O465" s="857"/>
      <c r="P465" s="857"/>
      <c r="Q465" s="858"/>
    </row>
    <row r="466" spans="1:17" ht="27">
      <c r="B466" s="38"/>
      <c r="C466" s="33"/>
      <c r="D466" s="39"/>
      <c r="E466" s="20"/>
      <c r="F466" s="1"/>
      <c r="G466" s="38" t="s">
        <v>1169</v>
      </c>
      <c r="H466" s="40" t="s">
        <v>1365</v>
      </c>
      <c r="I466" s="38"/>
      <c r="J466" s="38"/>
      <c r="K466" s="74" t="str" cm="1">
        <f t="array" ref="K466">IF(ISBLANK(J466), IF(ISBLANK(I466), "N/A", _xlfn.IFS(L466="AS", I466+15, L466="NCR", I466+30, L466="submitted", I466+30, TRUE, "N/A")), _xlfn.IFS(L466="AS", J466+15, L466="NCR", J466+30, L466="submitted", J466+30, TRUE, "N/A"))</f>
        <v>N/A</v>
      </c>
      <c r="L466" s="41"/>
      <c r="M466" s="317"/>
      <c r="N466" s="856"/>
      <c r="O466" s="857"/>
      <c r="P466" s="857"/>
      <c r="Q466" s="858"/>
    </row>
    <row r="467" spans="1:17" ht="27">
      <c r="A467" t="s">
        <v>318</v>
      </c>
      <c r="B467" s="633" t="s">
        <v>21</v>
      </c>
      <c r="C467" s="631" t="s">
        <v>1366</v>
      </c>
      <c r="D467" s="635" t="s">
        <v>1367</v>
      </c>
      <c r="E467" s="628" t="s">
        <v>1368</v>
      </c>
      <c r="F467" s="627"/>
      <c r="G467" s="629" t="s">
        <v>336</v>
      </c>
      <c r="H467" s="342" t="s">
        <v>1369</v>
      </c>
      <c r="I467" s="343">
        <v>45782</v>
      </c>
      <c r="J467" s="343">
        <v>45799</v>
      </c>
      <c r="K467" s="74" t="str" cm="1">
        <f t="array" ref="K467">IF(ISBLANK(J467), IF(ISBLANK(I467), "N/A", _xlfn.IFS(L467="AS", I467+15, L467="NCR", I467+30, L467="submitted", I467+30, TRUE, "N/A")), _xlfn.IFS(L467="AS", J467+15, L467="NCR", J467+30, L467="submitted", J467+30, TRUE, "N/A"))</f>
        <v>N/A</v>
      </c>
      <c r="L467" s="343" t="s">
        <v>147</v>
      </c>
      <c r="M467" s="317"/>
      <c r="N467" s="856"/>
      <c r="O467" s="857"/>
      <c r="P467" s="857"/>
      <c r="Q467" s="858"/>
    </row>
    <row r="468" spans="1:17">
      <c r="A468" t="s">
        <v>318</v>
      </c>
      <c r="B468" s="633" t="s">
        <v>21</v>
      </c>
      <c r="C468" s="631" t="s">
        <v>1366</v>
      </c>
      <c r="D468" s="635" t="s">
        <v>1367</v>
      </c>
      <c r="E468" s="628" t="s">
        <v>1368</v>
      </c>
      <c r="F468" s="627"/>
      <c r="G468" s="629" t="s">
        <v>337</v>
      </c>
      <c r="H468" s="342" t="s">
        <v>274</v>
      </c>
      <c r="I468" s="343">
        <v>45782</v>
      </c>
      <c r="J468" s="343">
        <v>45799</v>
      </c>
      <c r="K468" s="74" t="str" cm="1">
        <f t="array" ref="K468">IF(ISBLANK(J468), IF(ISBLANK(I468), "N/A", _xlfn.IFS(L468="AS", I468+15, L468="NCR", I468+30, L468="submitted", I468+30, TRUE, "N/A")), _xlfn.IFS(L468="AS", J468+15, L468="NCR", J468+30, L468="submitted", J468+30, TRUE, "N/A"))</f>
        <v>N/A</v>
      </c>
      <c r="L468" s="343" t="s">
        <v>147</v>
      </c>
      <c r="M468" s="317"/>
      <c r="N468" s="856"/>
      <c r="O468" s="857"/>
      <c r="P468" s="857"/>
      <c r="Q468" s="858"/>
    </row>
    <row r="469" spans="1:17" s="528" customFormat="1" ht="27">
      <c r="A469" s="528" t="s">
        <v>318</v>
      </c>
      <c r="B469" s="634" t="s">
        <v>1370</v>
      </c>
      <c r="C469" s="632" t="s">
        <v>1366</v>
      </c>
      <c r="D469" s="637" t="s">
        <v>1367</v>
      </c>
      <c r="E469" s="636" t="s">
        <v>1368</v>
      </c>
      <c r="F469" s="639"/>
      <c r="G469" s="630" t="s">
        <v>336</v>
      </c>
      <c r="H469" s="613" t="s">
        <v>1369</v>
      </c>
      <c r="I469" s="614">
        <v>45912</v>
      </c>
      <c r="J469" s="614"/>
      <c r="K469" s="74" cm="1">
        <f t="array" ref="K469">IF(ISBLANK(J469), IF(ISBLANK(I469), "N/A", _xlfn.IFS(L469="AS", I469+15, L469="NCR", I469+30, L469="submitted", I469+30, TRUE, "N/A")), _xlfn.IFS(L469="AS", J469+15, L469="NCR", J469+30, L469="submitted", J469+30, TRUE, "N/A"))</f>
        <v>45942</v>
      </c>
      <c r="L469" s="614" t="s">
        <v>231</v>
      </c>
      <c r="N469" s="856"/>
      <c r="O469" s="857"/>
      <c r="P469" s="857"/>
      <c r="Q469" s="858"/>
    </row>
    <row r="470" spans="1:17" s="528" customFormat="1">
      <c r="B470" s="634" t="s">
        <v>1370</v>
      </c>
      <c r="C470" s="632" t="s">
        <v>1366</v>
      </c>
      <c r="D470" s="637" t="s">
        <v>1367</v>
      </c>
      <c r="E470" s="636" t="s">
        <v>1368</v>
      </c>
      <c r="F470" s="639"/>
      <c r="G470" s="630" t="s">
        <v>337</v>
      </c>
      <c r="H470" s="613" t="s">
        <v>274</v>
      </c>
      <c r="I470" s="614">
        <v>45912</v>
      </c>
      <c r="J470" s="614"/>
      <c r="K470" s="74" cm="1">
        <f t="array" ref="K470">IF(ISBLANK(J470), IF(ISBLANK(I470), "N/A", _xlfn.IFS(L470="AS", I470+15, L470="NCR", I470+30, L470="submitted", I470+30, TRUE, "N/A")), _xlfn.IFS(L470="AS", J470+15, L470="NCR", J470+30, L470="submitted", J470+30, TRUE, "N/A"))</f>
        <v>45942</v>
      </c>
      <c r="L470" s="614" t="s">
        <v>231</v>
      </c>
      <c r="N470" s="856"/>
      <c r="O470" s="857"/>
      <c r="P470" s="857"/>
      <c r="Q470" s="858"/>
    </row>
    <row r="471" spans="1:17">
      <c r="B471" s="633"/>
      <c r="C471" s="631"/>
      <c r="D471" s="638" t="s">
        <v>1367</v>
      </c>
      <c r="E471" s="627"/>
      <c r="F471" s="640"/>
      <c r="G471" s="629" t="s">
        <v>404</v>
      </c>
      <c r="H471" s="342" t="s">
        <v>353</v>
      </c>
      <c r="I471" s="343"/>
      <c r="J471" s="343"/>
      <c r="K471" s="74" t="str" cm="1">
        <f t="array" ref="K471">IF(ISBLANK(J471), IF(ISBLANK(I471), "N/A", _xlfn.IFS(L471="AS", I471+15, L471="NCR", I471+30, L471="submitted", I471+30, TRUE, "N/A")), _xlfn.IFS(L471="AS", J471+15, L471="NCR", J471+30, L471="submitted", J471+30, TRUE, "N/A"))</f>
        <v>N/A</v>
      </c>
      <c r="L471" s="343"/>
      <c r="M471" s="317"/>
      <c r="N471" s="856"/>
      <c r="O471" s="857"/>
      <c r="P471" s="857"/>
      <c r="Q471" s="858"/>
    </row>
    <row r="472" spans="1:17" ht="27">
      <c r="B472" s="633"/>
      <c r="C472" s="631"/>
      <c r="D472" s="638" t="s">
        <v>1367</v>
      </c>
      <c r="E472" s="627"/>
      <c r="F472" s="640"/>
      <c r="G472" s="629" t="s">
        <v>340</v>
      </c>
      <c r="H472" s="342" t="s">
        <v>1371</v>
      </c>
      <c r="I472" s="343"/>
      <c r="J472" s="343"/>
      <c r="K472" s="74" t="str" cm="1">
        <f t="array" ref="K472">IF(ISBLANK(J472), IF(ISBLANK(I472), "N/A", _xlfn.IFS(L472="AS", I472+15, L472="NCR", I472+30, L472="submitted", I472+30, TRUE, "N/A")), _xlfn.IFS(L472="AS", J472+15, L472="NCR", J472+30, L472="submitted", J472+30, TRUE, "N/A"))</f>
        <v>N/A</v>
      </c>
      <c r="L472" s="343"/>
      <c r="M472" s="317"/>
      <c r="N472" s="856"/>
      <c r="O472" s="857"/>
      <c r="P472" s="857"/>
      <c r="Q472" s="858"/>
    </row>
    <row r="473" spans="1:17">
      <c r="B473" s="633"/>
      <c r="C473" s="631"/>
      <c r="D473" s="638" t="s">
        <v>1367</v>
      </c>
      <c r="E473" s="627"/>
      <c r="F473" s="640"/>
      <c r="G473" s="629" t="s">
        <v>346</v>
      </c>
      <c r="H473" s="342" t="s">
        <v>830</v>
      </c>
      <c r="I473" s="343"/>
      <c r="J473" s="343"/>
      <c r="K473" s="74" t="str" cm="1">
        <f t="array" ref="K473">IF(ISBLANK(J473), IF(ISBLANK(I473), "N/A", _xlfn.IFS(L473="AS", I473+15, L473="NCR", I473+30, L473="submitted", I473+30, TRUE, "N/A")), _xlfn.IFS(L473="AS", J473+15, L473="NCR", J473+30, L473="submitted", J473+30, TRUE, "N/A"))</f>
        <v>N/A</v>
      </c>
      <c r="L473" s="343"/>
      <c r="M473" s="317"/>
      <c r="N473" s="856"/>
      <c r="O473" s="857"/>
      <c r="P473" s="857"/>
      <c r="Q473" s="858"/>
    </row>
    <row r="474" spans="1:17" ht="27">
      <c r="B474" s="633"/>
      <c r="C474" s="631"/>
      <c r="D474" s="638" t="s">
        <v>1367</v>
      </c>
      <c r="E474" s="627"/>
      <c r="F474" s="640"/>
      <c r="G474" s="629" t="s">
        <v>745</v>
      </c>
      <c r="H474" s="342" t="s">
        <v>831</v>
      </c>
      <c r="I474" s="343"/>
      <c r="J474" s="343"/>
      <c r="K474" s="74" t="str" cm="1">
        <f t="array" ref="K474">IF(ISBLANK(J474), IF(ISBLANK(I474), "N/A", _xlfn.IFS(L474="AS", I474+15, L474="NCR", I474+30, L474="submitted", I474+30, TRUE, "N/A")), _xlfn.IFS(L474="AS", J474+15, L474="NCR", J474+30, L474="submitted", J474+30, TRUE, "N/A"))</f>
        <v>N/A</v>
      </c>
      <c r="L474" s="343"/>
      <c r="M474" s="317"/>
      <c r="N474" s="856"/>
      <c r="O474" s="857"/>
      <c r="P474" s="857"/>
      <c r="Q474" s="858"/>
    </row>
    <row r="475" spans="1:17" ht="27">
      <c r="B475" s="633"/>
      <c r="C475" s="631"/>
      <c r="D475" s="638" t="s">
        <v>1367</v>
      </c>
      <c r="E475" s="627"/>
      <c r="F475" s="640"/>
      <c r="G475" s="629" t="s">
        <v>746</v>
      </c>
      <c r="H475" s="342" t="s">
        <v>480</v>
      </c>
      <c r="I475" s="343"/>
      <c r="J475" s="343"/>
      <c r="K475" s="74" t="str" cm="1">
        <f t="array" ref="K475">IF(ISBLANK(J475), IF(ISBLANK(I475), "N/A", _xlfn.IFS(L475="AS", I475+15, L475="NCR", I475+30, L475="submitted", I475+30, TRUE, "N/A")), _xlfn.IFS(L475="AS", J475+15, L475="NCR", J475+30, L475="submitted", J475+30, TRUE, "N/A"))</f>
        <v>N/A</v>
      </c>
      <c r="L475" s="343"/>
      <c r="M475" s="317"/>
      <c r="N475" s="856"/>
      <c r="O475" s="857"/>
      <c r="P475" s="857"/>
      <c r="Q475" s="858"/>
    </row>
    <row r="476" spans="1:17">
      <c r="B476" s="375" t="s">
        <v>1372</v>
      </c>
      <c r="C476" s="845">
        <v>11635</v>
      </c>
      <c r="D476" s="847" t="s">
        <v>1373</v>
      </c>
      <c r="E476" s="567"/>
      <c r="F476" s="568"/>
      <c r="G476" s="375"/>
      <c r="H476" s="300"/>
      <c r="I476" s="377"/>
      <c r="J476" s="377"/>
      <c r="K476" s="74" t="str" cm="1">
        <f t="array" ref="K476">IF(ISBLANK(J476), IF(ISBLANK(I476), "N/A", _xlfn.IFS(L476="AS", I476+15, L476="NCR", I476+30, L476="submitted", I476+30, TRUE, "N/A")), _xlfn.IFS(L476="AS", J476+15, L476="NCR", J476+30, L476="submitted", J476+30, TRUE, "N/A"))</f>
        <v>N/A</v>
      </c>
      <c r="L476" s="377"/>
      <c r="M476" s="378"/>
      <c r="N476" s="856"/>
      <c r="O476" s="857"/>
      <c r="P476" s="857"/>
      <c r="Q476" s="858"/>
    </row>
    <row r="477" spans="1:17">
      <c r="B477" s="375"/>
      <c r="C477" s="845"/>
      <c r="D477" s="848"/>
      <c r="E477" s="567"/>
      <c r="F477" s="376"/>
      <c r="G477" s="375"/>
      <c r="H477" s="300"/>
      <c r="I477" s="377"/>
      <c r="J477" s="377"/>
      <c r="K477" s="74" t="str" cm="1">
        <f t="array" ref="K477">IF(ISBLANK(J477), IF(ISBLANK(I477), "N/A", _xlfn.IFS(L477="AS", I477+15, L477="NCR", I477+30, L477="submitted", I477+30, TRUE, "N/A")), _xlfn.IFS(L477="AS", J477+15, L477="NCR", J477+30, L477="submitted", J477+30, TRUE, "N/A"))</f>
        <v>N/A</v>
      </c>
      <c r="L477" s="377"/>
      <c r="M477" s="378"/>
      <c r="N477" s="856"/>
      <c r="O477" s="857"/>
      <c r="P477" s="857"/>
      <c r="Q477" s="858"/>
    </row>
    <row r="478" spans="1:17">
      <c r="B478" s="375"/>
      <c r="C478" s="845"/>
      <c r="D478" s="848"/>
      <c r="E478" s="567"/>
      <c r="F478" s="376"/>
      <c r="G478" s="375"/>
      <c r="H478" s="300"/>
      <c r="I478" s="377"/>
      <c r="J478" s="377"/>
      <c r="K478" s="74" t="str" cm="1">
        <f t="array" ref="K478">IF(ISBLANK(J478), IF(ISBLANK(I478), "N/A", _xlfn.IFS(L478="AS", I478+15, L478="NCR", I478+30, L478="submitted", I478+30, TRUE, "N/A")), _xlfn.IFS(L478="AS", J478+15, L478="NCR", J478+30, L478="submitted", J478+30, TRUE, "N/A"))</f>
        <v>N/A</v>
      </c>
      <c r="L478" s="377"/>
      <c r="M478" s="378"/>
      <c r="N478" s="856"/>
      <c r="O478" s="857"/>
      <c r="P478" s="857"/>
      <c r="Q478" s="858"/>
    </row>
    <row r="479" spans="1:17">
      <c r="B479" s="375"/>
      <c r="C479" s="846"/>
      <c r="D479" s="849"/>
      <c r="E479" s="568"/>
      <c r="F479" s="376"/>
      <c r="G479" s="375"/>
      <c r="H479" s="300"/>
      <c r="I479" s="377"/>
      <c r="J479" s="377"/>
      <c r="K479" s="74" t="str" cm="1">
        <f t="array" ref="K479">IF(ISBLANK(J479), IF(ISBLANK(I479), "N/A", _xlfn.IFS(L479="AS", I479+15, L479="NCR", I479+30, L479="submitted", I479+30, TRUE, "N/A")), _xlfn.IFS(L479="AS", J479+15, L479="NCR", J479+30, L479="submitted", J479+30, TRUE, "N/A"))</f>
        <v>N/A</v>
      </c>
      <c r="L479" s="377"/>
      <c r="M479" s="378"/>
      <c r="N479" s="856"/>
      <c r="O479" s="857"/>
      <c r="P479" s="857"/>
      <c r="Q479" s="858"/>
    </row>
  </sheetData>
  <mergeCells count="10">
    <mergeCell ref="N128:Q202"/>
    <mergeCell ref="N203:Q210"/>
    <mergeCell ref="C476:C479"/>
    <mergeCell ref="D476:D479"/>
    <mergeCell ref="B1:H1"/>
    <mergeCell ref="N378:Q385"/>
    <mergeCell ref="N386:Q479"/>
    <mergeCell ref="N3:Q6"/>
    <mergeCell ref="N7:Q39"/>
    <mergeCell ref="N40:Q47"/>
  </mergeCells>
  <conditionalFormatting sqref="B3:L9003">
    <cfRule type="expression" dxfId="92" priority="5">
      <formula>OR(INDEX($L:$L,ROW())="NCR",INDEX($L:$L,ROW())="NR",INDEX($L:$L,ROW())="AS")</formula>
    </cfRule>
    <cfRule type="expression" dxfId="91" priority="6">
      <formula>OR(INDEX($L:$L,ROW())="AC",INDEX($L:$L,ROW())="AN",INDEX($L:$L,ROW())="RC",INDEX($L:$L,ROW())="RA")</formula>
    </cfRule>
    <cfRule type="expression" dxfId="90" priority="7">
      <formula>OR(INDEX($L:$L,ROW())="Submitted",INDEX($L:$L,ROW())="REV")</formula>
    </cfRule>
    <cfRule type="expression" dxfId="89" priority="8">
      <formula>NOT(OR(INDEX($L:$L,ROW())="NCR",INDEX($L:$L,ROW())="NR",INDEX($L:$L,ROW())="AS",INDEX($L:$L,ROW())="AC",INDEX($L:$L,ROW())="AN",INDEX($L:$L,ROW())="RC",INDEX($L:$L,ROW())="RA",INDEX($L:$L,ROW())="Submitted",INDEX($L:$L,ROW())="REV"))</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R296"/>
  <sheetViews>
    <sheetView zoomScale="70" zoomScaleNormal="70" workbookViewId="0">
      <pane ySplit="2" topLeftCell="A19" activePane="bottomLeft" state="frozen"/>
      <selection pane="bottomLeft" sqref="A1:A1048576"/>
    </sheetView>
  </sheetViews>
  <sheetFormatPr defaultRowHeight="15"/>
  <cols>
    <col min="1" max="1" width="11.42578125" customWidth="1"/>
    <col min="2" max="2" width="11" bestFit="1" customWidth="1"/>
    <col min="4" max="4" width="47.85546875" bestFit="1" customWidth="1"/>
    <col min="5" max="5" width="48.140625" customWidth="1"/>
    <col min="7" max="7" width="11.85546875" bestFit="1" customWidth="1"/>
    <col min="8" max="8" width="75" customWidth="1"/>
    <col min="9" max="9" width="12.42578125" customWidth="1"/>
    <col min="10" max="10" width="12.42578125" style="508" customWidth="1"/>
    <col min="11" max="11" width="11.42578125" bestFit="1" customWidth="1"/>
    <col min="13" max="13" width="1.5703125" style="317" customWidth="1"/>
    <col min="14" max="14" width="9.140625" style="312"/>
    <col min="17" max="17" width="9.140625" style="313"/>
    <col min="18" max="18" width="1.85546875" style="317" customWidth="1"/>
  </cols>
  <sheetData>
    <row r="1" spans="1:17" ht="32.450000000000003" customHeight="1">
      <c r="B1" s="805" t="s">
        <v>1374</v>
      </c>
      <c r="C1" s="806"/>
      <c r="D1" s="806"/>
      <c r="E1" s="806"/>
      <c r="F1" s="806"/>
      <c r="G1" s="806"/>
      <c r="H1" s="806"/>
      <c r="I1" s="154"/>
      <c r="J1" s="498"/>
      <c r="L1" s="154"/>
      <c r="N1" s="314"/>
      <c r="O1" s="315"/>
      <c r="P1" s="315"/>
      <c r="Q1" s="316"/>
    </row>
    <row r="2" spans="1:17" ht="40.5">
      <c r="A2" s="282" t="s">
        <v>284</v>
      </c>
      <c r="B2" s="282" t="s">
        <v>113</v>
      </c>
      <c r="C2" s="283" t="s">
        <v>114</v>
      </c>
      <c r="D2" s="283" t="s">
        <v>115</v>
      </c>
      <c r="E2" s="285" t="s">
        <v>116</v>
      </c>
      <c r="F2" s="285" t="s">
        <v>117</v>
      </c>
      <c r="G2" s="285" t="s">
        <v>118</v>
      </c>
      <c r="H2" s="285" t="s">
        <v>119</v>
      </c>
      <c r="I2" s="290" t="s">
        <v>120</v>
      </c>
      <c r="J2" s="499" t="s">
        <v>121</v>
      </c>
      <c r="K2" s="290" t="s">
        <v>122</v>
      </c>
      <c r="L2" s="284" t="s">
        <v>123</v>
      </c>
      <c r="M2" s="319"/>
      <c r="N2" s="311" t="s">
        <v>124</v>
      </c>
      <c r="O2" s="293" t="s">
        <v>125</v>
      </c>
      <c r="P2" s="294" t="s">
        <v>126</v>
      </c>
      <c r="Q2" s="295" t="s">
        <v>127</v>
      </c>
    </row>
    <row r="3" spans="1:17" s="138" customFormat="1" ht="15" customHeight="1">
      <c r="B3" s="133" t="s">
        <v>1375</v>
      </c>
      <c r="C3" s="822" t="s">
        <v>1376</v>
      </c>
      <c r="D3" s="882" t="s">
        <v>1377</v>
      </c>
      <c r="E3" s="163"/>
      <c r="F3" s="278" t="s">
        <v>1378</v>
      </c>
      <c r="G3" s="180" t="s">
        <v>1379</v>
      </c>
      <c r="H3" s="279" t="s">
        <v>1380</v>
      </c>
      <c r="I3" s="280">
        <v>45763</v>
      </c>
      <c r="J3" s="281">
        <v>45769</v>
      </c>
      <c r="K3" s="697" t="str" cm="1">
        <f t="array" ref="K3">IF(ISBLANK(J3), IF(ISBLANK(I3), "N/A", _xlfn.IFS(L3="AS", I3+15, L3="NCR", I3+30, L3="submitted", I3+30, TRUE, "N/A")), _xlfn.IFS(L3="AS", J3+15, L3="NCR", J3+30, L3="submitted", J3+30, TRUE, "N/A"))</f>
        <v>N/A</v>
      </c>
      <c r="L3" s="133" t="s">
        <v>151</v>
      </c>
      <c r="M3" s="317"/>
      <c r="N3" s="796" t="s">
        <v>133</v>
      </c>
      <c r="O3" s="797"/>
      <c r="P3" s="797"/>
      <c r="Q3" s="798"/>
    </row>
    <row r="4" spans="1:17" s="149" customFormat="1" ht="15" customHeight="1">
      <c r="B4" s="122"/>
      <c r="C4" s="807"/>
      <c r="D4" s="883"/>
      <c r="E4" s="161"/>
      <c r="F4" s="142" t="s">
        <v>54</v>
      </c>
      <c r="G4" s="141" t="s">
        <v>136</v>
      </c>
      <c r="H4" s="13" t="s">
        <v>1381</v>
      </c>
      <c r="I4" s="200"/>
      <c r="J4" s="500"/>
      <c r="K4" s="697" t="str" cm="1">
        <f t="array" ref="K4">IF(ISBLANK(J4), IF(ISBLANK(I4), "N/A", _xlfn.IFS(L4="AS", I4+15, L4="NCR", I4+30, L4="submitted", I4+30, TRUE, "N/A")), _xlfn.IFS(L4="AS", J4+15, L4="NCR", J4+30, L4="submitted", J4+30, TRUE, "N/A"))</f>
        <v>N/A</v>
      </c>
      <c r="L4" s="13"/>
      <c r="M4" s="317"/>
      <c r="N4" s="799"/>
      <c r="O4" s="800"/>
      <c r="P4" s="800"/>
      <c r="Q4" s="801"/>
    </row>
    <row r="5" spans="1:17" s="5" customFormat="1" ht="27" customHeight="1">
      <c r="B5" s="146" t="s">
        <v>1382</v>
      </c>
      <c r="C5" s="192" t="s">
        <v>1383</v>
      </c>
      <c r="D5" s="211" t="s">
        <v>1384</v>
      </c>
      <c r="E5" s="212" t="s">
        <v>1385</v>
      </c>
      <c r="F5" s="213" t="s">
        <v>54</v>
      </c>
      <c r="G5" s="179" t="s">
        <v>208</v>
      </c>
      <c r="H5" s="214" t="s">
        <v>1386</v>
      </c>
      <c r="I5" s="215"/>
      <c r="J5" s="337"/>
      <c r="K5" s="697" t="str" cm="1">
        <f t="array" ref="K5">IF(ISBLANK(J5), IF(ISBLANK(I5), "N/A", _xlfn.IFS(L5="AS", I5+15, L5="NCR", I5+30, L5="submitted", I5+30, TRUE, "N/A")), _xlfn.IFS(L5="AS", J5+15, L5="NCR", J5+30, L5="submitted", J5+30, TRUE, "N/A"))</f>
        <v>N/A</v>
      </c>
      <c r="L5" s="146" t="s">
        <v>1387</v>
      </c>
      <c r="M5" s="317"/>
      <c r="N5" s="799"/>
      <c r="O5" s="800"/>
      <c r="P5" s="800"/>
      <c r="Q5" s="801"/>
    </row>
    <row r="6" spans="1:17" s="1" customFormat="1" ht="12.75" customHeight="1">
      <c r="B6" s="9"/>
      <c r="C6" s="821" t="s">
        <v>1388</v>
      </c>
      <c r="D6" s="879" t="s">
        <v>1389</v>
      </c>
      <c r="E6" s="164"/>
      <c r="F6" s="159" t="s">
        <v>54</v>
      </c>
      <c r="G6" s="141" t="s">
        <v>483</v>
      </c>
      <c r="H6" s="161" t="s">
        <v>282</v>
      </c>
      <c r="I6" s="196"/>
      <c r="J6" s="501"/>
      <c r="K6" s="697" t="str" cm="1">
        <f t="array" ref="K6">IF(ISBLANK(J6), IF(ISBLANK(I6), "N/A", _xlfn.IFS(L6="AS", I6+15, L6="NCR", I6+30, L6="submitted", I6+30, TRUE, "N/A")), _xlfn.IFS(L6="AS", J6+15, L6="NCR", J6+30, L6="submitted", J6+30, TRUE, "N/A"))</f>
        <v>N/A</v>
      </c>
      <c r="L6" s="7"/>
      <c r="M6" s="317"/>
      <c r="N6" s="799"/>
      <c r="O6" s="800"/>
      <c r="P6" s="800"/>
      <c r="Q6" s="801"/>
    </row>
    <row r="7" spans="1:17" s="138" customFormat="1" ht="15" hidden="1" customHeight="1">
      <c r="B7" s="138" t="s">
        <v>1390</v>
      </c>
      <c r="C7" s="822"/>
      <c r="D7" s="880"/>
      <c r="E7" s="156"/>
      <c r="F7" s="155"/>
      <c r="G7" s="178" t="s">
        <v>876</v>
      </c>
      <c r="H7" s="162" t="s">
        <v>1391</v>
      </c>
      <c r="I7" s="197"/>
      <c r="J7" s="502"/>
      <c r="K7" s="697" t="str" cm="1">
        <f t="array" ref="K7">IF(ISBLANK(J7), IF(ISBLANK(I7), "N/A", _xlfn.IFS(L7="AS", I7+15, L7="NCR", I7+30, L7="submitted", I7+30, TRUE, "N/A")), _xlfn.IFS(L7="AS", J7+15, L7="NCR", J7+30, L7="submitted", J7+30, TRUE, "N/A"))</f>
        <v>N/A</v>
      </c>
      <c r="L7" s="153"/>
      <c r="M7" s="317"/>
      <c r="N7" s="802" t="s">
        <v>148</v>
      </c>
      <c r="O7" s="803"/>
      <c r="P7" s="803"/>
      <c r="Q7" s="804"/>
    </row>
    <row r="8" spans="1:17" s="1" customFormat="1" ht="15" hidden="1" customHeight="1">
      <c r="B8" s="9"/>
      <c r="C8" s="822"/>
      <c r="D8" s="880"/>
      <c r="E8" s="164"/>
      <c r="F8" s="247" t="s">
        <v>54</v>
      </c>
      <c r="G8" s="225" t="s">
        <v>1159</v>
      </c>
      <c r="H8" s="223" t="s">
        <v>1392</v>
      </c>
      <c r="I8" s="196"/>
      <c r="J8" s="501"/>
      <c r="K8" s="697" t="str" cm="1">
        <f t="array" ref="K8">IF(ISBLANK(J8), IF(ISBLANK(I8), "N/A", _xlfn.IFS(L8="AS", I8+15, L8="NCR", I8+30, L8="submitted", I8+30, TRUE, "N/A")), _xlfn.IFS(L8="AS", J8+15, L8="NCR", J8+30, L8="submitted", J8+30, TRUE, "N/A"))</f>
        <v>N/A</v>
      </c>
      <c r="L8" s="7"/>
      <c r="M8" s="317"/>
      <c r="N8" s="802"/>
      <c r="O8" s="803"/>
      <c r="P8" s="803"/>
      <c r="Q8" s="804"/>
    </row>
    <row r="9" spans="1:17" s="138" customFormat="1" ht="15" customHeight="1">
      <c r="B9" s="151" t="s">
        <v>1393</v>
      </c>
      <c r="C9" s="822"/>
      <c r="D9" s="880"/>
      <c r="E9" s="156" t="s">
        <v>1394</v>
      </c>
      <c r="F9" s="155"/>
      <c r="G9" s="178" t="s">
        <v>1169</v>
      </c>
      <c r="H9" s="162" t="s">
        <v>1395</v>
      </c>
      <c r="I9" s="274">
        <v>45796</v>
      </c>
      <c r="J9" s="216">
        <v>45800</v>
      </c>
      <c r="K9" s="697" t="str" cm="1">
        <f t="array" ref="K9">IF(ISBLANK(J9), IF(ISBLANK(I9), "N/A", _xlfn.IFS(L9="AS", I9+15, L9="NCR", I9+30, L9="submitted", I9+30, TRUE, "N/A")), _xlfn.IFS(L9="AS", J9+15, L9="NCR", J9+30, L9="submitted", J9+30, TRUE, "N/A"))</f>
        <v>N/A</v>
      </c>
      <c r="L9" s="235" t="s">
        <v>301</v>
      </c>
      <c r="M9" s="317"/>
      <c r="N9" s="802"/>
      <c r="O9" s="803"/>
      <c r="P9" s="803"/>
      <c r="Q9" s="804"/>
    </row>
    <row r="10" spans="1:17" s="1" customFormat="1" ht="15" customHeight="1">
      <c r="B10" s="9"/>
      <c r="C10" s="822"/>
      <c r="D10" s="880"/>
      <c r="E10" s="164"/>
      <c r="F10" s="159" t="s">
        <v>54</v>
      </c>
      <c r="G10" s="141" t="s">
        <v>1171</v>
      </c>
      <c r="H10" s="161" t="s">
        <v>1396</v>
      </c>
      <c r="I10" s="196"/>
      <c r="J10" s="501"/>
      <c r="K10" s="697" t="str" cm="1">
        <f t="array" ref="K10">IF(ISBLANK(J10), IF(ISBLANK(I10), "N/A", _xlfn.IFS(L10="AS", I10+15, L10="NCR", I10+30, L10="submitted", I10+30, TRUE, "N/A")), _xlfn.IFS(L10="AS", J10+15, L10="NCR", J10+30, L10="submitted", J10+30, TRUE, "N/A"))</f>
        <v>N/A</v>
      </c>
      <c r="L10" s="7"/>
      <c r="M10" s="317"/>
      <c r="N10" s="802"/>
      <c r="O10" s="803"/>
      <c r="P10" s="803"/>
      <c r="Q10" s="804"/>
    </row>
    <row r="11" spans="1:17" s="1" customFormat="1" ht="15" customHeight="1">
      <c r="B11" s="9"/>
      <c r="C11" s="807"/>
      <c r="D11" s="881"/>
      <c r="E11" s="164"/>
      <c r="F11" s="159" t="s">
        <v>54</v>
      </c>
      <c r="G11" s="141" t="s">
        <v>1173</v>
      </c>
      <c r="H11" s="161" t="s">
        <v>1397</v>
      </c>
      <c r="I11" s="196"/>
      <c r="J11" s="501"/>
      <c r="K11" s="697" t="str" cm="1">
        <f t="array" ref="K11">IF(ISBLANK(J11), IF(ISBLANK(I11), "N/A", _xlfn.IFS(L11="AS", I11+15, L11="NCR", I11+30, L11="submitted", I11+30, TRUE, "N/A")), _xlfn.IFS(L11="AS", J11+15, L11="NCR", J11+30, L11="submitted", J11+30, TRUE, "N/A"))</f>
        <v>N/A</v>
      </c>
      <c r="L11" s="7"/>
      <c r="M11" s="317"/>
      <c r="N11" s="802"/>
      <c r="O11" s="803"/>
      <c r="P11" s="803"/>
      <c r="Q11" s="804"/>
    </row>
    <row r="12" spans="1:17" s="1" customFormat="1" ht="15" customHeight="1">
      <c r="B12" s="4"/>
      <c r="C12" s="54" t="s">
        <v>1398</v>
      </c>
      <c r="D12" s="16" t="s">
        <v>1399</v>
      </c>
      <c r="E12" s="16" t="s">
        <v>1400</v>
      </c>
      <c r="F12" s="17" t="s">
        <v>1401</v>
      </c>
      <c r="G12" s="4" t="s">
        <v>208</v>
      </c>
      <c r="H12" s="3" t="s">
        <v>1402</v>
      </c>
      <c r="I12" s="196"/>
      <c r="J12" s="501"/>
      <c r="K12" s="697" t="str" cm="1">
        <f t="array" ref="K12">IF(ISBLANK(J12), IF(ISBLANK(I12), "N/A", _xlfn.IFS(L12="AS", I12+15, L12="NCR", I12+30, L12="submitted", I12+30, TRUE, "N/A")), _xlfn.IFS(L12="AS", J12+15, L12="NCR", J12+30, L12="submitted", J12+30, TRUE, "N/A"))</f>
        <v>N/A</v>
      </c>
      <c r="L12" s="16"/>
      <c r="M12" s="318"/>
      <c r="N12" s="802"/>
      <c r="O12" s="803"/>
      <c r="P12" s="803"/>
      <c r="Q12" s="804"/>
    </row>
    <row r="13" spans="1:17" s="1" customFormat="1" ht="15" customHeight="1">
      <c r="B13" s="4"/>
      <c r="C13" s="54" t="s">
        <v>1398</v>
      </c>
      <c r="D13" s="16" t="s">
        <v>1399</v>
      </c>
      <c r="E13" s="16"/>
      <c r="F13" s="17" t="s">
        <v>287</v>
      </c>
      <c r="G13" s="4" t="s">
        <v>281</v>
      </c>
      <c r="H13" s="17" t="s">
        <v>1403</v>
      </c>
      <c r="I13" s="196"/>
      <c r="J13" s="501"/>
      <c r="K13" s="697" t="str" cm="1">
        <f t="array" ref="K13">IF(ISBLANK(J13), IF(ISBLANK(I13), "N/A", _xlfn.IFS(L13="AS", I13+15, L13="NCR", I13+30, L13="submitted", I13+30, TRUE, "N/A")), _xlfn.IFS(L13="AS", J13+15, L13="NCR", J13+30, L13="submitted", J13+30, TRUE, "N/A"))</f>
        <v>N/A</v>
      </c>
      <c r="L13" s="16"/>
      <c r="M13" s="317"/>
      <c r="N13" s="802"/>
      <c r="O13" s="803"/>
      <c r="P13" s="803"/>
      <c r="Q13" s="804"/>
    </row>
    <row r="14" spans="1:17" s="1" customFormat="1" ht="15" customHeight="1">
      <c r="B14" s="4"/>
      <c r="C14" s="54" t="s">
        <v>1398</v>
      </c>
      <c r="D14" s="16" t="s">
        <v>1399</v>
      </c>
      <c r="E14" s="16"/>
      <c r="F14" s="17" t="s">
        <v>287</v>
      </c>
      <c r="G14" s="4" t="s">
        <v>269</v>
      </c>
      <c r="H14" s="17" t="s">
        <v>1404</v>
      </c>
      <c r="I14" s="196"/>
      <c r="J14" s="501"/>
      <c r="K14" s="697" t="str" cm="1">
        <f t="array" ref="K14">IF(ISBLANK(J14), IF(ISBLANK(I14), "N/A", _xlfn.IFS(L14="AS", I14+15, L14="NCR", I14+30, L14="submitted", I14+30, TRUE, "N/A")), _xlfn.IFS(L14="AS", J14+15, L14="NCR", J14+30, L14="submitted", J14+30, TRUE, "N/A"))</f>
        <v>N/A</v>
      </c>
      <c r="L14" s="16"/>
      <c r="M14" s="317"/>
      <c r="N14" s="802"/>
      <c r="O14" s="803"/>
      <c r="P14" s="803"/>
      <c r="Q14" s="804"/>
    </row>
    <row r="15" spans="1:17" s="1" customFormat="1" ht="15" customHeight="1">
      <c r="B15" s="4"/>
      <c r="C15" s="54" t="s">
        <v>1398</v>
      </c>
      <c r="D15" s="16" t="s">
        <v>1399</v>
      </c>
      <c r="E15" s="17"/>
      <c r="F15" s="17"/>
      <c r="G15" s="4" t="s">
        <v>259</v>
      </c>
      <c r="H15" s="17" t="s">
        <v>1405</v>
      </c>
      <c r="I15" s="196"/>
      <c r="J15" s="501"/>
      <c r="K15" s="697" t="str" cm="1">
        <f t="array" ref="K15">IF(ISBLANK(J15), IF(ISBLANK(I15), "N/A", _xlfn.IFS(L15="AS", I15+15, L15="NCR", I15+30, L15="submitted", I15+30, TRUE, "N/A")), _xlfn.IFS(L15="AS", J15+15, L15="NCR", J15+30, L15="submitted", J15+30, TRUE, "N/A"))</f>
        <v>N/A</v>
      </c>
      <c r="L15" s="16"/>
      <c r="M15" s="317"/>
      <c r="N15" s="802"/>
      <c r="O15" s="803"/>
      <c r="P15" s="803"/>
      <c r="Q15" s="804"/>
    </row>
    <row r="16" spans="1:17" s="138" customFormat="1" ht="15" customHeight="1">
      <c r="B16" s="133" t="s">
        <v>1406</v>
      </c>
      <c r="C16" s="134" t="s">
        <v>1407</v>
      </c>
      <c r="D16" s="135" t="s">
        <v>1408</v>
      </c>
      <c r="E16" s="173" t="s">
        <v>1409</v>
      </c>
      <c r="F16" s="158" t="s">
        <v>1378</v>
      </c>
      <c r="G16" s="180" t="s">
        <v>1410</v>
      </c>
      <c r="H16" s="163" t="s">
        <v>1411</v>
      </c>
      <c r="I16" s="274">
        <v>45762</v>
      </c>
      <c r="J16" s="216">
        <v>45764</v>
      </c>
      <c r="K16" s="697" t="str" cm="1">
        <f t="array" ref="K16">IF(ISBLANK(J16), IF(ISBLANK(I16), "N/A", _xlfn.IFS(L16="AS", I16+15, L16="NCR", I16+30, L16="submitted", I16+30, TRUE, "N/A")), _xlfn.IFS(L16="AS", J16+15, L16="NCR", J16+30, L16="submitted", J16+30, TRUE, "N/A"))</f>
        <v>N/A</v>
      </c>
      <c r="L16" s="136" t="s">
        <v>147</v>
      </c>
      <c r="M16" s="317"/>
      <c r="N16" s="802"/>
      <c r="O16" s="803"/>
      <c r="P16" s="803"/>
      <c r="Q16" s="804"/>
    </row>
    <row r="17" spans="2:17" s="138" customFormat="1" ht="15" customHeight="1">
      <c r="B17" s="133" t="s">
        <v>1412</v>
      </c>
      <c r="C17" s="134" t="s">
        <v>1407</v>
      </c>
      <c r="D17" s="135" t="s">
        <v>1408</v>
      </c>
      <c r="E17" s="173" t="s">
        <v>1409</v>
      </c>
      <c r="F17" s="158" t="s">
        <v>1378</v>
      </c>
      <c r="G17" s="180" t="s">
        <v>1410</v>
      </c>
      <c r="H17" s="163" t="s">
        <v>1411</v>
      </c>
      <c r="I17" s="274">
        <v>45807</v>
      </c>
      <c r="J17" s="216">
        <v>45813</v>
      </c>
      <c r="K17" s="697" t="str" cm="1">
        <f t="array" ref="K17">IF(ISBLANK(J17), IF(ISBLANK(I17), "N/A", _xlfn.IFS(L17="AS", I17+15, L17="NCR", I17+30, L17="submitted", I17+30, TRUE, "N/A")), _xlfn.IFS(L17="AS", J17+15, L17="NCR", J17+30, L17="submitted", J17+30, TRUE, "N/A"))</f>
        <v>N/A</v>
      </c>
      <c r="L17" s="136" t="s">
        <v>638</v>
      </c>
      <c r="M17" s="317"/>
      <c r="N17" s="802"/>
      <c r="O17" s="803"/>
      <c r="P17" s="803"/>
      <c r="Q17" s="804"/>
    </row>
    <row r="18" spans="2:17" s="5" customFormat="1" ht="15" customHeight="1">
      <c r="B18" s="4"/>
      <c r="C18" s="825" t="s">
        <v>1413</v>
      </c>
      <c r="D18" s="827" t="s">
        <v>1414</v>
      </c>
      <c r="E18" s="130"/>
      <c r="F18" s="143" t="s">
        <v>1378</v>
      </c>
      <c r="G18" s="145" t="s">
        <v>281</v>
      </c>
      <c r="H18" s="132" t="s">
        <v>282</v>
      </c>
      <c r="I18" s="199"/>
      <c r="J18" s="503"/>
      <c r="K18" s="697" t="str" cm="1">
        <f t="array" ref="K18">IF(ISBLANK(J18), IF(ISBLANK(I18), "N/A", _xlfn.IFS(L18="AS", I18+15, L18="NCR", I18+30, L18="submitted", I18+30, TRUE, "N/A")), _xlfn.IFS(L18="AS", J18+15, L18="NCR", J18+30, L18="submitted", J18+30, TRUE, "N/A"))</f>
        <v>N/A</v>
      </c>
      <c r="L18" s="34"/>
      <c r="M18" s="317"/>
      <c r="N18" s="802"/>
      <c r="O18" s="803"/>
      <c r="P18" s="803"/>
      <c r="Q18" s="804"/>
    </row>
    <row r="19" spans="2:17" s="5" customFormat="1" ht="27" customHeight="1">
      <c r="B19" s="4"/>
      <c r="C19" s="826"/>
      <c r="D19" s="828"/>
      <c r="E19" s="144"/>
      <c r="F19" s="143" t="s">
        <v>1378</v>
      </c>
      <c r="G19" s="145" t="s">
        <v>269</v>
      </c>
      <c r="H19" s="160" t="s">
        <v>1415</v>
      </c>
      <c r="I19" s="195"/>
      <c r="J19" s="299"/>
      <c r="K19" s="697" t="str" cm="1">
        <f t="array" ref="K19">IF(ISBLANK(J19), IF(ISBLANK(I19), "N/A", _xlfn.IFS(L19="AS", I19+15, L19="NCR", I19+30, L19="submitted", I19+30, TRUE, "N/A")), _xlfn.IFS(L19="AS", J19+15, L19="NCR", J19+30, L19="submitted", J19+30, TRUE, "N/A"))</f>
        <v>N/A</v>
      </c>
      <c r="L19" s="36"/>
      <c r="M19" s="317"/>
      <c r="N19" s="802"/>
      <c r="O19" s="803"/>
      <c r="P19" s="803"/>
      <c r="Q19" s="804"/>
    </row>
    <row r="20" spans="2:17" s="228" customFormat="1" ht="15" customHeight="1">
      <c r="B20" s="221"/>
      <c r="C20" s="229" t="s">
        <v>1416</v>
      </c>
      <c r="D20" s="230" t="s">
        <v>1417</v>
      </c>
      <c r="E20" s="223"/>
      <c r="F20" s="224" t="s">
        <v>54</v>
      </c>
      <c r="G20" s="225" t="s">
        <v>131</v>
      </c>
      <c r="H20" s="223" t="s">
        <v>1418</v>
      </c>
      <c r="I20" s="226"/>
      <c r="J20" s="504"/>
      <c r="K20" s="697" t="str" cm="1">
        <f t="array" ref="K20">IF(ISBLANK(J20), IF(ISBLANK(I20), "N/A", _xlfn.IFS(L20="AS", I20+15, L20="NCR", I20+30, L20="submitted", I20+30, TRUE, "N/A")), _xlfn.IFS(L20="AS", J20+15, L20="NCR", J20+30, L20="submitted", J20+30, TRUE, "N/A"))</f>
        <v>N/A</v>
      </c>
      <c r="L20" s="222"/>
      <c r="M20" s="317"/>
      <c r="N20" s="802"/>
      <c r="O20" s="803"/>
      <c r="P20" s="803"/>
      <c r="Q20" s="804"/>
    </row>
    <row r="21" spans="2:17" s="138" customFormat="1" ht="31.5" customHeight="1">
      <c r="B21" s="151" t="s">
        <v>1419</v>
      </c>
      <c r="C21" s="169" t="s">
        <v>1420</v>
      </c>
      <c r="D21" s="260" t="s">
        <v>1421</v>
      </c>
      <c r="E21" s="426" t="s">
        <v>1422</v>
      </c>
      <c r="F21" s="158" t="s">
        <v>161</v>
      </c>
      <c r="G21" s="178" t="s">
        <v>281</v>
      </c>
      <c r="H21" s="156" t="s">
        <v>1423</v>
      </c>
      <c r="I21" s="357">
        <v>45835</v>
      </c>
      <c r="J21" s="302">
        <v>45887</v>
      </c>
      <c r="K21" s="697" t="str" cm="1">
        <f t="array" ref="K21">IF(ISBLANK(J21), IF(ISBLANK(I21), "N/A", _xlfn.IFS(L21="AS", I21+15, L21="NCR", I21+30, L21="submitted", I21+30, TRUE, "N/A")), _xlfn.IFS(L21="AS", J21+15, L21="NCR", J21+30, L21="submitted", J21+30, TRUE, "N/A"))</f>
        <v>N/A</v>
      </c>
      <c r="L21" s="168" t="s">
        <v>151</v>
      </c>
      <c r="M21" s="317"/>
      <c r="N21" s="802"/>
      <c r="O21" s="803"/>
      <c r="P21" s="803"/>
      <c r="Q21" s="804"/>
    </row>
    <row r="22" spans="2:17" s="149" customFormat="1" ht="15" customHeight="1">
      <c r="B22" s="146" t="s">
        <v>55</v>
      </c>
      <c r="C22" s="245" t="s">
        <v>1420</v>
      </c>
      <c r="D22" s="332" t="s">
        <v>1421</v>
      </c>
      <c r="E22" s="220" t="s">
        <v>1424</v>
      </c>
      <c r="F22" s="167" t="s">
        <v>54</v>
      </c>
      <c r="G22" s="179" t="s">
        <v>269</v>
      </c>
      <c r="H22" s="166" t="s">
        <v>1425</v>
      </c>
      <c r="I22" s="275">
        <v>45867</v>
      </c>
      <c r="J22" s="234">
        <v>45895</v>
      </c>
      <c r="K22" s="697" cm="1">
        <f t="array" ref="K22">IF(ISBLANK(J22), IF(ISBLANK(I22), "N/A", _xlfn.IFS(L22="AS", I22+15, L22="NCR", I22+30, L22="submitted", I22+30, TRUE, "N/A")), _xlfn.IFS(L22="AS", J22+15, L22="NCR", J22+30, L22="submitted", J22+30, TRUE, "N/A"))</f>
        <v>45910</v>
      </c>
      <c r="L22" s="219" t="s">
        <v>752</v>
      </c>
      <c r="M22" s="317"/>
      <c r="N22" s="802"/>
      <c r="O22" s="803"/>
      <c r="P22" s="803"/>
      <c r="Q22" s="804"/>
    </row>
    <row r="23" spans="2:17" s="5" customFormat="1" ht="15" customHeight="1">
      <c r="B23" s="4"/>
      <c r="C23" s="54" t="s">
        <v>1420</v>
      </c>
      <c r="D23" s="55" t="s">
        <v>1421</v>
      </c>
      <c r="E23" s="144"/>
      <c r="F23" s="143" t="s">
        <v>161</v>
      </c>
      <c r="G23" s="145" t="s">
        <v>259</v>
      </c>
      <c r="H23" s="132" t="s">
        <v>1426</v>
      </c>
      <c r="I23" s="199"/>
      <c r="J23" s="503"/>
      <c r="K23" s="697" t="str" cm="1">
        <f t="array" ref="K23">IF(ISBLANK(J23), IF(ISBLANK(I23), "N/A", _xlfn.IFS(L23="AS", I23+15, L23="NCR", I23+30, L23="submitted", I23+30, TRUE, "N/A")), _xlfn.IFS(L23="AS", J23+15, L23="NCR", J23+30, L23="submitted", J23+30, TRUE, "N/A"))</f>
        <v>N/A</v>
      </c>
      <c r="L23" s="36"/>
      <c r="M23" s="317"/>
      <c r="N23" s="802"/>
      <c r="O23" s="803"/>
      <c r="P23" s="803"/>
      <c r="Q23" s="804"/>
    </row>
    <row r="24" spans="2:17" s="1" customFormat="1" ht="15" customHeight="1">
      <c r="B24" s="9"/>
      <c r="C24" s="821" t="s">
        <v>1427</v>
      </c>
      <c r="D24" s="2" t="s">
        <v>1428</v>
      </c>
      <c r="E24" s="174"/>
      <c r="F24" s="142" t="s">
        <v>1378</v>
      </c>
      <c r="G24" s="141" t="s">
        <v>212</v>
      </c>
      <c r="H24" s="161" t="s">
        <v>1429</v>
      </c>
      <c r="I24" s="196"/>
      <c r="J24" s="501"/>
      <c r="K24" s="697" t="str" cm="1">
        <f t="array" ref="K24">IF(ISBLANK(J24), IF(ISBLANK(I24), "N/A", _xlfn.IFS(L24="AS", I24+15, L24="NCR", I24+30, L24="submitted", I24+30, TRUE, "N/A")), _xlfn.IFS(L24="AS", J24+15, L24="NCR", J24+30, L24="submitted", J24+30, TRUE, "N/A"))</f>
        <v>N/A</v>
      </c>
      <c r="L24" s="37"/>
      <c r="M24" s="317"/>
      <c r="N24" s="802"/>
      <c r="O24" s="803"/>
      <c r="P24" s="803"/>
      <c r="Q24" s="804"/>
    </row>
    <row r="25" spans="2:17" s="1" customFormat="1" ht="27" customHeight="1">
      <c r="B25" s="22"/>
      <c r="C25" s="822"/>
      <c r="D25" s="2" t="s">
        <v>1428</v>
      </c>
      <c r="E25" s="201"/>
      <c r="F25" s="142" t="s">
        <v>1378</v>
      </c>
      <c r="G25" s="141" t="s">
        <v>234</v>
      </c>
      <c r="H25" s="164" t="s">
        <v>1430</v>
      </c>
      <c r="I25" s="200"/>
      <c r="J25" s="500"/>
      <c r="K25" s="697" t="str" cm="1">
        <f t="array" ref="K25">IF(ISBLANK(J25), IF(ISBLANK(I25), "N/A", _xlfn.IFS(L25="AS", I25+15, L25="NCR", I25+30, L25="submitted", I25+30, TRUE, "N/A")), _xlfn.IFS(L25="AS", J25+15, L25="NCR", J25+30, L25="submitted", J25+30, TRUE, "N/A"))</f>
        <v>N/A</v>
      </c>
      <c r="L25" s="39"/>
      <c r="M25" s="317"/>
      <c r="N25" s="802"/>
      <c r="O25" s="803"/>
      <c r="P25" s="803"/>
      <c r="Q25" s="804"/>
    </row>
    <row r="26" spans="2:17" s="1" customFormat="1" ht="15" customHeight="1">
      <c r="B26" s="9"/>
      <c r="C26" s="822"/>
      <c r="D26" s="2" t="s">
        <v>1428</v>
      </c>
      <c r="E26" s="175"/>
      <c r="F26" s="142" t="s">
        <v>1378</v>
      </c>
      <c r="G26" s="141" t="s">
        <v>236</v>
      </c>
      <c r="H26" s="161" t="s">
        <v>1431</v>
      </c>
      <c r="I26" s="196"/>
      <c r="J26" s="501"/>
      <c r="K26" s="697" t="str" cm="1">
        <f t="array" ref="K26">IF(ISBLANK(J26), IF(ISBLANK(I26), "N/A", _xlfn.IFS(L26="AS", I26+15, L26="NCR", I26+30, L26="submitted", I26+30, TRUE, "N/A")), _xlfn.IFS(L26="AS", J26+15, L26="NCR", J26+30, L26="submitted", J26+30, TRUE, "N/A"))</f>
        <v>N/A</v>
      </c>
      <c r="L26" s="39"/>
      <c r="M26" s="317"/>
      <c r="N26" s="802"/>
      <c r="O26" s="803"/>
      <c r="P26" s="803"/>
      <c r="Q26" s="804"/>
    </row>
    <row r="27" spans="2:17" s="1" customFormat="1" ht="15" customHeight="1">
      <c r="B27" s="9"/>
      <c r="C27" s="822"/>
      <c r="D27" s="2" t="s">
        <v>1428</v>
      </c>
      <c r="E27" s="175"/>
      <c r="F27" s="142" t="s">
        <v>1378</v>
      </c>
      <c r="G27" s="141" t="s">
        <v>337</v>
      </c>
      <c r="H27" s="161" t="s">
        <v>1432</v>
      </c>
      <c r="I27" s="196"/>
      <c r="J27" s="501"/>
      <c r="K27" s="697" t="str" cm="1">
        <f t="array" ref="K27">IF(ISBLANK(J27), IF(ISBLANK(I27), "N/A", _xlfn.IFS(L27="AS", I27+15, L27="NCR", I27+30, L27="submitted", I27+30, TRUE, "N/A")), _xlfn.IFS(L27="AS", J27+15, L27="NCR", J27+30, L27="submitted", J27+30, TRUE, "N/A"))</f>
        <v>N/A</v>
      </c>
      <c r="L27" s="39"/>
      <c r="M27" s="317"/>
      <c r="N27" s="802"/>
      <c r="O27" s="803"/>
      <c r="P27" s="803"/>
      <c r="Q27" s="804"/>
    </row>
    <row r="28" spans="2:17" s="138" customFormat="1" ht="15" customHeight="1">
      <c r="B28" s="151" t="s">
        <v>57</v>
      </c>
      <c r="C28" s="822"/>
      <c r="D28" s="260" t="s">
        <v>1428</v>
      </c>
      <c r="E28" s="356" t="s">
        <v>58</v>
      </c>
      <c r="F28" s="158" t="s">
        <v>1378</v>
      </c>
      <c r="G28" s="178" t="s">
        <v>338</v>
      </c>
      <c r="H28" s="162" t="s">
        <v>1433</v>
      </c>
      <c r="I28" s="274">
        <v>45841</v>
      </c>
      <c r="J28" s="216">
        <v>45891</v>
      </c>
      <c r="K28" s="697" t="str" cm="1">
        <f t="array" ref="K28">IF(ISBLANK(J28), IF(ISBLANK(I28), "N/A", _xlfn.IFS(L28="AS", I28+15, L28="NCR", I28+30, L28="submitted", I28+30, TRUE, "N/A")), _xlfn.IFS(L28="AS", J28+15, L28="NCR", J28+30, L28="submitted", J28+30, TRUE, "N/A"))</f>
        <v>N/A</v>
      </c>
      <c r="L28" s="168" t="s">
        <v>151</v>
      </c>
      <c r="M28" s="317"/>
      <c r="N28" s="802"/>
      <c r="O28" s="803"/>
      <c r="P28" s="803"/>
      <c r="Q28" s="804"/>
    </row>
    <row r="29" spans="2:17" s="138" customFormat="1" ht="15" customHeight="1">
      <c r="B29" s="151" t="s">
        <v>57</v>
      </c>
      <c r="C29" s="822"/>
      <c r="D29" s="260" t="s">
        <v>1428</v>
      </c>
      <c r="E29" s="356" t="s">
        <v>58</v>
      </c>
      <c r="F29" s="158" t="s">
        <v>1378</v>
      </c>
      <c r="G29" s="178" t="s">
        <v>1265</v>
      </c>
      <c r="H29" s="162" t="s">
        <v>1434</v>
      </c>
      <c r="I29" s="274">
        <v>45841</v>
      </c>
      <c r="J29" s="216">
        <v>45891</v>
      </c>
      <c r="K29" s="697" t="str" cm="1">
        <f t="array" ref="K29">IF(ISBLANK(J29), IF(ISBLANK(I29), "N/A", _xlfn.IFS(L29="AS", I29+15, L29="NCR", I29+30, L29="submitted", I29+30, TRUE, "N/A")), _xlfn.IFS(L29="AS", J29+15, L29="NCR", J29+30, L29="submitted", J29+30, TRUE, "N/A"))</f>
        <v>N/A</v>
      </c>
      <c r="L29" s="168" t="s">
        <v>151</v>
      </c>
      <c r="M29" s="317"/>
      <c r="N29" s="802"/>
      <c r="O29" s="803"/>
      <c r="P29" s="803"/>
      <c r="Q29" s="804"/>
    </row>
    <row r="30" spans="2:17" s="483" customFormat="1" ht="15" customHeight="1">
      <c r="B30" s="348" t="s">
        <v>59</v>
      </c>
      <c r="C30" s="822"/>
      <c r="D30" s="351" t="s">
        <v>1428</v>
      </c>
      <c r="E30" s="512" t="s">
        <v>1435</v>
      </c>
      <c r="F30" s="513" t="s">
        <v>161</v>
      </c>
      <c r="G30" s="514" t="s">
        <v>1267</v>
      </c>
      <c r="H30" s="353" t="s">
        <v>1436</v>
      </c>
      <c r="I30" s="515">
        <v>45873</v>
      </c>
      <c r="J30" s="354">
        <v>45894</v>
      </c>
      <c r="K30" s="697" t="str" cm="1">
        <f t="array" ref="K30">IF(ISBLANK(J30), IF(ISBLANK(I30), "N/A", _xlfn.IFS(L30="AS", I30+15, L30="NCR", I30+30, L30="submitted", I30+30, TRUE, "N/A")), _xlfn.IFS(L30="AS", J30+15, L30="NCR", J30+30, L30="submitted", J30+30, TRUE, "N/A"))</f>
        <v>N/A</v>
      </c>
      <c r="L30" s="168" t="s">
        <v>151</v>
      </c>
      <c r="M30" s="317"/>
      <c r="N30" s="802"/>
      <c r="O30" s="803"/>
      <c r="P30" s="803"/>
      <c r="Q30" s="804"/>
    </row>
    <row r="31" spans="2:17" s="1" customFormat="1" ht="27" customHeight="1">
      <c r="B31" s="9"/>
      <c r="C31" s="807"/>
      <c r="D31" s="2" t="s">
        <v>1428</v>
      </c>
      <c r="E31" s="175"/>
      <c r="F31" s="142" t="s">
        <v>1378</v>
      </c>
      <c r="G31" s="141" t="s">
        <v>406</v>
      </c>
      <c r="H31" s="164" t="s">
        <v>1437</v>
      </c>
      <c r="I31" s="200"/>
      <c r="J31" s="500"/>
      <c r="K31" s="697" t="str" cm="1">
        <f t="array" ref="K31">IF(ISBLANK(J31), IF(ISBLANK(I31), "N/A", _xlfn.IFS(L31="AS", I31+15, L31="NCR", I31+30, L31="submitted", I31+30, TRUE, "N/A")), _xlfn.IFS(L31="AS", J31+15, L31="NCR", J31+30, L31="submitted", J31+30, TRUE, "N/A"))</f>
        <v>N/A</v>
      </c>
      <c r="L31" s="46"/>
      <c r="M31" s="317"/>
      <c r="N31" s="802"/>
      <c r="O31" s="803"/>
      <c r="P31" s="803"/>
      <c r="Q31" s="804"/>
    </row>
    <row r="32" spans="2:17" s="210" customFormat="1" ht="15" customHeight="1">
      <c r="B32" s="204"/>
      <c r="C32" s="825" t="s">
        <v>1438</v>
      </c>
      <c r="D32" s="876" t="s">
        <v>1439</v>
      </c>
      <c r="E32" s="206"/>
      <c r="F32" s="584" t="s">
        <v>1378</v>
      </c>
      <c r="G32" s="207" t="s">
        <v>391</v>
      </c>
      <c r="H32" s="208" t="s">
        <v>282</v>
      </c>
      <c r="I32" s="209"/>
      <c r="J32" s="505"/>
      <c r="K32" s="697" t="str" cm="1">
        <f t="array" ref="K32">IF(ISBLANK(J32), IF(ISBLANK(I32), "N/A", _xlfn.IFS(L32="AS", I32+15, L32="NCR", I32+30, L32="submitted", I32+30, TRUE, "N/A")), _xlfn.IFS(L32="AS", J32+15, L32="NCR", J32+30, L32="submitted", J32+30, TRUE, "N/A"))</f>
        <v>N/A</v>
      </c>
      <c r="L32" s="205"/>
      <c r="M32" s="317"/>
      <c r="N32" s="802"/>
      <c r="O32" s="803"/>
      <c r="P32" s="803"/>
      <c r="Q32" s="804"/>
    </row>
    <row r="33" spans="2:17" s="149" customFormat="1" ht="27" customHeight="1">
      <c r="B33" s="146" t="s">
        <v>1440</v>
      </c>
      <c r="C33" s="829"/>
      <c r="D33" s="877"/>
      <c r="E33" s="167" t="s">
        <v>1441</v>
      </c>
      <c r="F33" s="585" t="s">
        <v>1378</v>
      </c>
      <c r="G33" s="179" t="s">
        <v>1442</v>
      </c>
      <c r="H33" s="214" t="s">
        <v>1443</v>
      </c>
      <c r="I33" s="277">
        <v>45820</v>
      </c>
      <c r="J33" s="337">
        <f>30+I33</f>
        <v>45850</v>
      </c>
      <c r="K33" s="697" t="str" cm="1">
        <f t="array" ref="K33">IF(ISBLANK(J33), IF(ISBLANK(I33), "N/A", _xlfn.IFS(L33="AS", I33+15, L33="NCR", I33+30, L33="submitted", I33+30, TRUE, "N/A")), _xlfn.IFS(L33="AS", J33+15, L33="NCR", J33+30, L33="submitted", J33+30, TRUE, "N/A"))</f>
        <v>N/A</v>
      </c>
      <c r="L33" s="219" t="s">
        <v>147</v>
      </c>
      <c r="M33" s="317"/>
      <c r="N33" s="802"/>
      <c r="O33" s="803"/>
      <c r="P33" s="803"/>
      <c r="Q33" s="804"/>
    </row>
    <row r="34" spans="2:17" s="149" customFormat="1" ht="28.5" customHeight="1">
      <c r="B34" s="146" t="s">
        <v>1440</v>
      </c>
      <c r="C34" s="826"/>
      <c r="D34" s="878"/>
      <c r="E34" s="167" t="s">
        <v>1441</v>
      </c>
      <c r="F34" s="585" t="s">
        <v>1378</v>
      </c>
      <c r="G34" s="179" t="s">
        <v>1444</v>
      </c>
      <c r="H34" s="214" t="s">
        <v>1445</v>
      </c>
      <c r="I34" s="277">
        <v>45820</v>
      </c>
      <c r="J34" s="337">
        <f>30+I34</f>
        <v>45850</v>
      </c>
      <c r="K34" s="697" t="str" cm="1">
        <f t="array" ref="K34">IF(ISBLANK(J34), IF(ISBLANK(I34), "N/A", _xlfn.IFS(L34="AS", I34+15, L34="NCR", I34+30, L34="submitted", I34+30, TRUE, "N/A")), _xlfn.IFS(L34="AS", J34+15, L34="NCR", J34+30, L34="submitted", J34+30, TRUE, "N/A"))</f>
        <v>N/A</v>
      </c>
      <c r="L34" s="219" t="s">
        <v>147</v>
      </c>
      <c r="M34" s="317"/>
      <c r="N34" s="802"/>
      <c r="O34" s="803"/>
      <c r="P34" s="803"/>
      <c r="Q34" s="804"/>
    </row>
    <row r="35" spans="2:17" s="1" customFormat="1" ht="27" customHeight="1">
      <c r="B35" s="9"/>
      <c r="C35" s="47" t="s">
        <v>1446</v>
      </c>
      <c r="D35" s="2" t="s">
        <v>1447</v>
      </c>
      <c r="E35" s="175"/>
      <c r="F35" s="142" t="s">
        <v>1448</v>
      </c>
      <c r="G35" s="141" t="s">
        <v>212</v>
      </c>
      <c r="H35" s="164" t="s">
        <v>1449</v>
      </c>
      <c r="I35" s="200"/>
      <c r="J35" s="500"/>
      <c r="K35" s="697" t="str" cm="1">
        <f t="array" ref="K35">IF(ISBLANK(J35), IF(ISBLANK(I35), "N/A", _xlfn.IFS(L35="AS", I35+15, L35="NCR", I35+30, L35="submitted", I35+30, TRUE, "N/A")), _xlfn.IFS(L35="AS", J35+15, L35="NCR", J35+30, L35="submitted", J35+30, TRUE, "N/A"))</f>
        <v>N/A</v>
      </c>
      <c r="L35" s="37"/>
      <c r="M35" s="317"/>
      <c r="N35" s="802"/>
      <c r="O35" s="803"/>
      <c r="P35" s="803"/>
      <c r="Q35" s="804"/>
    </row>
    <row r="36" spans="2:17" s="138" customFormat="1" ht="30" customHeight="1">
      <c r="B36" s="151" t="s">
        <v>1450</v>
      </c>
      <c r="C36" s="169" t="s">
        <v>1446</v>
      </c>
      <c r="D36" s="260" t="s">
        <v>1447</v>
      </c>
      <c r="E36" s="356" t="s">
        <v>1451</v>
      </c>
      <c r="F36" s="158" t="s">
        <v>161</v>
      </c>
      <c r="G36" s="178" t="s">
        <v>336</v>
      </c>
      <c r="H36" s="156" t="s">
        <v>1452</v>
      </c>
      <c r="I36" s="357">
        <v>45826</v>
      </c>
      <c r="J36" s="302">
        <v>45869</v>
      </c>
      <c r="K36" s="697" t="str" cm="1">
        <f t="array" ref="K36">IF(ISBLANK(J36), IF(ISBLANK(I36), "N/A", _xlfn.IFS(L36="AS", I36+15, L36="NCR", I36+30, L36="submitted", I36+30, TRUE, "N/A")), _xlfn.IFS(L36="AS", J36+15, L36="NCR", J36+30, L36="submitted", J36+30, TRUE, "N/A"))</f>
        <v>N/A</v>
      </c>
      <c r="L36" s="346" t="s">
        <v>151</v>
      </c>
      <c r="M36" s="317"/>
      <c r="N36" s="802"/>
      <c r="O36" s="803"/>
      <c r="P36" s="803"/>
      <c r="Q36" s="804"/>
    </row>
    <row r="37" spans="2:17" s="1" customFormat="1" ht="27" customHeight="1">
      <c r="B37" s="9" t="s">
        <v>1453</v>
      </c>
      <c r="C37" s="47" t="s">
        <v>1446</v>
      </c>
      <c r="D37" s="2" t="s">
        <v>1447</v>
      </c>
      <c r="E37" s="175" t="s">
        <v>1454</v>
      </c>
      <c r="F37" s="142" t="s">
        <v>161</v>
      </c>
      <c r="G37" s="141" t="s">
        <v>240</v>
      </c>
      <c r="H37" s="164" t="s">
        <v>1455</v>
      </c>
      <c r="I37" s="200"/>
      <c r="J37" s="500"/>
      <c r="K37" s="697" t="str" cm="1">
        <f t="array" ref="K37">IF(ISBLANK(J37), IF(ISBLANK(I37), "N/A", _xlfn.IFS(L37="AS", I37+15, L37="NCR", I37+30, L37="submitted", I37+30, TRUE, "N/A")), _xlfn.IFS(L37="AS", J37+15, L37="NCR", J37+30, L37="submitted", J37+30, TRUE, "N/A"))</f>
        <v>N/A</v>
      </c>
      <c r="L37" s="39" t="s">
        <v>203</v>
      </c>
      <c r="M37" s="317"/>
      <c r="N37" s="802"/>
      <c r="O37" s="803"/>
      <c r="P37" s="803"/>
      <c r="Q37" s="804"/>
    </row>
    <row r="38" spans="2:17" s="1" customFormat="1" ht="40.5" customHeight="1">
      <c r="B38" s="9"/>
      <c r="C38" s="47" t="s">
        <v>1446</v>
      </c>
      <c r="D38" s="2" t="s">
        <v>1447</v>
      </c>
      <c r="E38" s="177"/>
      <c r="F38" s="142" t="s">
        <v>1448</v>
      </c>
      <c r="G38" s="141" t="s">
        <v>404</v>
      </c>
      <c r="H38" s="164" t="s">
        <v>1456</v>
      </c>
      <c r="I38" s="200"/>
      <c r="J38" s="500"/>
      <c r="K38" s="697" t="str" cm="1">
        <f t="array" ref="K38">IF(ISBLANK(J38), IF(ISBLANK(I38), "N/A", _xlfn.IFS(L38="AS", I38+15, L38="NCR", I38+30, L38="submitted", I38+30, TRUE, "N/A")), _xlfn.IFS(L38="AS", J38+15, L38="NCR", J38+30, L38="submitted", J38+30, TRUE, "N/A"))</f>
        <v>N/A</v>
      </c>
      <c r="L38" s="46"/>
      <c r="M38" s="317"/>
      <c r="N38" s="802"/>
      <c r="O38" s="803"/>
      <c r="P38" s="803"/>
      <c r="Q38" s="804"/>
    </row>
    <row r="39" spans="2:17" s="149" customFormat="1" ht="27" customHeight="1">
      <c r="B39" s="332" t="s">
        <v>42</v>
      </c>
      <c r="C39" s="54" t="s">
        <v>1457</v>
      </c>
      <c r="D39" s="332" t="s">
        <v>1458</v>
      </c>
      <c r="E39" s="176" t="s">
        <v>1459</v>
      </c>
      <c r="F39" s="167" t="s">
        <v>1378</v>
      </c>
      <c r="G39" s="179" t="s">
        <v>208</v>
      </c>
      <c r="H39" s="214" t="s">
        <v>1460</v>
      </c>
      <c r="I39" s="277">
        <v>45866</v>
      </c>
      <c r="J39" s="337">
        <v>45888</v>
      </c>
      <c r="K39" s="697" cm="1">
        <f t="array" ref="K39">IF(ISBLANK(J39), IF(ISBLANK(I39), "N/A", _xlfn.IFS(L39="AS", I39+15, L39="NCR", I39+30, L39="submitted", I39+30, TRUE, "N/A")), _xlfn.IFS(L39="AS", J39+15, L39="NCR", J39+30, L39="submitted", J39+30, TRUE, "N/A"))</f>
        <v>45918</v>
      </c>
      <c r="L39" s="147" t="s">
        <v>157</v>
      </c>
      <c r="M39" s="317"/>
      <c r="N39" s="811"/>
      <c r="O39" s="812"/>
      <c r="P39" s="812"/>
      <c r="Q39" s="813"/>
    </row>
    <row r="40" spans="2:17" s="5" customFormat="1" ht="15" customHeight="1">
      <c r="B40" s="4"/>
      <c r="C40" s="54" t="s">
        <v>1457</v>
      </c>
      <c r="D40" s="31"/>
      <c r="F40" s="143" t="s">
        <v>161</v>
      </c>
      <c r="G40" s="145" t="s">
        <v>543</v>
      </c>
      <c r="H40" s="160" t="s">
        <v>1461</v>
      </c>
      <c r="I40" s="195"/>
      <c r="J40" s="299"/>
      <c r="K40" s="697" t="str" cm="1">
        <f t="array" ref="K40">IF(ISBLANK(J40), IF(ISBLANK(I40), "N/A", _xlfn.IFS(L40="AS", I40+15, L40="NCR", I40+30, L40="submitted", I40+30, TRUE, "N/A")), _xlfn.IFS(L40="AS", J40+15, L40="NCR", J40+30, L40="submitted", J40+30, TRUE, "N/A"))</f>
        <v>N/A</v>
      </c>
      <c r="L40" s="17"/>
      <c r="M40" s="317"/>
      <c r="N40" s="796" t="s">
        <v>133</v>
      </c>
      <c r="O40" s="797"/>
      <c r="P40" s="797"/>
      <c r="Q40" s="798"/>
    </row>
    <row r="41" spans="2:17" s="1" customFormat="1" ht="15" customHeight="1">
      <c r="B41" s="9"/>
      <c r="C41" s="821" t="s">
        <v>1462</v>
      </c>
      <c r="D41" s="823" t="s">
        <v>1463</v>
      </c>
      <c r="F41" s="142" t="s">
        <v>1378</v>
      </c>
      <c r="G41" s="141" t="s">
        <v>208</v>
      </c>
      <c r="H41" s="161" t="s">
        <v>1464</v>
      </c>
      <c r="I41" s="196"/>
      <c r="J41" s="501"/>
      <c r="K41" s="697" t="str" cm="1">
        <f t="array" ref="K41">IF(ISBLANK(J41), IF(ISBLANK(I41), "N/A", _xlfn.IFS(L41="AS", I41+15, L41="NCR", I41+30, L41="submitted", I41+30, TRUE, "N/A")), _xlfn.IFS(L41="AS", J41+15, L41="NCR", J41+30, L41="submitted", J41+30, TRUE, "N/A"))</f>
        <v>N/A</v>
      </c>
      <c r="L41" s="37"/>
      <c r="M41" s="317"/>
      <c r="N41" s="799"/>
      <c r="O41" s="800"/>
      <c r="P41" s="800"/>
      <c r="Q41" s="801"/>
    </row>
    <row r="42" spans="2:17" s="1" customFormat="1" ht="15" customHeight="1">
      <c r="B42" s="9"/>
      <c r="C42" s="822"/>
      <c r="D42" s="824"/>
      <c r="F42" s="142" t="s">
        <v>1378</v>
      </c>
      <c r="G42" s="141" t="s">
        <v>281</v>
      </c>
      <c r="H42" s="161" t="s">
        <v>1465</v>
      </c>
      <c r="I42" s="196"/>
      <c r="J42" s="501"/>
      <c r="K42" s="697" t="str" cm="1">
        <f t="array" ref="K42">IF(ISBLANK(J42), IF(ISBLANK(I42), "N/A", _xlfn.IFS(L42="AS", I42+15, L42="NCR", I42+30, L42="submitted", I42+30, TRUE, "N/A")), _xlfn.IFS(L42="AS", J42+15, L42="NCR", J42+30, L42="submitted", J42+30, TRUE, "N/A"))</f>
        <v>N/A</v>
      </c>
      <c r="L42" s="39"/>
      <c r="M42" s="317"/>
      <c r="N42" s="799"/>
      <c r="O42" s="800"/>
      <c r="P42" s="800"/>
      <c r="Q42" s="801"/>
    </row>
    <row r="43" spans="2:17" s="1" customFormat="1" ht="15" customHeight="1">
      <c r="B43" s="9"/>
      <c r="C43" s="807"/>
      <c r="D43" s="809"/>
      <c r="F43" s="142" t="s">
        <v>161</v>
      </c>
      <c r="G43" s="141" t="s">
        <v>269</v>
      </c>
      <c r="H43" s="161" t="s">
        <v>964</v>
      </c>
      <c r="I43" s="196"/>
      <c r="J43" s="501"/>
      <c r="K43" s="697" t="str" cm="1">
        <f t="array" ref="K43">IF(ISBLANK(J43), IF(ISBLANK(I43), "N/A", _xlfn.IFS(L43="AS", I43+15, L43="NCR", I43+30, L43="submitted", I43+30, TRUE, "N/A")), _xlfn.IFS(L43="AS", J43+15, L43="NCR", J43+30, L43="submitted", J43+30, TRUE, "N/A"))</f>
        <v>N/A</v>
      </c>
      <c r="L43" s="46"/>
      <c r="M43" s="317"/>
      <c r="N43" s="799"/>
      <c r="O43" s="800"/>
      <c r="P43" s="800"/>
      <c r="Q43" s="801"/>
    </row>
    <row r="44" spans="2:17" s="5" customFormat="1" ht="15" customHeight="1">
      <c r="B44" s="4"/>
      <c r="C44" s="825" t="s">
        <v>1466</v>
      </c>
      <c r="D44" s="827" t="s">
        <v>1467</v>
      </c>
      <c r="E44" s="130"/>
      <c r="F44" s="143" t="s">
        <v>1378</v>
      </c>
      <c r="G44" s="145" t="s">
        <v>336</v>
      </c>
      <c r="H44" s="132" t="s">
        <v>1468</v>
      </c>
      <c r="I44" s="199"/>
      <c r="J44" s="503"/>
      <c r="K44" s="697" t="str" cm="1">
        <f t="array" ref="K44">IF(ISBLANK(J44), IF(ISBLANK(I44), "N/A", _xlfn.IFS(L44="AS", I44+15, L44="NCR", I44+30, L44="submitted", I44+30, TRUE, "N/A")), _xlfn.IFS(L44="AS", J44+15, L44="NCR", J44+30, L44="submitted", J44+30, TRUE, "N/A"))</f>
        <v>N/A</v>
      </c>
      <c r="L44" s="34"/>
      <c r="M44" s="317"/>
      <c r="N44" s="799"/>
      <c r="O44" s="800"/>
      <c r="P44" s="800"/>
      <c r="Q44" s="801"/>
    </row>
    <row r="45" spans="2:17" s="5" customFormat="1" ht="15" customHeight="1">
      <c r="B45" s="4"/>
      <c r="C45" s="829"/>
      <c r="D45" s="830"/>
      <c r="E45" s="131"/>
      <c r="F45" s="143" t="s">
        <v>1378</v>
      </c>
      <c r="G45" s="145" t="s">
        <v>240</v>
      </c>
      <c r="H45" s="132" t="s">
        <v>1469</v>
      </c>
      <c r="I45" s="199"/>
      <c r="J45" s="503"/>
      <c r="K45" s="697" t="str" cm="1">
        <f t="array" ref="K45">IF(ISBLANK(J45), IF(ISBLANK(I45), "N/A", _xlfn.IFS(L45="AS", I45+15, L45="NCR", I45+30, L45="submitted", I45+30, TRUE, "N/A")), _xlfn.IFS(L45="AS", J45+15, L45="NCR", J45+30, L45="submitted", J45+30, TRUE, "N/A"))</f>
        <v>N/A</v>
      </c>
      <c r="L45" s="35"/>
      <c r="M45" s="317"/>
      <c r="N45" s="799"/>
      <c r="O45" s="800"/>
      <c r="P45" s="800"/>
      <c r="Q45" s="801"/>
    </row>
    <row r="46" spans="2:17" s="5" customFormat="1" ht="15" customHeight="1">
      <c r="B46" s="4"/>
      <c r="C46" s="829"/>
      <c r="D46" s="830"/>
      <c r="E46" s="131"/>
      <c r="F46" s="143" t="s">
        <v>161</v>
      </c>
      <c r="G46" s="145" t="s">
        <v>338</v>
      </c>
      <c r="H46" s="132" t="s">
        <v>1470</v>
      </c>
      <c r="I46" s="199"/>
      <c r="J46" s="503"/>
      <c r="K46" s="697" t="str" cm="1">
        <f t="array" ref="K46">IF(ISBLANK(J46), IF(ISBLANK(I46), "N/A", _xlfn.IFS(L46="AS", I46+15, L46="NCR", I46+30, L46="submitted", I46+30, TRUE, "N/A")), _xlfn.IFS(L46="AS", J46+15, L46="NCR", J46+30, L46="submitted", J46+30, TRUE, "N/A"))</f>
        <v>N/A</v>
      </c>
      <c r="L46" s="35"/>
      <c r="M46" s="317"/>
      <c r="N46" s="799"/>
      <c r="O46" s="800"/>
      <c r="P46" s="800"/>
      <c r="Q46" s="801"/>
    </row>
    <row r="47" spans="2:17" s="5" customFormat="1" ht="15" customHeight="1">
      <c r="B47" s="4"/>
      <c r="C47" s="826"/>
      <c r="D47" s="828"/>
      <c r="E47" s="144"/>
      <c r="F47" s="143" t="s">
        <v>161</v>
      </c>
      <c r="G47" s="145" t="s">
        <v>1265</v>
      </c>
      <c r="H47" s="132" t="s">
        <v>1471</v>
      </c>
      <c r="I47" s="199"/>
      <c r="J47" s="503"/>
      <c r="K47" s="697" t="str" cm="1">
        <f t="array" ref="K47">IF(ISBLANK(J47), IF(ISBLANK(I47), "N/A", _xlfn.IFS(L47="AS", I47+15, L47="NCR", I47+30, L47="submitted", I47+30, TRUE, "N/A")), _xlfn.IFS(L47="AS", J47+15, L47="NCR", J47+30, L47="submitted", J47+30, TRUE, "N/A"))</f>
        <v>N/A</v>
      </c>
      <c r="L47" s="36"/>
      <c r="M47" s="317"/>
      <c r="N47" s="799"/>
      <c r="O47" s="800"/>
      <c r="P47" s="800"/>
      <c r="Q47" s="801"/>
    </row>
    <row r="48" spans="2:17" s="138" customFormat="1" ht="21" customHeight="1">
      <c r="B48" s="151" t="s">
        <v>1472</v>
      </c>
      <c r="C48" s="172" t="s">
        <v>1473</v>
      </c>
      <c r="D48" s="152" t="s">
        <v>1474</v>
      </c>
      <c r="E48" s="162"/>
      <c r="F48" s="158" t="s">
        <v>1378</v>
      </c>
      <c r="G48" s="178" t="s">
        <v>131</v>
      </c>
      <c r="H48" s="162" t="s">
        <v>1475</v>
      </c>
      <c r="I48" s="274">
        <v>45761</v>
      </c>
      <c r="J48" s="216">
        <v>45762</v>
      </c>
      <c r="K48" s="697" t="str" cm="1">
        <f t="array" ref="K48">IF(ISBLANK(J48), IF(ISBLANK(I48), "N/A", _xlfn.IFS(L48="AS", I48+15, L48="NCR", I48+30, L48="submitted", I48+30, TRUE, "N/A")), _xlfn.IFS(L48="AS", J48+15, L48="NCR", J48+30, L48="submitted", J48+30, TRUE, "N/A"))</f>
        <v>N/A</v>
      </c>
      <c r="L48" s="152" t="s">
        <v>147</v>
      </c>
      <c r="M48" s="317"/>
      <c r="N48" s="802" t="s">
        <v>148</v>
      </c>
      <c r="O48" s="803"/>
      <c r="P48" s="803"/>
      <c r="Q48" s="804"/>
    </row>
    <row r="49" spans="2:17" s="138" customFormat="1" ht="21" customHeight="1">
      <c r="B49" s="151" t="s">
        <v>61</v>
      </c>
      <c r="C49" s="172" t="s">
        <v>1473</v>
      </c>
      <c r="D49" s="152" t="s">
        <v>1474</v>
      </c>
      <c r="E49" s="426"/>
      <c r="F49" s="158" t="s">
        <v>1378</v>
      </c>
      <c r="G49" s="178" t="s">
        <v>131</v>
      </c>
      <c r="H49" s="162" t="s">
        <v>1475</v>
      </c>
      <c r="I49" s="274">
        <v>45845</v>
      </c>
      <c r="J49" s="216">
        <v>45884</v>
      </c>
      <c r="K49" s="697" t="str" cm="1">
        <f t="array" ref="K49">IF(ISBLANK(J49), IF(ISBLANK(I49), "N/A", _xlfn.IFS(L49="AS", I49+15, L49="NCR", I49+30, L49="submitted", I49+30, TRUE, "N/A")), _xlfn.IFS(L49="AS", J49+15, L49="NCR", J49+30, L49="submitted", J49+30, TRUE, "N/A"))</f>
        <v>N/A</v>
      </c>
      <c r="L49" s="152" t="s">
        <v>151</v>
      </c>
      <c r="M49" s="317"/>
      <c r="N49" s="802"/>
      <c r="O49" s="803"/>
      <c r="P49" s="803"/>
      <c r="Q49" s="804"/>
    </row>
    <row r="50" spans="2:17" s="525" customFormat="1" ht="15" customHeight="1">
      <c r="B50" s="523" t="s">
        <v>1476</v>
      </c>
      <c r="C50" s="825" t="s">
        <v>1477</v>
      </c>
      <c r="D50" s="827" t="s">
        <v>1478</v>
      </c>
      <c r="E50" s="700" t="s">
        <v>1478</v>
      </c>
      <c r="F50" s="526" t="s">
        <v>1378</v>
      </c>
      <c r="G50" s="527" t="s">
        <v>281</v>
      </c>
      <c r="H50" s="701" t="s">
        <v>282</v>
      </c>
      <c r="I50" s="702">
        <v>45924</v>
      </c>
      <c r="J50" s="703"/>
      <c r="K50" s="697" cm="1">
        <f t="array" ref="K50">IF(ISBLANK(J50), IF(ISBLANK(I50), "N/A", _xlfn.IFS(L50="AS", I50+15, L50="NCR", I50+30, L50="submitted", I50+30, TRUE, "N/A")), _xlfn.IFS(L50="AS", J50+15, L50="NCR", J50+30, L50="submitted", J50+30, TRUE, "N/A"))</f>
        <v>45954</v>
      </c>
      <c r="L50" s="524" t="s">
        <v>581</v>
      </c>
      <c r="M50" s="317"/>
      <c r="N50" s="802"/>
      <c r="O50" s="803"/>
      <c r="P50" s="803"/>
      <c r="Q50" s="804"/>
    </row>
    <row r="51" spans="2:17" s="5" customFormat="1" ht="27" customHeight="1">
      <c r="B51" s="4"/>
      <c r="C51" s="829"/>
      <c r="D51" s="830"/>
      <c r="E51" s="131"/>
      <c r="F51" s="143" t="s">
        <v>1378</v>
      </c>
      <c r="G51" s="145" t="s">
        <v>269</v>
      </c>
      <c r="H51" s="160" t="s">
        <v>1479</v>
      </c>
      <c r="I51" s="195"/>
      <c r="J51" s="299"/>
      <c r="K51" s="697" t="str" cm="1">
        <f t="array" ref="K51">IF(ISBLANK(J51), IF(ISBLANK(I51), "N/A", _xlfn.IFS(L51="AS", I51+15, L51="NCR", I51+30, L51="submitted", I51+30, TRUE, "N/A")), _xlfn.IFS(L51="AS", J51+15, L51="NCR", J51+30, L51="submitted", J51+30, TRUE, "N/A"))</f>
        <v>N/A</v>
      </c>
      <c r="L51" s="35"/>
      <c r="M51" s="317"/>
      <c r="N51" s="802"/>
      <c r="O51" s="803"/>
      <c r="P51" s="803"/>
      <c r="Q51" s="804"/>
    </row>
    <row r="52" spans="2:17" s="5" customFormat="1" ht="27" customHeight="1">
      <c r="B52" s="4"/>
      <c r="C52" s="829"/>
      <c r="D52" s="830"/>
      <c r="E52" s="131"/>
      <c r="F52" s="143" t="s">
        <v>1378</v>
      </c>
      <c r="G52" s="145" t="s">
        <v>259</v>
      </c>
      <c r="H52" s="160" t="s">
        <v>1480</v>
      </c>
      <c r="I52" s="195"/>
      <c r="J52" s="299"/>
      <c r="K52" s="697" t="str" cm="1">
        <f t="array" ref="K52">IF(ISBLANK(J52), IF(ISBLANK(I52), "N/A", _xlfn.IFS(L52="AS", I52+15, L52="NCR", I52+30, L52="submitted", I52+30, TRUE, "N/A")), _xlfn.IFS(L52="AS", J52+15, L52="NCR", J52+30, L52="submitted", J52+30, TRUE, "N/A"))</f>
        <v>N/A</v>
      </c>
      <c r="L52" s="35"/>
      <c r="M52" s="317"/>
      <c r="N52" s="802"/>
      <c r="O52" s="803"/>
      <c r="P52" s="803"/>
      <c r="Q52" s="804"/>
    </row>
    <row r="53" spans="2:17" s="5" customFormat="1" ht="27" customHeight="1">
      <c r="B53" s="4"/>
      <c r="C53" s="829"/>
      <c r="D53" s="830"/>
      <c r="E53" s="131"/>
      <c r="F53" s="143" t="s">
        <v>1378</v>
      </c>
      <c r="G53" s="145" t="s">
        <v>1481</v>
      </c>
      <c r="H53" s="160" t="s">
        <v>1482</v>
      </c>
      <c r="I53" s="195"/>
      <c r="J53" s="299"/>
      <c r="K53" s="697" t="str" cm="1">
        <f t="array" ref="K53">IF(ISBLANK(J53), IF(ISBLANK(I53), "N/A", _xlfn.IFS(L53="AS", I53+15, L53="NCR", I53+30, L53="submitted", I53+30, TRUE, "N/A")), _xlfn.IFS(L53="AS", J53+15, L53="NCR", J53+30, L53="submitted", J53+30, TRUE, "N/A"))</f>
        <v>N/A</v>
      </c>
      <c r="L53" s="35"/>
      <c r="M53" s="318"/>
      <c r="N53" s="802"/>
      <c r="O53" s="803"/>
      <c r="P53" s="803"/>
      <c r="Q53" s="804"/>
    </row>
    <row r="54" spans="2:17" s="5" customFormat="1" ht="27" customHeight="1">
      <c r="B54" s="4"/>
      <c r="C54" s="829"/>
      <c r="D54" s="830"/>
      <c r="E54" s="131"/>
      <c r="F54" s="143" t="s">
        <v>1378</v>
      </c>
      <c r="G54" s="145" t="s">
        <v>382</v>
      </c>
      <c r="H54" s="160" t="s">
        <v>1483</v>
      </c>
      <c r="I54" s="195"/>
      <c r="J54" s="299"/>
      <c r="K54" s="697" t="str" cm="1">
        <f t="array" ref="K54">IF(ISBLANK(J54), IF(ISBLANK(I54), "N/A", _xlfn.IFS(L54="AS", I54+15, L54="NCR", I54+30, L54="submitted", I54+30, TRUE, "N/A")), _xlfn.IFS(L54="AS", J54+15, L54="NCR", J54+30, L54="submitted", J54+30, TRUE, "N/A"))</f>
        <v>N/A</v>
      </c>
      <c r="L54" s="35"/>
      <c r="M54" s="317"/>
      <c r="N54" s="802"/>
      <c r="O54" s="803"/>
      <c r="P54" s="803"/>
      <c r="Q54" s="804"/>
    </row>
    <row r="55" spans="2:17" s="5" customFormat="1" ht="15" customHeight="1">
      <c r="B55" s="4"/>
      <c r="C55" s="826"/>
      <c r="D55" s="828"/>
      <c r="E55" s="131"/>
      <c r="F55" s="143" t="s">
        <v>1378</v>
      </c>
      <c r="G55" s="145" t="s">
        <v>384</v>
      </c>
      <c r="H55" s="132" t="s">
        <v>1484</v>
      </c>
      <c r="I55" s="199"/>
      <c r="J55" s="503"/>
      <c r="K55" s="697" t="str" cm="1">
        <f t="array" ref="K55">IF(ISBLANK(J55), IF(ISBLANK(I55), "N/A", _xlfn.IFS(L55="AS", I55+15, L55="NCR", I55+30, L55="submitted", I55+30, TRUE, "N/A")), _xlfn.IFS(L55="AS", J55+15, L55="NCR", J55+30, L55="submitted", J55+30, TRUE, "N/A"))</f>
        <v>N/A</v>
      </c>
      <c r="L55" s="36"/>
      <c r="M55" s="317"/>
      <c r="N55" s="802"/>
      <c r="O55" s="803"/>
      <c r="P55" s="803"/>
      <c r="Q55" s="804"/>
    </row>
    <row r="56" spans="2:17" s="138" customFormat="1" ht="15" customHeight="1">
      <c r="B56" s="297" t="s">
        <v>1485</v>
      </c>
      <c r="C56" s="862" t="s">
        <v>1486</v>
      </c>
      <c r="D56" s="859" t="s">
        <v>1487</v>
      </c>
      <c r="E56" s="872" t="s">
        <v>1488</v>
      </c>
      <c r="F56" s="875" t="s">
        <v>161</v>
      </c>
      <c r="G56" s="178" t="s">
        <v>212</v>
      </c>
      <c r="H56" s="162" t="s">
        <v>484</v>
      </c>
      <c r="I56" s="274">
        <v>45762</v>
      </c>
      <c r="J56" s="216">
        <v>45772</v>
      </c>
      <c r="K56" s="697" t="str" cm="1">
        <f t="array" ref="K56">IF(ISBLANK(J56), IF(ISBLANK(I56), "N/A", _xlfn.IFS(L56="AS", I56+15, L56="NCR", I56+30, L56="submitted", I56+30, TRUE, "N/A")), _xlfn.IFS(L56="AS", J56+15, L56="NCR", J56+30, L56="submitted", J56+30, TRUE, "N/A"))</f>
        <v>N/A</v>
      </c>
      <c r="L56" s="859" t="s">
        <v>151</v>
      </c>
      <c r="M56" s="317"/>
      <c r="N56" s="802"/>
      <c r="O56" s="803"/>
      <c r="P56" s="803"/>
      <c r="Q56" s="804"/>
    </row>
    <row r="57" spans="2:17" s="138" customFormat="1" ht="15" customHeight="1">
      <c r="B57" s="298"/>
      <c r="C57" s="863"/>
      <c r="D57" s="860"/>
      <c r="E57" s="873"/>
      <c r="F57" s="871"/>
      <c r="G57" s="178" t="s">
        <v>336</v>
      </c>
      <c r="H57" s="162" t="s">
        <v>544</v>
      </c>
      <c r="I57" s="274">
        <v>45762</v>
      </c>
      <c r="J57" s="216">
        <v>45772</v>
      </c>
      <c r="K57" s="697" t="str" cm="1">
        <f t="array" ref="K57">IF(ISBLANK(J57), IF(ISBLANK(I57), "N/A", _xlfn.IFS(L57="AS", I57+15, L57="NCR", I57+30, L57="submitted", I57+30, TRUE, "N/A")), _xlfn.IFS(L57="AS", J57+15, L57="NCR", J57+30, L57="submitted", J57+30, TRUE, "N/A"))</f>
        <v>N/A</v>
      </c>
      <c r="L57" s="860"/>
      <c r="M57" s="317"/>
      <c r="N57" s="802"/>
      <c r="O57" s="803"/>
      <c r="P57" s="803"/>
      <c r="Q57" s="804"/>
    </row>
    <row r="58" spans="2:17" s="138" customFormat="1" ht="15" customHeight="1">
      <c r="B58" s="298"/>
      <c r="C58" s="863"/>
      <c r="D58" s="860"/>
      <c r="E58" s="873"/>
      <c r="F58" s="871"/>
      <c r="G58" s="178" t="s">
        <v>240</v>
      </c>
      <c r="H58" s="162" t="s">
        <v>1489</v>
      </c>
      <c r="I58" s="274">
        <v>45762</v>
      </c>
      <c r="J58" s="216">
        <v>45772</v>
      </c>
      <c r="K58" s="697" t="str" cm="1">
        <f t="array" ref="K58">IF(ISBLANK(J58), IF(ISBLANK(I58), "N/A", _xlfn.IFS(L58="AS", I58+15, L58="NCR", I58+30, L58="submitted", I58+30, TRUE, "N/A")), _xlfn.IFS(L58="AS", J58+15, L58="NCR", J58+30, L58="submitted", J58+30, TRUE, "N/A"))</f>
        <v>N/A</v>
      </c>
      <c r="L58" s="860"/>
      <c r="M58" s="317"/>
      <c r="N58" s="802"/>
      <c r="O58" s="803"/>
      <c r="P58" s="803"/>
      <c r="Q58" s="804"/>
    </row>
    <row r="59" spans="2:17" s="138" customFormat="1" ht="15" hidden="1" customHeight="1">
      <c r="B59" s="133"/>
      <c r="C59" s="864"/>
      <c r="D59" s="861"/>
      <c r="E59" s="874"/>
      <c r="F59" s="871"/>
      <c r="G59" s="178" t="s">
        <v>242</v>
      </c>
      <c r="H59" s="162" t="s">
        <v>1490</v>
      </c>
      <c r="I59" s="198"/>
      <c r="J59" s="216">
        <v>45772</v>
      </c>
      <c r="K59" s="697" t="str" cm="1">
        <f t="array" ref="K59">IF(ISBLANK(J59), IF(ISBLANK(I59), "N/A", _xlfn.IFS(L59="AS", I59+15, L59="NCR", I59+30, L59="submitted", I59+30, TRUE, "N/A")), _xlfn.IFS(L59="AS", J59+15, L59="NCR", J59+30, L59="submitted", J59+30, TRUE, "N/A"))</f>
        <v>N/A</v>
      </c>
      <c r="L59" s="861"/>
      <c r="M59" s="317"/>
      <c r="N59" s="802"/>
      <c r="O59" s="803"/>
      <c r="P59" s="803"/>
      <c r="Q59" s="804"/>
    </row>
    <row r="60" spans="2:17" s="138" customFormat="1" ht="15" customHeight="1">
      <c r="B60" s="297" t="s">
        <v>1491</v>
      </c>
      <c r="C60" s="862" t="s">
        <v>1492</v>
      </c>
      <c r="D60" s="859" t="s">
        <v>1493</v>
      </c>
      <c r="E60" s="872" t="s">
        <v>1494</v>
      </c>
      <c r="F60" s="870" t="s">
        <v>161</v>
      </c>
      <c r="G60" s="178" t="s">
        <v>212</v>
      </c>
      <c r="H60" s="162" t="s">
        <v>484</v>
      </c>
      <c r="I60" s="274">
        <v>45762</v>
      </c>
      <c r="J60" s="216">
        <v>45772</v>
      </c>
      <c r="K60" s="697" t="str" cm="1">
        <f t="array" ref="K60">IF(ISBLANK(J60), IF(ISBLANK(I60), "N/A", _xlfn.IFS(L60="AS", I60+15, L60="NCR", I60+30, L60="submitted", I60+30, TRUE, "N/A")), _xlfn.IFS(L60="AS", J60+15, L60="NCR", J60+30, L60="submitted", J60+30, TRUE, "N/A"))</f>
        <v>N/A</v>
      </c>
      <c r="L60" s="859" t="s">
        <v>151</v>
      </c>
      <c r="M60" s="317"/>
      <c r="N60" s="802"/>
      <c r="O60" s="803"/>
      <c r="P60" s="803"/>
      <c r="Q60" s="804"/>
    </row>
    <row r="61" spans="2:17" s="138" customFormat="1" ht="15" customHeight="1">
      <c r="B61" s="298"/>
      <c r="C61" s="863"/>
      <c r="D61" s="860"/>
      <c r="E61" s="873"/>
      <c r="F61" s="871"/>
      <c r="G61" s="178" t="s">
        <v>336</v>
      </c>
      <c r="H61" s="162" t="s">
        <v>544</v>
      </c>
      <c r="I61" s="274">
        <v>45762</v>
      </c>
      <c r="J61" s="216">
        <v>45772</v>
      </c>
      <c r="K61" s="697" t="str" cm="1">
        <f t="array" ref="K61">IF(ISBLANK(J61), IF(ISBLANK(I61), "N/A", _xlfn.IFS(L61="AS", I61+15, L61="NCR", I61+30, L61="submitted", I61+30, TRUE, "N/A")), _xlfn.IFS(L61="AS", J61+15, L61="NCR", J61+30, L61="submitted", J61+30, TRUE, "N/A"))</f>
        <v>N/A</v>
      </c>
      <c r="L61" s="860"/>
      <c r="M61" s="317"/>
      <c r="N61" s="802"/>
      <c r="O61" s="803"/>
      <c r="P61" s="803"/>
      <c r="Q61" s="804"/>
    </row>
    <row r="62" spans="2:17" s="138" customFormat="1" ht="15" customHeight="1">
      <c r="B62" s="298"/>
      <c r="C62" s="863"/>
      <c r="D62" s="860"/>
      <c r="E62" s="873"/>
      <c r="F62" s="871"/>
      <c r="G62" s="178" t="s">
        <v>240</v>
      </c>
      <c r="H62" s="162" t="s">
        <v>1495</v>
      </c>
      <c r="I62" s="274">
        <v>45762</v>
      </c>
      <c r="J62" s="216">
        <v>45772</v>
      </c>
      <c r="K62" s="697" t="str" cm="1">
        <f t="array" ref="K62">IF(ISBLANK(J62), IF(ISBLANK(I62), "N/A", _xlfn.IFS(L62="AS", I62+15, L62="NCR", I62+30, L62="submitted", I62+30, TRUE, "N/A")), _xlfn.IFS(L62="AS", J62+15, L62="NCR", J62+30, L62="submitted", J62+30, TRUE, "N/A"))</f>
        <v>N/A</v>
      </c>
      <c r="L62" s="860"/>
      <c r="M62" s="317"/>
      <c r="N62" s="802"/>
      <c r="O62" s="803"/>
      <c r="P62" s="803"/>
      <c r="Q62" s="804"/>
    </row>
    <row r="63" spans="2:17" s="138" customFormat="1" ht="15" hidden="1" customHeight="1">
      <c r="B63" s="133"/>
      <c r="C63" s="864"/>
      <c r="D63" s="861"/>
      <c r="E63" s="874"/>
      <c r="F63" s="871"/>
      <c r="G63" s="178" t="s">
        <v>242</v>
      </c>
      <c r="H63" s="162" t="s">
        <v>444</v>
      </c>
      <c r="I63" s="198"/>
      <c r="J63" s="216"/>
      <c r="K63" s="697" t="str" cm="1">
        <f t="array" ref="K63">IF(ISBLANK(J63), IF(ISBLANK(I63), "N/A", _xlfn.IFS(L63="AS", I63+15, L63="NCR", I63+30, L63="submitted", I63+30, TRUE, "N/A")), _xlfn.IFS(L63="AS", J63+15, L63="NCR", J63+30, L63="submitted", J63+30, TRUE, "N/A"))</f>
        <v>N/A</v>
      </c>
      <c r="L63" s="861"/>
      <c r="M63" s="317"/>
      <c r="N63" s="802"/>
      <c r="O63" s="803"/>
      <c r="P63" s="803"/>
      <c r="Q63" s="804"/>
    </row>
    <row r="64" spans="2:17" s="5" customFormat="1" ht="15" customHeight="1">
      <c r="C64" s="825" t="s">
        <v>1496</v>
      </c>
      <c r="D64" s="827" t="s">
        <v>1497</v>
      </c>
      <c r="E64" s="130"/>
      <c r="F64" s="143" t="s">
        <v>1498</v>
      </c>
      <c r="G64" s="145" t="s">
        <v>208</v>
      </c>
      <c r="H64" s="132" t="s">
        <v>1499</v>
      </c>
      <c r="I64" s="199"/>
      <c r="J64" s="503"/>
      <c r="K64" s="697" t="str" cm="1">
        <f t="array" ref="K64">IF(ISBLANK(J64), IF(ISBLANK(I64), "N/A", _xlfn.IFS(L64="AS", I64+15, L64="NCR", I64+30, L64="submitted", I64+30, TRUE, "N/A")), _xlfn.IFS(L64="AS", J64+15, L64="NCR", J64+30, L64="submitted", J64+30, TRUE, "N/A"))</f>
        <v>N/A</v>
      </c>
      <c r="L64" s="34"/>
      <c r="M64" s="317"/>
      <c r="N64" s="802"/>
      <c r="O64" s="803"/>
      <c r="P64" s="803"/>
      <c r="Q64" s="804"/>
    </row>
    <row r="65" spans="2:17" s="5" customFormat="1" ht="15" customHeight="1">
      <c r="B65" s="4"/>
      <c r="C65" s="826"/>
      <c r="D65" s="828"/>
      <c r="E65" s="144"/>
      <c r="F65" s="143" t="s">
        <v>1498</v>
      </c>
      <c r="G65" s="145" t="s">
        <v>222</v>
      </c>
      <c r="H65" s="132" t="s">
        <v>1500</v>
      </c>
      <c r="I65" s="199"/>
      <c r="J65" s="503"/>
      <c r="K65" s="697" t="str" cm="1">
        <f t="array" ref="K65">IF(ISBLANK(J65), IF(ISBLANK(I65), "N/A", _xlfn.IFS(L65="AS", I65+15, L65="NCR", I65+30, L65="submitted", I65+30, TRUE, "N/A")), _xlfn.IFS(L65="AS", J65+15, L65="NCR", J65+30, L65="submitted", J65+30, TRUE, "N/A"))</f>
        <v>N/A</v>
      </c>
      <c r="L65" s="36"/>
      <c r="M65" s="317"/>
      <c r="N65" s="802"/>
      <c r="O65" s="803"/>
      <c r="P65" s="803"/>
      <c r="Q65" s="804"/>
    </row>
    <row r="66" spans="2:17" s="149" customFormat="1" ht="15" customHeight="1">
      <c r="B66" s="146" t="s">
        <v>1501</v>
      </c>
      <c r="C66" s="47" t="s">
        <v>1502</v>
      </c>
      <c r="D66" s="2" t="s">
        <v>1503</v>
      </c>
      <c r="E66" s="176" t="s">
        <v>1504</v>
      </c>
      <c r="F66" s="167" t="s">
        <v>1505</v>
      </c>
      <c r="G66" s="179" t="s">
        <v>131</v>
      </c>
      <c r="H66" s="166" t="s">
        <v>484</v>
      </c>
      <c r="I66" s="275">
        <v>45782</v>
      </c>
      <c r="J66" s="234">
        <v>45810</v>
      </c>
      <c r="K66" s="697" t="str" cm="1">
        <f t="array" ref="K66">IF(ISBLANK(J66), IF(ISBLANK(I66), "N/A", _xlfn.IFS(L66="AS", I66+15, L66="NCR", I66+30, L66="submitted", I66+30, TRUE, "N/A")), _xlfn.IFS(L66="AS", J66+15, L66="NCR", J66+30, L66="submitted", J66+30, TRUE, "N/A"))</f>
        <v>N/A</v>
      </c>
      <c r="L66" s="149" t="s">
        <v>147</v>
      </c>
      <c r="M66" s="317"/>
      <c r="N66" s="802"/>
      <c r="O66" s="803"/>
      <c r="P66" s="803"/>
      <c r="Q66" s="804"/>
    </row>
    <row r="67" spans="2:17" s="26" customFormat="1" ht="15" customHeight="1">
      <c r="B67" s="22" t="s">
        <v>63</v>
      </c>
      <c r="C67" s="128" t="s">
        <v>1502</v>
      </c>
      <c r="D67" s="129" t="s">
        <v>1503</v>
      </c>
      <c r="E67" s="232" t="s">
        <v>1504</v>
      </c>
      <c r="F67" s="202" t="s">
        <v>1506</v>
      </c>
      <c r="G67" s="203" t="s">
        <v>131</v>
      </c>
      <c r="H67" s="254" t="s">
        <v>484</v>
      </c>
      <c r="I67" s="276">
        <v>45811</v>
      </c>
      <c r="J67" s="506">
        <v>45917</v>
      </c>
      <c r="K67" s="697" t="str" cm="1">
        <f t="array" ref="K67">IF(ISBLANK(J67), IF(ISBLANK(I67), "N/A", _xlfn.IFS(L67="AS", I67+15, L67="NCR", I67+30, L67="submitted", I67+30, TRUE, "N/A")), _xlfn.IFS(L67="AS", J67+15, L67="NCR", J67+30, L67="submitted", J67+30, TRUE, "N/A"))</f>
        <v>N/A</v>
      </c>
      <c r="L67" s="26" t="s">
        <v>151</v>
      </c>
      <c r="M67" s="317"/>
      <c r="N67" s="802"/>
      <c r="O67" s="803"/>
      <c r="P67" s="803"/>
      <c r="Q67" s="804"/>
    </row>
    <row r="68" spans="2:17" s="1" customFormat="1" ht="15" customHeight="1">
      <c r="C68" s="47" t="s">
        <v>1502</v>
      </c>
      <c r="D68" s="2" t="s">
        <v>1503</v>
      </c>
      <c r="E68" s="177"/>
      <c r="F68" s="142" t="s">
        <v>1378</v>
      </c>
      <c r="G68" s="141" t="s">
        <v>134</v>
      </c>
      <c r="H68" s="161" t="s">
        <v>1507</v>
      </c>
      <c r="I68" s="196"/>
      <c r="J68" s="501"/>
      <c r="K68" s="697" t="str" cm="1">
        <f t="array" ref="K68">IF(ISBLANK(J68), IF(ISBLANK(I68), "N/A", _xlfn.IFS(L68="AS", I68+15, L68="NCR", I68+30, L68="submitted", I68+30, TRUE, "N/A")), _xlfn.IFS(L68="AS", J68+15, L68="NCR", J68+30, L68="submitted", J68+30, TRUE, "N/A"))</f>
        <v>N/A</v>
      </c>
      <c r="L68" s="46"/>
      <c r="M68" s="317"/>
      <c r="N68" s="802"/>
      <c r="O68" s="803"/>
      <c r="P68" s="803"/>
      <c r="Q68" s="804"/>
    </row>
    <row r="69" spans="2:17" s="5" customFormat="1" ht="54" customHeight="1">
      <c r="B69" s="9"/>
      <c r="C69" s="825" t="s">
        <v>1508</v>
      </c>
      <c r="D69" s="827" t="s">
        <v>1509</v>
      </c>
      <c r="E69" s="130"/>
      <c r="F69" s="143" t="s">
        <v>1378</v>
      </c>
      <c r="G69" s="145" t="s">
        <v>131</v>
      </c>
      <c r="H69" s="132" t="s">
        <v>1510</v>
      </c>
      <c r="I69" s="199"/>
      <c r="J69" s="503"/>
      <c r="K69" s="697" t="str" cm="1">
        <f t="array" ref="K69">IF(ISBLANK(J69), IF(ISBLANK(I69), "N/A", _xlfn.IFS(L69="AS", I69+15, L69="NCR", I69+30, L69="submitted", I69+30, TRUE, "N/A")), _xlfn.IFS(L69="AS", J69+15, L69="NCR", J69+30, L69="submitted", J69+30, TRUE, "N/A"))</f>
        <v>N/A</v>
      </c>
      <c r="L69" s="34"/>
      <c r="M69" s="317"/>
      <c r="N69" s="802"/>
      <c r="O69" s="803"/>
      <c r="P69" s="803"/>
      <c r="Q69" s="804"/>
    </row>
    <row r="70" spans="2:17" s="5" customFormat="1" ht="36" customHeight="1">
      <c r="B70" s="4"/>
      <c r="C70" s="826"/>
      <c r="D70" s="828"/>
      <c r="E70" s="144"/>
      <c r="F70" s="143" t="s">
        <v>1378</v>
      </c>
      <c r="G70" s="145" t="s">
        <v>134</v>
      </c>
      <c r="H70" s="132" t="s">
        <v>1511</v>
      </c>
      <c r="I70" s="199"/>
      <c r="J70" s="503"/>
      <c r="K70" s="697" t="str" cm="1">
        <f t="array" ref="K70">IF(ISBLANK(J70), IF(ISBLANK(I70), "N/A", _xlfn.IFS(L70="AS", I70+15, L70="NCR", I70+30, L70="submitted", I70+30, TRUE, "N/A")), _xlfn.IFS(L70="AS", J70+15, L70="NCR", J70+30, L70="submitted", J70+30, TRUE, "N/A"))</f>
        <v>N/A</v>
      </c>
      <c r="L70" s="36"/>
      <c r="M70" s="317"/>
      <c r="N70" s="802"/>
      <c r="O70" s="803"/>
      <c r="P70" s="803"/>
      <c r="Q70" s="804"/>
    </row>
    <row r="71" spans="2:17" s="149" customFormat="1" ht="15" customHeight="1">
      <c r="B71" s="146" t="s">
        <v>1512</v>
      </c>
      <c r="C71" s="836" t="s">
        <v>1513</v>
      </c>
      <c r="D71" s="839" t="s">
        <v>1514</v>
      </c>
      <c r="E71" s="176"/>
      <c r="F71" s="167" t="s">
        <v>1515</v>
      </c>
      <c r="G71" s="179" t="s">
        <v>208</v>
      </c>
      <c r="H71" s="166" t="s">
        <v>1510</v>
      </c>
      <c r="I71" s="275">
        <v>45797</v>
      </c>
      <c r="J71" s="234">
        <v>45813</v>
      </c>
      <c r="K71" s="697" t="str" cm="1">
        <f t="array" ref="K71">IF(ISBLANK(J71), IF(ISBLANK(I71), "N/A", _xlfn.IFS(L71="AS", I71+15, L71="NCR", I71+30, L71="submitted", I71+30, TRUE, "N/A")), _xlfn.IFS(L71="AS", J71+15, L71="NCR", J71+30, L71="submitted", J71+30, TRUE, "N/A"))</f>
        <v>N/A</v>
      </c>
      <c r="L71" s="149" t="s">
        <v>147</v>
      </c>
      <c r="M71" s="317"/>
      <c r="N71" s="802"/>
      <c r="O71" s="803"/>
      <c r="P71" s="803"/>
      <c r="Q71" s="804"/>
    </row>
    <row r="72" spans="2:17" s="149" customFormat="1" ht="15" customHeight="1">
      <c r="B72" s="146" t="s">
        <v>1512</v>
      </c>
      <c r="C72" s="837"/>
      <c r="D72" s="840"/>
      <c r="E72" s="220"/>
      <c r="F72" s="167" t="s">
        <v>1515</v>
      </c>
      <c r="G72" s="179" t="s">
        <v>281</v>
      </c>
      <c r="H72" s="166" t="s">
        <v>282</v>
      </c>
      <c r="I72" s="275">
        <v>45797</v>
      </c>
      <c r="J72" s="234">
        <v>45813</v>
      </c>
      <c r="K72" s="697" t="str" cm="1">
        <f t="array" ref="K72">IF(ISBLANK(J72), IF(ISBLANK(I72), "N/A", _xlfn.IFS(L72="AS", I72+15, L72="NCR", I72+30, L72="submitted", I72+30, TRUE, "N/A")), _xlfn.IFS(L72="AS", J72+15, L72="NCR", J72+30, L72="submitted", J72+30, TRUE, "N/A"))</f>
        <v>N/A</v>
      </c>
      <c r="L72" s="149" t="s">
        <v>147</v>
      </c>
      <c r="M72" s="317"/>
      <c r="N72" s="802"/>
      <c r="O72" s="803"/>
      <c r="P72" s="803"/>
      <c r="Q72" s="804"/>
    </row>
    <row r="73" spans="2:17" s="149" customFormat="1" ht="27" customHeight="1">
      <c r="B73" s="146" t="s">
        <v>1512</v>
      </c>
      <c r="C73" s="837"/>
      <c r="D73" s="840"/>
      <c r="E73" s="220"/>
      <c r="F73" s="167" t="s">
        <v>1515</v>
      </c>
      <c r="G73" s="179" t="s">
        <v>329</v>
      </c>
      <c r="H73" s="214" t="s">
        <v>1516</v>
      </c>
      <c r="I73" s="275">
        <v>45797</v>
      </c>
      <c r="J73" s="234">
        <v>45813</v>
      </c>
      <c r="K73" s="697" t="str" cm="1">
        <f t="array" ref="K73">IF(ISBLANK(J73), IF(ISBLANK(I73), "N/A", _xlfn.IFS(L73="AS", I73+15, L73="NCR", I73+30, L73="submitted", I73+30, TRUE, "N/A")), _xlfn.IFS(L73="AS", J73+15, L73="NCR", J73+30, L73="submitted", J73+30, TRUE, "N/A"))</f>
        <v>N/A</v>
      </c>
      <c r="L73" s="149" t="s">
        <v>147</v>
      </c>
      <c r="M73" s="317"/>
      <c r="N73" s="802"/>
      <c r="O73" s="803"/>
      <c r="P73" s="803"/>
      <c r="Q73" s="804"/>
    </row>
    <row r="74" spans="2:17" s="149" customFormat="1" ht="15" customHeight="1">
      <c r="B74" s="146" t="s">
        <v>1512</v>
      </c>
      <c r="C74" s="838"/>
      <c r="D74" s="841"/>
      <c r="E74" s="218"/>
      <c r="F74" s="167" t="s">
        <v>1515</v>
      </c>
      <c r="G74" s="179" t="s">
        <v>601</v>
      </c>
      <c r="H74" s="166" t="s">
        <v>1517</v>
      </c>
      <c r="I74" s="275">
        <v>45797</v>
      </c>
      <c r="J74" s="234">
        <v>45813</v>
      </c>
      <c r="K74" s="697" t="str" cm="1">
        <f t="array" ref="K74">IF(ISBLANK(J74), IF(ISBLANK(I74), "N/A", _xlfn.IFS(L74="AS", I74+15, L74="NCR", I74+30, L74="submitted", I74+30, TRUE, "N/A")), _xlfn.IFS(L74="AS", J74+15, L74="NCR", J74+30, L74="submitted", J74+30, TRUE, "N/A"))</f>
        <v>N/A</v>
      </c>
      <c r="L74" s="149" t="s">
        <v>147</v>
      </c>
      <c r="M74" s="317"/>
      <c r="N74" s="802"/>
      <c r="O74" s="803"/>
      <c r="P74" s="803"/>
      <c r="Q74" s="804"/>
    </row>
    <row r="75" spans="2:17" s="149" customFormat="1" ht="15" customHeight="1">
      <c r="B75" s="146" t="s">
        <v>65</v>
      </c>
      <c r="C75" s="836" t="s">
        <v>1513</v>
      </c>
      <c r="D75" s="839" t="s">
        <v>1514</v>
      </c>
      <c r="E75" s="176"/>
      <c r="F75" s="167" t="s">
        <v>1515</v>
      </c>
      <c r="G75" s="179" t="s">
        <v>208</v>
      </c>
      <c r="H75" s="166" t="s">
        <v>1510</v>
      </c>
      <c r="I75" s="275">
        <v>45834</v>
      </c>
      <c r="J75" s="234">
        <v>45894</v>
      </c>
      <c r="K75" s="697" t="str" cm="1">
        <f t="array" ref="K75">IF(ISBLANK(J75), IF(ISBLANK(I75), "N/A", _xlfn.IFS(L75="AS", I75+15, L75="NCR", I75+30, L75="submitted", I75+30, TRUE, "N/A")), _xlfn.IFS(L75="AS", J75+15, L75="NCR", J75+30, L75="submitted", J75+30, TRUE, "N/A"))</f>
        <v>N/A</v>
      </c>
      <c r="L75" s="149" t="s">
        <v>147</v>
      </c>
      <c r="M75" s="317"/>
      <c r="N75" s="802"/>
      <c r="O75" s="803"/>
      <c r="P75" s="803"/>
      <c r="Q75" s="804"/>
    </row>
    <row r="76" spans="2:17" s="149" customFormat="1" ht="15" customHeight="1">
      <c r="B76" s="146" t="s">
        <v>65</v>
      </c>
      <c r="C76" s="837"/>
      <c r="D76" s="840"/>
      <c r="E76" s="220"/>
      <c r="F76" s="167" t="s">
        <v>1515</v>
      </c>
      <c r="G76" s="179" t="s">
        <v>281</v>
      </c>
      <c r="H76" s="166" t="s">
        <v>282</v>
      </c>
      <c r="I76" s="275">
        <v>45834</v>
      </c>
      <c r="J76" s="234">
        <v>45894</v>
      </c>
      <c r="K76" s="697" t="str" cm="1">
        <f t="array" ref="K76">IF(ISBLANK(J76), IF(ISBLANK(I76), "N/A", _xlfn.IFS(L76="AS", I76+15, L76="NCR", I76+30, L76="submitted", I76+30, TRUE, "N/A")), _xlfn.IFS(L76="AS", J76+15, L76="NCR", J76+30, L76="submitted", J76+30, TRUE, "N/A"))</f>
        <v>N/A</v>
      </c>
      <c r="L76" s="149" t="s">
        <v>147</v>
      </c>
      <c r="M76" s="317"/>
      <c r="N76" s="802"/>
      <c r="O76" s="803"/>
      <c r="P76" s="803"/>
      <c r="Q76" s="804"/>
    </row>
    <row r="77" spans="2:17" s="149" customFormat="1" ht="27" customHeight="1">
      <c r="B77" s="146" t="s">
        <v>65</v>
      </c>
      <c r="C77" s="837"/>
      <c r="D77" s="840"/>
      <c r="E77" s="220"/>
      <c r="F77" s="167" t="s">
        <v>1515</v>
      </c>
      <c r="G77" s="179" t="s">
        <v>329</v>
      </c>
      <c r="H77" s="214" t="s">
        <v>1516</v>
      </c>
      <c r="I77" s="277">
        <v>45834</v>
      </c>
      <c r="J77" s="234">
        <v>45894</v>
      </c>
      <c r="K77" s="697" t="str" cm="1">
        <f t="array" ref="K77">IF(ISBLANK(J77), IF(ISBLANK(I77), "N/A", _xlfn.IFS(L77="AS", I77+15, L77="NCR", I77+30, L77="submitted", I77+30, TRUE, "N/A")), _xlfn.IFS(L77="AS", J77+15, L77="NCR", J77+30, L77="submitted", J77+30, TRUE, "N/A"))</f>
        <v>N/A</v>
      </c>
      <c r="L77" s="149" t="s">
        <v>147</v>
      </c>
      <c r="M77" s="317"/>
      <c r="N77" s="802"/>
      <c r="O77" s="803"/>
      <c r="P77" s="803"/>
      <c r="Q77" s="804"/>
    </row>
    <row r="78" spans="2:17" s="149" customFormat="1" ht="15" customHeight="1">
      <c r="B78" s="146" t="s">
        <v>65</v>
      </c>
      <c r="C78" s="838"/>
      <c r="D78" s="841"/>
      <c r="E78" s="218"/>
      <c r="F78" s="167" t="s">
        <v>1515</v>
      </c>
      <c r="G78" s="179" t="s">
        <v>601</v>
      </c>
      <c r="H78" s="166" t="s">
        <v>1517</v>
      </c>
      <c r="I78" s="277">
        <v>45834</v>
      </c>
      <c r="J78" s="234">
        <v>45894</v>
      </c>
      <c r="K78" s="697" t="str" cm="1">
        <f t="array" ref="K78">IF(ISBLANK(J78), IF(ISBLANK(I78), "N/A", _xlfn.IFS(L78="AS", I78+15, L78="NCR", I78+30, L78="submitted", I78+30, TRUE, "N/A")), _xlfn.IFS(L78="AS", J78+15, L78="NCR", J78+30, L78="submitted", J78+30, TRUE, "N/A"))</f>
        <v>N/A</v>
      </c>
      <c r="L78" s="149" t="s">
        <v>147</v>
      </c>
      <c r="M78" s="317"/>
      <c r="N78" s="802"/>
      <c r="O78" s="803"/>
      <c r="P78" s="803"/>
      <c r="Q78" s="804"/>
    </row>
    <row r="79" spans="2:17" s="138" customFormat="1" ht="15" customHeight="1">
      <c r="B79" s="151" t="s">
        <v>1518</v>
      </c>
      <c r="C79" s="862" t="s">
        <v>1513</v>
      </c>
      <c r="D79" s="865" t="s">
        <v>1514</v>
      </c>
      <c r="E79" s="426" t="s">
        <v>1519</v>
      </c>
      <c r="F79" s="158" t="s">
        <v>1515</v>
      </c>
      <c r="G79" s="178" t="s">
        <v>208</v>
      </c>
      <c r="H79" s="162" t="s">
        <v>1510</v>
      </c>
      <c r="I79" s="274">
        <v>45896</v>
      </c>
      <c r="J79" s="216">
        <v>45919</v>
      </c>
      <c r="K79" s="697" t="str" cm="1">
        <f t="array" ref="K79">IF(ISBLANK(J79), IF(ISBLANK(I79), "N/A", _xlfn.IFS(L79="AS", I79+15, L79="NCR", I79+30, L79="submitted", I79+30, TRUE, "N/A")), _xlfn.IFS(L79="AS", J79+15, L79="NCR", J79+30, L79="submitted", J79+30, TRUE, "N/A"))</f>
        <v>N/A</v>
      </c>
      <c r="L79" s="138" t="s">
        <v>638</v>
      </c>
      <c r="M79" s="317"/>
      <c r="N79" s="802"/>
      <c r="O79" s="803"/>
      <c r="P79" s="803"/>
      <c r="Q79" s="804"/>
    </row>
    <row r="80" spans="2:17" s="138" customFormat="1" ht="15" customHeight="1">
      <c r="B80" s="151" t="s">
        <v>1518</v>
      </c>
      <c r="C80" s="863"/>
      <c r="D80" s="866"/>
      <c r="E80" s="356"/>
      <c r="F80" s="158" t="s">
        <v>1515</v>
      </c>
      <c r="G80" s="178" t="s">
        <v>281</v>
      </c>
      <c r="H80" s="162" t="s">
        <v>282</v>
      </c>
      <c r="I80" s="274">
        <v>45896</v>
      </c>
      <c r="J80" s="216">
        <v>45919</v>
      </c>
      <c r="K80" s="697" t="str" cm="1">
        <f t="array" ref="K80">IF(ISBLANK(J80), IF(ISBLANK(I80), "N/A", _xlfn.IFS(L80="AS", I80+15, L80="NCR", I80+30, L80="submitted", I80+30, TRUE, "N/A")), _xlfn.IFS(L80="AS", J80+15, L80="NCR", J80+30, L80="submitted", J80+30, TRUE, "N/A"))</f>
        <v>N/A</v>
      </c>
      <c r="L80" s="138" t="s">
        <v>638</v>
      </c>
      <c r="M80" s="317"/>
      <c r="N80" s="802"/>
      <c r="O80" s="803"/>
      <c r="P80" s="803"/>
      <c r="Q80" s="804"/>
    </row>
    <row r="81" spans="1:17" s="138" customFormat="1" ht="27" customHeight="1">
      <c r="B81" s="151" t="s">
        <v>1518</v>
      </c>
      <c r="C81" s="863"/>
      <c r="D81" s="866"/>
      <c r="E81" s="356"/>
      <c r="F81" s="158" t="s">
        <v>1515</v>
      </c>
      <c r="G81" s="178" t="s">
        <v>329</v>
      </c>
      <c r="H81" s="156" t="s">
        <v>1516</v>
      </c>
      <c r="I81" s="274">
        <v>45896</v>
      </c>
      <c r="J81" s="216">
        <v>45919</v>
      </c>
      <c r="K81" s="697" t="str" cm="1">
        <f t="array" ref="K81">IF(ISBLANK(J81), IF(ISBLANK(I81), "N/A", _xlfn.IFS(L81="AS", I81+15, L81="NCR", I81+30, L81="submitted", I81+30, TRUE, "N/A")), _xlfn.IFS(L81="AS", J81+15, L81="NCR", J81+30, L81="submitted", J81+30, TRUE, "N/A"))</f>
        <v>N/A</v>
      </c>
      <c r="L81" s="138" t="s">
        <v>638</v>
      </c>
      <c r="M81" s="317"/>
      <c r="N81" s="802"/>
      <c r="O81" s="803"/>
      <c r="P81" s="803"/>
      <c r="Q81" s="804"/>
    </row>
    <row r="82" spans="1:17" s="138" customFormat="1" ht="15" customHeight="1">
      <c r="B82" s="151" t="s">
        <v>1518</v>
      </c>
      <c r="C82" s="864"/>
      <c r="D82" s="867"/>
      <c r="E82" s="163"/>
      <c r="F82" s="158" t="s">
        <v>1515</v>
      </c>
      <c r="G82" s="178" t="s">
        <v>601</v>
      </c>
      <c r="H82" s="162" t="s">
        <v>1517</v>
      </c>
      <c r="I82" s="274">
        <v>45896</v>
      </c>
      <c r="J82" s="216">
        <v>45919</v>
      </c>
      <c r="K82" s="697" t="str" cm="1">
        <f t="array" ref="K82">IF(ISBLANK(J82), IF(ISBLANK(I82), "N/A", _xlfn.IFS(L82="AS", I82+15, L82="NCR", I82+30, L82="submitted", I82+30, TRUE, "N/A")), _xlfn.IFS(L82="AS", J82+15, L82="NCR", J82+30, L82="submitted", J82+30, TRUE, "N/A"))</f>
        <v>N/A</v>
      </c>
      <c r="L82" s="138" t="s">
        <v>638</v>
      </c>
      <c r="M82" s="317"/>
      <c r="N82" s="802"/>
      <c r="O82" s="803"/>
      <c r="P82" s="803"/>
      <c r="Q82" s="804"/>
    </row>
    <row r="83" spans="1:17" s="45" customFormat="1" ht="27" customHeight="1">
      <c r="C83" s="825" t="s">
        <v>1520</v>
      </c>
      <c r="D83" s="827" t="s">
        <v>1521</v>
      </c>
      <c r="E83" s="130"/>
      <c r="F83" s="143" t="s">
        <v>1378</v>
      </c>
      <c r="G83" s="145" t="s">
        <v>291</v>
      </c>
      <c r="H83" s="160" t="s">
        <v>1522</v>
      </c>
      <c r="I83" s="195"/>
      <c r="J83" s="299"/>
      <c r="K83" s="697" t="str" cm="1">
        <f t="array" ref="K83">IF(ISBLANK(J83), IF(ISBLANK(I83), "N/A", _xlfn.IFS(L83="AS", I83+15, L83="NCR", I83+30, L83="submitted", I83+30, TRUE, "N/A")), _xlfn.IFS(L83="AS", J83+15, L83="NCR", J83+30, L83="submitted", J83+30, TRUE, "N/A"))</f>
        <v>N/A</v>
      </c>
      <c r="L83" s="34"/>
      <c r="M83" s="317"/>
      <c r="N83" s="802"/>
      <c r="O83" s="803"/>
      <c r="P83" s="803"/>
      <c r="Q83" s="804"/>
    </row>
    <row r="84" spans="1:17" s="5" customFormat="1" ht="15.75" customHeight="1">
      <c r="B84" s="4"/>
      <c r="C84" s="829"/>
      <c r="D84" s="830"/>
      <c r="E84" s="131"/>
      <c r="F84" s="143" t="s">
        <v>1378</v>
      </c>
      <c r="G84" s="145" t="s">
        <v>293</v>
      </c>
      <c r="H84" s="132" t="s">
        <v>1523</v>
      </c>
      <c r="I84" s="199"/>
      <c r="J84" s="503"/>
      <c r="K84" s="697" t="str" cm="1">
        <f t="array" ref="K84">IF(ISBLANK(J84), IF(ISBLANK(I84), "N/A", _xlfn.IFS(L84="AS", I84+15, L84="NCR", I84+30, L84="submitted", I84+30, TRUE, "N/A")), _xlfn.IFS(L84="AS", J84+15, L84="NCR", J84+30, L84="submitted", J84+30, TRUE, "N/A"))</f>
        <v>N/A</v>
      </c>
      <c r="L84" s="35"/>
      <c r="M84" s="317"/>
      <c r="N84" s="802"/>
      <c r="O84" s="803"/>
      <c r="P84" s="803"/>
      <c r="Q84" s="804"/>
    </row>
    <row r="85" spans="1:17" s="45" customFormat="1" ht="15.75" customHeight="1">
      <c r="A85" s="5"/>
      <c r="B85" s="4"/>
      <c r="C85" s="868"/>
      <c r="D85" s="869"/>
      <c r="E85" s="131"/>
      <c r="F85" s="143" t="s">
        <v>1378</v>
      </c>
      <c r="G85" s="181" t="s">
        <v>1524</v>
      </c>
      <c r="H85" s="165" t="s">
        <v>1525</v>
      </c>
      <c r="I85" s="199"/>
      <c r="J85" s="503"/>
      <c r="K85" s="697" t="str" cm="1">
        <f t="array" ref="K85">IF(ISBLANK(J85), IF(ISBLANK(I85), "N/A", _xlfn.IFS(L85="AS", I85+15, L85="NCR", I85+30, L85="submitted", I85+30, TRUE, "N/A")), _xlfn.IFS(L85="AS", J85+15, L85="NCR", J85+30, L85="submitted", J85+30, TRUE, "N/A"))</f>
        <v>N/A</v>
      </c>
      <c r="L85" s="49"/>
      <c r="M85" s="317"/>
      <c r="N85" s="802"/>
      <c r="O85" s="803"/>
      <c r="P85" s="803"/>
      <c r="Q85" s="804"/>
    </row>
    <row r="86" spans="1:17" s="317" customFormat="1">
      <c r="B86" s="320"/>
      <c r="J86" s="507"/>
      <c r="N86" s="802"/>
      <c r="O86" s="803"/>
      <c r="P86" s="803"/>
      <c r="Q86" s="804"/>
    </row>
    <row r="87" spans="1:17">
      <c r="N87" s="802"/>
      <c r="O87" s="803"/>
      <c r="P87" s="803"/>
      <c r="Q87" s="804"/>
    </row>
    <row r="88" spans="1:17">
      <c r="N88" s="802"/>
      <c r="O88" s="803"/>
      <c r="P88" s="803"/>
      <c r="Q88" s="804"/>
    </row>
    <row r="89" spans="1:17">
      <c r="N89" s="802"/>
      <c r="O89" s="803"/>
      <c r="P89" s="803"/>
      <c r="Q89" s="804"/>
    </row>
    <row r="90" spans="1:17">
      <c r="N90" s="802"/>
      <c r="O90" s="803"/>
      <c r="P90" s="803"/>
      <c r="Q90" s="804"/>
    </row>
    <row r="91" spans="1:17">
      <c r="N91" s="802"/>
      <c r="O91" s="803"/>
      <c r="P91" s="803"/>
      <c r="Q91" s="804"/>
    </row>
    <row r="92" spans="1:17">
      <c r="N92" s="802"/>
      <c r="O92" s="803"/>
      <c r="P92" s="803"/>
      <c r="Q92" s="804"/>
    </row>
    <row r="93" spans="1:17">
      <c r="N93" s="802"/>
      <c r="O93" s="803"/>
      <c r="P93" s="803"/>
      <c r="Q93" s="804"/>
    </row>
    <row r="94" spans="1:17">
      <c r="N94" s="802"/>
      <c r="O94" s="803"/>
      <c r="P94" s="803"/>
      <c r="Q94" s="804"/>
    </row>
    <row r="95" spans="1:17">
      <c r="N95" s="802"/>
      <c r="O95" s="803"/>
      <c r="P95" s="803"/>
      <c r="Q95" s="804"/>
    </row>
    <row r="96" spans="1:17">
      <c r="N96" s="802"/>
      <c r="O96" s="803"/>
      <c r="P96" s="803"/>
      <c r="Q96" s="804"/>
    </row>
    <row r="97" spans="14:17">
      <c r="N97" s="802"/>
      <c r="O97" s="803"/>
      <c r="P97" s="803"/>
      <c r="Q97" s="804"/>
    </row>
    <row r="98" spans="14:17">
      <c r="N98" s="802"/>
      <c r="O98" s="803"/>
      <c r="P98" s="803"/>
      <c r="Q98" s="804"/>
    </row>
    <row r="99" spans="14:17">
      <c r="N99" s="802"/>
      <c r="O99" s="803"/>
      <c r="P99" s="803"/>
      <c r="Q99" s="804"/>
    </row>
    <row r="100" spans="14:17">
      <c r="N100" s="802"/>
      <c r="O100" s="803"/>
      <c r="P100" s="803"/>
      <c r="Q100" s="804"/>
    </row>
    <row r="101" spans="14:17">
      <c r="N101" s="802"/>
      <c r="O101" s="803"/>
      <c r="P101" s="803"/>
      <c r="Q101" s="804"/>
    </row>
    <row r="102" spans="14:17">
      <c r="N102" s="802"/>
      <c r="O102" s="803"/>
      <c r="P102" s="803"/>
      <c r="Q102" s="804"/>
    </row>
    <row r="103" spans="14:17">
      <c r="N103" s="802"/>
      <c r="O103" s="803"/>
      <c r="P103" s="803"/>
      <c r="Q103" s="804"/>
    </row>
    <row r="104" spans="14:17">
      <c r="N104" s="802"/>
      <c r="O104" s="803"/>
      <c r="P104" s="803"/>
      <c r="Q104" s="804"/>
    </row>
    <row r="105" spans="14:17">
      <c r="N105" s="802"/>
      <c r="O105" s="803"/>
      <c r="P105" s="803"/>
      <c r="Q105" s="804"/>
    </row>
    <row r="106" spans="14:17">
      <c r="N106" s="802"/>
      <c r="O106" s="803"/>
      <c r="P106" s="803"/>
      <c r="Q106" s="804"/>
    </row>
    <row r="107" spans="14:17">
      <c r="N107" s="802"/>
      <c r="O107" s="803"/>
      <c r="P107" s="803"/>
      <c r="Q107" s="804"/>
    </row>
    <row r="108" spans="14:17">
      <c r="N108" s="802"/>
      <c r="O108" s="803"/>
      <c r="P108" s="803"/>
      <c r="Q108" s="804"/>
    </row>
    <row r="109" spans="14:17">
      <c r="N109" s="802"/>
      <c r="O109" s="803"/>
      <c r="P109" s="803"/>
      <c r="Q109" s="804"/>
    </row>
    <row r="110" spans="14:17">
      <c r="N110" s="802"/>
      <c r="O110" s="803"/>
      <c r="P110" s="803"/>
      <c r="Q110" s="804"/>
    </row>
    <row r="111" spans="14:17">
      <c r="N111" s="802"/>
      <c r="O111" s="803"/>
      <c r="P111" s="803"/>
      <c r="Q111" s="804"/>
    </row>
    <row r="112" spans="14:17">
      <c r="N112" s="802"/>
      <c r="O112" s="803"/>
      <c r="P112" s="803"/>
      <c r="Q112" s="804"/>
    </row>
    <row r="113" spans="14:17">
      <c r="N113" s="802"/>
      <c r="O113" s="803"/>
      <c r="P113" s="803"/>
      <c r="Q113" s="804"/>
    </row>
    <row r="114" spans="14:17">
      <c r="N114" s="802"/>
      <c r="O114" s="803"/>
      <c r="P114" s="803"/>
      <c r="Q114" s="804"/>
    </row>
    <row r="115" spans="14:17">
      <c r="N115" s="802"/>
      <c r="O115" s="803"/>
      <c r="P115" s="803"/>
      <c r="Q115" s="804"/>
    </row>
    <row r="116" spans="14:17">
      <c r="N116" s="802"/>
      <c r="O116" s="803"/>
      <c r="P116" s="803"/>
      <c r="Q116" s="804"/>
    </row>
    <row r="117" spans="14:17">
      <c r="N117" s="802"/>
      <c r="O117" s="803"/>
      <c r="P117" s="803"/>
      <c r="Q117" s="804"/>
    </row>
    <row r="118" spans="14:17">
      <c r="N118" s="802"/>
      <c r="O118" s="803"/>
      <c r="P118" s="803"/>
      <c r="Q118" s="804"/>
    </row>
    <row r="119" spans="14:17">
      <c r="N119" s="802"/>
      <c r="O119" s="803"/>
      <c r="P119" s="803"/>
      <c r="Q119" s="804"/>
    </row>
    <row r="120" spans="14:17">
      <c r="N120" s="796" t="s">
        <v>133</v>
      </c>
      <c r="O120" s="797"/>
      <c r="P120" s="797"/>
      <c r="Q120" s="798"/>
    </row>
    <row r="121" spans="14:17">
      <c r="N121" s="799"/>
      <c r="O121" s="800"/>
      <c r="P121" s="800"/>
      <c r="Q121" s="801"/>
    </row>
    <row r="122" spans="14:17">
      <c r="N122" s="799"/>
      <c r="O122" s="800"/>
      <c r="P122" s="800"/>
      <c r="Q122" s="801"/>
    </row>
    <row r="123" spans="14:17">
      <c r="N123" s="799"/>
      <c r="O123" s="800"/>
      <c r="P123" s="800"/>
      <c r="Q123" s="801"/>
    </row>
    <row r="124" spans="14:17">
      <c r="N124" s="799"/>
      <c r="O124" s="800"/>
      <c r="P124" s="800"/>
      <c r="Q124" s="801"/>
    </row>
    <row r="125" spans="14:17">
      <c r="N125" s="799"/>
      <c r="O125" s="800"/>
      <c r="P125" s="800"/>
      <c r="Q125" s="801"/>
    </row>
    <row r="126" spans="14:17">
      <c r="N126" s="799"/>
      <c r="O126" s="800"/>
      <c r="P126" s="800"/>
      <c r="Q126" s="801"/>
    </row>
    <row r="127" spans="14:17">
      <c r="N127" s="799"/>
      <c r="O127" s="800"/>
      <c r="P127" s="800"/>
      <c r="Q127" s="801"/>
    </row>
    <row r="128" spans="14:17">
      <c r="N128" s="802" t="s">
        <v>148</v>
      </c>
      <c r="O128" s="803"/>
      <c r="P128" s="803"/>
      <c r="Q128" s="804"/>
    </row>
    <row r="129" spans="14:17">
      <c r="N129" s="802"/>
      <c r="O129" s="803"/>
      <c r="P129" s="803"/>
      <c r="Q129" s="804"/>
    </row>
    <row r="130" spans="14:17">
      <c r="N130" s="802"/>
      <c r="O130" s="803"/>
      <c r="P130" s="803"/>
      <c r="Q130" s="804"/>
    </row>
    <row r="131" spans="14:17">
      <c r="N131" s="802"/>
      <c r="O131" s="803"/>
      <c r="P131" s="803"/>
      <c r="Q131" s="804"/>
    </row>
    <row r="132" spans="14:17">
      <c r="N132" s="802"/>
      <c r="O132" s="803"/>
      <c r="P132" s="803"/>
      <c r="Q132" s="804"/>
    </row>
    <row r="133" spans="14:17">
      <c r="N133" s="802"/>
      <c r="O133" s="803"/>
      <c r="P133" s="803"/>
      <c r="Q133" s="804"/>
    </row>
    <row r="134" spans="14:17">
      <c r="N134" s="802"/>
      <c r="O134" s="803"/>
      <c r="P134" s="803"/>
      <c r="Q134" s="804"/>
    </row>
    <row r="135" spans="14:17">
      <c r="N135" s="802"/>
      <c r="O135" s="803"/>
      <c r="P135" s="803"/>
      <c r="Q135" s="804"/>
    </row>
    <row r="136" spans="14:17">
      <c r="N136" s="802"/>
      <c r="O136" s="803"/>
      <c r="P136" s="803"/>
      <c r="Q136" s="804"/>
    </row>
    <row r="137" spans="14:17">
      <c r="N137" s="802"/>
      <c r="O137" s="803"/>
      <c r="P137" s="803"/>
      <c r="Q137" s="804"/>
    </row>
    <row r="138" spans="14:17">
      <c r="N138" s="802"/>
      <c r="O138" s="803"/>
      <c r="P138" s="803"/>
      <c r="Q138" s="804"/>
    </row>
    <row r="139" spans="14:17">
      <c r="N139" s="802"/>
      <c r="O139" s="803"/>
      <c r="P139" s="803"/>
      <c r="Q139" s="804"/>
    </row>
    <row r="140" spans="14:17">
      <c r="N140" s="802"/>
      <c r="O140" s="803"/>
      <c r="P140" s="803"/>
      <c r="Q140" s="804"/>
    </row>
    <row r="141" spans="14:17">
      <c r="N141" s="802"/>
      <c r="O141" s="803"/>
      <c r="P141" s="803"/>
      <c r="Q141" s="804"/>
    </row>
    <row r="142" spans="14:17">
      <c r="N142" s="802"/>
      <c r="O142" s="803"/>
      <c r="P142" s="803"/>
      <c r="Q142" s="804"/>
    </row>
    <row r="143" spans="14:17">
      <c r="N143" s="802"/>
      <c r="O143" s="803"/>
      <c r="P143" s="803"/>
      <c r="Q143" s="804"/>
    </row>
    <row r="144" spans="14:17">
      <c r="N144" s="802"/>
      <c r="O144" s="803"/>
      <c r="P144" s="803"/>
      <c r="Q144" s="804"/>
    </row>
    <row r="145" spans="14:17">
      <c r="N145" s="802"/>
      <c r="O145" s="803"/>
      <c r="P145" s="803"/>
      <c r="Q145" s="804"/>
    </row>
    <row r="146" spans="14:17">
      <c r="N146" s="802"/>
      <c r="O146" s="803"/>
      <c r="P146" s="803"/>
      <c r="Q146" s="804"/>
    </row>
    <row r="147" spans="14:17">
      <c r="N147" s="802"/>
      <c r="O147" s="803"/>
      <c r="P147" s="803"/>
      <c r="Q147" s="804"/>
    </row>
    <row r="148" spans="14:17">
      <c r="N148" s="802"/>
      <c r="O148" s="803"/>
      <c r="P148" s="803"/>
      <c r="Q148" s="804"/>
    </row>
    <row r="149" spans="14:17">
      <c r="N149" s="802"/>
      <c r="O149" s="803"/>
      <c r="P149" s="803"/>
      <c r="Q149" s="804"/>
    </row>
    <row r="150" spans="14:17">
      <c r="N150" s="802"/>
      <c r="O150" s="803"/>
      <c r="P150" s="803"/>
      <c r="Q150" s="804"/>
    </row>
    <row r="151" spans="14:17">
      <c r="N151" s="802"/>
      <c r="O151" s="803"/>
      <c r="P151" s="803"/>
      <c r="Q151" s="804"/>
    </row>
    <row r="152" spans="14:17">
      <c r="N152" s="802"/>
      <c r="O152" s="803"/>
      <c r="P152" s="803"/>
      <c r="Q152" s="804"/>
    </row>
    <row r="153" spans="14:17">
      <c r="N153" s="802"/>
      <c r="O153" s="803"/>
      <c r="P153" s="803"/>
      <c r="Q153" s="804"/>
    </row>
    <row r="154" spans="14:17">
      <c r="N154" s="802"/>
      <c r="O154" s="803"/>
      <c r="P154" s="803"/>
      <c r="Q154" s="804"/>
    </row>
    <row r="155" spans="14:17">
      <c r="N155" s="802"/>
      <c r="O155" s="803"/>
      <c r="P155" s="803"/>
      <c r="Q155" s="804"/>
    </row>
    <row r="156" spans="14:17">
      <c r="N156" s="802"/>
      <c r="O156" s="803"/>
      <c r="P156" s="803"/>
      <c r="Q156" s="804"/>
    </row>
    <row r="157" spans="14:17">
      <c r="N157" s="802"/>
      <c r="O157" s="803"/>
      <c r="P157" s="803"/>
      <c r="Q157" s="804"/>
    </row>
    <row r="158" spans="14:17">
      <c r="N158" s="802"/>
      <c r="O158" s="803"/>
      <c r="P158" s="803"/>
      <c r="Q158" s="804"/>
    </row>
    <row r="159" spans="14:17">
      <c r="N159" s="802"/>
      <c r="O159" s="803"/>
      <c r="P159" s="803"/>
      <c r="Q159" s="804"/>
    </row>
    <row r="160" spans="14:17">
      <c r="N160" s="802"/>
      <c r="O160" s="803"/>
      <c r="P160" s="803"/>
      <c r="Q160" s="804"/>
    </row>
    <row r="161" spans="14:17">
      <c r="N161" s="802"/>
      <c r="O161" s="803"/>
      <c r="P161" s="803"/>
      <c r="Q161" s="804"/>
    </row>
    <row r="162" spans="14:17">
      <c r="N162" s="802"/>
      <c r="O162" s="803"/>
      <c r="P162" s="803"/>
      <c r="Q162" s="804"/>
    </row>
    <row r="163" spans="14:17">
      <c r="N163" s="802"/>
      <c r="O163" s="803"/>
      <c r="P163" s="803"/>
      <c r="Q163" s="804"/>
    </row>
    <row r="164" spans="14:17">
      <c r="N164" s="802"/>
      <c r="O164" s="803"/>
      <c r="P164" s="803"/>
      <c r="Q164" s="804"/>
    </row>
    <row r="165" spans="14:17">
      <c r="N165" s="802"/>
      <c r="O165" s="803"/>
      <c r="P165" s="803"/>
      <c r="Q165" s="804"/>
    </row>
    <row r="166" spans="14:17">
      <c r="N166" s="802"/>
      <c r="O166" s="803"/>
      <c r="P166" s="803"/>
      <c r="Q166" s="804"/>
    </row>
    <row r="167" spans="14:17">
      <c r="N167" s="802"/>
      <c r="O167" s="803"/>
      <c r="P167" s="803"/>
      <c r="Q167" s="804"/>
    </row>
    <row r="168" spans="14:17">
      <c r="N168" s="802"/>
      <c r="O168" s="803"/>
      <c r="P168" s="803"/>
      <c r="Q168" s="804"/>
    </row>
    <row r="169" spans="14:17">
      <c r="N169" s="802"/>
      <c r="O169" s="803"/>
      <c r="P169" s="803"/>
      <c r="Q169" s="804"/>
    </row>
    <row r="170" spans="14:17">
      <c r="N170" s="802"/>
      <c r="O170" s="803"/>
      <c r="P170" s="803"/>
      <c r="Q170" s="804"/>
    </row>
    <row r="171" spans="14:17">
      <c r="N171" s="802"/>
      <c r="O171" s="803"/>
      <c r="P171" s="803"/>
      <c r="Q171" s="804"/>
    </row>
    <row r="172" spans="14:17">
      <c r="N172" s="802"/>
      <c r="O172" s="803"/>
      <c r="P172" s="803"/>
      <c r="Q172" s="804"/>
    </row>
    <row r="173" spans="14:17">
      <c r="N173" s="802"/>
      <c r="O173" s="803"/>
      <c r="P173" s="803"/>
      <c r="Q173" s="804"/>
    </row>
    <row r="174" spans="14:17">
      <c r="N174" s="802"/>
      <c r="O174" s="803"/>
      <c r="P174" s="803"/>
      <c r="Q174" s="804"/>
    </row>
    <row r="175" spans="14:17">
      <c r="N175" s="802"/>
      <c r="O175" s="803"/>
      <c r="P175" s="803"/>
      <c r="Q175" s="804"/>
    </row>
    <row r="176" spans="14:17">
      <c r="N176" s="802"/>
      <c r="O176" s="803"/>
      <c r="P176" s="803"/>
      <c r="Q176" s="804"/>
    </row>
    <row r="177" spans="14:17">
      <c r="N177" s="802"/>
      <c r="O177" s="803"/>
      <c r="P177" s="803"/>
      <c r="Q177" s="804"/>
    </row>
    <row r="178" spans="14:17">
      <c r="N178" s="802"/>
      <c r="O178" s="803"/>
      <c r="P178" s="803"/>
      <c r="Q178" s="804"/>
    </row>
    <row r="179" spans="14:17">
      <c r="N179" s="802"/>
      <c r="O179" s="803"/>
      <c r="P179" s="803"/>
      <c r="Q179" s="804"/>
    </row>
    <row r="180" spans="14:17">
      <c r="N180" s="802"/>
      <c r="O180" s="803"/>
      <c r="P180" s="803"/>
      <c r="Q180" s="804"/>
    </row>
    <row r="181" spans="14:17">
      <c r="N181" s="802"/>
      <c r="O181" s="803"/>
      <c r="P181" s="803"/>
      <c r="Q181" s="804"/>
    </row>
    <row r="182" spans="14:17">
      <c r="N182" s="802"/>
      <c r="O182" s="803"/>
      <c r="P182" s="803"/>
      <c r="Q182" s="804"/>
    </row>
    <row r="183" spans="14:17">
      <c r="N183" s="802"/>
      <c r="O183" s="803"/>
      <c r="P183" s="803"/>
      <c r="Q183" s="804"/>
    </row>
    <row r="184" spans="14:17">
      <c r="N184" s="802"/>
      <c r="O184" s="803"/>
      <c r="P184" s="803"/>
      <c r="Q184" s="804"/>
    </row>
    <row r="185" spans="14:17">
      <c r="N185" s="802"/>
      <c r="O185" s="803"/>
      <c r="P185" s="803"/>
      <c r="Q185" s="804"/>
    </row>
    <row r="186" spans="14:17">
      <c r="N186" s="802"/>
      <c r="O186" s="803"/>
      <c r="P186" s="803"/>
      <c r="Q186" s="804"/>
    </row>
    <row r="187" spans="14:17">
      <c r="N187" s="802"/>
      <c r="O187" s="803"/>
      <c r="P187" s="803"/>
      <c r="Q187" s="804"/>
    </row>
    <row r="188" spans="14:17">
      <c r="N188" s="802"/>
      <c r="O188" s="803"/>
      <c r="P188" s="803"/>
      <c r="Q188" s="804"/>
    </row>
    <row r="189" spans="14:17">
      <c r="N189" s="802"/>
      <c r="O189" s="803"/>
      <c r="P189" s="803"/>
      <c r="Q189" s="804"/>
    </row>
    <row r="190" spans="14:17">
      <c r="N190" s="802"/>
      <c r="O190" s="803"/>
      <c r="P190" s="803"/>
      <c r="Q190" s="804"/>
    </row>
    <row r="191" spans="14:17">
      <c r="N191" s="802"/>
      <c r="O191" s="803"/>
      <c r="P191" s="803"/>
      <c r="Q191" s="804"/>
    </row>
    <row r="192" spans="14:17">
      <c r="N192" s="802"/>
      <c r="O192" s="803"/>
      <c r="P192" s="803"/>
      <c r="Q192" s="804"/>
    </row>
    <row r="193" spans="14:17">
      <c r="N193" s="802"/>
      <c r="O193" s="803"/>
      <c r="P193" s="803"/>
      <c r="Q193" s="804"/>
    </row>
    <row r="194" spans="14:17">
      <c r="N194" s="802"/>
      <c r="O194" s="803"/>
      <c r="P194" s="803"/>
      <c r="Q194" s="804"/>
    </row>
    <row r="195" spans="14:17">
      <c r="N195" s="802"/>
      <c r="O195" s="803"/>
      <c r="P195" s="803"/>
      <c r="Q195" s="804"/>
    </row>
    <row r="196" spans="14:17">
      <c r="N196" s="802"/>
      <c r="O196" s="803"/>
      <c r="P196" s="803"/>
      <c r="Q196" s="804"/>
    </row>
    <row r="197" spans="14:17">
      <c r="N197" s="802"/>
      <c r="O197" s="803"/>
      <c r="P197" s="803"/>
      <c r="Q197" s="804"/>
    </row>
    <row r="198" spans="14:17">
      <c r="N198" s="802"/>
      <c r="O198" s="803"/>
      <c r="P198" s="803"/>
      <c r="Q198" s="804"/>
    </row>
    <row r="199" spans="14:17">
      <c r="N199" s="802"/>
      <c r="O199" s="803"/>
      <c r="P199" s="803"/>
      <c r="Q199" s="804"/>
    </row>
    <row r="200" spans="14:17">
      <c r="N200" s="802"/>
      <c r="O200" s="803"/>
      <c r="P200" s="803"/>
      <c r="Q200" s="804"/>
    </row>
    <row r="201" spans="14:17">
      <c r="N201" s="802"/>
      <c r="O201" s="803"/>
      <c r="P201" s="803"/>
      <c r="Q201" s="804"/>
    </row>
    <row r="202" spans="14:17">
      <c r="N202" s="802"/>
      <c r="O202" s="803"/>
      <c r="P202" s="803"/>
      <c r="Q202" s="804"/>
    </row>
    <row r="203" spans="14:17">
      <c r="N203" s="796" t="s">
        <v>133</v>
      </c>
      <c r="O203" s="797"/>
      <c r="P203" s="797"/>
      <c r="Q203" s="798"/>
    </row>
    <row r="204" spans="14:17">
      <c r="N204" s="799"/>
      <c r="O204" s="800"/>
      <c r="P204" s="800"/>
      <c r="Q204" s="801"/>
    </row>
    <row r="205" spans="14:17">
      <c r="N205" s="799"/>
      <c r="O205" s="800"/>
      <c r="P205" s="800"/>
      <c r="Q205" s="801"/>
    </row>
    <row r="206" spans="14:17">
      <c r="N206" s="799"/>
      <c r="O206" s="800"/>
      <c r="P206" s="800"/>
      <c r="Q206" s="801"/>
    </row>
    <row r="207" spans="14:17">
      <c r="N207" s="799"/>
      <c r="O207" s="800"/>
      <c r="P207" s="800"/>
      <c r="Q207" s="801"/>
    </row>
    <row r="208" spans="14:17">
      <c r="N208" s="799"/>
      <c r="O208" s="800"/>
      <c r="P208" s="800"/>
      <c r="Q208" s="801"/>
    </row>
    <row r="209" spans="14:17">
      <c r="N209" s="799"/>
      <c r="O209" s="800"/>
      <c r="P209" s="800"/>
      <c r="Q209" s="801"/>
    </row>
    <row r="210" spans="14:17">
      <c r="N210" s="799"/>
      <c r="O210" s="800"/>
      <c r="P210" s="800"/>
      <c r="Q210" s="801"/>
    </row>
    <row r="211" spans="14:17" ht="409.6">
      <c r="N211" s="747" t="s">
        <v>148</v>
      </c>
      <c r="O211" s="748"/>
      <c r="P211" s="748"/>
      <c r="Q211" s="749"/>
    </row>
    <row r="288" spans="14:14" ht="340.5">
      <c r="N288" s="745" t="s">
        <v>133</v>
      </c>
    </row>
    <row r="296" spans="14:14" ht="409.6">
      <c r="N296" s="747" t="s">
        <v>148</v>
      </c>
    </row>
  </sheetData>
  <mergeCells count="45">
    <mergeCell ref="N128:Q202"/>
    <mergeCell ref="N203:Q210"/>
    <mergeCell ref="N3:Q6"/>
    <mergeCell ref="N7:Q39"/>
    <mergeCell ref="N40:Q47"/>
    <mergeCell ref="N48:Q119"/>
    <mergeCell ref="N120:Q127"/>
    <mergeCell ref="C24:C31"/>
    <mergeCell ref="B1:H1"/>
    <mergeCell ref="C18:C19"/>
    <mergeCell ref="D18:D19"/>
    <mergeCell ref="D6:D11"/>
    <mergeCell ref="D3:D4"/>
    <mergeCell ref="C3:C4"/>
    <mergeCell ref="C6:C11"/>
    <mergeCell ref="C44:C47"/>
    <mergeCell ref="D44:D47"/>
    <mergeCell ref="C41:C43"/>
    <mergeCell ref="D41:D43"/>
    <mergeCell ref="C32:C34"/>
    <mergeCell ref="D32:D34"/>
    <mergeCell ref="F60:F63"/>
    <mergeCell ref="E60:E63"/>
    <mergeCell ref="F56:F59"/>
    <mergeCell ref="C50:C55"/>
    <mergeCell ref="D50:D55"/>
    <mergeCell ref="C56:C59"/>
    <mergeCell ref="D56:D59"/>
    <mergeCell ref="E56:E59"/>
    <mergeCell ref="L56:L59"/>
    <mergeCell ref="L60:L63"/>
    <mergeCell ref="C79:C82"/>
    <mergeCell ref="D79:D82"/>
    <mergeCell ref="C83:C85"/>
    <mergeCell ref="D83:D85"/>
    <mergeCell ref="C64:C65"/>
    <mergeCell ref="D64:D65"/>
    <mergeCell ref="C69:C70"/>
    <mergeCell ref="D69:D70"/>
    <mergeCell ref="C75:C78"/>
    <mergeCell ref="D75:D78"/>
    <mergeCell ref="C71:C74"/>
    <mergeCell ref="D71:D74"/>
    <mergeCell ref="C60:C63"/>
    <mergeCell ref="D60:D63"/>
  </mergeCells>
  <conditionalFormatting sqref="B2:L9000">
    <cfRule type="expression" dxfId="88" priority="5">
      <formula>OR(INDEX($L:$L,ROW())="NCR",INDEX($L:$L,ROW())="NR",INDEX($L:$L,ROW())="AS")</formula>
    </cfRule>
  </conditionalFormatting>
  <conditionalFormatting sqref="B2:L9000">
    <cfRule type="expression" dxfId="87" priority="4">
      <formula>OR(INDEX($L:$L,ROW())="AC",INDEX($L:$L,ROW())="AN",INDEX($L:$L,ROW())="RC",INDEX($L:$L,ROW())="RA")</formula>
    </cfRule>
  </conditionalFormatting>
  <conditionalFormatting sqref="B2:L9000">
    <cfRule type="expression" dxfId="86" priority="3">
      <formula>OR(INDEX($L:$L,ROW())="Submitted",INDEX($L:$L,ROW())="REV")</formula>
    </cfRule>
  </conditionalFormatting>
  <conditionalFormatting sqref="B3:L9000">
    <cfRule type="expression" dxfId="85" priority="2">
      <formula>NOT(OR(INDEX($L:$L,ROW())="NCR",INDEX($L:$L,ROW())="NR",INDEX($L:$L,ROW())="AS",INDEX($L:$L,ROW())="AC",INDEX($L:$L,ROW())="AN",INDEX($L:$L,ROW())="RC",INDEX($L:$L,ROW())="RA",INDEX($L:$L,ROW())="Submitted",INDEX($L:$L,ROW())="REV"))</formula>
    </cfRule>
  </conditionalFormatting>
  <conditionalFormatting sqref="A1:A1048576">
    <cfRule type="cellIs" dxfId="84" priority="1" operator="equal">
      <formula>"Y"</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Q384"/>
  <sheetViews>
    <sheetView zoomScale="80" zoomScaleNormal="80" workbookViewId="0">
      <pane ySplit="2" topLeftCell="A35" activePane="bottomLeft" state="frozen"/>
      <selection pane="bottomLeft" activeCell="E45" sqref="E45"/>
    </sheetView>
  </sheetViews>
  <sheetFormatPr defaultRowHeight="15"/>
  <cols>
    <col min="1" max="1" width="13.7109375" customWidth="1"/>
    <col min="2" max="2" width="11.28515625" customWidth="1"/>
    <col min="3" max="3" width="13.140625" bestFit="1" customWidth="1"/>
    <col min="4" max="4" width="43.7109375" customWidth="1"/>
    <col min="5" max="5" width="54.42578125" bestFit="1" customWidth="1"/>
    <col min="6" max="6" width="15.5703125" customWidth="1"/>
    <col min="8" max="8" width="78.140625" customWidth="1"/>
    <col min="9" max="9" width="9.7109375" customWidth="1"/>
    <col min="10" max="10" width="9.140625" style="508"/>
    <col min="11" max="11" width="14.28515625" customWidth="1"/>
    <col min="13" max="13" width="2" customWidth="1"/>
    <col min="18" max="18" width="1.5703125" customWidth="1"/>
  </cols>
  <sheetData>
    <row r="1" spans="1:17" ht="47.45" customHeight="1">
      <c r="B1" s="805" t="s">
        <v>1526</v>
      </c>
      <c r="C1" s="806"/>
      <c r="D1" s="806"/>
      <c r="E1" s="806"/>
      <c r="F1" s="806"/>
      <c r="G1" s="806"/>
      <c r="H1" s="806"/>
      <c r="M1" s="317"/>
      <c r="N1" s="314"/>
      <c r="O1" s="315"/>
      <c r="P1" s="315"/>
      <c r="Q1" s="316"/>
    </row>
    <row r="2" spans="1:17" ht="45.75">
      <c r="A2" s="282" t="s">
        <v>284</v>
      </c>
      <c r="B2" s="282" t="s">
        <v>113</v>
      </c>
      <c r="C2" s="283" t="s">
        <v>114</v>
      </c>
      <c r="D2" s="283" t="s">
        <v>115</v>
      </c>
      <c r="E2" s="283" t="s">
        <v>116</v>
      </c>
      <c r="F2" s="283" t="s">
        <v>117</v>
      </c>
      <c r="G2" s="283" t="s">
        <v>118</v>
      </c>
      <c r="H2" s="284" t="s">
        <v>119</v>
      </c>
      <c r="I2" s="290" t="s">
        <v>120</v>
      </c>
      <c r="J2" s="499" t="s">
        <v>121</v>
      </c>
      <c r="K2" s="290" t="s">
        <v>122</v>
      </c>
      <c r="L2" s="291" t="s">
        <v>123</v>
      </c>
      <c r="M2" s="319"/>
      <c r="N2" s="311" t="s">
        <v>124</v>
      </c>
      <c r="O2" s="293" t="s">
        <v>125</v>
      </c>
      <c r="P2" s="294" t="s">
        <v>126</v>
      </c>
      <c r="Q2" s="295" t="s">
        <v>127</v>
      </c>
    </row>
    <row r="3" spans="1:17" s="1" customFormat="1" ht="15" customHeight="1">
      <c r="B3" s="21"/>
      <c r="C3" s="48" t="s">
        <v>1527</v>
      </c>
      <c r="D3" s="911" t="s">
        <v>1528</v>
      </c>
      <c r="E3" s="10"/>
      <c r="F3" s="46"/>
      <c r="G3" s="21" t="s">
        <v>208</v>
      </c>
      <c r="H3" s="177" t="s">
        <v>282</v>
      </c>
      <c r="I3" s="286"/>
      <c r="J3" s="288"/>
      <c r="K3" s="288" t="str" cm="1">
        <f t="array" ref="K3">IF(ISBLANK(J3), IF(ISBLANK(I3), "N/A", _xlfn.IFS(L3="AS", I3+15, L3="NCR", I3+30, L3="submitted", I3+30, TRUE, "N/A")), _xlfn.IFS(L3="AS", J3+15, L3="NCR", J3+30, L3="submitted", J3+30, TRUE, "N/A"))</f>
        <v>N/A</v>
      </c>
      <c r="L3" s="286"/>
      <c r="M3" s="317"/>
      <c r="N3" s="796" t="s">
        <v>133</v>
      </c>
      <c r="O3" s="797"/>
      <c r="P3" s="797"/>
      <c r="Q3" s="798"/>
    </row>
    <row r="4" spans="1:17" s="228" customFormat="1" ht="15" customHeight="1">
      <c r="B4" s="221"/>
      <c r="C4" s="412" t="s">
        <v>1527</v>
      </c>
      <c r="D4" s="911"/>
      <c r="E4" s="413"/>
      <c r="F4" s="222" t="s">
        <v>161</v>
      </c>
      <c r="G4" s="221" t="s">
        <v>281</v>
      </c>
      <c r="H4" s="223" t="s">
        <v>1529</v>
      </c>
      <c r="I4" s="414"/>
      <c r="J4" s="511"/>
      <c r="K4" s="288" t="str" cm="1">
        <f t="array" ref="K4">IF(ISBLANK(J4), IF(ISBLANK(I4), "N/A", _xlfn.IFS(L4="AS", I4+15, L4="NCR", I4+30, L4="submitted", I4+30, TRUE, "N/A")), _xlfn.IFS(L4="AS", J4+15, L4="NCR", J4+30, L4="submitted", J4+30, TRUE, "N/A"))</f>
        <v>N/A</v>
      </c>
      <c r="L4" s="414"/>
      <c r="M4" s="317"/>
      <c r="N4" s="799"/>
      <c r="O4" s="800"/>
      <c r="P4" s="800"/>
      <c r="Q4" s="801"/>
    </row>
    <row r="5" spans="1:17" s="228" customFormat="1" ht="15" customHeight="1">
      <c r="B5" s="221"/>
      <c r="C5" s="412" t="s">
        <v>1527</v>
      </c>
      <c r="D5" s="911"/>
      <c r="E5" s="413"/>
      <c r="F5" s="222" t="s">
        <v>161</v>
      </c>
      <c r="G5" s="221" t="s">
        <v>329</v>
      </c>
      <c r="H5" s="223" t="s">
        <v>1530</v>
      </c>
      <c r="I5" s="414"/>
      <c r="J5" s="511"/>
      <c r="K5" s="288" t="str" cm="1">
        <f t="array" ref="K5">IF(ISBLANK(J5), IF(ISBLANK(I5), "N/A", _xlfn.IFS(L5="AS", I5+15, L5="NCR", I5+30, L5="submitted", I5+30, TRUE, "N/A")), _xlfn.IFS(L5="AS", J5+15, L5="NCR", J5+30, L5="submitted", J5+30, TRUE, "N/A"))</f>
        <v>N/A</v>
      </c>
      <c r="L5" s="414"/>
      <c r="M5" s="317"/>
      <c r="N5" s="799"/>
      <c r="O5" s="800"/>
      <c r="P5" s="800"/>
      <c r="Q5" s="801"/>
    </row>
    <row r="6" spans="1:17" s="1" customFormat="1" ht="15" customHeight="1">
      <c r="B6" s="9"/>
      <c r="C6" s="48" t="s">
        <v>1527</v>
      </c>
      <c r="D6" s="912"/>
      <c r="E6" s="12"/>
      <c r="F6" s="13"/>
      <c r="G6" s="9" t="s">
        <v>601</v>
      </c>
      <c r="H6" s="161" t="s">
        <v>1531</v>
      </c>
      <c r="I6" s="238"/>
      <c r="J6" s="252"/>
      <c r="K6" s="288" t="str" cm="1">
        <f t="array" ref="K6">IF(ISBLANK(J6), IF(ISBLANK(I6), "N/A", _xlfn.IFS(L6="AS", I6+15, L6="NCR", I6+30, L6="submitted", I6+30, TRUE, "N/A")), _xlfn.IFS(L6="AS", J6+15, L6="NCR", J6+30, L6="submitted", J6+30, TRUE, "N/A"))</f>
        <v>N/A</v>
      </c>
      <c r="L6" s="238"/>
      <c r="M6" s="317"/>
      <c r="N6" s="799"/>
      <c r="O6" s="800"/>
      <c r="P6" s="800"/>
      <c r="Q6" s="801"/>
    </row>
    <row r="7" spans="1:17" s="138" customFormat="1" ht="26.25" customHeight="1">
      <c r="B7" s="133" t="s">
        <v>3</v>
      </c>
      <c r="C7" s="516" t="s">
        <v>1532</v>
      </c>
      <c r="D7" s="517" t="s">
        <v>1533</v>
      </c>
      <c r="E7" s="518" t="s">
        <v>1534</v>
      </c>
      <c r="F7" s="518" t="s">
        <v>1535</v>
      </c>
      <c r="G7" s="133" t="s">
        <v>212</v>
      </c>
      <c r="H7" s="137" t="s">
        <v>1536</v>
      </c>
      <c r="I7" s="519">
        <v>45834</v>
      </c>
      <c r="J7" s="519">
        <v>45894</v>
      </c>
      <c r="K7" s="288" t="str" cm="1">
        <f t="array" ref="K7">IF(ISBLANK(J7), IF(ISBLANK(I7), "N/A", _xlfn.IFS(L7="AS", I7+15, L7="NCR", I7+30, L7="submitted", I7+30, TRUE, "N/A")), _xlfn.IFS(L7="AS", J7+15, L7="NCR", J7+30, L7="submitted", J7+30, TRUE, "N/A"))</f>
        <v>N/A</v>
      </c>
      <c r="L7" s="133" t="s">
        <v>151</v>
      </c>
      <c r="M7" s="317"/>
      <c r="N7" s="802" t="s">
        <v>148</v>
      </c>
      <c r="O7" s="803"/>
      <c r="P7" s="803"/>
      <c r="Q7" s="804"/>
    </row>
    <row r="8" spans="1:17" s="1" customFormat="1" ht="27" customHeight="1">
      <c r="B8" s="21"/>
      <c r="C8" s="361" t="s">
        <v>1532</v>
      </c>
      <c r="D8" s="360" t="s">
        <v>1533</v>
      </c>
      <c r="E8" s="50"/>
      <c r="F8" s="50" t="s">
        <v>1537</v>
      </c>
      <c r="G8" s="21" t="s">
        <v>234</v>
      </c>
      <c r="H8" s="52" t="s">
        <v>1538</v>
      </c>
      <c r="I8" s="51"/>
      <c r="J8" s="51"/>
      <c r="K8" s="288" t="str" cm="1">
        <f t="array" ref="K8">IF(ISBLANK(J8), IF(ISBLANK(I8), "N/A", _xlfn.IFS(L8="AS", I8+15, L8="NCR", I8+30, L8="submitted", I8+30, TRUE, "N/A")), _xlfn.IFS(L8="AS", J8+15, L8="NCR", J8+30, L8="submitted", J8+30, TRUE, "N/A"))</f>
        <v>N/A</v>
      </c>
      <c r="L8" s="21"/>
      <c r="M8" s="317"/>
      <c r="N8" s="802"/>
      <c r="O8" s="803"/>
      <c r="P8" s="803"/>
      <c r="Q8" s="804"/>
    </row>
    <row r="9" spans="1:17" s="1" customFormat="1" ht="27" customHeight="1">
      <c r="B9" s="21"/>
      <c r="C9" s="361" t="s">
        <v>1532</v>
      </c>
      <c r="D9" s="360" t="s">
        <v>1533</v>
      </c>
      <c r="E9" s="50"/>
      <c r="F9" s="50" t="s">
        <v>1535</v>
      </c>
      <c r="G9" s="21" t="s">
        <v>236</v>
      </c>
      <c r="H9" s="52" t="s">
        <v>1539</v>
      </c>
      <c r="I9" s="51"/>
      <c r="J9" s="51"/>
      <c r="K9" s="288" t="str" cm="1">
        <f t="array" ref="K9">IF(ISBLANK(J9), IF(ISBLANK(I9), "N/A", _xlfn.IFS(L9="AS", I9+15, L9="NCR", I9+30, L9="submitted", I9+30, TRUE, "N/A")), _xlfn.IFS(L9="AS", J9+15, L9="NCR", J9+30, L9="submitted", J9+30, TRUE, "N/A"))</f>
        <v>N/A</v>
      </c>
      <c r="L9" s="21"/>
      <c r="M9" s="317"/>
      <c r="N9" s="802"/>
      <c r="O9" s="803"/>
      <c r="P9" s="803"/>
      <c r="Q9" s="804"/>
    </row>
    <row r="10" spans="1:17" s="1" customFormat="1" ht="27" customHeight="1">
      <c r="B10" s="21"/>
      <c r="C10" s="361" t="s">
        <v>1532</v>
      </c>
      <c r="D10" s="360" t="s">
        <v>1533</v>
      </c>
      <c r="E10" s="50"/>
      <c r="F10" s="50" t="s">
        <v>1535</v>
      </c>
      <c r="G10" s="21" t="s">
        <v>238</v>
      </c>
      <c r="H10" s="46" t="s">
        <v>1540</v>
      </c>
      <c r="I10" s="51"/>
      <c r="J10" s="51"/>
      <c r="K10" s="288" t="str" cm="1">
        <f t="array" ref="K10">IF(ISBLANK(J10), IF(ISBLANK(I10), "N/A", _xlfn.IFS(L10="AS", I10+15, L10="NCR", I10+30, L10="submitted", I10+30, TRUE, "N/A")), _xlfn.IFS(L10="AS", J10+15, L10="NCR", J10+30, L10="submitted", J10+30, TRUE, "N/A"))</f>
        <v>N/A</v>
      </c>
      <c r="L10" s="21"/>
      <c r="M10" s="317"/>
      <c r="N10" s="802"/>
      <c r="O10" s="803"/>
      <c r="P10" s="803"/>
      <c r="Q10" s="804"/>
    </row>
    <row r="11" spans="1:17" s="228" customFormat="1" ht="36" customHeight="1">
      <c r="B11" s="415"/>
      <c r="C11" s="416" t="s">
        <v>1532</v>
      </c>
      <c r="D11" s="417" t="s">
        <v>1533</v>
      </c>
      <c r="E11" s="418"/>
      <c r="F11" s="418" t="s">
        <v>1541</v>
      </c>
      <c r="G11" s="415" t="s">
        <v>337</v>
      </c>
      <c r="H11" s="339" t="s">
        <v>1542</v>
      </c>
      <c r="I11" s="419"/>
      <c r="J11" s="419"/>
      <c r="K11" s="288" t="str" cm="1">
        <f t="array" ref="K11">IF(ISBLANK(J11), IF(ISBLANK(I11), "N/A", _xlfn.IFS(L11="AS", I11+15, L11="NCR", I11+30, L11="submitted", I11+30, TRUE, "N/A")), _xlfn.IFS(L11="AS", J11+15, L11="NCR", J11+30, L11="submitted", J11+30, TRUE, "N/A"))</f>
        <v>N/A</v>
      </c>
      <c r="L11" s="415"/>
      <c r="M11" s="317"/>
      <c r="N11" s="802"/>
      <c r="O11" s="803"/>
      <c r="P11" s="803"/>
      <c r="Q11" s="804"/>
    </row>
    <row r="12" spans="1:17" s="483" customFormat="1" ht="27.75" customHeight="1">
      <c r="B12" s="348" t="s">
        <v>7</v>
      </c>
      <c r="C12" s="913" t="s">
        <v>1543</v>
      </c>
      <c r="D12" s="915" t="s">
        <v>1544</v>
      </c>
      <c r="E12" s="480"/>
      <c r="F12" s="480" t="s">
        <v>1535</v>
      </c>
      <c r="G12" s="348" t="s">
        <v>281</v>
      </c>
      <c r="H12" s="481" t="s">
        <v>1545</v>
      </c>
      <c r="I12" s="482">
        <v>45868</v>
      </c>
      <c r="J12" s="482">
        <v>45888</v>
      </c>
      <c r="K12" s="288" t="str" cm="1">
        <f t="array" ref="K12">IF(ISBLANK(J12), IF(ISBLANK(I12), "N/A", _xlfn.IFS(L12="AS", I12+15, L12="NCR", I12+30, L12="submitted", I12+30, TRUE, "N/A")), _xlfn.IFS(L12="AS", J12+15, L12="NCR", J12+30, L12="submitted", J12+30, TRUE, "N/A"))</f>
        <v>N/A</v>
      </c>
      <c r="L12" s="348" t="s">
        <v>151</v>
      </c>
      <c r="M12" s="318"/>
      <c r="N12" s="802"/>
      <c r="O12" s="803"/>
      <c r="P12" s="803"/>
      <c r="Q12" s="804"/>
    </row>
    <row r="13" spans="1:17" s="483" customFormat="1" ht="15" customHeight="1">
      <c r="B13" s="348" t="s">
        <v>7</v>
      </c>
      <c r="C13" s="914"/>
      <c r="D13" s="916"/>
      <c r="E13" s="484"/>
      <c r="F13" s="484" t="s">
        <v>1535</v>
      </c>
      <c r="G13" s="348" t="s">
        <v>329</v>
      </c>
      <c r="H13" s="352" t="s">
        <v>341</v>
      </c>
      <c r="I13" s="482">
        <v>45868</v>
      </c>
      <c r="J13" s="482">
        <v>45888</v>
      </c>
      <c r="K13" s="288" t="str" cm="1">
        <f t="array" ref="K13">IF(ISBLANK(J13), IF(ISBLANK(I13), "N/A", _xlfn.IFS(L13="AS", I13+15, L13="NCR", I13+30, L13="submitted", I13+30, TRUE, "N/A")), _xlfn.IFS(L13="AS", J13+15, L13="NCR", J13+30, L13="submitted", J13+30, TRUE, "N/A"))</f>
        <v>N/A</v>
      </c>
      <c r="L13" s="348" t="s">
        <v>151</v>
      </c>
      <c r="M13" s="317"/>
      <c r="N13" s="802"/>
      <c r="O13" s="803"/>
      <c r="P13" s="803"/>
      <c r="Q13" s="804"/>
    </row>
    <row r="14" spans="1:17" s="228" customFormat="1" ht="15" customHeight="1">
      <c r="B14" s="221"/>
      <c r="C14" s="229" t="s">
        <v>1546</v>
      </c>
      <c r="D14" s="420" t="s">
        <v>1547</v>
      </c>
      <c r="E14" s="420"/>
      <c r="F14" s="420"/>
      <c r="G14" s="221" t="s">
        <v>145</v>
      </c>
      <c r="H14" s="402"/>
      <c r="I14" s="421"/>
      <c r="J14" s="421"/>
      <c r="K14" s="288" t="str" cm="1">
        <f t="array" ref="K14">IF(ISBLANK(J14), IF(ISBLANK(I14), "N/A", _xlfn.IFS(L14="AS", I14+15, L14="NCR", I14+30, L14="submitted", I14+30, TRUE, "N/A")), _xlfn.IFS(L14="AS", J14+15, L14="NCR", J14+30, L14="submitted", J14+30, TRUE, "N/A"))</f>
        <v>N/A</v>
      </c>
      <c r="L14" s="221"/>
      <c r="M14" s="317"/>
      <c r="N14" s="802"/>
      <c r="O14" s="803"/>
      <c r="P14" s="803"/>
      <c r="Q14" s="804"/>
    </row>
    <row r="15" spans="1:17" s="5" customFormat="1" ht="27" customHeight="1">
      <c r="B15" s="4"/>
      <c r="C15" s="825" t="s">
        <v>1548</v>
      </c>
      <c r="D15" s="827" t="s">
        <v>1549</v>
      </c>
      <c r="E15" s="34"/>
      <c r="F15" s="34" t="s">
        <v>1535</v>
      </c>
      <c r="G15" s="4" t="s">
        <v>229</v>
      </c>
      <c r="H15" s="3" t="s">
        <v>1550</v>
      </c>
      <c r="I15" s="18"/>
      <c r="J15" s="18"/>
      <c r="K15" s="288" t="str" cm="1">
        <f t="array" ref="K15">IF(ISBLANK(J15), IF(ISBLANK(I15), "N/A", _xlfn.IFS(L15="AS", I15+15, L15="NCR", I15+30, L15="submitted", I15+30, TRUE, "N/A")), _xlfn.IFS(L15="AS", J15+15, L15="NCR", J15+30, L15="submitted", J15+30, TRUE, "N/A"))</f>
        <v>N/A</v>
      </c>
      <c r="L15" s="4" t="s">
        <v>1551</v>
      </c>
      <c r="M15" s="317"/>
      <c r="N15" s="802"/>
      <c r="O15" s="803"/>
      <c r="P15" s="803"/>
      <c r="Q15" s="804"/>
    </row>
    <row r="16" spans="1:17" s="5" customFormat="1" ht="27" customHeight="1">
      <c r="B16" s="4"/>
      <c r="C16" s="829"/>
      <c r="D16" s="830"/>
      <c r="E16" s="35"/>
      <c r="F16" s="35" t="s">
        <v>1535</v>
      </c>
      <c r="G16" s="4" t="s">
        <v>232</v>
      </c>
      <c r="H16" s="3" t="s">
        <v>1552</v>
      </c>
      <c r="I16" s="18"/>
      <c r="J16" s="18"/>
      <c r="K16" s="288" t="str" cm="1">
        <f t="array" ref="K16">IF(ISBLANK(J16), IF(ISBLANK(I16), "N/A", _xlfn.IFS(L16="AS", I16+15, L16="NCR", I16+30, L16="submitted", I16+30, TRUE, "N/A")), _xlfn.IFS(L16="AS", J16+15, L16="NCR", J16+30, L16="submitted", J16+30, TRUE, "N/A"))</f>
        <v>N/A</v>
      </c>
      <c r="L16" s="4" t="s">
        <v>1553</v>
      </c>
      <c r="M16" s="317"/>
      <c r="N16" s="802"/>
      <c r="O16" s="803"/>
      <c r="P16" s="803"/>
      <c r="Q16" s="804"/>
    </row>
    <row r="17" spans="2:17" s="5" customFormat="1" ht="27" customHeight="1">
      <c r="B17" s="4"/>
      <c r="C17" s="829"/>
      <c r="D17" s="830"/>
      <c r="E17" s="35"/>
      <c r="F17" s="35" t="s">
        <v>1535</v>
      </c>
      <c r="G17" s="19" t="s">
        <v>1554</v>
      </c>
      <c r="H17" s="53" t="s">
        <v>1555</v>
      </c>
      <c r="I17" s="18"/>
      <c r="J17" s="18"/>
      <c r="K17" s="288" t="str" cm="1">
        <f t="array" ref="K17">IF(ISBLANK(J17), IF(ISBLANK(I17), "N/A", _xlfn.IFS(L17="AS", I17+15, L17="NCR", I17+30, L17="submitted", I17+30, TRUE, "N/A")), _xlfn.IFS(L17="AS", J17+15, L17="NCR", J17+30, L17="submitted", J17+30, TRUE, "N/A"))</f>
        <v>N/A</v>
      </c>
      <c r="L17" s="4" t="s">
        <v>1551</v>
      </c>
      <c r="M17" s="317"/>
      <c r="N17" s="802"/>
      <c r="O17" s="803"/>
      <c r="P17" s="803"/>
      <c r="Q17" s="804"/>
    </row>
    <row r="18" spans="2:17" s="138" customFormat="1" ht="27" customHeight="1">
      <c r="B18" s="151" t="s">
        <v>11</v>
      </c>
      <c r="C18" s="862" t="s">
        <v>1556</v>
      </c>
      <c r="D18" s="865" t="s">
        <v>1557</v>
      </c>
      <c r="E18" s="529" t="s">
        <v>1558</v>
      </c>
      <c r="F18" s="168" t="s">
        <v>1559</v>
      </c>
      <c r="G18" s="151" t="s">
        <v>208</v>
      </c>
      <c r="H18" s="152" t="s">
        <v>235</v>
      </c>
      <c r="I18" s="261">
        <v>45835</v>
      </c>
      <c r="J18" s="261">
        <v>45891</v>
      </c>
      <c r="K18" s="288" t="str" cm="1">
        <f t="array" ref="K18">IF(ISBLANK(J18), IF(ISBLANK(I18), "N/A", _xlfn.IFS(L18="AS", I18+15, L18="NCR", I18+30, L18="submitted", I18+30, TRUE, "N/A")), _xlfn.IFS(L18="AS", J18+15, L18="NCR", J18+30, L18="submitted", J18+30, TRUE, "N/A"))</f>
        <v>N/A</v>
      </c>
      <c r="L18" s="151" t="s">
        <v>147</v>
      </c>
      <c r="M18" s="317"/>
      <c r="N18" s="802"/>
      <c r="O18" s="803"/>
      <c r="P18" s="803"/>
      <c r="Q18" s="804"/>
    </row>
    <row r="19" spans="2:17" s="138" customFormat="1" ht="24.75" customHeight="1">
      <c r="B19" s="151" t="s">
        <v>11</v>
      </c>
      <c r="C19" s="864"/>
      <c r="D19" s="867"/>
      <c r="E19" s="520" t="s">
        <v>1558</v>
      </c>
      <c r="F19" s="137" t="s">
        <v>1560</v>
      </c>
      <c r="G19" s="151" t="s">
        <v>281</v>
      </c>
      <c r="H19" s="152" t="s">
        <v>1561</v>
      </c>
      <c r="I19" s="261">
        <v>45835</v>
      </c>
      <c r="J19" s="261">
        <v>45891</v>
      </c>
      <c r="K19" s="288" t="str" cm="1">
        <f t="array" ref="K19">IF(ISBLANK(J19), IF(ISBLANK(I19), "N/A", _xlfn.IFS(L19="AS", I19+15, L19="NCR", I19+30, L19="submitted", I19+30, TRUE, "N/A")), _xlfn.IFS(L19="AS", J19+15, L19="NCR", J19+30, L19="submitted", J19+30, TRUE, "N/A"))</f>
        <v>N/A</v>
      </c>
      <c r="L19" s="151" t="s">
        <v>147</v>
      </c>
      <c r="M19" s="317"/>
      <c r="N19" s="802"/>
      <c r="O19" s="803"/>
      <c r="P19" s="803"/>
      <c r="Q19" s="804"/>
    </row>
    <row r="20" spans="2:17" s="138" customFormat="1" ht="27" customHeight="1">
      <c r="B20" s="151" t="s">
        <v>1562</v>
      </c>
      <c r="C20" s="862" t="s">
        <v>1556</v>
      </c>
      <c r="D20" s="865" t="s">
        <v>1557</v>
      </c>
      <c r="E20" s="529" t="s">
        <v>1558</v>
      </c>
      <c r="F20" s="168" t="s">
        <v>1559</v>
      </c>
      <c r="G20" s="151" t="s">
        <v>208</v>
      </c>
      <c r="H20" s="152" t="s">
        <v>235</v>
      </c>
      <c r="I20" s="261">
        <v>45916</v>
      </c>
      <c r="J20" s="261">
        <v>45922</v>
      </c>
      <c r="K20" s="288" t="str" cm="1">
        <f t="array" ref="K20">IF(ISBLANK(J20), IF(ISBLANK(I20), "N/A", _xlfn.IFS(L20="AS", I20+15, L20="NCR", I20+30, L20="submitted", I20+30, TRUE, "N/A")), _xlfn.IFS(L20="AS", J20+15, L20="NCR", J20+30, L20="submitted", J20+30, TRUE, "N/A"))</f>
        <v>N/A</v>
      </c>
      <c r="L20" s="151" t="s">
        <v>151</v>
      </c>
      <c r="M20" s="317"/>
      <c r="N20" s="802"/>
      <c r="O20" s="803"/>
      <c r="P20" s="803"/>
      <c r="Q20" s="804"/>
    </row>
    <row r="21" spans="2:17" s="138" customFormat="1" ht="24.75" customHeight="1">
      <c r="B21" s="151" t="s">
        <v>1562</v>
      </c>
      <c r="C21" s="864"/>
      <c r="D21" s="867"/>
      <c r="E21" s="520" t="s">
        <v>1558</v>
      </c>
      <c r="F21" s="137" t="s">
        <v>1560</v>
      </c>
      <c r="G21" s="151" t="s">
        <v>281</v>
      </c>
      <c r="H21" s="152" t="s">
        <v>1561</v>
      </c>
      <c r="I21" s="261">
        <v>45916</v>
      </c>
      <c r="J21" s="261">
        <v>45922</v>
      </c>
      <c r="K21" s="288" t="str" cm="1">
        <f t="array" ref="K21">IF(ISBLANK(J21), IF(ISBLANK(I21), "N/A", _xlfn.IFS(L21="AS", I21+15, L21="NCR", I21+30, L21="submitted", I21+30, TRUE, "N/A")), _xlfn.IFS(L21="AS", J21+15, L21="NCR", J21+30, L21="submitted", J21+30, TRUE, "N/A"))</f>
        <v>N/A</v>
      </c>
      <c r="L21" s="151" t="s">
        <v>151</v>
      </c>
      <c r="M21" s="317"/>
      <c r="N21" s="802"/>
      <c r="O21" s="803"/>
      <c r="P21" s="803"/>
      <c r="Q21" s="804"/>
    </row>
    <row r="22" spans="2:17" s="149" customFormat="1" ht="27" customHeight="1">
      <c r="B22" s="146" t="s">
        <v>15</v>
      </c>
      <c r="C22" s="898" t="s">
        <v>1556</v>
      </c>
      <c r="D22" s="899" t="s">
        <v>1557</v>
      </c>
      <c r="E22" s="509" t="s">
        <v>1558</v>
      </c>
      <c r="F22" s="231" t="s">
        <v>1559</v>
      </c>
      <c r="G22" s="146" t="s">
        <v>208</v>
      </c>
      <c r="H22" s="147" t="s">
        <v>235</v>
      </c>
      <c r="I22" s="233">
        <v>45835</v>
      </c>
      <c r="J22" s="233">
        <v>45894</v>
      </c>
      <c r="K22" s="288" t="str" cm="1">
        <f t="array" ref="K22">IF(ISBLANK(J22), IF(ISBLANK(I22), "N/A", _xlfn.IFS(L22="AS", I22+15, L22="NCR", I22+30, L22="submitted", I22+30, TRUE, "N/A")), _xlfn.IFS(L22="AS", J22+15, L22="NCR", J22+30, L22="submitted", J22+30, TRUE, "N/A"))</f>
        <v>N/A</v>
      </c>
      <c r="L22" s="146" t="s">
        <v>147</v>
      </c>
      <c r="M22" s="317"/>
      <c r="N22" s="802"/>
      <c r="O22" s="803"/>
      <c r="P22" s="803"/>
      <c r="Q22" s="804"/>
    </row>
    <row r="23" spans="2:17" s="149" customFormat="1" ht="24.75" customHeight="1">
      <c r="B23" s="146" t="s">
        <v>15</v>
      </c>
      <c r="C23" s="886"/>
      <c r="D23" s="889"/>
      <c r="E23" s="510" t="s">
        <v>1558</v>
      </c>
      <c r="F23" s="217" t="s">
        <v>1560</v>
      </c>
      <c r="G23" s="146" t="s">
        <v>281</v>
      </c>
      <c r="H23" s="147" t="s">
        <v>1561</v>
      </c>
      <c r="I23" s="233">
        <v>45835</v>
      </c>
      <c r="J23" s="233">
        <v>45894</v>
      </c>
      <c r="K23" s="288" t="str" cm="1">
        <f t="array" ref="K23">IF(ISBLANK(J23), IF(ISBLANK(I23), "N/A", _xlfn.IFS(L23="AS", I23+15, L23="NCR", I23+30, L23="submitted", I23+30, TRUE, "N/A")), _xlfn.IFS(L23="AS", J23+15, L23="NCR", J23+30, L23="submitted", J23+30, TRUE, "N/A"))</f>
        <v>N/A</v>
      </c>
      <c r="L23" s="146" t="s">
        <v>147</v>
      </c>
      <c r="M23" s="317"/>
      <c r="N23" s="802"/>
      <c r="O23" s="803"/>
      <c r="P23" s="803"/>
      <c r="Q23" s="804"/>
    </row>
    <row r="24" spans="2:17" s="26" customFormat="1" ht="27" customHeight="1">
      <c r="B24" s="22" t="s">
        <v>1563</v>
      </c>
      <c r="C24" s="898" t="s">
        <v>1556</v>
      </c>
      <c r="D24" s="899" t="s">
        <v>1557</v>
      </c>
      <c r="E24" s="23" t="s">
        <v>1558</v>
      </c>
      <c r="F24" s="76" t="s">
        <v>1559</v>
      </c>
      <c r="G24" s="22" t="s">
        <v>208</v>
      </c>
      <c r="H24" s="24" t="s">
        <v>235</v>
      </c>
      <c r="I24" s="25">
        <v>45916</v>
      </c>
      <c r="J24" s="25"/>
      <c r="K24" s="288" t="str" cm="1">
        <f t="array" ref="K24">IF(ISBLANK(J24), IF(ISBLANK(I24), "N/A", _xlfn.IFS(L24="AS", I24+15, L24="NCR", I24+30, L24="submitted", I24+30, TRUE, "N/A")), _xlfn.IFS(L24="AS", J24+15, L24="NCR", J24+30, L24="submitted", J24+30, TRUE, "N/A"))</f>
        <v>N/A</v>
      </c>
      <c r="L24" s="22" t="s">
        <v>151</v>
      </c>
      <c r="M24" s="317"/>
      <c r="N24" s="802"/>
      <c r="O24" s="803"/>
      <c r="P24" s="803"/>
      <c r="Q24" s="804"/>
    </row>
    <row r="25" spans="2:17" s="26" customFormat="1" ht="24.75" customHeight="1">
      <c r="B25" s="22" t="s">
        <v>1563</v>
      </c>
      <c r="C25" s="886"/>
      <c r="D25" s="889"/>
      <c r="E25" s="101" t="s">
        <v>1558</v>
      </c>
      <c r="F25" s="29" t="s">
        <v>1560</v>
      </c>
      <c r="G25" s="22" t="s">
        <v>281</v>
      </c>
      <c r="H25" s="24" t="s">
        <v>1561</v>
      </c>
      <c r="I25" s="25">
        <v>45916</v>
      </c>
      <c r="J25" s="25"/>
      <c r="K25" s="288" t="str" cm="1">
        <f t="array" ref="K25">IF(ISBLANK(J25), IF(ISBLANK(I25), "N/A", _xlfn.IFS(L25="AS", I25+15, L25="NCR", I25+30, L25="submitted", I25+30, TRUE, "N/A")), _xlfn.IFS(L25="AS", J25+15, L25="NCR", J25+30, L25="submitted", J25+30, TRUE, "N/A"))</f>
        <v>N/A</v>
      </c>
      <c r="L25" s="22" t="s">
        <v>151</v>
      </c>
      <c r="M25" s="317"/>
      <c r="N25" s="802"/>
      <c r="O25" s="803"/>
      <c r="P25" s="803"/>
      <c r="Q25" s="804"/>
    </row>
    <row r="26" spans="2:17" s="138" customFormat="1" ht="15" customHeight="1">
      <c r="B26" s="151" t="s">
        <v>19</v>
      </c>
      <c r="C26" s="169" t="s">
        <v>1564</v>
      </c>
      <c r="D26" s="260" t="s">
        <v>1565</v>
      </c>
      <c r="E26" s="168" t="s">
        <v>1566</v>
      </c>
      <c r="F26" s="168" t="s">
        <v>1559</v>
      </c>
      <c r="G26" s="151" t="s">
        <v>208</v>
      </c>
      <c r="H26" s="152" t="s">
        <v>1567</v>
      </c>
      <c r="I26" s="261">
        <v>45835</v>
      </c>
      <c r="J26" s="261">
        <v>45888</v>
      </c>
      <c r="K26" s="288" t="str" cm="1">
        <f t="array" ref="K26">IF(ISBLANK(J26), IF(ISBLANK(I26), "N/A", _xlfn.IFS(L26="AS", I26+15, L26="NCR", I26+30, L26="submitted", I26+30, TRUE, "N/A")), _xlfn.IFS(L26="AS", J26+15, L26="NCR", J26+30, L26="submitted", J26+30, TRUE, "N/A"))</f>
        <v>N/A</v>
      </c>
      <c r="L26" s="151" t="s">
        <v>151</v>
      </c>
      <c r="M26" s="317"/>
      <c r="N26" s="802"/>
      <c r="O26" s="803"/>
      <c r="P26" s="803"/>
      <c r="Q26" s="804"/>
    </row>
    <row r="27" spans="2:17" s="149" customFormat="1" ht="15" customHeight="1">
      <c r="B27" s="146" t="s">
        <v>24</v>
      </c>
      <c r="C27" s="245" t="s">
        <v>1564</v>
      </c>
      <c r="D27" s="332" t="s">
        <v>1565</v>
      </c>
      <c r="E27" s="219" t="s">
        <v>1568</v>
      </c>
      <c r="F27" s="231"/>
      <c r="G27" s="146" t="s">
        <v>208</v>
      </c>
      <c r="H27" s="147" t="s">
        <v>1569</v>
      </c>
      <c r="I27" s="233" t="s">
        <v>1570</v>
      </c>
      <c r="J27" s="233">
        <v>45894</v>
      </c>
      <c r="K27" s="288" cm="1">
        <f t="array" ref="K27">IF(ISBLANK(J27), IF(ISBLANK(I27), "N/A", _xlfn.IFS(L27="AS", I27+15, L27="NCR", I27+30, L27="submitted", I27+30, TRUE, "N/A")), _xlfn.IFS(L27="AS", J27+15, L27="NCR", J27+30, L27="submitted", J27+30, TRUE, "N/A"))</f>
        <v>45909</v>
      </c>
      <c r="L27" s="146" t="s">
        <v>752</v>
      </c>
      <c r="M27" s="317"/>
      <c r="N27" s="802"/>
      <c r="O27" s="803"/>
      <c r="P27" s="803"/>
      <c r="Q27" s="804"/>
    </row>
    <row r="28" spans="2:17" s="26" customFormat="1" ht="15" customHeight="1">
      <c r="B28" s="391"/>
      <c r="C28" s="392" t="s">
        <v>1564</v>
      </c>
      <c r="D28" s="393" t="s">
        <v>1565</v>
      </c>
      <c r="E28" s="394"/>
      <c r="F28" s="395" t="s">
        <v>1535</v>
      </c>
      <c r="G28" s="391" t="s">
        <v>222</v>
      </c>
      <c r="H28" s="396" t="s">
        <v>1571</v>
      </c>
      <c r="J28" s="25"/>
      <c r="K28" s="288" t="str" cm="1">
        <f t="array" ref="K28">IF(ISBLANK(J28), IF(ISBLANK(I28), "N/A", _xlfn.IFS(L28="AS", I28+15, L28="NCR", I28+30, L28="submitted", I28+30, TRUE, "N/A")), _xlfn.IFS(L28="AS", J28+15, L28="NCR", J28+30, L28="submitted", J28+30, TRUE, "N/A"))</f>
        <v>N/A</v>
      </c>
      <c r="M28" s="317"/>
      <c r="N28" s="802"/>
      <c r="O28" s="803"/>
      <c r="P28" s="803"/>
      <c r="Q28" s="804"/>
    </row>
    <row r="29" spans="2:17" s="149" customFormat="1" ht="27" customHeight="1">
      <c r="B29" s="146" t="s">
        <v>24</v>
      </c>
      <c r="C29" s="245" t="s">
        <v>1564</v>
      </c>
      <c r="D29" s="332" t="s">
        <v>1565</v>
      </c>
      <c r="E29" s="219" t="s">
        <v>1568</v>
      </c>
      <c r="F29" s="231" t="s">
        <v>1541</v>
      </c>
      <c r="G29" s="146" t="s">
        <v>269</v>
      </c>
      <c r="H29" s="193" t="s">
        <v>1572</v>
      </c>
      <c r="I29" s="233" t="s">
        <v>1570</v>
      </c>
      <c r="J29" s="233">
        <v>45894</v>
      </c>
      <c r="K29" s="288" cm="1">
        <f t="array" ref="K29">IF(ISBLANK(J29), IF(ISBLANK(I29), "N/A", _xlfn.IFS(L29="AS", I29+15, L29="NCR", I29+30, L29="submitted", I29+30, TRUE, "N/A")), _xlfn.IFS(L29="AS", J29+15, L29="NCR", J29+30, L29="submitted", J29+30, TRUE, "N/A"))</f>
        <v>45909</v>
      </c>
      <c r="L29" s="146" t="s">
        <v>752</v>
      </c>
      <c r="M29" s="317"/>
      <c r="N29" s="802"/>
      <c r="O29" s="803"/>
      <c r="P29" s="803"/>
      <c r="Q29" s="804"/>
    </row>
    <row r="30" spans="2:17" s="149" customFormat="1" ht="40.5" customHeight="1">
      <c r="B30" s="146" t="s">
        <v>24</v>
      </c>
      <c r="C30" s="245" t="s">
        <v>1564</v>
      </c>
      <c r="D30" s="332" t="s">
        <v>1565</v>
      </c>
      <c r="E30" s="219" t="s">
        <v>1568</v>
      </c>
      <c r="F30" s="231" t="s">
        <v>1535</v>
      </c>
      <c r="G30" s="146" t="s">
        <v>1573</v>
      </c>
      <c r="H30" s="193" t="s">
        <v>1574</v>
      </c>
      <c r="I30" s="233" t="s">
        <v>1570</v>
      </c>
      <c r="J30" s="233">
        <v>45894</v>
      </c>
      <c r="K30" s="288" cm="1">
        <f t="array" ref="K30">IF(ISBLANK(J30), IF(ISBLANK(I30), "N/A", _xlfn.IFS(L30="AS", I30+15, L30="NCR", I30+30, L30="submitted", I30+30, TRUE, "N/A")), _xlfn.IFS(L30="AS", J30+15, L30="NCR", J30+30, L30="submitted", J30+30, TRUE, "N/A"))</f>
        <v>45909</v>
      </c>
      <c r="L30" s="146" t="s">
        <v>752</v>
      </c>
      <c r="M30" s="317"/>
      <c r="N30" s="802"/>
      <c r="O30" s="803"/>
      <c r="P30" s="803"/>
      <c r="Q30" s="804"/>
    </row>
    <row r="31" spans="2:17" s="149" customFormat="1" ht="27" customHeight="1">
      <c r="B31" s="146" t="s">
        <v>24</v>
      </c>
      <c r="C31" s="245" t="s">
        <v>1564</v>
      </c>
      <c r="D31" s="332" t="s">
        <v>1565</v>
      </c>
      <c r="E31" s="219" t="s">
        <v>1568</v>
      </c>
      <c r="F31" s="231" t="s">
        <v>1535</v>
      </c>
      <c r="G31" s="146" t="s">
        <v>374</v>
      </c>
      <c r="H31" s="193" t="s">
        <v>1575</v>
      </c>
      <c r="I31" s="233" t="s">
        <v>1570</v>
      </c>
      <c r="J31" s="233">
        <v>45894</v>
      </c>
      <c r="K31" s="288" cm="1">
        <f t="array" ref="K31">IF(ISBLANK(J31), IF(ISBLANK(I31), "N/A", _xlfn.IFS(L31="AS", I31+15, L31="NCR", I31+30, L31="submitted", I31+30, TRUE, "N/A")), _xlfn.IFS(L31="AS", J31+15, L31="NCR", J31+30, L31="submitted", J31+30, TRUE, "N/A"))</f>
        <v>45909</v>
      </c>
      <c r="L31" s="146" t="s">
        <v>752</v>
      </c>
      <c r="M31" s="317"/>
      <c r="N31" s="802"/>
      <c r="O31" s="803"/>
      <c r="P31" s="803"/>
      <c r="Q31" s="804"/>
    </row>
    <row r="32" spans="2:17" s="5" customFormat="1" ht="15" customHeight="1">
      <c r="B32" s="397"/>
      <c r="C32" s="398" t="s">
        <v>1564</v>
      </c>
      <c r="D32" s="399" t="s">
        <v>1565</v>
      </c>
      <c r="E32" s="400"/>
      <c r="F32" s="401" t="s">
        <v>161</v>
      </c>
      <c r="G32" s="221" t="s">
        <v>1576</v>
      </c>
      <c r="H32" s="402" t="s">
        <v>1577</v>
      </c>
      <c r="I32" s="18"/>
      <c r="J32" s="18"/>
      <c r="K32" s="288" t="str" cm="1">
        <f t="array" ref="K32">IF(ISBLANK(J32), IF(ISBLANK(I32), "N/A", _xlfn.IFS(L32="AS", I32+15, L32="NCR", I32+30, L32="submitted", I32+30, TRUE, "N/A")), _xlfn.IFS(L32="AS", J32+15, L32="NCR", J32+30, L32="submitted", J32+30, TRUE, "N/A"))</f>
        <v>N/A</v>
      </c>
      <c r="L32" s="4"/>
      <c r="M32" s="317"/>
      <c r="N32" s="802"/>
      <c r="O32" s="803"/>
      <c r="P32" s="803"/>
      <c r="Q32" s="804"/>
    </row>
    <row r="33" spans="1:17" s="26" customFormat="1" ht="15" customHeight="1">
      <c r="B33" s="22" t="s">
        <v>1578</v>
      </c>
      <c r="C33" s="128" t="s">
        <v>1579</v>
      </c>
      <c r="D33" s="129" t="s">
        <v>1580</v>
      </c>
      <c r="E33" s="76" t="s">
        <v>1581</v>
      </c>
      <c r="F33" s="76" t="s">
        <v>1535</v>
      </c>
      <c r="G33" s="22" t="s">
        <v>1582</v>
      </c>
      <c r="H33" s="24" t="s">
        <v>1583</v>
      </c>
      <c r="I33" s="25">
        <v>45910</v>
      </c>
      <c r="J33" s="25">
        <v>45931</v>
      </c>
      <c r="K33" s="288" t="str" cm="1">
        <f t="array" ref="K33">IF(ISBLANK(J33), IF(ISBLANK(I33), "N/A", _xlfn.IFS(L33="AS", I33+15, L33="NCR", I33+30, L33="submitted", I33+30, TRUE, "N/A")), _xlfn.IFS(L33="AS", J33+15, L33="NCR", J33+30, L33="submitted", J33+30, TRUE, "N/A"))</f>
        <v>N/A</v>
      </c>
      <c r="L33" s="22" t="s">
        <v>638</v>
      </c>
      <c r="M33" s="317"/>
      <c r="N33" s="802"/>
      <c r="O33" s="803"/>
      <c r="P33" s="803"/>
      <c r="Q33" s="804"/>
    </row>
    <row r="34" spans="1:17" s="228" customFormat="1" ht="27" customHeight="1">
      <c r="C34" s="596" t="s">
        <v>1579</v>
      </c>
      <c r="D34" s="420" t="s">
        <v>1580</v>
      </c>
      <c r="E34" s="338"/>
      <c r="F34" s="338" t="s">
        <v>1541</v>
      </c>
      <c r="G34" s="221" t="s">
        <v>1584</v>
      </c>
      <c r="H34" s="402" t="s">
        <v>1585</v>
      </c>
      <c r="I34" s="421"/>
      <c r="J34" s="421"/>
      <c r="K34" s="288" t="str" cm="1">
        <f t="array" ref="K34">IF(ISBLANK(J34), IF(ISBLANK(I34), "N/A", _xlfn.IFS(L34="AS", I34+15, L34="NCR", I34+30, L34="submitted", I34+30, TRUE, "N/A")), _xlfn.IFS(L34="AS", J34+15, L34="NCR", J34+30, L34="submitted", J34+30, TRUE, "N/A"))</f>
        <v>N/A</v>
      </c>
      <c r="L34" s="221"/>
      <c r="M34" s="317"/>
      <c r="N34" s="802"/>
      <c r="O34" s="803"/>
      <c r="P34" s="803"/>
      <c r="Q34" s="804"/>
    </row>
    <row r="35" spans="1:17" s="26" customFormat="1" ht="27" customHeight="1">
      <c r="B35" s="22" t="s">
        <v>1578</v>
      </c>
      <c r="C35" s="128" t="s">
        <v>1579</v>
      </c>
      <c r="D35" s="129" t="s">
        <v>1580</v>
      </c>
      <c r="E35" s="586" t="s">
        <v>1581</v>
      </c>
      <c r="F35" s="29" t="s">
        <v>1535</v>
      </c>
      <c r="G35" s="22" t="s">
        <v>1586</v>
      </c>
      <c r="H35" s="28" t="s">
        <v>1587</v>
      </c>
      <c r="I35" s="25">
        <v>45910</v>
      </c>
      <c r="J35" s="25">
        <v>45931</v>
      </c>
      <c r="K35" s="288" t="str" cm="1">
        <f t="array" ref="K35">IF(ISBLANK(J35), IF(ISBLANK(I35), "N/A", _xlfn.IFS(L35="AS", I35+15, L35="NCR", I35+30, L35="submitted", I35+30, TRUE, "N/A")), _xlfn.IFS(L35="AS", J35+15, L35="NCR", J35+30, L35="submitted", J35+30, TRUE, "N/A"))</f>
        <v>N/A</v>
      </c>
      <c r="L35" s="22" t="s">
        <v>638</v>
      </c>
      <c r="M35" s="317"/>
      <c r="N35" s="802"/>
      <c r="O35" s="803"/>
      <c r="P35" s="803"/>
      <c r="Q35" s="804"/>
    </row>
    <row r="36" spans="1:17" s="5" customFormat="1" ht="15" customHeight="1">
      <c r="B36" s="4"/>
      <c r="C36" s="390" t="s">
        <v>1588</v>
      </c>
      <c r="D36" s="345" t="s">
        <v>1589</v>
      </c>
      <c r="E36" s="143"/>
      <c r="F36" s="307" t="s">
        <v>1535</v>
      </c>
      <c r="G36" s="4" t="s">
        <v>1590</v>
      </c>
      <c r="H36" s="17" t="s">
        <v>1591</v>
      </c>
      <c r="I36" s="18"/>
      <c r="J36" s="18"/>
      <c r="K36" s="288" t="str" cm="1">
        <f t="array" ref="K36">IF(ISBLANK(J36), IF(ISBLANK(I36), "N/A", _xlfn.IFS(L36="AS", I36+15, L36="NCR", I36+30, L36="submitted", I36+30, TRUE, "N/A")), _xlfn.IFS(L36="AS", J36+15, L36="NCR", J36+30, L36="submitted", J36+30, TRUE, "N/A"))</f>
        <v>N/A</v>
      </c>
      <c r="L36" s="4"/>
      <c r="M36" s="317"/>
      <c r="N36" s="802"/>
      <c r="O36" s="803"/>
      <c r="P36" s="803"/>
      <c r="Q36" s="804"/>
    </row>
    <row r="37" spans="1:17" s="138" customFormat="1" ht="27" customHeight="1">
      <c r="B37" s="151" t="s">
        <v>46</v>
      </c>
      <c r="C37" s="535" t="s">
        <v>1588</v>
      </c>
      <c r="D37" s="388" t="s">
        <v>1589</v>
      </c>
      <c r="E37" s="158" t="s">
        <v>1592</v>
      </c>
      <c r="F37" s="536" t="s">
        <v>1535</v>
      </c>
      <c r="G37" s="151" t="s">
        <v>1593</v>
      </c>
      <c r="H37" s="153" t="s">
        <v>1594</v>
      </c>
      <c r="I37" s="261">
        <v>45867</v>
      </c>
      <c r="J37" s="261">
        <v>45888</v>
      </c>
      <c r="K37" s="288" t="str" cm="1">
        <f t="array" ref="K37">IF(ISBLANK(J37), IF(ISBLANK(I37), "N/A", _xlfn.IFS(L37="AS", I37+15, L37="NCR", I37+30, L37="submitted", I37+30, TRUE, "N/A")), _xlfn.IFS(L37="AS", J37+15, L37="NCR", J37+30, L37="submitted", J37+30, TRUE, "N/A"))</f>
        <v>N/A</v>
      </c>
      <c r="L37" s="151" t="s">
        <v>638</v>
      </c>
      <c r="M37" s="317"/>
      <c r="N37" s="802"/>
      <c r="O37" s="803"/>
      <c r="P37" s="803"/>
      <c r="Q37" s="804"/>
    </row>
    <row r="38" spans="1:17" s="138" customFormat="1" ht="27" customHeight="1">
      <c r="B38" s="151" t="s">
        <v>46</v>
      </c>
      <c r="C38" s="535" t="s">
        <v>1588</v>
      </c>
      <c r="D38" s="388" t="s">
        <v>1589</v>
      </c>
      <c r="E38" s="158" t="s">
        <v>1592</v>
      </c>
      <c r="F38" s="536" t="s">
        <v>1535</v>
      </c>
      <c r="G38" s="151" t="s">
        <v>1595</v>
      </c>
      <c r="H38" s="153" t="s">
        <v>1596</v>
      </c>
      <c r="I38" s="261">
        <v>45867</v>
      </c>
      <c r="J38" s="261">
        <v>45888</v>
      </c>
      <c r="K38" s="288" t="str" cm="1">
        <f t="array" ref="K38">IF(ISBLANK(J38), IF(ISBLANK(I38), "N/A", _xlfn.IFS(L38="AS", I38+15, L38="NCR", I38+30, L38="submitted", I38+30, TRUE, "N/A")), _xlfn.IFS(L38="AS", J38+15, L38="NCR", J38+30, L38="submitted", J38+30, TRUE, "N/A"))</f>
        <v>N/A</v>
      </c>
      <c r="L38" s="151" t="s">
        <v>638</v>
      </c>
      <c r="M38" s="317"/>
      <c r="N38" s="802"/>
      <c r="O38" s="803"/>
      <c r="P38" s="803"/>
      <c r="Q38" s="804"/>
    </row>
    <row r="39" spans="1:17" s="138" customFormat="1" ht="27" customHeight="1">
      <c r="B39" s="151" t="s">
        <v>46</v>
      </c>
      <c r="C39" s="535" t="s">
        <v>1588</v>
      </c>
      <c r="D39" s="388" t="s">
        <v>1589</v>
      </c>
      <c r="E39" s="158" t="s">
        <v>1592</v>
      </c>
      <c r="F39" s="536" t="s">
        <v>1535</v>
      </c>
      <c r="G39" s="151" t="s">
        <v>1597</v>
      </c>
      <c r="H39" s="153" t="s">
        <v>1598</v>
      </c>
      <c r="I39" s="261">
        <v>45867</v>
      </c>
      <c r="J39" s="261">
        <v>45888</v>
      </c>
      <c r="K39" s="288" t="str" cm="1">
        <f t="array" ref="K39">IF(ISBLANK(J39), IF(ISBLANK(I39), "N/A", _xlfn.IFS(L39="AS", I39+15, L39="NCR", I39+30, L39="submitted", I39+30, TRUE, "N/A")), _xlfn.IFS(L39="AS", J39+15, L39="NCR", J39+30, L39="submitted", J39+30, TRUE, "N/A"))</f>
        <v>N/A</v>
      </c>
      <c r="L39" s="151" t="s">
        <v>638</v>
      </c>
      <c r="M39" s="317"/>
      <c r="N39" s="811"/>
      <c r="O39" s="812"/>
      <c r="P39" s="812"/>
      <c r="Q39" s="813"/>
    </row>
    <row r="40" spans="1:17" s="138" customFormat="1" ht="15" customHeight="1">
      <c r="B40" s="151" t="s">
        <v>46</v>
      </c>
      <c r="C40" s="535" t="s">
        <v>1588</v>
      </c>
      <c r="D40" s="388" t="s">
        <v>1589</v>
      </c>
      <c r="E40" s="158" t="s">
        <v>1592</v>
      </c>
      <c r="F40" s="536" t="s">
        <v>1535</v>
      </c>
      <c r="G40" s="151" t="s">
        <v>1599</v>
      </c>
      <c r="H40" s="153" t="s">
        <v>1600</v>
      </c>
      <c r="I40" s="261">
        <v>45867</v>
      </c>
      <c r="J40" s="261">
        <v>45888</v>
      </c>
      <c r="K40" s="288" t="str" cm="1">
        <f t="array" ref="K40">IF(ISBLANK(J40), IF(ISBLANK(I40), "N/A", _xlfn.IFS(L40="AS", I40+15, L40="NCR", I40+30, L40="submitted", I40+30, TRUE, "N/A")), _xlfn.IFS(L40="AS", J40+15, L40="NCR", J40+30, L40="submitted", J40+30, TRUE, "N/A"))</f>
        <v>N/A</v>
      </c>
      <c r="L40" s="151" t="s">
        <v>638</v>
      </c>
      <c r="M40" s="317"/>
      <c r="N40" s="796" t="s">
        <v>133</v>
      </c>
      <c r="O40" s="797"/>
      <c r="P40" s="797"/>
      <c r="Q40" s="798"/>
    </row>
    <row r="41" spans="1:17" s="138" customFormat="1" ht="40.5" customHeight="1">
      <c r="B41" s="151" t="s">
        <v>46</v>
      </c>
      <c r="C41" s="535" t="s">
        <v>1588</v>
      </c>
      <c r="D41" s="388" t="s">
        <v>1589</v>
      </c>
      <c r="E41" s="158" t="s">
        <v>1592</v>
      </c>
      <c r="F41" s="536" t="s">
        <v>1535</v>
      </c>
      <c r="G41" s="151" t="s">
        <v>1601</v>
      </c>
      <c r="H41" s="153" t="s">
        <v>1602</v>
      </c>
      <c r="I41" s="261">
        <v>45867</v>
      </c>
      <c r="J41" s="261">
        <v>45888</v>
      </c>
      <c r="K41" s="288" t="str" cm="1">
        <f t="array" ref="K41">IF(ISBLANK(J41), IF(ISBLANK(I41), "N/A", _xlfn.IFS(L41="AS", I41+15, L41="NCR", I41+30, L41="submitted", I41+30, TRUE, "N/A")), _xlfn.IFS(L41="AS", J41+15, L41="NCR", J41+30, L41="submitted", J41+30, TRUE, "N/A"))</f>
        <v>N/A</v>
      </c>
      <c r="L41" s="151" t="s">
        <v>638</v>
      </c>
      <c r="M41" s="317"/>
      <c r="N41" s="799"/>
      <c r="O41" s="800"/>
      <c r="P41" s="800"/>
      <c r="Q41" s="801"/>
    </row>
    <row r="42" spans="1:17" s="149" customFormat="1" ht="27" customHeight="1">
      <c r="B42" s="146" t="s">
        <v>28</v>
      </c>
      <c r="C42" s="641" t="s">
        <v>1588</v>
      </c>
      <c r="D42" s="642" t="s">
        <v>1589</v>
      </c>
      <c r="E42" s="644" t="s">
        <v>1603</v>
      </c>
      <c r="F42" s="643" t="s">
        <v>1535</v>
      </c>
      <c r="G42" s="146" t="s">
        <v>337</v>
      </c>
      <c r="H42" s="147" t="s">
        <v>282</v>
      </c>
      <c r="I42" s="233">
        <v>45882</v>
      </c>
      <c r="J42" s="233">
        <v>45904</v>
      </c>
      <c r="K42" s="288" cm="1">
        <f t="array" ref="K42">IF(ISBLANK(J42), IF(ISBLANK(I42), "N/A", _xlfn.IFS(L42="AS", I42+15, L42="NCR", I42+30, L42="submitted", I42+30, TRUE, "N/A")), _xlfn.IFS(L42="AS", J42+15, L42="NCR", J42+30, L42="submitted", J42+30, TRUE, "N/A"))</f>
        <v>45934</v>
      </c>
      <c r="L42" s="146" t="s">
        <v>157</v>
      </c>
      <c r="M42" s="317"/>
      <c r="N42" s="799"/>
      <c r="O42" s="800"/>
      <c r="P42" s="800"/>
      <c r="Q42" s="801"/>
    </row>
    <row r="43" spans="1:17" s="26" customFormat="1" ht="27" customHeight="1">
      <c r="B43" s="22" t="s">
        <v>1604</v>
      </c>
      <c r="C43" s="390" t="s">
        <v>1588</v>
      </c>
      <c r="D43" s="358" t="s">
        <v>1589</v>
      </c>
      <c r="E43" s="606" t="s">
        <v>1605</v>
      </c>
      <c r="F43" s="359" t="s">
        <v>1535</v>
      </c>
      <c r="G43" s="22" t="s">
        <v>337</v>
      </c>
      <c r="H43" s="24" t="s">
        <v>282</v>
      </c>
      <c r="I43" s="25">
        <v>45917</v>
      </c>
      <c r="J43" s="25">
        <v>45926</v>
      </c>
      <c r="K43" s="288" cm="1">
        <f t="array" ref="K43">IF(ISBLANK(J43), IF(ISBLANK(I43), "N/A", _xlfn.IFS(L43="AS", I43+15, L43="NCR", I43+30, L43="submitted", I43+30, TRUE, "N/A")), _xlfn.IFS(L43="AS", J43+15, L43="NCR", J43+30, L43="submitted", J43+30, TRUE, "N/A"))</f>
        <v>45956</v>
      </c>
      <c r="L43" s="22" t="s">
        <v>157</v>
      </c>
      <c r="M43" s="317"/>
      <c r="N43" s="799"/>
      <c r="O43" s="800"/>
      <c r="P43" s="800"/>
      <c r="Q43" s="801"/>
    </row>
    <row r="44" spans="1:17" s="26" customFormat="1" ht="27" customHeight="1">
      <c r="A44" s="26" t="s">
        <v>318</v>
      </c>
      <c r="B44" s="22" t="s">
        <v>1606</v>
      </c>
      <c r="C44" s="390" t="s">
        <v>1588</v>
      </c>
      <c r="D44" s="358" t="s">
        <v>1589</v>
      </c>
      <c r="E44" s="606" t="s">
        <v>1605</v>
      </c>
      <c r="F44" s="359" t="s">
        <v>1535</v>
      </c>
      <c r="G44" s="22" t="s">
        <v>337</v>
      </c>
      <c r="H44" s="24" t="s">
        <v>282</v>
      </c>
      <c r="I44" s="25">
        <v>45940</v>
      </c>
      <c r="J44" s="25"/>
      <c r="K44" s="288"/>
      <c r="L44" s="22" t="s">
        <v>581</v>
      </c>
      <c r="M44" s="317"/>
      <c r="N44" s="799"/>
      <c r="O44" s="800"/>
      <c r="P44" s="800"/>
      <c r="Q44" s="801"/>
    </row>
    <row r="45" spans="1:17" s="26" customFormat="1" ht="27" customHeight="1">
      <c r="A45" s="26" t="s">
        <v>318</v>
      </c>
      <c r="B45" s="22" t="s">
        <v>1607</v>
      </c>
      <c r="C45" s="390" t="s">
        <v>1588</v>
      </c>
      <c r="D45" s="358" t="s">
        <v>1589</v>
      </c>
      <c r="E45" s="606" t="s">
        <v>1608</v>
      </c>
      <c r="F45" s="359" t="s">
        <v>1535</v>
      </c>
      <c r="G45" s="22" t="s">
        <v>337</v>
      </c>
      <c r="H45" s="24" t="s">
        <v>282</v>
      </c>
      <c r="I45" s="25">
        <v>45940</v>
      </c>
      <c r="J45" s="25"/>
      <c r="K45" s="288"/>
      <c r="L45" s="22" t="s">
        <v>581</v>
      </c>
      <c r="M45" s="317"/>
      <c r="N45" s="799"/>
      <c r="O45" s="800"/>
      <c r="P45" s="800"/>
      <c r="Q45" s="801"/>
    </row>
    <row r="46" spans="1:17" s="408" customFormat="1" ht="40.5" customHeight="1">
      <c r="B46" s="397"/>
      <c r="C46" s="403" t="s">
        <v>1588</v>
      </c>
      <c r="D46" s="404" t="s">
        <v>1589</v>
      </c>
      <c r="E46" s="405" t="s">
        <v>1609</v>
      </c>
      <c r="F46" s="406" t="s">
        <v>1541</v>
      </c>
      <c r="G46" s="397" t="s">
        <v>338</v>
      </c>
      <c r="H46" s="407" t="s">
        <v>1610</v>
      </c>
      <c r="I46" s="383"/>
      <c r="J46" s="383"/>
      <c r="K46" s="288" t="str" cm="1">
        <f t="array" ref="K46">IF(ISBLANK(J46), IF(ISBLANK(I46), "N/A", _xlfn.IFS(L46="AS", I46+15, L46="NCR", I46+30, L46="submitted", I46+30, TRUE, "N/A")), _xlfn.IFS(L46="AS", J46+15, L46="NCR", J46+30, L46="submitted", J46+30, TRUE, "N/A"))</f>
        <v>N/A</v>
      </c>
      <c r="L46" s="397"/>
      <c r="M46" s="317"/>
      <c r="N46" s="799"/>
      <c r="O46" s="800"/>
      <c r="P46" s="800"/>
      <c r="Q46" s="801"/>
    </row>
    <row r="47" spans="1:17" s="408" customFormat="1" ht="27" customHeight="1">
      <c r="B47" s="397"/>
      <c r="C47" s="403" t="s">
        <v>1588</v>
      </c>
      <c r="D47" s="404" t="s">
        <v>1589</v>
      </c>
      <c r="E47" s="405" t="s">
        <v>1609</v>
      </c>
      <c r="F47" s="406" t="s">
        <v>1541</v>
      </c>
      <c r="G47" s="397" t="s">
        <v>1265</v>
      </c>
      <c r="H47" s="407" t="s">
        <v>1611</v>
      </c>
      <c r="I47" s="383"/>
      <c r="J47" s="383"/>
      <c r="K47" s="288" t="str" cm="1">
        <f t="array" ref="K47">IF(ISBLANK(J47), IF(ISBLANK(I47), "N/A", _xlfn.IFS(L47="AS", I47+15, L47="NCR", I47+30, L47="submitted", I47+30, TRUE, "N/A")), _xlfn.IFS(L47="AS", J47+15, L47="NCR", J47+30, L47="submitted", J47+30, TRUE, "N/A"))</f>
        <v>N/A</v>
      </c>
      <c r="L47" s="397"/>
      <c r="M47" s="317"/>
      <c r="N47" s="799"/>
      <c r="O47" s="800"/>
      <c r="P47" s="800"/>
      <c r="Q47" s="801"/>
    </row>
    <row r="48" spans="1:17" s="5" customFormat="1" ht="27" customHeight="1">
      <c r="B48" s="4"/>
      <c r="C48" s="390" t="s">
        <v>1588</v>
      </c>
      <c r="D48" s="345" t="s">
        <v>1589</v>
      </c>
      <c r="E48" s="385" t="s">
        <v>1612</v>
      </c>
      <c r="F48" s="307" t="s">
        <v>1535</v>
      </c>
      <c r="G48" s="4" t="s">
        <v>340</v>
      </c>
      <c r="H48" s="3" t="s">
        <v>1613</v>
      </c>
      <c r="I48" s="18"/>
      <c r="J48" s="18"/>
      <c r="K48" s="288" t="str" cm="1">
        <f t="array" ref="K48">IF(ISBLANK(J48), IF(ISBLANK(I48), "N/A", _xlfn.IFS(L48="AS", I48+15, L48="NCR", I48+30, L48="submitted", I48+30, TRUE, "N/A")), _xlfn.IFS(L48="AS", J48+15, L48="NCR", J48+30, L48="submitted", J48+30, TRUE, "N/A"))</f>
        <v>N/A</v>
      </c>
      <c r="L48" s="4"/>
      <c r="M48" s="317"/>
      <c r="N48" s="799"/>
      <c r="O48" s="800"/>
      <c r="P48" s="800"/>
      <c r="Q48" s="801"/>
    </row>
    <row r="49" spans="2:17" s="5" customFormat="1" ht="40.5" customHeight="1">
      <c r="B49" s="4"/>
      <c r="C49" s="390" t="s">
        <v>1588</v>
      </c>
      <c r="D49" s="345" t="s">
        <v>1589</v>
      </c>
      <c r="E49" s="385" t="s">
        <v>1612</v>
      </c>
      <c r="F49" s="307" t="s">
        <v>1535</v>
      </c>
      <c r="G49" s="4" t="s">
        <v>1151</v>
      </c>
      <c r="H49" s="3" t="s">
        <v>1614</v>
      </c>
      <c r="I49" s="18"/>
      <c r="J49" s="18"/>
      <c r="K49" s="288" t="str" cm="1">
        <f t="array" ref="K49">IF(ISBLANK(J49), IF(ISBLANK(I49), "N/A", _xlfn.IFS(L49="AS", I49+15, L49="NCR", I49+30, L49="submitted", I49+30, TRUE, "N/A")), _xlfn.IFS(L49="AS", J49+15, L49="NCR", J49+30, L49="submitted", J49+30, TRUE, "N/A"))</f>
        <v>N/A</v>
      </c>
      <c r="L49" s="4"/>
      <c r="M49" s="317"/>
      <c r="N49" s="799"/>
      <c r="O49" s="800"/>
      <c r="P49" s="800"/>
      <c r="Q49" s="801"/>
    </row>
    <row r="50" spans="2:17" s="5" customFormat="1" ht="27" customHeight="1">
      <c r="B50" s="4"/>
      <c r="C50" s="390" t="s">
        <v>1588</v>
      </c>
      <c r="D50" s="345" t="s">
        <v>1589</v>
      </c>
      <c r="E50" s="385" t="s">
        <v>1612</v>
      </c>
      <c r="F50" s="307" t="s">
        <v>1535</v>
      </c>
      <c r="G50" s="4" t="s">
        <v>1615</v>
      </c>
      <c r="H50" s="3" t="s">
        <v>1616</v>
      </c>
      <c r="I50" s="18"/>
      <c r="J50" s="18"/>
      <c r="K50" s="288" t="str" cm="1">
        <f t="array" ref="K50">IF(ISBLANK(J50), IF(ISBLANK(I50), "N/A", _xlfn.IFS(L50="AS", I50+15, L50="NCR", I50+30, L50="submitted", I50+30, TRUE, "N/A")), _xlfn.IFS(L50="AS", J50+15, L50="NCR", J50+30, L50="submitted", J50+30, TRUE, "N/A"))</f>
        <v>N/A</v>
      </c>
      <c r="L50" s="4"/>
      <c r="M50" s="317"/>
      <c r="N50" s="802" t="s">
        <v>148</v>
      </c>
      <c r="O50" s="803"/>
      <c r="P50" s="803"/>
      <c r="Q50" s="804"/>
    </row>
    <row r="51" spans="2:17" s="5" customFormat="1" ht="27" customHeight="1">
      <c r="B51" s="4"/>
      <c r="C51" s="390" t="s">
        <v>1588</v>
      </c>
      <c r="D51" s="345" t="s">
        <v>1589</v>
      </c>
      <c r="E51" s="385" t="s">
        <v>1612</v>
      </c>
      <c r="F51" s="307" t="s">
        <v>1535</v>
      </c>
      <c r="G51" s="4" t="s">
        <v>1617</v>
      </c>
      <c r="H51" s="3" t="s">
        <v>1618</v>
      </c>
      <c r="I51" s="18"/>
      <c r="J51" s="18"/>
      <c r="K51" s="288" t="str" cm="1">
        <f t="array" ref="K51">IF(ISBLANK(J51), IF(ISBLANK(I51), "N/A", _xlfn.IFS(L51="AS", I51+15, L51="NCR", I51+30, L51="submitted", I51+30, TRUE, "N/A")), _xlfn.IFS(L51="AS", J51+15, L51="NCR", J51+30, L51="submitted", J51+30, TRUE, "N/A"))</f>
        <v>N/A</v>
      </c>
      <c r="L51" s="4"/>
      <c r="M51" s="317"/>
      <c r="N51" s="802"/>
      <c r="O51" s="803"/>
      <c r="P51" s="803"/>
      <c r="Q51" s="804"/>
    </row>
    <row r="52" spans="2:17" s="138" customFormat="1" ht="15" customHeight="1">
      <c r="B52" s="151" t="s">
        <v>46</v>
      </c>
      <c r="C52" s="535" t="s">
        <v>1588</v>
      </c>
      <c r="D52" s="388" t="s">
        <v>1589</v>
      </c>
      <c r="E52" s="158" t="s">
        <v>1592</v>
      </c>
      <c r="F52" s="536" t="s">
        <v>1535</v>
      </c>
      <c r="G52" s="151" t="s">
        <v>1619</v>
      </c>
      <c r="H52" s="152" t="s">
        <v>1620</v>
      </c>
      <c r="I52" s="261">
        <v>45867</v>
      </c>
      <c r="J52" s="261">
        <v>45888</v>
      </c>
      <c r="K52" s="288" t="str" cm="1">
        <f t="array" ref="K52">IF(ISBLANK(J52), IF(ISBLANK(I52), "N/A", _xlfn.IFS(L52="AS", I52+15, L52="NCR", I52+30, L52="submitted", I52+30, TRUE, "N/A")), _xlfn.IFS(L52="AS", J52+15, L52="NCR", J52+30, L52="submitted", J52+30, TRUE, "N/A"))</f>
        <v>N/A</v>
      </c>
      <c r="L52" s="151" t="s">
        <v>638</v>
      </c>
      <c r="M52" s="317"/>
      <c r="N52" s="802"/>
      <c r="O52" s="803"/>
      <c r="P52" s="803"/>
      <c r="Q52" s="804"/>
    </row>
    <row r="53" spans="2:17" s="138" customFormat="1" ht="27" customHeight="1">
      <c r="B53" s="151" t="s">
        <v>46</v>
      </c>
      <c r="C53" s="535" t="s">
        <v>1588</v>
      </c>
      <c r="D53" s="388" t="s">
        <v>1589</v>
      </c>
      <c r="E53" s="158" t="s">
        <v>1592</v>
      </c>
      <c r="F53" s="536" t="s">
        <v>1535</v>
      </c>
      <c r="G53" s="151" t="s">
        <v>1621</v>
      </c>
      <c r="H53" s="153" t="s">
        <v>1622</v>
      </c>
      <c r="I53" s="261">
        <v>45867</v>
      </c>
      <c r="J53" s="261">
        <v>45888</v>
      </c>
      <c r="K53" s="288" t="str" cm="1">
        <f t="array" ref="K53">IF(ISBLANK(J53), IF(ISBLANK(I53), "N/A", _xlfn.IFS(L53="AS", I53+15, L53="NCR", I53+30, L53="submitted", I53+30, TRUE, "N/A")), _xlfn.IFS(L53="AS", J53+15, L53="NCR", J53+30, L53="submitted", J53+30, TRUE, "N/A"))</f>
        <v>N/A</v>
      </c>
      <c r="L53" s="151" t="s">
        <v>638</v>
      </c>
      <c r="M53" s="317"/>
      <c r="N53" s="802"/>
      <c r="O53" s="803"/>
      <c r="P53" s="803"/>
      <c r="Q53" s="804"/>
    </row>
    <row r="54" spans="2:17" s="5" customFormat="1" ht="27" customHeight="1">
      <c r="B54" s="4"/>
      <c r="C54" s="390" t="s">
        <v>1588</v>
      </c>
      <c r="D54" s="345" t="s">
        <v>1589</v>
      </c>
      <c r="E54" s="385" t="s">
        <v>1623</v>
      </c>
      <c r="F54" s="307" t="s">
        <v>1535</v>
      </c>
      <c r="G54" s="4" t="s">
        <v>1624</v>
      </c>
      <c r="H54" s="3" t="s">
        <v>1625</v>
      </c>
      <c r="I54" s="18"/>
      <c r="J54" s="18"/>
      <c r="K54" s="288" t="str" cm="1">
        <f t="array" ref="K54">IF(ISBLANK(J54), IF(ISBLANK(I54), "N/A", _xlfn.IFS(L54="AS", I54+15, L54="NCR", I54+30, L54="submitted", I54+30, TRUE, "N/A")), _xlfn.IFS(L54="AS", J54+15, L54="NCR", J54+30, L54="submitted", J54+30, TRUE, "N/A"))</f>
        <v>N/A</v>
      </c>
      <c r="L54" s="4"/>
      <c r="M54" s="317"/>
      <c r="N54" s="802"/>
      <c r="O54" s="803"/>
      <c r="P54" s="803"/>
      <c r="Q54" s="804"/>
    </row>
    <row r="55" spans="2:17" s="5" customFormat="1" ht="15" customHeight="1">
      <c r="B55" s="4"/>
      <c r="C55" s="390" t="s">
        <v>1588</v>
      </c>
      <c r="D55" s="345" t="s">
        <v>1589</v>
      </c>
      <c r="E55" s="385" t="s">
        <v>1623</v>
      </c>
      <c r="F55" s="307" t="s">
        <v>1535</v>
      </c>
      <c r="G55" s="4" t="s">
        <v>410</v>
      </c>
      <c r="H55" s="17" t="s">
        <v>1626</v>
      </c>
      <c r="I55" s="18"/>
      <c r="J55" s="18"/>
      <c r="K55" s="288" t="str" cm="1">
        <f t="array" ref="K55">IF(ISBLANK(J55), IF(ISBLANK(I55), "N/A", _xlfn.IFS(L55="AS", I55+15, L55="NCR", I55+30, L55="submitted", I55+30, TRUE, "N/A")), _xlfn.IFS(L55="AS", J55+15, L55="NCR", J55+30, L55="submitted", J55+30, TRUE, "N/A"))</f>
        <v>N/A</v>
      </c>
      <c r="L55" s="4"/>
      <c r="M55" s="318"/>
      <c r="N55" s="802"/>
      <c r="O55" s="803"/>
      <c r="P55" s="803"/>
      <c r="Q55" s="804"/>
    </row>
    <row r="56" spans="2:17" s="408" customFormat="1" ht="15" customHeight="1">
      <c r="B56" s="397"/>
      <c r="C56" s="403" t="s">
        <v>1588</v>
      </c>
      <c r="D56" s="404" t="s">
        <v>1589</v>
      </c>
      <c r="E56" s="227"/>
      <c r="F56" s="409" t="s">
        <v>161</v>
      </c>
      <c r="G56" s="397" t="s">
        <v>414</v>
      </c>
      <c r="H56" s="410" t="s">
        <v>1627</v>
      </c>
      <c r="I56" s="383"/>
      <c r="J56" s="383"/>
      <c r="K56" s="288" t="str" cm="1">
        <f t="array" ref="K56">IF(ISBLANK(J56), IF(ISBLANK(I56), "N/A", _xlfn.IFS(L56="AS", I56+15, L56="NCR", I56+30, L56="submitted", I56+30, TRUE, "N/A")), _xlfn.IFS(L56="AS", J56+15, L56="NCR", J56+30, L56="submitted", J56+30, TRUE, "N/A"))</f>
        <v>N/A</v>
      </c>
      <c r="L56" s="397"/>
      <c r="M56" s="317"/>
      <c r="N56" s="802"/>
      <c r="O56" s="803"/>
      <c r="P56" s="803"/>
      <c r="Q56" s="804"/>
    </row>
    <row r="57" spans="2:17" s="408" customFormat="1" ht="15" customHeight="1">
      <c r="B57" s="397"/>
      <c r="C57" s="403" t="s">
        <v>1588</v>
      </c>
      <c r="D57" s="404" t="s">
        <v>1589</v>
      </c>
      <c r="E57" s="227"/>
      <c r="F57" s="411" t="s">
        <v>161</v>
      </c>
      <c r="G57" s="397" t="s">
        <v>1628</v>
      </c>
      <c r="H57" s="410" t="s">
        <v>1629</v>
      </c>
      <c r="I57" s="383"/>
      <c r="J57" s="383"/>
      <c r="K57" s="288" t="str" cm="1">
        <f t="array" ref="K57">IF(ISBLANK(J57), IF(ISBLANK(I57), "N/A", _xlfn.IFS(L57="AS", I57+15, L57="NCR", I57+30, L57="submitted", I57+30, TRUE, "N/A")), _xlfn.IFS(L57="AS", J57+15, L57="NCR", J57+30, L57="submitted", J57+30, TRUE, "N/A"))</f>
        <v>N/A</v>
      </c>
      <c r="L57" s="397"/>
      <c r="M57" s="317"/>
      <c r="N57" s="802"/>
      <c r="O57" s="803"/>
      <c r="P57" s="803"/>
      <c r="Q57" s="804"/>
    </row>
    <row r="58" spans="2:17" s="138" customFormat="1" ht="25.5" customHeight="1">
      <c r="B58" s="151" t="s">
        <v>1630</v>
      </c>
      <c r="C58" s="169" t="s">
        <v>1631</v>
      </c>
      <c r="D58" s="260" t="s">
        <v>1632</v>
      </c>
      <c r="E58" s="346" t="s">
        <v>1633</v>
      </c>
      <c r="F58" s="168" t="s">
        <v>201</v>
      </c>
      <c r="G58" s="151" t="s">
        <v>868</v>
      </c>
      <c r="H58" s="153" t="s">
        <v>1634</v>
      </c>
      <c r="I58" s="261">
        <v>45783</v>
      </c>
      <c r="J58" s="261">
        <f>I58+14</f>
        <v>45797</v>
      </c>
      <c r="K58" s="288" t="str" cm="1">
        <f t="array" ref="K58">IF(ISBLANK(J58), IF(ISBLANK(I58), "N/A", _xlfn.IFS(L58="AS", I58+15, L58="NCR", I58+30, L58="submitted", I58+30, TRUE, "N/A")), _xlfn.IFS(L58="AS", J58+15, L58="NCR", J58+30, L58="submitted", J58+30, TRUE, "N/A"))</f>
        <v>N/A</v>
      </c>
      <c r="L58" s="151" t="s">
        <v>638</v>
      </c>
      <c r="M58" s="317"/>
      <c r="N58" s="802"/>
      <c r="O58" s="803"/>
      <c r="P58" s="803"/>
      <c r="Q58" s="804"/>
    </row>
    <row r="59" spans="2:17" s="1" customFormat="1" ht="27" customHeight="1">
      <c r="B59" s="9"/>
      <c r="C59" s="48" t="s">
        <v>1631</v>
      </c>
      <c r="D59" s="6" t="s">
        <v>1632</v>
      </c>
      <c r="E59" s="39" t="s">
        <v>1635</v>
      </c>
      <c r="F59" s="39" t="s">
        <v>1636</v>
      </c>
      <c r="G59" s="9" t="s">
        <v>870</v>
      </c>
      <c r="H59" s="7" t="s">
        <v>1637</v>
      </c>
      <c r="I59" s="14"/>
      <c r="J59" s="14"/>
      <c r="K59" s="288" t="str" cm="1">
        <f t="array" ref="K59">IF(ISBLANK(J59), IF(ISBLANK(I59), "N/A", _xlfn.IFS(L59="AS", I59+15, L59="NCR", I59+30, L59="submitted", I59+30, TRUE, "N/A")), _xlfn.IFS(L59="AS", J59+15, L59="NCR", J59+30, L59="submitted", J59+30, TRUE, "N/A"))</f>
        <v>N/A</v>
      </c>
      <c r="L59" s="9"/>
      <c r="M59" s="317"/>
      <c r="N59" s="802"/>
      <c r="O59" s="803"/>
      <c r="P59" s="803"/>
      <c r="Q59" s="804"/>
    </row>
    <row r="60" spans="2:17" s="1" customFormat="1" ht="27" customHeight="1">
      <c r="B60" s="9"/>
      <c r="C60" s="48" t="s">
        <v>1631</v>
      </c>
      <c r="D60" s="6" t="s">
        <v>1632</v>
      </c>
      <c r="E60" s="39" t="s">
        <v>1638</v>
      </c>
      <c r="F60" s="39" t="s">
        <v>1636</v>
      </c>
      <c r="G60" s="9" t="s">
        <v>1639</v>
      </c>
      <c r="H60" s="7" t="s">
        <v>1640</v>
      </c>
      <c r="I60" s="14"/>
      <c r="J60" s="14"/>
      <c r="K60" s="288" t="str" cm="1">
        <f t="array" ref="K60">IF(ISBLANK(J60), IF(ISBLANK(I60), "N/A", _xlfn.IFS(L60="AS", I60+15, L60="NCR", I60+30, L60="submitted", I60+30, TRUE, "N/A")), _xlfn.IFS(L60="AS", J60+15, L60="NCR", J60+30, L60="submitted", J60+30, TRUE, "N/A"))</f>
        <v>N/A</v>
      </c>
      <c r="L60" s="9"/>
      <c r="M60" s="317"/>
      <c r="N60" s="802"/>
      <c r="O60" s="803"/>
      <c r="P60" s="803"/>
      <c r="Q60" s="804"/>
    </row>
    <row r="61" spans="2:17" s="1" customFormat="1" ht="15" customHeight="1">
      <c r="B61" s="9"/>
      <c r="C61" s="48" t="s">
        <v>1631</v>
      </c>
      <c r="D61" s="6" t="s">
        <v>1632</v>
      </c>
      <c r="E61" s="39" t="s">
        <v>1638</v>
      </c>
      <c r="F61" s="39" t="s">
        <v>1535</v>
      </c>
      <c r="G61" s="9" t="s">
        <v>874</v>
      </c>
      <c r="H61" s="13" t="s">
        <v>1641</v>
      </c>
      <c r="I61" s="14"/>
      <c r="J61" s="14"/>
      <c r="K61" s="288" t="str" cm="1">
        <f t="array" ref="K61">IF(ISBLANK(J61), IF(ISBLANK(I61), "N/A", _xlfn.IFS(L61="AS", I61+15, L61="NCR", I61+30, L61="submitted", I61+30, TRUE, "N/A")), _xlfn.IFS(L61="AS", J61+15, L61="NCR", J61+30, L61="submitted", J61+30, TRUE, "N/A"))</f>
        <v>N/A</v>
      </c>
      <c r="L61" s="9"/>
      <c r="M61" s="317"/>
      <c r="N61" s="802"/>
      <c r="O61" s="803"/>
      <c r="P61" s="803"/>
      <c r="Q61" s="804"/>
    </row>
    <row r="62" spans="2:17" s="1" customFormat="1" ht="15" customHeight="1">
      <c r="B62" s="9"/>
      <c r="C62" s="48" t="s">
        <v>1631</v>
      </c>
      <c r="D62" s="6" t="s">
        <v>1632</v>
      </c>
      <c r="E62" s="39" t="s">
        <v>1642</v>
      </c>
      <c r="F62" s="39" t="s">
        <v>1636</v>
      </c>
      <c r="G62" s="9" t="s">
        <v>876</v>
      </c>
      <c r="H62" s="13" t="s">
        <v>1643</v>
      </c>
      <c r="I62" s="14"/>
      <c r="J62" s="14"/>
      <c r="K62" s="288" t="str" cm="1">
        <f t="array" ref="K62">IF(ISBLANK(J62), IF(ISBLANK(I62), "N/A", _xlfn.IFS(L62="AS", I62+15, L62="NCR", I62+30, L62="submitted", I62+30, TRUE, "N/A")), _xlfn.IFS(L62="AS", J62+15, L62="NCR", J62+30, L62="submitted", J62+30, TRUE, "N/A"))</f>
        <v>N/A</v>
      </c>
      <c r="L62" s="9"/>
      <c r="M62" s="317"/>
      <c r="N62" s="802"/>
      <c r="O62" s="803"/>
      <c r="P62" s="803"/>
      <c r="Q62" s="804"/>
    </row>
    <row r="63" spans="2:17" s="1" customFormat="1" ht="15" customHeight="1">
      <c r="B63" s="9"/>
      <c r="C63" s="48" t="s">
        <v>1631</v>
      </c>
      <c r="D63" s="6" t="s">
        <v>1632</v>
      </c>
      <c r="E63" s="39"/>
      <c r="F63" s="39" t="s">
        <v>1644</v>
      </c>
      <c r="G63" s="9" t="s">
        <v>1645</v>
      </c>
      <c r="H63" s="13" t="s">
        <v>1646</v>
      </c>
      <c r="I63" s="14"/>
      <c r="J63" s="14"/>
      <c r="K63" s="288" t="str" cm="1">
        <f t="array" ref="K63">IF(ISBLANK(J63), IF(ISBLANK(I63), "N/A", _xlfn.IFS(L63="AS", I63+15, L63="NCR", I63+30, L63="submitted", I63+30, TRUE, "N/A")), _xlfn.IFS(L63="AS", J63+15, L63="NCR", J63+30, L63="submitted", J63+30, TRUE, "N/A"))</f>
        <v>N/A</v>
      </c>
      <c r="L63" s="9"/>
      <c r="M63" s="317"/>
      <c r="N63" s="802"/>
      <c r="O63" s="803"/>
      <c r="P63" s="803"/>
      <c r="Q63" s="804"/>
    </row>
    <row r="64" spans="2:17" s="1" customFormat="1" ht="15" customHeight="1">
      <c r="B64" s="9"/>
      <c r="C64" s="48" t="s">
        <v>1631</v>
      </c>
      <c r="D64" s="6" t="s">
        <v>1632</v>
      </c>
      <c r="E64" s="39"/>
      <c r="F64" s="39" t="s">
        <v>1644</v>
      </c>
      <c r="G64" s="9" t="s">
        <v>931</v>
      </c>
      <c r="H64" s="13" t="s">
        <v>1647</v>
      </c>
      <c r="I64" s="14"/>
      <c r="J64" s="14"/>
      <c r="K64" s="288" t="str" cm="1">
        <f t="array" ref="K64">IF(ISBLANK(J64), IF(ISBLANK(I64), "N/A", _xlfn.IFS(L64="AS", I64+15, L64="NCR", I64+30, L64="submitted", I64+30, TRUE, "N/A")), _xlfn.IFS(L64="AS", J64+15, L64="NCR", J64+30, L64="submitted", J64+30, TRUE, "N/A"))</f>
        <v>N/A</v>
      </c>
      <c r="L64" s="9"/>
      <c r="M64" s="317"/>
      <c r="N64" s="802"/>
      <c r="O64" s="803"/>
      <c r="P64" s="803"/>
      <c r="Q64" s="804"/>
    </row>
    <row r="65" spans="2:17" s="1" customFormat="1" ht="25.5" customHeight="1">
      <c r="B65" s="9"/>
      <c r="C65" s="48" t="s">
        <v>1631</v>
      </c>
      <c r="D65" s="6" t="s">
        <v>1632</v>
      </c>
      <c r="E65" s="39"/>
      <c r="F65" s="39" t="s">
        <v>1535</v>
      </c>
      <c r="G65" s="9" t="s">
        <v>1161</v>
      </c>
      <c r="H65" s="7" t="s">
        <v>1648</v>
      </c>
      <c r="I65" s="14"/>
      <c r="J65" s="14"/>
      <c r="K65" s="288" t="str" cm="1">
        <f t="array" ref="K65">IF(ISBLANK(J65), IF(ISBLANK(I65), "N/A", _xlfn.IFS(L65="AS", I65+15, L65="NCR", I65+30, L65="submitted", I65+30, TRUE, "N/A")), _xlfn.IFS(L65="AS", J65+15, L65="NCR", J65+30, L65="submitted", J65+30, TRUE, "N/A"))</f>
        <v>N/A</v>
      </c>
      <c r="L65" s="9"/>
      <c r="M65" s="317"/>
      <c r="N65" s="802"/>
      <c r="O65" s="803"/>
      <c r="P65" s="803"/>
      <c r="Q65" s="804"/>
    </row>
    <row r="66" spans="2:17" s="1" customFormat="1" ht="15" customHeight="1">
      <c r="B66" s="9"/>
      <c r="C66" s="48" t="s">
        <v>1631</v>
      </c>
      <c r="D66" s="6" t="s">
        <v>1632</v>
      </c>
      <c r="E66" s="39" t="s">
        <v>1649</v>
      </c>
      <c r="F66" s="39" t="s">
        <v>1636</v>
      </c>
      <c r="G66" s="9" t="s">
        <v>494</v>
      </c>
      <c r="H66" s="13" t="s">
        <v>1650</v>
      </c>
      <c r="I66" s="14"/>
      <c r="J66" s="14"/>
      <c r="K66" s="288" t="str" cm="1">
        <f t="array" ref="K66">IF(ISBLANK(J66), IF(ISBLANK(I66), "N/A", _xlfn.IFS(L66="AS", I66+15, L66="NCR", I66+30, L66="submitted", I66+30, TRUE, "N/A")), _xlfn.IFS(L66="AS", J66+15, L66="NCR", J66+30, L66="submitted", J66+30, TRUE, "N/A"))</f>
        <v>N/A</v>
      </c>
      <c r="L66" s="9"/>
      <c r="M66" s="317"/>
      <c r="N66" s="802"/>
      <c r="O66" s="803"/>
      <c r="P66" s="803"/>
      <c r="Q66" s="804"/>
    </row>
    <row r="67" spans="2:17" s="1" customFormat="1" ht="15" customHeight="1">
      <c r="B67" s="9"/>
      <c r="C67" s="48" t="s">
        <v>1631</v>
      </c>
      <c r="D67" s="6" t="s">
        <v>1632</v>
      </c>
      <c r="E67" s="39" t="s">
        <v>1649</v>
      </c>
      <c r="F67" s="39" t="s">
        <v>1636</v>
      </c>
      <c r="G67" s="9" t="s">
        <v>496</v>
      </c>
      <c r="H67" s="13" t="s">
        <v>1651</v>
      </c>
      <c r="I67" s="14"/>
      <c r="J67" s="14"/>
      <c r="K67" s="288" t="str" cm="1">
        <f t="array" ref="K67">IF(ISBLANK(J67), IF(ISBLANK(I67), "N/A", _xlfn.IFS(L67="AS", I67+15, L67="NCR", I67+30, L67="submitted", I67+30, TRUE, "N/A")), _xlfn.IFS(L67="AS", J67+15, L67="NCR", J67+30, L67="submitted", J67+30, TRUE, "N/A"))</f>
        <v>N/A</v>
      </c>
      <c r="L67" s="9"/>
      <c r="M67" s="317"/>
      <c r="N67" s="802"/>
      <c r="O67" s="803"/>
      <c r="P67" s="803"/>
      <c r="Q67" s="804"/>
    </row>
    <row r="68" spans="2:17" s="1" customFormat="1" ht="15" customHeight="1">
      <c r="B68" s="9"/>
      <c r="C68" s="48" t="s">
        <v>1631</v>
      </c>
      <c r="D68" s="6" t="s">
        <v>1632</v>
      </c>
      <c r="E68" s="39" t="s">
        <v>1649</v>
      </c>
      <c r="F68" s="39" t="s">
        <v>1636</v>
      </c>
      <c r="G68" s="9" t="s">
        <v>1652</v>
      </c>
      <c r="H68" s="13" t="s">
        <v>1653</v>
      </c>
      <c r="I68" s="14"/>
      <c r="J68" s="14"/>
      <c r="K68" s="288" t="str" cm="1">
        <f t="array" ref="K68">IF(ISBLANK(J68), IF(ISBLANK(I68), "N/A", _xlfn.IFS(L68="AS", I68+15, L68="NCR", I68+30, L68="submitted", I68+30, TRUE, "N/A")), _xlfn.IFS(L68="AS", J68+15, L68="NCR", J68+30, L68="submitted", J68+30, TRUE, "N/A"))</f>
        <v>N/A</v>
      </c>
      <c r="L68" s="9"/>
      <c r="M68" s="317"/>
      <c r="N68" s="802"/>
      <c r="O68" s="803"/>
      <c r="P68" s="803"/>
      <c r="Q68" s="804"/>
    </row>
    <row r="69" spans="2:17" s="228" customFormat="1" ht="25.5" customHeight="1">
      <c r="B69" s="221"/>
      <c r="C69" s="412" t="s">
        <v>1631</v>
      </c>
      <c r="D69" s="422" t="s">
        <v>1632</v>
      </c>
      <c r="E69" s="338"/>
      <c r="F69" s="338" t="s">
        <v>1636</v>
      </c>
      <c r="G69" s="221" t="s">
        <v>488</v>
      </c>
      <c r="H69" s="402" t="s">
        <v>1654</v>
      </c>
      <c r="I69" s="421"/>
      <c r="J69" s="421"/>
      <c r="K69" s="288" t="str" cm="1">
        <f t="array" ref="K69">IF(ISBLANK(J69), IF(ISBLANK(I69), "N/A", _xlfn.IFS(L69="AS", I69+15, L69="NCR", I69+30, L69="submitted", I69+30, TRUE, "N/A")), _xlfn.IFS(L69="AS", J69+15, L69="NCR", J69+30, L69="submitted", J69+30, TRUE, "N/A"))</f>
        <v>N/A</v>
      </c>
      <c r="L69" s="221"/>
      <c r="M69" s="317"/>
      <c r="N69" s="802"/>
      <c r="O69" s="803"/>
      <c r="P69" s="803"/>
      <c r="Q69" s="804"/>
    </row>
    <row r="70" spans="2:17" s="228" customFormat="1" ht="25.5" customHeight="1">
      <c r="B70" s="221"/>
      <c r="C70" s="412" t="s">
        <v>1631</v>
      </c>
      <c r="D70" s="422" t="s">
        <v>1632</v>
      </c>
      <c r="E70" s="338"/>
      <c r="F70" s="338" t="s">
        <v>161</v>
      </c>
      <c r="G70" s="221" t="s">
        <v>1192</v>
      </c>
      <c r="H70" s="402" t="s">
        <v>1655</v>
      </c>
      <c r="I70" s="421"/>
      <c r="J70" s="421"/>
      <c r="K70" s="288" t="str" cm="1">
        <f t="array" ref="K70">IF(ISBLANK(J70), IF(ISBLANK(I70), "N/A", _xlfn.IFS(L70="AS", I70+15, L70="NCR", I70+30, L70="submitted", I70+30, TRUE, "N/A")), _xlfn.IFS(L70="AS", J70+15, L70="NCR", J70+30, L70="submitted", J70+30, TRUE, "N/A"))</f>
        <v>N/A</v>
      </c>
      <c r="L70" s="221"/>
      <c r="M70" s="317"/>
      <c r="N70" s="802"/>
      <c r="O70" s="803"/>
      <c r="P70" s="803"/>
      <c r="Q70" s="804"/>
    </row>
    <row r="71" spans="2:17" s="228" customFormat="1" ht="15" customHeight="1">
      <c r="B71" s="221"/>
      <c r="C71" s="412" t="s">
        <v>1631</v>
      </c>
      <c r="D71" s="422" t="s">
        <v>1632</v>
      </c>
      <c r="E71" s="338"/>
      <c r="F71" s="338" t="s">
        <v>161</v>
      </c>
      <c r="G71" s="221" t="s">
        <v>1194</v>
      </c>
      <c r="H71" s="222" t="s">
        <v>1656</v>
      </c>
      <c r="I71" s="421"/>
      <c r="J71" s="421"/>
      <c r="K71" s="288" t="str" cm="1">
        <f t="array" ref="K71">IF(ISBLANK(J71), IF(ISBLANK(I71), "N/A", _xlfn.IFS(L71="AS", I71+15, L71="NCR", I71+30, L71="submitted", I71+30, TRUE, "N/A")), _xlfn.IFS(L71="AS", J71+15, L71="NCR", J71+30, L71="submitted", J71+30, TRUE, "N/A"))</f>
        <v>N/A</v>
      </c>
      <c r="L71" s="221"/>
      <c r="M71" s="317"/>
      <c r="N71" s="802"/>
      <c r="O71" s="803"/>
      <c r="P71" s="803"/>
      <c r="Q71" s="804"/>
    </row>
    <row r="72" spans="2:17" s="1" customFormat="1" ht="15" customHeight="1">
      <c r="B72" s="9"/>
      <c r="C72" s="48" t="s">
        <v>1631</v>
      </c>
      <c r="D72" s="6" t="s">
        <v>1632</v>
      </c>
      <c r="E72" s="39"/>
      <c r="F72" s="39"/>
      <c r="G72" s="9" t="s">
        <v>499</v>
      </c>
      <c r="H72" s="13" t="s">
        <v>1657</v>
      </c>
      <c r="I72" s="14"/>
      <c r="J72" s="14"/>
      <c r="K72" s="288" t="str" cm="1">
        <f t="array" ref="K72">IF(ISBLANK(J72), IF(ISBLANK(I72), "N/A", _xlfn.IFS(L72="AS", I72+15, L72="NCR", I72+30, L72="submitted", I72+30, TRUE, "N/A")), _xlfn.IFS(L72="AS", J72+15, L72="NCR", J72+30, L72="submitted", J72+30, TRUE, "N/A"))</f>
        <v>N/A</v>
      </c>
      <c r="L72" s="9"/>
      <c r="M72" s="317"/>
      <c r="N72" s="802"/>
      <c r="O72" s="803"/>
      <c r="P72" s="803"/>
      <c r="Q72" s="804"/>
    </row>
    <row r="73" spans="2:17" s="228" customFormat="1" ht="51.75" customHeight="1">
      <c r="B73" s="221"/>
      <c r="C73" s="412" t="s">
        <v>1631</v>
      </c>
      <c r="D73" s="422" t="s">
        <v>1632</v>
      </c>
      <c r="E73" s="338"/>
      <c r="F73" s="338" t="s">
        <v>161</v>
      </c>
      <c r="G73" s="221" t="s">
        <v>1658</v>
      </c>
      <c r="H73" s="222" t="s">
        <v>1659</v>
      </c>
      <c r="I73" s="421"/>
      <c r="J73" s="421"/>
      <c r="K73" s="288" t="str" cm="1">
        <f t="array" ref="K73">IF(ISBLANK(J73), IF(ISBLANK(I73), "N/A", _xlfn.IFS(L73="AS", I73+15, L73="NCR", I73+30, L73="submitted", I73+30, TRUE, "N/A")), _xlfn.IFS(L73="AS", J73+15, L73="NCR", J73+30, L73="submitted", J73+30, TRUE, "N/A"))</f>
        <v>N/A</v>
      </c>
      <c r="L73" s="221"/>
      <c r="M73" s="317"/>
      <c r="N73" s="802"/>
      <c r="O73" s="803"/>
      <c r="P73" s="803"/>
      <c r="Q73" s="804"/>
    </row>
    <row r="74" spans="2:17" s="1" customFormat="1" ht="51.75" customHeight="1">
      <c r="B74" s="9"/>
      <c r="C74" s="48" t="s">
        <v>1631</v>
      </c>
      <c r="D74" s="6" t="s">
        <v>1632</v>
      </c>
      <c r="E74" s="39"/>
      <c r="F74" s="39" t="s">
        <v>1535</v>
      </c>
      <c r="G74" s="9" t="s">
        <v>1166</v>
      </c>
      <c r="H74" s="13" t="s">
        <v>1660</v>
      </c>
      <c r="I74" s="14"/>
      <c r="J74" s="14"/>
      <c r="K74" s="288" t="str" cm="1">
        <f t="array" ref="K74">IF(ISBLANK(J74), IF(ISBLANK(I74), "N/A", _xlfn.IFS(L74="AS", I74+15, L74="NCR", I74+30, L74="submitted", I74+30, TRUE, "N/A")), _xlfn.IFS(L74="AS", J74+15, L74="NCR", J74+30, L74="submitted", J74+30, TRUE, "N/A"))</f>
        <v>N/A</v>
      </c>
      <c r="L74" s="9"/>
      <c r="M74" s="317"/>
      <c r="N74" s="802"/>
      <c r="O74" s="803"/>
      <c r="P74" s="803"/>
      <c r="Q74" s="804"/>
    </row>
    <row r="75" spans="2:17" s="551" customFormat="1" ht="51.75" customHeight="1">
      <c r="B75" s="545" t="s">
        <v>1661</v>
      </c>
      <c r="C75" s="546" t="s">
        <v>1631</v>
      </c>
      <c r="D75" s="547" t="s">
        <v>1632</v>
      </c>
      <c r="E75" s="548" t="s">
        <v>1662</v>
      </c>
      <c r="F75" s="548" t="s">
        <v>1535</v>
      </c>
      <c r="G75" s="545" t="s">
        <v>1663</v>
      </c>
      <c r="H75" s="549" t="s">
        <v>1664</v>
      </c>
      <c r="I75" s="550">
        <v>45783</v>
      </c>
      <c r="J75" s="550">
        <v>45810</v>
      </c>
      <c r="K75" s="288" t="str" cm="1">
        <f t="array" ref="K75">IF(ISBLANK(J75), IF(ISBLANK(I75), "N/A", _xlfn.IFS(L75="AS", I75+15, L75="NCR", I75+30, L75="submitted", I75+30, TRUE, "N/A")), _xlfn.IFS(L75="AS", J75+15, L75="NCR", J75+30, L75="submitted", J75+30, TRUE, "N/A"))</f>
        <v>N/A</v>
      </c>
      <c r="L75" s="545" t="s">
        <v>147</v>
      </c>
      <c r="M75" s="317"/>
      <c r="N75" s="802"/>
      <c r="O75" s="803"/>
      <c r="P75" s="803"/>
      <c r="Q75" s="804"/>
    </row>
    <row r="76" spans="2:17" s="1" customFormat="1" ht="15" customHeight="1">
      <c r="B76" s="9"/>
      <c r="C76" s="48" t="s">
        <v>1631</v>
      </c>
      <c r="D76" s="10" t="s">
        <v>1632</v>
      </c>
      <c r="E76" s="46"/>
      <c r="F76" s="46" t="s">
        <v>1535</v>
      </c>
      <c r="G76" s="9" t="s">
        <v>1665</v>
      </c>
      <c r="H76" s="13" t="s">
        <v>1666</v>
      </c>
      <c r="I76" s="14"/>
      <c r="J76" s="14"/>
      <c r="K76" s="288" t="str" cm="1">
        <f t="array" ref="K76">IF(ISBLANK(J76), IF(ISBLANK(I76), "N/A", _xlfn.IFS(L76="AS", I76+15, L76="NCR", I76+30, L76="submitted", I76+30, TRUE, "N/A")), _xlfn.IFS(L76="AS", J76+15, L76="NCR", J76+30, L76="submitted", J76+30, TRUE, "N/A"))</f>
        <v>N/A</v>
      </c>
      <c r="L76" s="9"/>
      <c r="M76" s="317"/>
      <c r="N76" s="802"/>
      <c r="O76" s="803"/>
      <c r="P76" s="803"/>
      <c r="Q76" s="804"/>
    </row>
    <row r="77" spans="2:17" s="525" customFormat="1" ht="15" customHeight="1">
      <c r="B77" s="523" t="s">
        <v>1667</v>
      </c>
      <c r="C77" s="751">
        <v>3300</v>
      </c>
      <c r="D77" s="730" t="s">
        <v>1668</v>
      </c>
      <c r="E77" s="752" t="s">
        <v>1669</v>
      </c>
      <c r="F77" s="752" t="s">
        <v>54</v>
      </c>
      <c r="G77" s="523">
        <v>1.04</v>
      </c>
      <c r="H77" s="532" t="s">
        <v>1670</v>
      </c>
      <c r="I77" s="533">
        <v>45926</v>
      </c>
      <c r="J77" s="533"/>
      <c r="K77" s="753" cm="1">
        <f t="array" ref="K77">IF(ISBLANK(J77), IF(ISBLANK(I77), "N/A", _xlfn.IFS(L77="AS", I77+15, L77="NCR", I77+30, L77="submitted", I77+30, TRUE, "N/A")), _xlfn.IFS(L77="AS", J77+15, L77="NCR", J77+30, L77="submitted", J77+30, TRUE, "N/A"))</f>
        <v>45956</v>
      </c>
      <c r="L77" s="523" t="s">
        <v>581</v>
      </c>
      <c r="M77" s="528"/>
      <c r="N77" s="802"/>
      <c r="O77" s="803"/>
      <c r="P77" s="803"/>
      <c r="Q77" s="804"/>
    </row>
    <row r="78" spans="2:17" s="5" customFormat="1" ht="15" customHeight="1">
      <c r="B78" s="4"/>
      <c r="C78" s="15" t="s">
        <v>1671</v>
      </c>
      <c r="D78" s="17" t="s">
        <v>1672</v>
      </c>
      <c r="E78" s="17"/>
      <c r="F78" s="17"/>
      <c r="G78" s="4" t="s">
        <v>145</v>
      </c>
      <c r="H78" s="17"/>
      <c r="I78" s="18"/>
      <c r="J78" s="18"/>
      <c r="K78" s="288" t="str" cm="1">
        <f t="array" ref="K78">IF(ISBLANK(J78), IF(ISBLANK(I78), "N/A", _xlfn.IFS(L78="AS", I78+15, L78="NCR", I78+30, L78="submitted", I78+30, TRUE, "N/A")), _xlfn.IFS(L78="AS", J78+15, L78="NCR", J78+30, L78="submitted", J78+30, TRUE, "N/A"))</f>
        <v>N/A</v>
      </c>
      <c r="L78" s="4"/>
      <c r="M78" s="317"/>
      <c r="N78" s="802"/>
      <c r="O78" s="803"/>
      <c r="P78" s="803"/>
      <c r="Q78" s="804"/>
    </row>
    <row r="79" spans="2:17" s="1" customFormat="1" ht="15" customHeight="1">
      <c r="B79" s="9"/>
      <c r="C79" s="11" t="s">
        <v>1673</v>
      </c>
      <c r="D79" s="13" t="s">
        <v>1674</v>
      </c>
      <c r="E79" s="13"/>
      <c r="F79" s="13"/>
      <c r="G79" s="9" t="s">
        <v>212</v>
      </c>
      <c r="H79" s="13" t="s">
        <v>1507</v>
      </c>
      <c r="I79" s="14"/>
      <c r="J79" s="14"/>
      <c r="K79" s="288" t="str" cm="1">
        <f t="array" ref="K79">IF(ISBLANK(J79), IF(ISBLANK(I79), "N/A", _xlfn.IFS(L79="AS", I79+15, L79="NCR", I79+30, L79="submitted", I79+30, TRUE, "N/A")), _xlfn.IFS(L79="AS", J79+15, L79="NCR", J79+30, L79="submitted", J79+30, TRUE, "N/A"))</f>
        <v>N/A</v>
      </c>
      <c r="L79" s="9"/>
      <c r="M79" s="317"/>
      <c r="N79" s="802"/>
      <c r="O79" s="803"/>
      <c r="P79" s="803"/>
      <c r="Q79" s="804"/>
    </row>
    <row r="80" spans="2:17" s="5" customFormat="1" ht="15" customHeight="1">
      <c r="B80" s="4"/>
      <c r="C80" s="54" t="s">
        <v>1675</v>
      </c>
      <c r="D80" s="55" t="s">
        <v>1676</v>
      </c>
      <c r="E80" s="34"/>
      <c r="F80" s="34" t="s">
        <v>1535</v>
      </c>
      <c r="G80" s="4" t="s">
        <v>278</v>
      </c>
      <c r="H80" s="17" t="s">
        <v>1677</v>
      </c>
      <c r="I80" s="18"/>
      <c r="J80" s="18"/>
      <c r="K80" s="288"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15" customHeight="1">
      <c r="B81" s="4"/>
      <c r="C81" s="54" t="s">
        <v>1675</v>
      </c>
      <c r="D81" s="55" t="s">
        <v>1676</v>
      </c>
      <c r="E81" s="35"/>
      <c r="F81" s="34" t="s">
        <v>1535</v>
      </c>
      <c r="G81" s="4" t="s">
        <v>265</v>
      </c>
      <c r="H81" s="17" t="s">
        <v>1678</v>
      </c>
      <c r="I81" s="18"/>
      <c r="J81" s="18"/>
      <c r="K81" s="288"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15" customHeight="1">
      <c r="B82" s="4"/>
      <c r="C82" s="54" t="s">
        <v>1675</v>
      </c>
      <c r="D82" s="55" t="s">
        <v>1676</v>
      </c>
      <c r="E82" s="35"/>
      <c r="F82" s="34" t="s">
        <v>1535</v>
      </c>
      <c r="G82" s="4" t="s">
        <v>222</v>
      </c>
      <c r="H82" s="17" t="s">
        <v>1679</v>
      </c>
      <c r="I82" s="18"/>
      <c r="J82" s="18"/>
      <c r="K82" s="288"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15" customHeight="1">
      <c r="B83" s="4" t="s">
        <v>1680</v>
      </c>
      <c r="C83" s="54" t="s">
        <v>1675</v>
      </c>
      <c r="D83" s="55" t="s">
        <v>1676</v>
      </c>
      <c r="E83" s="35" t="s">
        <v>1681</v>
      </c>
      <c r="F83" s="34" t="s">
        <v>1535</v>
      </c>
      <c r="G83" s="4" t="s">
        <v>329</v>
      </c>
      <c r="H83" s="17" t="s">
        <v>1682</v>
      </c>
      <c r="I83" s="18">
        <v>45932</v>
      </c>
      <c r="J83" s="18">
        <v>45939</v>
      </c>
      <c r="K83" s="288" t="str" cm="1">
        <f t="array" ref="K83">IF(ISBLANK(J83), IF(ISBLANK(I83), "N/A", _xlfn.IFS(L83="AS", I83+15, L83="NCR", I83+30, L83="submitted", I83+30, TRUE, "N/A")), _xlfn.IFS(L83="AS", J83+15, L83="NCR", J83+30, L83="submitted", J83+30, TRUE, "N/A"))</f>
        <v>N/A</v>
      </c>
      <c r="L83" s="4" t="s">
        <v>151</v>
      </c>
      <c r="M83" s="317"/>
      <c r="N83" s="802"/>
      <c r="O83" s="803"/>
      <c r="P83" s="803"/>
      <c r="Q83" s="804"/>
    </row>
    <row r="84" spans="2:17" s="5" customFormat="1" ht="15" customHeight="1">
      <c r="B84" s="4"/>
      <c r="C84" s="54" t="s">
        <v>1675</v>
      </c>
      <c r="D84" s="55" t="s">
        <v>1676</v>
      </c>
      <c r="E84" s="35"/>
      <c r="F84" s="34" t="s">
        <v>1644</v>
      </c>
      <c r="G84" s="4" t="s">
        <v>601</v>
      </c>
      <c r="H84" s="17" t="s">
        <v>1683</v>
      </c>
      <c r="I84" s="18"/>
      <c r="J84" s="18"/>
      <c r="K84" s="288" t="str" cm="1">
        <f t="array" ref="K84">IF(ISBLANK(J84), IF(ISBLANK(I84), "N/A", _xlfn.IFS(L84="AS", I84+15, L84="NCR", I84+30, L84="submitted", I84+30, TRUE, "N/A")), _xlfn.IFS(L84="AS", J84+15, L84="NCR", J84+30, L84="submitted", J84+30, TRUE, "N/A"))</f>
        <v>N/A</v>
      </c>
      <c r="L84" s="4"/>
      <c r="M84" s="317"/>
      <c r="N84" s="802"/>
      <c r="O84" s="803"/>
      <c r="P84" s="803"/>
      <c r="Q84" s="804"/>
    </row>
    <row r="85" spans="2:17" s="5" customFormat="1" ht="15" customHeight="1">
      <c r="B85" s="4"/>
      <c r="C85" s="54" t="s">
        <v>1675</v>
      </c>
      <c r="D85" s="55" t="s">
        <v>1676</v>
      </c>
      <c r="E85" s="35"/>
      <c r="F85" s="34" t="s">
        <v>1535</v>
      </c>
      <c r="G85" s="4" t="s">
        <v>372</v>
      </c>
      <c r="H85" s="17" t="s">
        <v>1684</v>
      </c>
      <c r="I85" s="18"/>
      <c r="J85" s="18"/>
      <c r="K85" s="288"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54" t="s">
        <v>1675</v>
      </c>
      <c r="D86" s="55" t="s">
        <v>1676</v>
      </c>
      <c r="E86" s="36"/>
      <c r="F86" s="36" t="s">
        <v>1685</v>
      </c>
      <c r="G86" s="4" t="s">
        <v>374</v>
      </c>
      <c r="H86" s="17" t="s">
        <v>1686</v>
      </c>
      <c r="I86" s="18"/>
      <c r="J86" s="18"/>
      <c r="K86" s="288" t="str" cm="1">
        <f t="array" ref="K86">IF(ISBLANK(J86), IF(ISBLANK(I86), "N/A", _xlfn.IFS(L86="AS", I86+15, L86="NCR", I86+30, L86="submitted", I86+30, TRUE, "N/A")), _xlfn.IFS(L86="AS", J86+15, L86="NCR", J86+30, L86="submitted", J86+30, TRUE, "N/A"))</f>
        <v>N/A</v>
      </c>
      <c r="L86" s="4"/>
      <c r="M86" s="317"/>
      <c r="N86" s="802"/>
      <c r="O86" s="803"/>
      <c r="P86" s="803"/>
      <c r="Q86" s="804"/>
    </row>
    <row r="87" spans="2:17" s="1" customFormat="1" ht="15" customHeight="1">
      <c r="B87" s="9"/>
      <c r="C87" s="821" t="s">
        <v>1687</v>
      </c>
      <c r="D87" s="823" t="s">
        <v>1688</v>
      </c>
      <c r="E87" s="37"/>
      <c r="F87" s="37" t="s">
        <v>1636</v>
      </c>
      <c r="G87" s="9" t="s">
        <v>208</v>
      </c>
      <c r="H87" s="13" t="s">
        <v>484</v>
      </c>
      <c r="I87" s="14"/>
      <c r="J87" s="14"/>
      <c r="K87" s="288" t="str" cm="1">
        <f t="array" ref="K87">IF(ISBLANK(J87), IF(ISBLANK(I87), "N/A", _xlfn.IFS(L87="AS", I87+15, L87="NCR", I87+30, L87="submitted", I87+30, TRUE, "N/A")), _xlfn.IFS(L87="AS", J87+15, L87="NCR", J87+30, L87="submitted", J87+30, TRUE, "N/A"))</f>
        <v>N/A</v>
      </c>
      <c r="L87" s="9"/>
      <c r="M87" s="317"/>
      <c r="N87" s="802"/>
      <c r="O87" s="803"/>
      <c r="P87" s="803"/>
      <c r="Q87" s="804"/>
    </row>
    <row r="88" spans="2:17" s="1" customFormat="1" ht="15" customHeight="1">
      <c r="B88" s="9"/>
      <c r="C88" s="822"/>
      <c r="D88" s="824"/>
      <c r="E88" s="39"/>
      <c r="F88" s="39" t="s">
        <v>1636</v>
      </c>
      <c r="G88" s="9" t="s">
        <v>281</v>
      </c>
      <c r="H88" s="13" t="s">
        <v>1689</v>
      </c>
      <c r="I88" s="14"/>
      <c r="J88" s="14"/>
      <c r="K88" s="288" t="str" cm="1">
        <f t="array" ref="K88">IF(ISBLANK(J88), IF(ISBLANK(I88), "N/A", _xlfn.IFS(L88="AS", I88+15, L88="NCR", I88+30, L88="submitted", I88+30, TRUE, "N/A")), _xlfn.IFS(L88="AS", J88+15, L88="NCR", J88+30, L88="submitted", J88+30, TRUE, "N/A"))</f>
        <v>N/A</v>
      </c>
      <c r="L88" s="9"/>
      <c r="M88" s="317"/>
      <c r="N88" s="802"/>
      <c r="O88" s="803"/>
      <c r="P88" s="803"/>
      <c r="Q88" s="804"/>
    </row>
    <row r="89" spans="2:17" s="1" customFormat="1" ht="15" customHeight="1">
      <c r="B89" s="9"/>
      <c r="C89" s="822"/>
      <c r="D89" s="824"/>
      <c r="E89" s="39"/>
      <c r="F89" s="39" t="s">
        <v>1636</v>
      </c>
      <c r="G89" s="9" t="s">
        <v>269</v>
      </c>
      <c r="H89" s="13" t="s">
        <v>1690</v>
      </c>
      <c r="I89" s="14"/>
      <c r="J89" s="14"/>
      <c r="K89" s="288" t="str" cm="1">
        <f t="array" ref="K89">IF(ISBLANK(J89), IF(ISBLANK(I89), "N/A", _xlfn.IFS(L89="AS", I89+15, L89="NCR", I89+30, L89="submitted", I89+30, TRUE, "N/A")), _xlfn.IFS(L89="AS", J89+15, L89="NCR", J89+30, L89="submitted", J89+30, TRUE, "N/A"))</f>
        <v>N/A</v>
      </c>
      <c r="L89" s="9"/>
      <c r="M89" s="317"/>
      <c r="N89" s="802"/>
      <c r="O89" s="803"/>
      <c r="P89" s="803"/>
      <c r="Q89" s="804"/>
    </row>
    <row r="90" spans="2:17" s="1" customFormat="1" ht="15" customHeight="1">
      <c r="B90" s="9"/>
      <c r="C90" s="822"/>
      <c r="D90" s="824"/>
      <c r="E90" s="39"/>
      <c r="F90" s="39" t="s">
        <v>1636</v>
      </c>
      <c r="G90" s="9" t="s">
        <v>259</v>
      </c>
      <c r="H90" s="13" t="s">
        <v>1691</v>
      </c>
      <c r="I90" s="14"/>
      <c r="J90" s="14"/>
      <c r="K90" s="288" t="str" cm="1">
        <f t="array" ref="K90">IF(ISBLANK(J90), IF(ISBLANK(I90), "N/A", _xlfn.IFS(L90="AS", I90+15, L90="NCR", I90+30, L90="submitted", I90+30, TRUE, "N/A")), _xlfn.IFS(L90="AS", J90+15, L90="NCR", J90+30, L90="submitted", J90+30, TRUE, "N/A"))</f>
        <v>N/A</v>
      </c>
      <c r="L90" s="9"/>
      <c r="M90" s="317"/>
      <c r="N90" s="802"/>
      <c r="O90" s="803"/>
      <c r="P90" s="803"/>
      <c r="Q90" s="804"/>
    </row>
    <row r="91" spans="2:17" s="1" customFormat="1" ht="40.5" customHeight="1">
      <c r="B91" s="9"/>
      <c r="C91" s="807"/>
      <c r="D91" s="809"/>
      <c r="E91" s="46"/>
      <c r="F91" s="46" t="s">
        <v>1636</v>
      </c>
      <c r="G91" s="9" t="s">
        <v>352</v>
      </c>
      <c r="H91" s="7" t="s">
        <v>1692</v>
      </c>
      <c r="I91" s="14"/>
      <c r="J91" s="14"/>
      <c r="K91" s="288" t="str" cm="1">
        <f t="array" ref="K91">IF(ISBLANK(J91), IF(ISBLANK(I91), "N/A", _xlfn.IFS(L91="AS", I91+15, L91="NCR", I91+30, L91="submitted", I91+30, TRUE, "N/A")), _xlfn.IFS(L91="AS", J91+15, L91="NCR", J91+30, L91="submitted", J91+30, TRUE, "N/A"))</f>
        <v>N/A</v>
      </c>
      <c r="L91" s="9"/>
      <c r="M91" s="317"/>
      <c r="N91" s="802"/>
      <c r="O91" s="803"/>
      <c r="P91" s="803"/>
      <c r="Q91" s="804"/>
    </row>
    <row r="92" spans="2:17" s="138" customFormat="1" ht="45" customHeight="1">
      <c r="B92" s="151" t="s">
        <v>1693</v>
      </c>
      <c r="C92" s="169" t="s">
        <v>1694</v>
      </c>
      <c r="D92" s="260" t="s">
        <v>1695</v>
      </c>
      <c r="E92" s="168" t="s">
        <v>1696</v>
      </c>
      <c r="F92" s="168" t="s">
        <v>1535</v>
      </c>
      <c r="G92" s="151" t="s">
        <v>208</v>
      </c>
      <c r="H92" s="153" t="s">
        <v>1697</v>
      </c>
      <c r="I92" s="261">
        <v>45786</v>
      </c>
      <c r="J92" s="261">
        <v>45791</v>
      </c>
      <c r="K92" s="288" t="str" cm="1">
        <f t="array" ref="K92">IF(ISBLANK(J92), IF(ISBLANK(I92), "N/A", _xlfn.IFS(L92="AS", I92+15, L92="NCR", I92+30, L92="submitted", I92+30, TRUE, "N/A")), _xlfn.IFS(L92="AS", J92+15, L92="NCR", J92+30, L92="submitted", J92+30, TRUE, "N/A"))</f>
        <v>N/A</v>
      </c>
      <c r="L92" s="151" t="s">
        <v>151</v>
      </c>
      <c r="M92" s="317"/>
      <c r="N92" s="802"/>
      <c r="O92" s="803"/>
      <c r="P92" s="803"/>
      <c r="Q92" s="804"/>
    </row>
    <row r="93" spans="2:17" s="5" customFormat="1" ht="15" customHeight="1">
      <c r="B93" s="4"/>
      <c r="C93" s="56" t="s">
        <v>1694</v>
      </c>
      <c r="D93" s="57" t="s">
        <v>1695</v>
      </c>
      <c r="E93" s="35"/>
      <c r="F93" s="35" t="s">
        <v>1636</v>
      </c>
      <c r="G93" s="4" t="s">
        <v>281</v>
      </c>
      <c r="H93" s="17" t="s">
        <v>667</v>
      </c>
      <c r="I93" s="18"/>
      <c r="J93" s="18"/>
      <c r="K93" s="288" t="str" cm="1">
        <f t="array" ref="K93">IF(ISBLANK(J93), IF(ISBLANK(I93), "N/A", _xlfn.IFS(L93="AS", I93+15, L93="NCR", I93+30, L93="submitted", I93+30, TRUE, "N/A")), _xlfn.IFS(L93="AS", J93+15, L93="NCR", J93+30, L93="submitted", J93+30, TRUE, "N/A"))</f>
        <v>N/A</v>
      </c>
      <c r="L93" s="4"/>
      <c r="M93" s="317"/>
      <c r="N93" s="802"/>
      <c r="O93" s="803"/>
      <c r="P93" s="803"/>
      <c r="Q93" s="804"/>
    </row>
    <row r="94" spans="2:17" s="5" customFormat="1" ht="15" customHeight="1">
      <c r="B94" s="4"/>
      <c r="C94" s="58" t="s">
        <v>1694</v>
      </c>
      <c r="D94" s="31" t="s">
        <v>1695</v>
      </c>
      <c r="E94" s="36"/>
      <c r="F94" s="36" t="s">
        <v>1636</v>
      </c>
      <c r="G94" s="4" t="s">
        <v>269</v>
      </c>
      <c r="H94" s="17" t="s">
        <v>1698</v>
      </c>
      <c r="I94" s="18"/>
      <c r="J94" s="18"/>
      <c r="K94" s="288" t="str" cm="1">
        <f t="array" ref="K94">IF(ISBLANK(J94), IF(ISBLANK(I94), "N/A", _xlfn.IFS(L94="AS", I94+15, L94="NCR", I94+30, L94="submitted", I94+30, TRUE, "N/A")), _xlfn.IFS(L94="AS", J94+15, L94="NCR", J94+30, L94="submitted", J94+30, TRUE, "N/A"))</f>
        <v>N/A</v>
      </c>
      <c r="L94" s="4"/>
      <c r="M94" s="317"/>
      <c r="N94" s="802"/>
      <c r="O94" s="803"/>
      <c r="P94" s="803"/>
      <c r="Q94" s="804"/>
    </row>
    <row r="95" spans="2:17" s="266" customFormat="1" ht="15" customHeight="1">
      <c r="B95" s="262" t="s">
        <v>17</v>
      </c>
      <c r="C95" s="340" t="s">
        <v>1699</v>
      </c>
      <c r="D95" s="341" t="s">
        <v>1700</v>
      </c>
      <c r="E95" s="267" t="s">
        <v>18</v>
      </c>
      <c r="F95" s="267" t="s">
        <v>1535</v>
      </c>
      <c r="G95" s="262" t="s">
        <v>281</v>
      </c>
      <c r="H95" s="264" t="s">
        <v>235</v>
      </c>
      <c r="I95" s="265">
        <v>45784</v>
      </c>
      <c r="J95" s="265">
        <v>45790</v>
      </c>
      <c r="K95" s="288" cm="1">
        <f t="array" ref="K95">IF(ISBLANK(J95), IF(ISBLANK(I95), "N/A", _xlfn.IFS(L95="AS", I95+15, L95="NCR", I95+30, L95="submitted", I95+30, TRUE, "N/A")), _xlfn.IFS(L95="AS", J95+15, L95="NCR", J95+30, L95="submitted", J95+30, TRUE, "N/A"))</f>
        <v>45820</v>
      </c>
      <c r="L95" s="262" t="s">
        <v>157</v>
      </c>
      <c r="M95" s="317"/>
      <c r="N95" s="802"/>
      <c r="O95" s="803"/>
      <c r="P95" s="803"/>
      <c r="Q95" s="804"/>
    </row>
    <row r="96" spans="2:17" s="1" customFormat="1" ht="15" customHeight="1">
      <c r="B96" s="262" t="s">
        <v>17</v>
      </c>
      <c r="C96" s="47" t="s">
        <v>1699</v>
      </c>
      <c r="D96" s="2" t="s">
        <v>1700</v>
      </c>
      <c r="E96" s="39"/>
      <c r="F96" s="39" t="s">
        <v>161</v>
      </c>
      <c r="G96" s="38" t="s">
        <v>329</v>
      </c>
      <c r="H96" s="37" t="s">
        <v>1701</v>
      </c>
      <c r="I96" s="265">
        <v>45784</v>
      </c>
      <c r="J96" s="265">
        <v>45790</v>
      </c>
      <c r="K96" s="288" cm="1">
        <f t="array" ref="K96">IF(ISBLANK(J96), IF(ISBLANK(I96), "N/A", _xlfn.IFS(L96="AS", I96+15, L96="NCR", I96+30, L96="submitted", I96+30, TRUE, "N/A")), _xlfn.IFS(L96="AS", J96+15, L96="NCR", J96+30, L96="submitted", J96+30, TRUE, "N/A"))</f>
        <v>45820</v>
      </c>
      <c r="L96" s="262" t="s">
        <v>157</v>
      </c>
      <c r="M96" s="317"/>
      <c r="N96" s="802"/>
      <c r="O96" s="803"/>
      <c r="P96" s="803"/>
      <c r="Q96" s="804"/>
    </row>
    <row r="97" spans="2:17" s="1" customFormat="1" ht="15" customHeight="1">
      <c r="B97" s="262" t="s">
        <v>17</v>
      </c>
      <c r="C97" s="47" t="s">
        <v>1699</v>
      </c>
      <c r="D97" s="2" t="s">
        <v>1700</v>
      </c>
      <c r="E97" s="39"/>
      <c r="F97" s="39" t="s">
        <v>161</v>
      </c>
      <c r="G97" s="38" t="s">
        <v>601</v>
      </c>
      <c r="H97" s="37" t="s">
        <v>1702</v>
      </c>
      <c r="I97" s="265">
        <v>45784</v>
      </c>
      <c r="J97" s="265">
        <v>45790</v>
      </c>
      <c r="K97" s="288" cm="1">
        <f t="array" ref="K97">IF(ISBLANK(J97), IF(ISBLANK(I97), "N/A", _xlfn.IFS(L97="AS", I97+15, L97="NCR", I97+30, L97="submitted", I97+30, TRUE, "N/A")), _xlfn.IFS(L97="AS", J97+15, L97="NCR", J97+30, L97="submitted", J97+30, TRUE, "N/A"))</f>
        <v>45820</v>
      </c>
      <c r="L97" s="262" t="s">
        <v>157</v>
      </c>
      <c r="M97" s="317"/>
      <c r="N97" s="802"/>
      <c r="O97" s="803"/>
      <c r="P97" s="803"/>
      <c r="Q97" s="804"/>
    </row>
    <row r="98" spans="2:17" s="1" customFormat="1" ht="15" customHeight="1">
      <c r="B98" s="262" t="s">
        <v>17</v>
      </c>
      <c r="C98" s="47" t="s">
        <v>1699</v>
      </c>
      <c r="D98" s="2" t="s">
        <v>1700</v>
      </c>
      <c r="E98" s="39"/>
      <c r="F98" s="39" t="s">
        <v>1541</v>
      </c>
      <c r="G98" s="38" t="s">
        <v>372</v>
      </c>
      <c r="H98" s="40" t="s">
        <v>1703</v>
      </c>
      <c r="I98" s="265">
        <v>45784</v>
      </c>
      <c r="J98" s="265">
        <v>45790</v>
      </c>
      <c r="K98" s="288" cm="1">
        <f t="array" ref="K98">IF(ISBLANK(J98), IF(ISBLANK(I98), "N/A", _xlfn.IFS(L98="AS", I98+15, L98="NCR", I98+30, L98="submitted", I98+30, TRUE, "N/A")), _xlfn.IFS(L98="AS", J98+15, L98="NCR", J98+30, L98="submitted", J98+30, TRUE, "N/A"))</f>
        <v>45820</v>
      </c>
      <c r="L98" s="262" t="s">
        <v>157</v>
      </c>
      <c r="M98" s="317"/>
      <c r="N98" s="802"/>
      <c r="O98" s="803"/>
      <c r="P98" s="803"/>
      <c r="Q98" s="804"/>
    </row>
    <row r="99" spans="2:17" s="5" customFormat="1" ht="27" customHeight="1">
      <c r="B99" s="297" t="s">
        <v>1704</v>
      </c>
      <c r="C99" s="169" t="s">
        <v>1705</v>
      </c>
      <c r="D99" s="597" t="s">
        <v>1706</v>
      </c>
      <c r="E99" s="529"/>
      <c r="F99" s="529" t="s">
        <v>1535</v>
      </c>
      <c r="G99" s="297" t="s">
        <v>281</v>
      </c>
      <c r="H99" s="529" t="s">
        <v>1707</v>
      </c>
      <c r="I99" s="598">
        <v>45908</v>
      </c>
      <c r="J99" s="598">
        <v>45909</v>
      </c>
      <c r="K99" s="288" t="str" cm="1">
        <f t="array" ref="K99">IF(ISBLANK(J99), IF(ISBLANK(I99), "N/A", _xlfn.IFS(L99="AS", I99+15, L99="NCR", I99+30, L99="submitted", I99+30, TRUE, "N/A")), _xlfn.IFS(L99="AS", J99+15, L99="NCR", J99+30, L99="submitted", J99+30, TRUE, "N/A"))</f>
        <v>N/A</v>
      </c>
      <c r="L99" s="297" t="s">
        <v>151</v>
      </c>
      <c r="M99" s="317"/>
      <c r="N99" s="802"/>
      <c r="O99" s="803"/>
      <c r="P99" s="803"/>
      <c r="Q99" s="804"/>
    </row>
    <row r="100" spans="2:17" s="5" customFormat="1" ht="24" customHeight="1">
      <c r="B100" s="19"/>
      <c r="C100" s="54" t="s">
        <v>1705</v>
      </c>
      <c r="D100" s="423" t="s">
        <v>1706</v>
      </c>
      <c r="E100" s="59"/>
      <c r="F100" s="79" t="s">
        <v>161</v>
      </c>
      <c r="G100" s="99" t="s">
        <v>329</v>
      </c>
      <c r="H100" s="53" t="s">
        <v>1701</v>
      </c>
      <c r="I100" s="30"/>
      <c r="J100" s="30"/>
      <c r="K100" s="288" t="str" cm="1">
        <f t="array" ref="K100">IF(ISBLANK(J100), IF(ISBLANK(I100), "N/A", _xlfn.IFS(L100="AS", I100+15, L100="NCR", I100+30, L100="submitted", I100+30, TRUE, "N/A")), _xlfn.IFS(L100="AS", J100+15, L100="NCR", J100+30, L100="submitted", J100+30, TRUE, "N/A"))</f>
        <v>N/A</v>
      </c>
      <c r="L100" s="19"/>
      <c r="M100" s="317"/>
      <c r="N100" s="802"/>
      <c r="O100" s="803"/>
      <c r="P100" s="803"/>
      <c r="Q100" s="804"/>
    </row>
    <row r="101" spans="2:17" s="5" customFormat="1" ht="24" customHeight="1">
      <c r="B101" s="19"/>
      <c r="C101" s="54" t="s">
        <v>1705</v>
      </c>
      <c r="D101" s="423" t="s">
        <v>1706</v>
      </c>
      <c r="E101" s="59"/>
      <c r="F101" s="79" t="s">
        <v>161</v>
      </c>
      <c r="G101" s="99" t="s">
        <v>601</v>
      </c>
      <c r="H101" s="53" t="s">
        <v>1702</v>
      </c>
      <c r="I101" s="30"/>
      <c r="J101" s="30"/>
      <c r="K101" s="288" t="str" cm="1">
        <f t="array" ref="K101">IF(ISBLANK(J101), IF(ISBLANK(I101), "N/A", _xlfn.IFS(L101="AS", I101+15, L101="NCR", I101+30, L101="submitted", I101+30, TRUE, "N/A")), _xlfn.IFS(L101="AS", J101+15, L101="NCR", J101+30, L101="submitted", J101+30, TRUE, "N/A"))</f>
        <v>N/A</v>
      </c>
      <c r="L101" s="19"/>
      <c r="M101" s="317"/>
      <c r="N101" s="802"/>
      <c r="O101" s="803"/>
      <c r="P101" s="803"/>
      <c r="Q101" s="804"/>
    </row>
    <row r="102" spans="2:17" s="45" customFormat="1" ht="27" customHeight="1">
      <c r="B102" s="42"/>
      <c r="C102" s="54" t="s">
        <v>1705</v>
      </c>
      <c r="D102" s="423" t="s">
        <v>1706</v>
      </c>
      <c r="E102" s="60"/>
      <c r="F102" s="431" t="s">
        <v>1644</v>
      </c>
      <c r="G102" s="82" t="s">
        <v>1708</v>
      </c>
      <c r="H102" s="61" t="s">
        <v>1709</v>
      </c>
      <c r="I102" s="44"/>
      <c r="J102" s="44"/>
      <c r="K102" s="288" t="str" cm="1">
        <f t="array" ref="K102">IF(ISBLANK(J102), IF(ISBLANK(I102), "N/A", _xlfn.IFS(L102="AS", I102+15, L102="NCR", I102+30, L102="submitted", I102+30, TRUE, "N/A")), _xlfn.IFS(L102="AS", J102+15, L102="NCR", J102+30, L102="submitted", J102+30, TRUE, "N/A"))</f>
        <v>N/A</v>
      </c>
      <c r="L102" s="42"/>
      <c r="M102" s="317"/>
      <c r="N102" s="802"/>
      <c r="O102" s="803"/>
      <c r="P102" s="803"/>
      <c r="Q102" s="804"/>
    </row>
    <row r="103" spans="2:17" s="138" customFormat="1" ht="40.5" customHeight="1">
      <c r="B103" s="133" t="s">
        <v>32</v>
      </c>
      <c r="C103" s="516" t="s">
        <v>1710</v>
      </c>
      <c r="D103" s="517" t="s">
        <v>1711</v>
      </c>
      <c r="E103" s="518" t="s">
        <v>33</v>
      </c>
      <c r="F103" s="518" t="s">
        <v>1535</v>
      </c>
      <c r="G103" s="133" t="s">
        <v>229</v>
      </c>
      <c r="H103" s="520" t="s">
        <v>1712</v>
      </c>
      <c r="I103" s="519">
        <v>45834</v>
      </c>
      <c r="J103" s="519">
        <v>45894</v>
      </c>
      <c r="K103" s="288" t="str" cm="1">
        <f t="array" ref="K103">IF(ISBLANK(J103), IF(ISBLANK(I103), "N/A", _xlfn.IFS(L103="AS", I103+15, L103="NCR", I103+30, L103="submitted", I103+30, TRUE, "N/A")), _xlfn.IFS(L103="AS", J103+15, L103="NCR", J103+30, L103="submitted", J103+30, TRUE, "N/A"))</f>
        <v>N/A</v>
      </c>
      <c r="L103" s="133" t="s">
        <v>638</v>
      </c>
      <c r="M103" s="317"/>
      <c r="N103" s="802"/>
      <c r="O103" s="803"/>
      <c r="P103" s="803"/>
      <c r="Q103" s="804"/>
    </row>
    <row r="104" spans="2:17" s="138" customFormat="1" ht="27" customHeight="1">
      <c r="B104" s="133" t="s">
        <v>32</v>
      </c>
      <c r="C104" s="516" t="s">
        <v>1710</v>
      </c>
      <c r="D104" s="517" t="s">
        <v>1711</v>
      </c>
      <c r="E104" s="518" t="s">
        <v>33</v>
      </c>
      <c r="F104" s="518" t="s">
        <v>1535</v>
      </c>
      <c r="G104" s="133" t="s">
        <v>232</v>
      </c>
      <c r="H104" s="137" t="s">
        <v>1713</v>
      </c>
      <c r="I104" s="519">
        <v>45834</v>
      </c>
      <c r="J104" s="519">
        <v>45894</v>
      </c>
      <c r="K104" s="288" t="str" cm="1">
        <f t="array" ref="K104">IF(ISBLANK(J104), IF(ISBLANK(I104), "N/A", _xlfn.IFS(L104="AS", I104+15, L104="NCR", I104+30, L104="submitted", I104+30, TRUE, "N/A")), _xlfn.IFS(L104="AS", J104+15, L104="NCR", J104+30, L104="submitted", J104+30, TRUE, "N/A"))</f>
        <v>N/A</v>
      </c>
      <c r="L104" s="133" t="s">
        <v>638</v>
      </c>
      <c r="M104" s="317"/>
      <c r="N104" s="802"/>
      <c r="O104" s="803"/>
      <c r="P104" s="803"/>
      <c r="Q104" s="804"/>
    </row>
    <row r="105" spans="2:17" s="138" customFormat="1" ht="27" customHeight="1">
      <c r="B105" s="133" t="s">
        <v>32</v>
      </c>
      <c r="C105" s="516" t="s">
        <v>1710</v>
      </c>
      <c r="D105" s="517" t="s">
        <v>1711</v>
      </c>
      <c r="E105" s="518" t="s">
        <v>33</v>
      </c>
      <c r="F105" s="518" t="s">
        <v>1535</v>
      </c>
      <c r="G105" s="133" t="s">
        <v>1554</v>
      </c>
      <c r="H105" s="137" t="s">
        <v>1714</v>
      </c>
      <c r="I105" s="519">
        <v>45834</v>
      </c>
      <c r="J105" s="519">
        <v>45894</v>
      </c>
      <c r="K105" s="288" t="str" cm="1">
        <f t="array" ref="K105">IF(ISBLANK(J105), IF(ISBLANK(I105), "N/A", _xlfn.IFS(L105="AS", I105+15, L105="NCR", I105+30, L105="submitted", I105+30, TRUE, "N/A")), _xlfn.IFS(L105="AS", J105+15, L105="NCR", J105+30, L105="submitted", J105+30, TRUE, "N/A"))</f>
        <v>N/A</v>
      </c>
      <c r="L105" s="133" t="s">
        <v>638</v>
      </c>
      <c r="M105" s="317"/>
      <c r="N105" s="802"/>
      <c r="O105" s="803"/>
      <c r="P105" s="803"/>
      <c r="Q105" s="804"/>
    </row>
    <row r="106" spans="2:17" s="1" customFormat="1" ht="36.75" customHeight="1">
      <c r="B106" s="21"/>
      <c r="C106" s="361" t="s">
        <v>1710</v>
      </c>
      <c r="D106" s="360" t="s">
        <v>1711</v>
      </c>
      <c r="E106" s="50"/>
      <c r="F106" s="432" t="s">
        <v>1541</v>
      </c>
      <c r="G106" s="433" t="s">
        <v>234</v>
      </c>
      <c r="H106" s="52" t="s">
        <v>1715</v>
      </c>
      <c r="I106" s="51"/>
      <c r="J106" s="51"/>
      <c r="K106" s="288" t="str" cm="1">
        <f t="array" ref="K106">IF(ISBLANK(J106), IF(ISBLANK(I106), "N/A", _xlfn.IFS(L106="AS", I106+15, L106="NCR", I106+30, L106="submitted", I106+30, TRUE, "N/A")), _xlfn.IFS(L106="AS", J106+15, L106="NCR", J106+30, L106="submitted", J106+30, TRUE, "N/A"))</f>
        <v>N/A</v>
      </c>
      <c r="L106" s="21"/>
      <c r="M106" s="317"/>
      <c r="N106" s="802"/>
      <c r="O106" s="803"/>
      <c r="P106" s="803"/>
      <c r="Q106" s="804"/>
    </row>
    <row r="107" spans="2:17" s="1" customFormat="1" ht="27" customHeight="1">
      <c r="B107" s="21"/>
      <c r="C107" s="361" t="s">
        <v>1710</v>
      </c>
      <c r="D107" s="360" t="s">
        <v>1711</v>
      </c>
      <c r="E107" s="52"/>
      <c r="F107" s="432" t="s">
        <v>1541</v>
      </c>
      <c r="G107" s="21" t="s">
        <v>236</v>
      </c>
      <c r="H107" s="52" t="s">
        <v>1716</v>
      </c>
      <c r="I107" s="51"/>
      <c r="J107" s="51"/>
      <c r="K107" s="288" t="str" cm="1">
        <f t="array" ref="K107">IF(ISBLANK(J107), IF(ISBLANK(I107), "N/A", _xlfn.IFS(L107="AS", I107+15, L107="NCR", I107+30, L107="submitted", I107+30, TRUE, "N/A")), _xlfn.IFS(L107="AS", J107+15, L107="NCR", J107+30, L107="submitted", J107+30, TRUE, "N/A"))</f>
        <v>N/A</v>
      </c>
      <c r="L107" s="21"/>
      <c r="M107" s="317"/>
      <c r="N107" s="802"/>
      <c r="O107" s="803"/>
      <c r="P107" s="803"/>
      <c r="Q107" s="804"/>
    </row>
    <row r="108" spans="2:17" s="5" customFormat="1" ht="27" customHeight="1">
      <c r="B108" s="4"/>
      <c r="C108" s="54" t="s">
        <v>1717</v>
      </c>
      <c r="D108" s="55" t="s">
        <v>1718</v>
      </c>
      <c r="E108" s="34"/>
      <c r="F108" s="34" t="s">
        <v>1535</v>
      </c>
      <c r="G108" s="4" t="s">
        <v>1719</v>
      </c>
      <c r="H108" s="3" t="s">
        <v>1720</v>
      </c>
      <c r="I108" s="18"/>
      <c r="J108" s="18"/>
      <c r="K108" s="288"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35.25" customHeight="1">
      <c r="B109" s="4"/>
      <c r="C109" s="54" t="s">
        <v>1717</v>
      </c>
      <c r="D109" s="55" t="s">
        <v>1718</v>
      </c>
      <c r="E109" s="35"/>
      <c r="F109" s="34" t="s">
        <v>1535</v>
      </c>
      <c r="G109" s="4" t="s">
        <v>1721</v>
      </c>
      <c r="H109" s="3" t="s">
        <v>1722</v>
      </c>
      <c r="I109" s="18"/>
      <c r="J109" s="18"/>
      <c r="K109" s="288"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5" customFormat="1" ht="35.25" customHeight="1">
      <c r="B110" s="4"/>
      <c r="C110" s="54" t="s">
        <v>1717</v>
      </c>
      <c r="D110" s="55" t="s">
        <v>1718</v>
      </c>
      <c r="E110" s="35"/>
      <c r="F110" s="34" t="s">
        <v>1535</v>
      </c>
      <c r="G110" s="4" t="s">
        <v>1723</v>
      </c>
      <c r="H110" s="3" t="s">
        <v>1724</v>
      </c>
      <c r="I110" s="18"/>
      <c r="J110" s="18"/>
      <c r="K110" s="288" t="str" cm="1">
        <f t="array" ref="K110">IF(ISBLANK(J110), IF(ISBLANK(I110), "N/A", _xlfn.IFS(L110="AS", I110+15, L110="NCR", I110+30, L110="submitted", I110+30, TRUE, "N/A")), _xlfn.IFS(L110="AS", J110+15, L110="NCR", J110+30, L110="submitted", J110+30, TRUE, "N/A"))</f>
        <v>N/A</v>
      </c>
      <c r="L110" s="4"/>
      <c r="M110" s="317"/>
      <c r="N110" s="802"/>
      <c r="O110" s="803"/>
      <c r="P110" s="803"/>
      <c r="Q110" s="804"/>
    </row>
    <row r="111" spans="2:17" s="5" customFormat="1" ht="15" customHeight="1">
      <c r="B111" s="4"/>
      <c r="C111" s="54" t="s">
        <v>1717</v>
      </c>
      <c r="D111" s="55" t="s">
        <v>1718</v>
      </c>
      <c r="E111" s="36"/>
      <c r="F111" s="34" t="s">
        <v>1535</v>
      </c>
      <c r="G111" s="4" t="s">
        <v>281</v>
      </c>
      <c r="H111" s="17" t="s">
        <v>235</v>
      </c>
      <c r="I111" s="18"/>
      <c r="J111" s="18"/>
      <c r="K111" s="288" t="str" cm="1">
        <f t="array" ref="K111">IF(ISBLANK(J111), IF(ISBLANK(I111), "N/A", _xlfn.IFS(L111="AS", I111+15, L111="NCR", I111+30, L111="submitted", I111+30, TRUE, "N/A")), _xlfn.IFS(L111="AS", J111+15, L111="NCR", J111+30, L111="submitted", J111+30, TRUE, "N/A"))</f>
        <v>N/A</v>
      </c>
      <c r="L111" s="4"/>
      <c r="M111" s="317"/>
      <c r="N111" s="802"/>
      <c r="O111" s="803"/>
      <c r="P111" s="803"/>
      <c r="Q111" s="804"/>
    </row>
    <row r="112" spans="2:17" s="1" customFormat="1" ht="15" customHeight="1">
      <c r="B112" s="9"/>
      <c r="C112" s="821" t="s">
        <v>1725</v>
      </c>
      <c r="D112" s="823" t="s">
        <v>1726</v>
      </c>
      <c r="E112" s="37"/>
      <c r="F112" s="37" t="s">
        <v>1636</v>
      </c>
      <c r="G112" s="9" t="s">
        <v>212</v>
      </c>
      <c r="H112" s="13" t="s">
        <v>484</v>
      </c>
      <c r="I112" s="14"/>
      <c r="J112" s="14"/>
      <c r="K112" s="288" t="str" cm="1">
        <f t="array" ref="K112">IF(ISBLANK(J112), IF(ISBLANK(I112), "N/A", _xlfn.IFS(L112="AS", I112+15, L112="NCR", I112+30, L112="submitted", I112+30, TRUE, "N/A")), _xlfn.IFS(L112="AS", J112+15, L112="NCR", J112+30, L112="submitted", J112+30, TRUE, "N/A"))</f>
        <v>N/A</v>
      </c>
      <c r="L112" s="9"/>
      <c r="M112" s="317"/>
      <c r="N112" s="802"/>
      <c r="O112" s="803"/>
      <c r="P112" s="803"/>
      <c r="Q112" s="804"/>
    </row>
    <row r="113" spans="2:17" s="1" customFormat="1" ht="15" customHeight="1">
      <c r="B113" s="38"/>
      <c r="C113" s="822"/>
      <c r="D113" s="824"/>
      <c r="E113" s="39"/>
      <c r="F113" s="37" t="s">
        <v>1636</v>
      </c>
      <c r="G113" s="38" t="s">
        <v>336</v>
      </c>
      <c r="H113" s="37" t="s">
        <v>274</v>
      </c>
      <c r="I113" s="41"/>
      <c r="J113" s="41"/>
      <c r="K113" s="288" t="str" cm="1">
        <f t="array" ref="K113">IF(ISBLANK(J113), IF(ISBLANK(I113), "N/A", _xlfn.IFS(L113="AS", I113+15, L113="NCR", I113+30, L113="submitted", I113+30, TRUE, "N/A")), _xlfn.IFS(L113="AS", J113+15, L113="NCR", J113+30, L113="submitted", J113+30, TRUE, "N/A"))</f>
        <v>N/A</v>
      </c>
      <c r="L113" s="38"/>
      <c r="M113" s="317"/>
      <c r="N113" s="802"/>
      <c r="O113" s="803"/>
      <c r="P113" s="803"/>
      <c r="Q113" s="804"/>
    </row>
    <row r="114" spans="2:17" s="1" customFormat="1" ht="15" customHeight="1">
      <c r="B114" s="38"/>
      <c r="C114" s="822"/>
      <c r="D114" s="824"/>
      <c r="E114" s="39"/>
      <c r="F114" s="37" t="s">
        <v>1636</v>
      </c>
      <c r="G114" s="38" t="s">
        <v>337</v>
      </c>
      <c r="H114" s="37" t="s">
        <v>1727</v>
      </c>
      <c r="I114" s="41"/>
      <c r="J114" s="41"/>
      <c r="K114" s="288" t="str" cm="1">
        <f t="array" ref="K114">IF(ISBLANK(J114), IF(ISBLANK(I114), "N/A", _xlfn.IFS(L114="AS", I114+15, L114="NCR", I114+30, L114="submitted", I114+30, TRUE, "N/A")), _xlfn.IFS(L114="AS", J114+15, L114="NCR", J114+30, L114="submitted", J114+30, TRUE, "N/A"))</f>
        <v>N/A</v>
      </c>
      <c r="L114" s="38"/>
      <c r="M114" s="317"/>
      <c r="N114" s="802"/>
      <c r="O114" s="803"/>
      <c r="P114" s="803"/>
      <c r="Q114" s="804"/>
    </row>
    <row r="115" spans="2:17" s="1" customFormat="1" ht="15" customHeight="1">
      <c r="B115" s="38"/>
      <c r="C115" s="822"/>
      <c r="D115" s="824"/>
      <c r="E115" s="39"/>
      <c r="F115" s="37" t="s">
        <v>1636</v>
      </c>
      <c r="G115" s="38" t="s">
        <v>404</v>
      </c>
      <c r="H115" s="37" t="s">
        <v>1728</v>
      </c>
      <c r="I115" s="41"/>
      <c r="J115" s="41"/>
      <c r="K115" s="288" t="str" cm="1">
        <f t="array" ref="K115">IF(ISBLANK(J115), IF(ISBLANK(I115), "N/A", _xlfn.IFS(L115="AS", I115+15, L115="NCR", I115+30, L115="submitted", I115+30, TRUE, "N/A")), _xlfn.IFS(L115="AS", J115+15, L115="NCR", J115+30, L115="submitted", J115+30, TRUE, "N/A"))</f>
        <v>N/A</v>
      </c>
      <c r="L115" s="38"/>
      <c r="M115" s="317"/>
      <c r="N115" s="802"/>
      <c r="O115" s="803"/>
      <c r="P115" s="803"/>
      <c r="Q115" s="804"/>
    </row>
    <row r="116" spans="2:17" s="1" customFormat="1" ht="15" customHeight="1">
      <c r="B116" s="38"/>
      <c r="C116" s="822"/>
      <c r="D116" s="824"/>
      <c r="E116" s="39"/>
      <c r="F116" s="39" t="s">
        <v>161</v>
      </c>
      <c r="G116" s="38" t="s">
        <v>340</v>
      </c>
      <c r="H116" s="37" t="s">
        <v>1729</v>
      </c>
      <c r="I116" s="41"/>
      <c r="J116" s="41"/>
      <c r="K116" s="288" t="str" cm="1">
        <f t="array" ref="K116">IF(ISBLANK(J116), IF(ISBLANK(I116), "N/A", _xlfn.IFS(L116="AS", I116+15, L116="NCR", I116+30, L116="submitted", I116+30, TRUE, "N/A")), _xlfn.IFS(L116="AS", J116+15, L116="NCR", J116+30, L116="submitted", J116+30, TRUE, "N/A"))</f>
        <v>N/A</v>
      </c>
      <c r="L116" s="38"/>
      <c r="M116" s="317"/>
      <c r="N116" s="802"/>
      <c r="O116" s="803"/>
      <c r="P116" s="803"/>
      <c r="Q116" s="804"/>
    </row>
    <row r="117" spans="2:17" s="1" customFormat="1" ht="15" customHeight="1">
      <c r="B117" s="38"/>
      <c r="C117" s="807"/>
      <c r="D117" s="809"/>
      <c r="E117" s="39"/>
      <c r="F117" s="39" t="s">
        <v>161</v>
      </c>
      <c r="G117" s="38" t="s">
        <v>342</v>
      </c>
      <c r="H117" s="37" t="s">
        <v>1730</v>
      </c>
      <c r="I117" s="41"/>
      <c r="J117" s="41"/>
      <c r="K117" s="288" t="str" cm="1">
        <f t="array" ref="K117">IF(ISBLANK(J117), IF(ISBLANK(I117), "N/A", _xlfn.IFS(L117="AS", I117+15, L117="NCR", I117+30, L117="submitted", I117+30, TRUE, "N/A")), _xlfn.IFS(L117="AS", J117+15, L117="NCR", J117+30, L117="submitted", J117+30, TRUE, "N/A"))</f>
        <v>N/A</v>
      </c>
      <c r="L117" s="38"/>
      <c r="M117" s="317"/>
      <c r="N117" s="802"/>
      <c r="O117" s="803"/>
      <c r="P117" s="803"/>
      <c r="Q117" s="804"/>
    </row>
    <row r="118" spans="2:17" s="5" customFormat="1" ht="15" customHeight="1">
      <c r="B118" s="19"/>
      <c r="C118" s="825" t="s">
        <v>1731</v>
      </c>
      <c r="D118" s="827" t="s">
        <v>1732</v>
      </c>
      <c r="E118" s="34"/>
      <c r="F118" s="34" t="s">
        <v>1535</v>
      </c>
      <c r="G118" s="19" t="s">
        <v>234</v>
      </c>
      <c r="H118" s="34" t="s">
        <v>1733</v>
      </c>
      <c r="I118" s="30"/>
      <c r="J118" s="30"/>
      <c r="K118" s="288" t="str" cm="1">
        <f t="array" ref="K118">IF(ISBLANK(J118), IF(ISBLANK(I118), "N/A", _xlfn.IFS(L118="AS", I118+15, L118="NCR", I118+30, L118="submitted", I118+30, TRUE, "N/A")), _xlfn.IFS(L118="AS", J118+15, L118="NCR", J118+30, L118="submitted", J118+30, TRUE, "N/A"))</f>
        <v>N/A</v>
      </c>
      <c r="L118" s="19"/>
      <c r="M118" s="317"/>
      <c r="N118" s="802"/>
      <c r="O118" s="803"/>
      <c r="P118" s="803"/>
      <c r="Q118" s="804"/>
    </row>
    <row r="119" spans="2:17" s="5" customFormat="1" ht="15.75" customHeight="1">
      <c r="B119" s="19"/>
      <c r="C119" s="829"/>
      <c r="D119" s="830"/>
      <c r="E119" s="35"/>
      <c r="F119" s="34" t="s">
        <v>1535</v>
      </c>
      <c r="G119" s="19" t="s">
        <v>236</v>
      </c>
      <c r="H119" s="34" t="s">
        <v>1734</v>
      </c>
      <c r="I119" s="30"/>
      <c r="J119" s="30"/>
      <c r="K119" s="288" t="str" cm="1">
        <f t="array" ref="K119">IF(ISBLANK(J119), IF(ISBLANK(I119), "N/A", _xlfn.IFS(L119="AS", I119+15, L119="NCR", I119+30, L119="submitted", I119+30, TRUE, "N/A")), _xlfn.IFS(L119="AS", J119+15, L119="NCR", J119+30, L119="submitted", J119+30, TRUE, "N/A"))</f>
        <v>N/A</v>
      </c>
      <c r="L119" s="19"/>
      <c r="M119" s="317"/>
      <c r="N119" s="802"/>
      <c r="O119" s="803"/>
      <c r="P119" s="803"/>
      <c r="Q119" s="804"/>
    </row>
    <row r="120" spans="2:17" s="5" customFormat="1" ht="15" customHeight="1">
      <c r="B120" s="19"/>
      <c r="C120" s="829"/>
      <c r="D120" s="830"/>
      <c r="E120" s="35"/>
      <c r="F120" s="34" t="s">
        <v>1535</v>
      </c>
      <c r="G120" s="19" t="s">
        <v>337</v>
      </c>
      <c r="H120" s="34" t="s">
        <v>282</v>
      </c>
      <c r="I120" s="30"/>
      <c r="J120" s="30"/>
      <c r="K120" s="288" t="str" cm="1">
        <f t="array" ref="K120">IF(ISBLANK(J120), IF(ISBLANK(I120), "N/A", _xlfn.IFS(L120="AS", I120+15, L120="NCR", I120+30, L120="submitted", I120+30, TRUE, "N/A")), _xlfn.IFS(L120="AS", J120+15, L120="NCR", J120+30, L120="submitted", J120+30, TRUE, "N/A"))</f>
        <v>N/A</v>
      </c>
      <c r="L120" s="19"/>
      <c r="M120" s="317"/>
      <c r="N120" s="802"/>
      <c r="O120" s="803"/>
      <c r="P120" s="803"/>
      <c r="Q120" s="804"/>
    </row>
    <row r="121" spans="2:17" s="5" customFormat="1" ht="15" customHeight="1">
      <c r="B121" s="19"/>
      <c r="C121" s="829"/>
      <c r="D121" s="830"/>
      <c r="E121" s="35"/>
      <c r="F121" s="34" t="s">
        <v>1535</v>
      </c>
      <c r="G121" s="19" t="s">
        <v>404</v>
      </c>
      <c r="H121" s="53" t="s">
        <v>1735</v>
      </c>
      <c r="I121" s="30"/>
      <c r="J121" s="30"/>
      <c r="K121" s="288" t="str" cm="1">
        <f t="array" ref="K121">IF(ISBLANK(J121), IF(ISBLANK(I121), "N/A", _xlfn.IFS(L121="AS", I121+15, L121="NCR", I121+30, L121="submitted", I121+30, TRUE, "N/A")), _xlfn.IFS(L121="AS", J121+15, L121="NCR", J121+30, L121="submitted", J121+30, TRUE, "N/A"))</f>
        <v>N/A</v>
      </c>
      <c r="L121" s="19"/>
      <c r="M121" s="317"/>
      <c r="N121" s="802"/>
      <c r="O121" s="803"/>
      <c r="P121" s="803"/>
      <c r="Q121" s="804"/>
    </row>
    <row r="122" spans="2:17" s="5" customFormat="1" ht="15" customHeight="1">
      <c r="B122" s="19"/>
      <c r="C122" s="829"/>
      <c r="D122" s="830"/>
      <c r="E122" s="35"/>
      <c r="F122" s="35" t="s">
        <v>161</v>
      </c>
      <c r="G122" s="19" t="s">
        <v>340</v>
      </c>
      <c r="H122" s="53" t="s">
        <v>1736</v>
      </c>
      <c r="I122" s="30"/>
      <c r="J122" s="30"/>
      <c r="K122" s="288" t="str" cm="1">
        <f t="array" ref="K122">IF(ISBLANK(J122), IF(ISBLANK(I122), "N/A", _xlfn.IFS(L122="AS", I122+15, L122="NCR", I122+30, L122="submitted", I122+30, TRUE, "N/A")), _xlfn.IFS(L122="AS", J122+15, L122="NCR", J122+30, L122="submitted", J122+30, TRUE, "N/A"))</f>
        <v>N/A</v>
      </c>
      <c r="L122" s="19"/>
      <c r="M122" s="317"/>
      <c r="N122" s="796" t="s">
        <v>133</v>
      </c>
      <c r="O122" s="797"/>
      <c r="P122" s="797"/>
      <c r="Q122" s="798"/>
    </row>
    <row r="123" spans="2:17" s="5" customFormat="1" ht="15" customHeight="1">
      <c r="B123" s="19"/>
      <c r="C123" s="829"/>
      <c r="D123" s="830"/>
      <c r="E123" s="35"/>
      <c r="F123" s="35" t="s">
        <v>161</v>
      </c>
      <c r="G123" s="19" t="s">
        <v>342</v>
      </c>
      <c r="H123" s="53" t="s">
        <v>1737</v>
      </c>
      <c r="I123" s="30"/>
      <c r="J123" s="30"/>
      <c r="K123" s="288" t="str" cm="1">
        <f t="array" ref="K123">IF(ISBLANK(J123), IF(ISBLANK(I123), "N/A", _xlfn.IFS(L123="AS", I123+15, L123="NCR", I123+30, L123="submitted", I123+30, TRUE, "N/A")), _xlfn.IFS(L123="AS", J123+15, L123="NCR", J123+30, L123="submitted", J123+30, TRUE, "N/A"))</f>
        <v>N/A</v>
      </c>
      <c r="L123" s="19"/>
      <c r="M123" s="317"/>
      <c r="N123" s="799"/>
      <c r="O123" s="800"/>
      <c r="P123" s="800"/>
      <c r="Q123" s="801"/>
    </row>
    <row r="124" spans="2:17" s="5" customFormat="1" ht="15" customHeight="1">
      <c r="B124" s="19"/>
      <c r="C124" s="829"/>
      <c r="D124" s="830"/>
      <c r="E124" s="35"/>
      <c r="F124" s="35" t="s">
        <v>161</v>
      </c>
      <c r="G124" s="19" t="s">
        <v>344</v>
      </c>
      <c r="H124" s="53" t="s">
        <v>1738</v>
      </c>
      <c r="I124" s="30"/>
      <c r="J124" s="30"/>
      <c r="K124" s="288" t="str" cm="1">
        <f t="array" ref="K124">IF(ISBLANK(J124), IF(ISBLANK(I124), "N/A", _xlfn.IFS(L124="AS", I124+15, L124="NCR", I124+30, L124="submitted", I124+30, TRUE, "N/A")), _xlfn.IFS(L124="AS", J124+15, L124="NCR", J124+30, L124="submitted", J124+30, TRUE, "N/A"))</f>
        <v>N/A</v>
      </c>
      <c r="L124" s="19"/>
      <c r="M124" s="317"/>
      <c r="N124" s="799"/>
      <c r="O124" s="800"/>
      <c r="P124" s="800"/>
      <c r="Q124" s="801"/>
    </row>
    <row r="125" spans="2:17" s="5" customFormat="1" ht="15" customHeight="1">
      <c r="B125" s="19"/>
      <c r="C125" s="829"/>
      <c r="D125" s="830"/>
      <c r="E125" s="35"/>
      <c r="F125" s="35" t="s">
        <v>161</v>
      </c>
      <c r="G125" s="19" t="s">
        <v>1154</v>
      </c>
      <c r="H125" s="53" t="s">
        <v>1739</v>
      </c>
      <c r="I125" s="30"/>
      <c r="J125" s="30"/>
      <c r="K125" s="288" t="str" cm="1">
        <f t="array" ref="K125">IF(ISBLANK(J125), IF(ISBLANK(I125), "N/A", _xlfn.IFS(L125="AS", I125+15, L125="NCR", I125+30, L125="submitted", I125+30, TRUE, "N/A")), _xlfn.IFS(L125="AS", J125+15, L125="NCR", J125+30, L125="submitted", J125+30, TRUE, "N/A"))</f>
        <v>N/A</v>
      </c>
      <c r="L125" s="19"/>
      <c r="M125" s="317"/>
      <c r="N125" s="799"/>
      <c r="O125" s="800"/>
      <c r="P125" s="800"/>
      <c r="Q125" s="801"/>
    </row>
    <row r="126" spans="2:17" s="5" customFormat="1" ht="15" customHeight="1">
      <c r="B126" s="19"/>
      <c r="C126" s="829"/>
      <c r="D126" s="830"/>
      <c r="E126" s="35"/>
      <c r="F126" s="35" t="s">
        <v>161</v>
      </c>
      <c r="G126" s="19" t="s">
        <v>1155</v>
      </c>
      <c r="H126" s="34" t="s">
        <v>1740</v>
      </c>
      <c r="I126" s="30"/>
      <c r="J126" s="30"/>
      <c r="K126" s="288" t="str" cm="1">
        <f t="array" ref="K126">IF(ISBLANK(J126), IF(ISBLANK(I126), "N/A", _xlfn.IFS(L126="AS", I126+15, L126="NCR", I126+30, L126="submitted", I126+30, TRUE, "N/A")), _xlfn.IFS(L126="AS", J126+15, L126="NCR", J126+30, L126="submitted", J126+30, TRUE, "N/A"))</f>
        <v>N/A</v>
      </c>
      <c r="L126" s="19"/>
      <c r="M126" s="317"/>
      <c r="N126" s="799"/>
      <c r="O126" s="800"/>
      <c r="P126" s="800"/>
      <c r="Q126" s="801"/>
    </row>
    <row r="127" spans="2:17" s="5" customFormat="1" ht="15" customHeight="1">
      <c r="B127" s="19"/>
      <c r="C127" s="829"/>
      <c r="D127" s="830"/>
      <c r="E127" s="35"/>
      <c r="F127" s="35" t="s">
        <v>1636</v>
      </c>
      <c r="G127" s="19" t="s">
        <v>406</v>
      </c>
      <c r="H127" s="34" t="s">
        <v>1741</v>
      </c>
      <c r="I127" s="30"/>
      <c r="J127" s="30"/>
      <c r="K127" s="288" t="str" cm="1">
        <f t="array" ref="K127">IF(ISBLANK(J127), IF(ISBLANK(I127), "N/A", _xlfn.IFS(L127="AS", I127+15, L127="NCR", I127+30, L127="submitted", I127+30, TRUE, "N/A")), _xlfn.IFS(L127="AS", J127+15, L127="NCR", J127+30, L127="submitted", J127+30, TRUE, "N/A"))</f>
        <v>N/A</v>
      </c>
      <c r="L127" s="19"/>
      <c r="M127" s="317"/>
      <c r="N127" s="799"/>
      <c r="O127" s="800"/>
      <c r="P127" s="800"/>
      <c r="Q127" s="801"/>
    </row>
    <row r="128" spans="2:17" s="5" customFormat="1" ht="27" customHeight="1">
      <c r="B128" s="19"/>
      <c r="C128" s="829"/>
      <c r="D128" s="830"/>
      <c r="E128" s="35"/>
      <c r="F128" s="35" t="s">
        <v>1537</v>
      </c>
      <c r="G128" s="19" t="s">
        <v>746</v>
      </c>
      <c r="H128" s="53" t="s">
        <v>1742</v>
      </c>
      <c r="I128" s="30"/>
      <c r="J128" s="30"/>
      <c r="K128" s="288" t="str" cm="1">
        <f t="array" ref="K128">IF(ISBLANK(J128), IF(ISBLANK(I128), "N/A", _xlfn.IFS(L128="AS", I128+15, L128="NCR", I128+30, L128="submitted", I128+30, TRUE, "N/A")), _xlfn.IFS(L128="AS", J128+15, L128="NCR", J128+30, L128="submitted", J128+30, TRUE, "N/A"))</f>
        <v>N/A</v>
      </c>
      <c r="L128" s="19"/>
      <c r="M128" s="317"/>
      <c r="N128" s="799"/>
      <c r="O128" s="800"/>
      <c r="P128" s="800"/>
      <c r="Q128" s="801"/>
    </row>
    <row r="129" spans="1:17" s="45" customFormat="1" ht="27" customHeight="1">
      <c r="B129" s="42"/>
      <c r="C129" s="868"/>
      <c r="D129" s="869"/>
      <c r="E129" s="49"/>
      <c r="F129" s="49" t="s">
        <v>1537</v>
      </c>
      <c r="G129" s="42" t="s">
        <v>892</v>
      </c>
      <c r="H129" s="61" t="s">
        <v>1743</v>
      </c>
      <c r="I129" s="44"/>
      <c r="J129" s="44"/>
      <c r="K129" s="288" t="str" cm="1">
        <f t="array" ref="K129">IF(ISBLANK(J129), IF(ISBLANK(I129), "N/A", _xlfn.IFS(L129="AS", I129+15, L129="NCR", I129+30, L129="submitted", I129+30, TRUE, "N/A")), _xlfn.IFS(L129="AS", J129+15, L129="NCR", J129+30, L129="submitted", J129+30, TRUE, "N/A"))</f>
        <v>N/A</v>
      </c>
      <c r="L129" s="42"/>
      <c r="M129" s="317"/>
      <c r="N129" s="799"/>
      <c r="O129" s="800"/>
      <c r="P129" s="800"/>
      <c r="Q129" s="801"/>
    </row>
    <row r="130" spans="1:17" s="1" customFormat="1" ht="15" customHeight="1">
      <c r="B130" s="21"/>
      <c r="C130" s="920" t="s">
        <v>1744</v>
      </c>
      <c r="D130" s="921" t="s">
        <v>1745</v>
      </c>
      <c r="E130" s="50"/>
      <c r="F130" s="50" t="s">
        <v>1636</v>
      </c>
      <c r="G130" s="21" t="s">
        <v>229</v>
      </c>
      <c r="H130" s="46" t="s">
        <v>1746</v>
      </c>
      <c r="I130" s="51"/>
      <c r="J130" s="51"/>
      <c r="K130" s="288" t="str" cm="1">
        <f t="array" ref="K130">IF(ISBLANK(J130), IF(ISBLANK(I130), "N/A", _xlfn.IFS(L130="AS", I130+15, L130="NCR", I130+30, L130="submitted", I130+30, TRUE, "N/A")), _xlfn.IFS(L130="AS", J130+15, L130="NCR", J130+30, L130="submitted", J130+30, TRUE, "N/A"))</f>
        <v>N/A</v>
      </c>
      <c r="L130" s="21"/>
      <c r="M130" s="317"/>
      <c r="N130" s="802" t="s">
        <v>148</v>
      </c>
      <c r="O130" s="803"/>
      <c r="P130" s="803"/>
      <c r="Q130" s="804"/>
    </row>
    <row r="131" spans="1:17" s="1" customFormat="1" ht="15" customHeight="1">
      <c r="B131" s="21"/>
      <c r="C131" s="822"/>
      <c r="D131" s="824"/>
      <c r="E131" s="39"/>
      <c r="F131" s="50" t="s">
        <v>1636</v>
      </c>
      <c r="G131" s="21" t="s">
        <v>232</v>
      </c>
      <c r="H131" s="52" t="s">
        <v>1747</v>
      </c>
      <c r="I131" s="51"/>
      <c r="J131" s="51"/>
      <c r="K131" s="288" t="str" cm="1">
        <f t="array" ref="K131">IF(ISBLANK(J131), IF(ISBLANK(I131), "N/A", _xlfn.IFS(L131="AS", I131+15, L131="NCR", I131+30, L131="submitted", I131+30, TRUE, "N/A")), _xlfn.IFS(L131="AS", J131+15, L131="NCR", J131+30, L131="submitted", J131+30, TRUE, "N/A"))</f>
        <v>N/A</v>
      </c>
      <c r="L131" s="21"/>
      <c r="M131" s="317"/>
      <c r="N131" s="802"/>
      <c r="O131" s="803"/>
      <c r="P131" s="803"/>
      <c r="Q131" s="804"/>
    </row>
    <row r="132" spans="1:17" s="1" customFormat="1" ht="15" customHeight="1">
      <c r="B132" s="21"/>
      <c r="C132" s="822"/>
      <c r="D132" s="824"/>
      <c r="E132" s="39"/>
      <c r="F132" s="50" t="s">
        <v>1636</v>
      </c>
      <c r="G132" s="21" t="s">
        <v>1554</v>
      </c>
      <c r="H132" s="46" t="s">
        <v>1748</v>
      </c>
      <c r="I132" s="51"/>
      <c r="J132" s="51"/>
      <c r="K132" s="288" t="str" cm="1">
        <f t="array" ref="K132">IF(ISBLANK(J132), IF(ISBLANK(I132), "N/A", _xlfn.IFS(L132="AS", I132+15, L132="NCR", I132+30, L132="submitted", I132+30, TRUE, "N/A")), _xlfn.IFS(L132="AS", J132+15, L132="NCR", J132+30, L132="submitted", J132+30, TRUE, "N/A"))</f>
        <v>N/A</v>
      </c>
      <c r="L132" s="21"/>
      <c r="M132" s="317"/>
      <c r="N132" s="802"/>
      <c r="O132" s="803"/>
      <c r="P132" s="803"/>
      <c r="Q132" s="804"/>
    </row>
    <row r="133" spans="1:17" s="1" customFormat="1" ht="15" customHeight="1">
      <c r="A133" s="1" t="s">
        <v>318</v>
      </c>
      <c r="B133" s="21" t="s">
        <v>1749</v>
      </c>
      <c r="C133" s="822"/>
      <c r="D133" s="824"/>
      <c r="E133" s="39"/>
      <c r="F133" s="50" t="s">
        <v>322</v>
      </c>
      <c r="G133" s="21" t="s">
        <v>336</v>
      </c>
      <c r="H133" s="46" t="s">
        <v>282</v>
      </c>
      <c r="I133" s="51">
        <v>45939</v>
      </c>
      <c r="J133" s="51"/>
      <c r="K133" s="288" cm="1">
        <f t="array" ref="K133">IF(ISBLANK(J133), IF(ISBLANK(I133), "N/A", _xlfn.IFS(L133="AS", I133+15, L133="NCR", I133+30, L133="submitted", I133+30, TRUE, "N/A")), _xlfn.IFS(L133="AS", J133+15, L133="NCR", J133+30, L133="submitted", J133+30, TRUE, "N/A"))</f>
        <v>45969</v>
      </c>
      <c r="L133" s="21" t="s">
        <v>581</v>
      </c>
      <c r="M133" s="317"/>
      <c r="N133" s="802"/>
      <c r="O133" s="803"/>
      <c r="P133" s="803"/>
      <c r="Q133" s="804"/>
    </row>
    <row r="134" spans="1:17" s="1" customFormat="1" ht="27" customHeight="1">
      <c r="B134" s="21"/>
      <c r="C134" s="822"/>
      <c r="D134" s="824"/>
      <c r="E134" s="39"/>
      <c r="F134" s="39" t="s">
        <v>1644</v>
      </c>
      <c r="G134" s="21" t="s">
        <v>240</v>
      </c>
      <c r="H134" s="52" t="s">
        <v>1750</v>
      </c>
      <c r="I134" s="51"/>
      <c r="J134" s="51"/>
      <c r="K134" s="288" t="str" cm="1">
        <f t="array" ref="K134">IF(ISBLANK(J134), IF(ISBLANK(I134), "N/A", _xlfn.IFS(L134="AS", I134+15, L134="NCR", I134+30, L134="submitted", I134+30, TRUE, "N/A")), _xlfn.IFS(L134="AS", J134+15, L134="NCR", J134+30, L134="submitted", J134+30, TRUE, "N/A"))</f>
        <v>N/A</v>
      </c>
      <c r="L134" s="21"/>
      <c r="M134" s="317"/>
      <c r="N134" s="802"/>
      <c r="O134" s="803"/>
      <c r="P134" s="803"/>
      <c r="Q134" s="804"/>
    </row>
    <row r="135" spans="1:17" s="1" customFormat="1" ht="15" customHeight="1">
      <c r="B135" s="21"/>
      <c r="C135" s="822"/>
      <c r="D135" s="824"/>
      <c r="E135" s="39"/>
      <c r="F135" s="39" t="s">
        <v>1644</v>
      </c>
      <c r="G135" s="21" t="s">
        <v>242</v>
      </c>
      <c r="H135" s="46" t="s">
        <v>1751</v>
      </c>
      <c r="I135" s="51"/>
      <c r="J135" s="51"/>
      <c r="K135" s="288" t="str" cm="1">
        <f t="array" ref="K135">IF(ISBLANK(J135), IF(ISBLANK(I135), "N/A", _xlfn.IFS(L135="AS", I135+15, L135="NCR", I135+30, L135="submitted", I135+30, TRUE, "N/A")), _xlfn.IFS(L135="AS", J135+15, L135="NCR", J135+30, L135="submitted", J135+30, TRUE, "N/A"))</f>
        <v>N/A</v>
      </c>
      <c r="L135" s="21"/>
      <c r="M135" s="318"/>
      <c r="N135" s="802"/>
      <c r="O135" s="803"/>
      <c r="P135" s="803"/>
      <c r="Q135" s="804"/>
    </row>
    <row r="136" spans="1:17" s="1" customFormat="1" ht="15" customHeight="1">
      <c r="B136" s="21"/>
      <c r="C136" s="822"/>
      <c r="D136" s="824"/>
      <c r="E136" s="39"/>
      <c r="F136" s="39" t="s">
        <v>1644</v>
      </c>
      <c r="G136" s="21" t="s">
        <v>1232</v>
      </c>
      <c r="H136" s="46" t="s">
        <v>1752</v>
      </c>
      <c r="I136" s="51"/>
      <c r="J136" s="51"/>
      <c r="K136" s="288" t="str" cm="1">
        <f t="array" ref="K136">IF(ISBLANK(J136), IF(ISBLANK(I136), "N/A", _xlfn.IFS(L136="AS", I136+15, L136="NCR", I136+30, L136="submitted", I136+30, TRUE, "N/A")), _xlfn.IFS(L136="AS", J136+15, L136="NCR", J136+30, L136="submitted", J136+30, TRUE, "N/A"))</f>
        <v>N/A</v>
      </c>
      <c r="L136" s="21"/>
      <c r="M136" s="317"/>
      <c r="N136" s="802"/>
      <c r="O136" s="803"/>
      <c r="P136" s="803"/>
      <c r="Q136" s="804"/>
    </row>
    <row r="137" spans="1:17" s="1" customFormat="1" ht="40.5" customHeight="1">
      <c r="B137" s="21"/>
      <c r="C137" s="807"/>
      <c r="D137" s="809"/>
      <c r="E137" s="46"/>
      <c r="F137" s="46" t="s">
        <v>1644</v>
      </c>
      <c r="G137" s="21" t="s">
        <v>338</v>
      </c>
      <c r="H137" s="52" t="s">
        <v>1753</v>
      </c>
      <c r="I137" s="51"/>
      <c r="J137" s="51"/>
      <c r="K137" s="288" t="str" cm="1">
        <f t="array" ref="K137">IF(ISBLANK(J137), IF(ISBLANK(I137), "N/A", _xlfn.IFS(L137="AS", I137+15, L137="NCR", I137+30, L137="submitted", I137+30, TRUE, "N/A")), _xlfn.IFS(L137="AS", J137+15, L137="NCR", J137+30, L137="submitted", J137+30, TRUE, "N/A"))</f>
        <v>N/A</v>
      </c>
      <c r="L137" s="21"/>
      <c r="M137" s="317"/>
      <c r="N137" s="802"/>
      <c r="O137" s="803"/>
      <c r="P137" s="803"/>
      <c r="Q137" s="804"/>
    </row>
    <row r="138" spans="1:17" s="5" customFormat="1" ht="53.25">
      <c r="B138" s="4"/>
      <c r="C138" s="825" t="s">
        <v>1754</v>
      </c>
      <c r="D138" s="827" t="s">
        <v>1755</v>
      </c>
      <c r="E138" s="34"/>
      <c r="F138" s="34" t="s">
        <v>1644</v>
      </c>
      <c r="G138" s="4" t="s">
        <v>278</v>
      </c>
      <c r="H138" s="3" t="s">
        <v>1756</v>
      </c>
      <c r="I138" s="18"/>
      <c r="J138" s="18"/>
      <c r="K138" s="288" t="str" cm="1">
        <f t="array" ref="K138">IF(ISBLANK(J138), IF(ISBLANK(I138), "N/A", _xlfn.IFS(L138="AS", I138+15, L138="NCR", I138+30, L138="submitted", I138+30, TRUE, "N/A")), _xlfn.IFS(L138="AS", J138+15, L138="NCR", J138+30, L138="submitted", J138+30, TRUE, "N/A"))</f>
        <v>N/A</v>
      </c>
      <c r="L138" s="4"/>
      <c r="M138" s="317"/>
      <c r="N138" s="802"/>
      <c r="O138" s="803"/>
      <c r="P138" s="803"/>
      <c r="Q138" s="804"/>
    </row>
    <row r="139" spans="1:17" s="5" customFormat="1" ht="15" customHeight="1">
      <c r="B139" s="4"/>
      <c r="C139" s="826"/>
      <c r="D139" s="828"/>
      <c r="E139" s="36"/>
      <c r="F139" s="36" t="s">
        <v>1644</v>
      </c>
      <c r="G139" s="4" t="s">
        <v>265</v>
      </c>
      <c r="H139" s="17" t="s">
        <v>1757</v>
      </c>
      <c r="I139" s="18"/>
      <c r="J139" s="18"/>
      <c r="K139" s="288" t="str" cm="1">
        <f t="array" ref="K139">IF(ISBLANK(J139), IF(ISBLANK(I139), "N/A", _xlfn.IFS(L139="AS", I139+15, L139="NCR", I139+30, L139="submitted", I139+30, TRUE, "N/A")), _xlfn.IFS(L139="AS", J139+15, L139="NCR", J139+30, L139="submitted", J139+30, TRUE, "N/A"))</f>
        <v>N/A</v>
      </c>
      <c r="L139" s="4"/>
      <c r="M139" s="317"/>
      <c r="N139" s="802"/>
      <c r="O139" s="803"/>
      <c r="P139" s="803"/>
      <c r="Q139" s="804"/>
    </row>
    <row r="140" spans="1:17" s="1" customFormat="1" ht="25.5" customHeight="1">
      <c r="B140" s="9"/>
      <c r="C140" s="821" t="s">
        <v>1758</v>
      </c>
      <c r="D140" s="917" t="s">
        <v>1759</v>
      </c>
      <c r="E140" s="40"/>
      <c r="F140" s="40" t="s">
        <v>1535</v>
      </c>
      <c r="G140" s="9" t="s">
        <v>1760</v>
      </c>
      <c r="H140" s="13" t="s">
        <v>1761</v>
      </c>
      <c r="I140" s="14"/>
      <c r="J140" s="14"/>
      <c r="K140" s="288"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1:17" s="1" customFormat="1" ht="15" customHeight="1">
      <c r="B141" s="9"/>
      <c r="C141" s="822"/>
      <c r="D141" s="918"/>
      <c r="E141" s="50"/>
      <c r="F141" s="40" t="s">
        <v>1535</v>
      </c>
      <c r="G141" s="9" t="s">
        <v>868</v>
      </c>
      <c r="H141" s="13" t="s">
        <v>235</v>
      </c>
      <c r="I141" s="14"/>
      <c r="J141" s="14"/>
      <c r="K141" s="288"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1:17" s="1" customFormat="1" ht="15" customHeight="1">
      <c r="B142" s="9"/>
      <c r="C142" s="822"/>
      <c r="D142" s="918"/>
      <c r="E142" s="50"/>
      <c r="F142" s="40" t="s">
        <v>1535</v>
      </c>
      <c r="G142" s="9" t="s">
        <v>870</v>
      </c>
      <c r="H142" s="13" t="s">
        <v>544</v>
      </c>
      <c r="I142" s="14"/>
      <c r="J142" s="14"/>
      <c r="K142" s="288"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1:17" s="1" customFormat="1" ht="15" customHeight="1">
      <c r="B143" s="9"/>
      <c r="C143" s="822"/>
      <c r="D143" s="918"/>
      <c r="E143" s="50"/>
      <c r="F143" s="40" t="s">
        <v>1535</v>
      </c>
      <c r="G143" s="9" t="s">
        <v>872</v>
      </c>
      <c r="H143" s="13" t="s">
        <v>490</v>
      </c>
      <c r="I143" s="14"/>
      <c r="J143" s="14"/>
      <c r="K143" s="288"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1:17" s="1" customFormat="1" ht="15" customHeight="1">
      <c r="B144" s="9"/>
      <c r="C144" s="822"/>
      <c r="D144" s="918"/>
      <c r="E144" s="50"/>
      <c r="F144" s="50" t="s">
        <v>1541</v>
      </c>
      <c r="G144" s="9" t="s">
        <v>874</v>
      </c>
      <c r="H144" s="13" t="s">
        <v>1762</v>
      </c>
      <c r="I144" s="14"/>
      <c r="J144" s="14"/>
      <c r="K144" s="288"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1:17" s="1" customFormat="1" ht="15" customHeight="1">
      <c r="B145" s="9"/>
      <c r="C145" s="822"/>
      <c r="D145" s="918"/>
      <c r="E145" s="50"/>
      <c r="F145" s="50" t="s">
        <v>1535</v>
      </c>
      <c r="G145" s="9" t="s">
        <v>1351</v>
      </c>
      <c r="H145" s="13" t="s">
        <v>1763</v>
      </c>
      <c r="I145" s="14"/>
      <c r="J145" s="14"/>
      <c r="K145" s="288"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1:17" s="1" customFormat="1" ht="15" customHeight="1">
      <c r="B146" s="9"/>
      <c r="C146" s="822"/>
      <c r="D146" s="918"/>
      <c r="E146" s="50"/>
      <c r="F146" s="50" t="s">
        <v>1535</v>
      </c>
      <c r="G146" s="9" t="s">
        <v>1353</v>
      </c>
      <c r="H146" s="13" t="s">
        <v>1764</v>
      </c>
      <c r="I146" s="14"/>
      <c r="J146" s="14"/>
      <c r="K146" s="288"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1:17" s="1" customFormat="1" ht="53.25">
      <c r="B147" s="9"/>
      <c r="C147" s="807"/>
      <c r="D147" s="919"/>
      <c r="E147" s="52"/>
      <c r="F147" s="50" t="s">
        <v>1535</v>
      </c>
      <c r="G147" s="9" t="s">
        <v>1765</v>
      </c>
      <c r="H147" s="7" t="s">
        <v>1766</v>
      </c>
      <c r="I147" s="14"/>
      <c r="J147" s="14"/>
      <c r="K147" s="288"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1:17" s="5" customFormat="1" ht="15" customHeight="1">
      <c r="B148" s="4"/>
      <c r="C148" s="825" t="s">
        <v>1767</v>
      </c>
      <c r="D148" s="827" t="s">
        <v>1768</v>
      </c>
      <c r="E148" s="34"/>
      <c r="F148" s="34" t="s">
        <v>1535</v>
      </c>
      <c r="G148" s="4" t="s">
        <v>208</v>
      </c>
      <c r="H148" s="17" t="s">
        <v>484</v>
      </c>
      <c r="I148" s="18"/>
      <c r="J148" s="18"/>
      <c r="K148" s="288" t="str" cm="1">
        <f t="array" ref="K148">IF(ISBLANK(J148), IF(ISBLANK(I148), "N/A", _xlfn.IFS(L148="AS", I148+15, L148="NCR", I148+30, L148="submitted", I148+30, TRUE, "N/A")), _xlfn.IFS(L148="AS", J148+15, L148="NCR", J148+30, L148="submitted", J148+30, TRUE, "N/A"))</f>
        <v>N/A</v>
      </c>
      <c r="L148" s="4"/>
      <c r="M148" s="317"/>
      <c r="N148" s="802"/>
      <c r="O148" s="803"/>
      <c r="P148" s="803"/>
      <c r="Q148" s="804"/>
    </row>
    <row r="149" spans="1:17" s="5" customFormat="1" ht="15" customHeight="1">
      <c r="B149" s="19"/>
      <c r="C149" s="826"/>
      <c r="D149" s="828"/>
      <c r="E149" s="35"/>
      <c r="F149" s="34" t="s">
        <v>1535</v>
      </c>
      <c r="G149" s="19" t="s">
        <v>281</v>
      </c>
      <c r="H149" s="34" t="s">
        <v>274</v>
      </c>
      <c r="I149" s="30"/>
      <c r="J149" s="30"/>
      <c r="K149" s="288" t="str" cm="1">
        <f t="array" ref="K149">IF(ISBLANK(J149), IF(ISBLANK(I149), "N/A", _xlfn.IFS(L149="AS", I149+15, L149="NCR", I149+30, L149="submitted", I149+30, TRUE, "N/A")), _xlfn.IFS(L149="AS", J149+15, L149="NCR", J149+30, L149="submitted", J149+30, TRUE, "N/A"))</f>
        <v>N/A</v>
      </c>
      <c r="L149" s="19"/>
      <c r="M149" s="317"/>
      <c r="N149" s="802"/>
      <c r="O149" s="803"/>
      <c r="P149" s="803"/>
      <c r="Q149" s="804"/>
    </row>
    <row r="150" spans="1:17" s="1" customFormat="1" ht="15" customHeight="1">
      <c r="A150" s="1" t="s">
        <v>318</v>
      </c>
      <c r="B150" s="38" t="s">
        <v>1769</v>
      </c>
      <c r="C150" s="47" t="s">
        <v>1770</v>
      </c>
      <c r="D150" s="2" t="s">
        <v>1771</v>
      </c>
      <c r="E150" s="37"/>
      <c r="F150" s="34" t="s">
        <v>1535</v>
      </c>
      <c r="G150" s="38" t="s">
        <v>212</v>
      </c>
      <c r="H150" s="37" t="s">
        <v>1772</v>
      </c>
      <c r="I150" s="600">
        <v>45939</v>
      </c>
      <c r="J150" s="41"/>
      <c r="K150" s="288" cm="1">
        <f t="array" ref="K150">IF(ISBLANK(J150), IF(ISBLANK(I150), "N/A", _xlfn.IFS(L150="AS", I150+15, L150="NCR", I150+30, L150="submitted", I150+30, TRUE, "N/A")), _xlfn.IFS(L150="AS", J150+15, L150="NCR", J150+30, L150="submitted", J150+30, TRUE, "N/A"))</f>
        <v>45969</v>
      </c>
      <c r="L150" s="38" t="s">
        <v>581</v>
      </c>
      <c r="M150" s="317"/>
      <c r="N150" s="802"/>
      <c r="O150" s="803"/>
      <c r="P150" s="803"/>
      <c r="Q150" s="804"/>
    </row>
    <row r="151" spans="1:17" s="149" customFormat="1" ht="15.75" customHeight="1">
      <c r="A151" s="149" t="s">
        <v>318</v>
      </c>
      <c r="B151" s="599" t="s">
        <v>1769</v>
      </c>
      <c r="C151" s="245" t="s">
        <v>1770</v>
      </c>
      <c r="D151" s="332" t="s">
        <v>1771</v>
      </c>
      <c r="E151" s="219" t="s">
        <v>1773</v>
      </c>
      <c r="F151" s="231" t="s">
        <v>1774</v>
      </c>
      <c r="G151" s="599" t="s">
        <v>336</v>
      </c>
      <c r="H151" s="231" t="s">
        <v>282</v>
      </c>
      <c r="I151" s="600">
        <v>45939</v>
      </c>
      <c r="J151" s="600"/>
      <c r="K151" s="288" cm="1">
        <f t="array" ref="K151">IF(ISBLANK(J151), IF(ISBLANK(I151), "N/A", _xlfn.IFS(L151="AS", I151+15, L151="NCR", I151+30, L151="submitted", I151+30, TRUE, "N/A")), _xlfn.IFS(L151="AS", J151+15, L151="NCR", J151+30, L151="submitted", J151+30, TRUE, "N/A"))</f>
        <v>45969</v>
      </c>
      <c r="L151" s="599" t="s">
        <v>581</v>
      </c>
      <c r="M151" s="317"/>
      <c r="N151" s="802"/>
      <c r="O151" s="803"/>
      <c r="P151" s="803"/>
      <c r="Q151" s="804"/>
    </row>
    <row r="152" spans="1:17" s="149" customFormat="1" ht="15.75" customHeight="1">
      <c r="B152" s="599" t="s">
        <v>1775</v>
      </c>
      <c r="C152" s="245" t="s">
        <v>1770</v>
      </c>
      <c r="D152" s="332" t="s">
        <v>1771</v>
      </c>
      <c r="E152" s="219" t="s">
        <v>1773</v>
      </c>
      <c r="F152" s="231" t="s">
        <v>1774</v>
      </c>
      <c r="G152" s="599" t="s">
        <v>336</v>
      </c>
      <c r="H152" s="231" t="s">
        <v>282</v>
      </c>
      <c r="I152" s="600">
        <v>45908</v>
      </c>
      <c r="J152" s="600">
        <v>45910</v>
      </c>
      <c r="K152" s="288" t="str" cm="1">
        <f t="array" ref="K152">IF(ISBLANK(J152), IF(ISBLANK(I152), "N/A", _xlfn.IFS(L152="AS", I152+15, L152="NCR", I152+30, L152="submitted", I152+30, TRUE, "N/A")), _xlfn.IFS(L152="AS", J152+15, L152="NCR", J152+30, L152="submitted", J152+30, TRUE, "N/A"))</f>
        <v>N/A</v>
      </c>
      <c r="L152" s="599" t="s">
        <v>147</v>
      </c>
      <c r="M152" s="317"/>
      <c r="N152" s="802"/>
      <c r="O152" s="803"/>
      <c r="P152" s="803"/>
      <c r="Q152" s="804"/>
    </row>
    <row r="153" spans="1:17" s="774" customFormat="1" ht="15.75" customHeight="1">
      <c r="B153" s="766" t="s">
        <v>1776</v>
      </c>
      <c r="C153" s="767" t="s">
        <v>1770</v>
      </c>
      <c r="D153" s="768" t="s">
        <v>1771</v>
      </c>
      <c r="E153" s="769" t="s">
        <v>1773</v>
      </c>
      <c r="F153" s="770" t="s">
        <v>1774</v>
      </c>
      <c r="G153" s="766" t="s">
        <v>336</v>
      </c>
      <c r="H153" s="770" t="s">
        <v>282</v>
      </c>
      <c r="I153" s="771">
        <v>45922</v>
      </c>
      <c r="J153" s="771">
        <v>45931</v>
      </c>
      <c r="K153" s="772" cm="1">
        <f t="array" ref="K153">IF(ISBLANK(J153), IF(ISBLANK(I153), "N/A", _xlfn.IFS(L153="AS", I153+15, L153="NCR", I153+30, L153="submitted", I153+30, TRUE, "N/A")), _xlfn.IFS(L153="AS", J153+15, L153="NCR", J153+30, L153="submitted", J153+30, TRUE, "N/A"))</f>
        <v>45946</v>
      </c>
      <c r="L153" s="766" t="s">
        <v>752</v>
      </c>
      <c r="M153" s="773"/>
      <c r="N153" s="802"/>
      <c r="O153" s="803"/>
      <c r="P153" s="803"/>
      <c r="Q153" s="804"/>
    </row>
    <row r="154" spans="1:17" s="1" customFormat="1" ht="15" customHeight="1">
      <c r="B154" s="38"/>
      <c r="C154" s="47" t="s">
        <v>1770</v>
      </c>
      <c r="D154" s="2" t="s">
        <v>1771</v>
      </c>
      <c r="E154" s="39"/>
      <c r="F154" s="34" t="s">
        <v>1535</v>
      </c>
      <c r="G154" s="38" t="s">
        <v>240</v>
      </c>
      <c r="H154" s="37" t="s">
        <v>1777</v>
      </c>
      <c r="I154" s="41"/>
      <c r="J154" s="41"/>
      <c r="K154" s="288" t="str" cm="1">
        <f t="array" ref="K154">IF(ISBLANK(J154), IF(ISBLANK(I154), "N/A", _xlfn.IFS(L154="AS", I154+15, L154="NCR", I154+30, L154="submitted", I154+30, TRUE, "N/A")), _xlfn.IFS(L154="AS", J154+15, L154="NCR", J154+30, L154="submitted", J154+30, TRUE, "N/A"))</f>
        <v>N/A</v>
      </c>
      <c r="L154" s="38"/>
      <c r="M154" s="317"/>
      <c r="N154" s="802"/>
      <c r="O154" s="803"/>
      <c r="P154" s="803"/>
      <c r="Q154" s="804"/>
    </row>
    <row r="155" spans="1:17" s="1" customFormat="1" ht="15" customHeight="1">
      <c r="B155" s="38"/>
      <c r="C155" s="47" t="s">
        <v>1770</v>
      </c>
      <c r="D155" s="2" t="s">
        <v>1771</v>
      </c>
      <c r="E155" s="39"/>
      <c r="F155" s="34" t="s">
        <v>1535</v>
      </c>
      <c r="G155" s="38" t="s">
        <v>338</v>
      </c>
      <c r="H155" s="37" t="s">
        <v>1778</v>
      </c>
      <c r="I155" s="41"/>
      <c r="J155" s="41"/>
      <c r="K155" s="288" t="str" cm="1">
        <f t="array" ref="K155">IF(ISBLANK(J155), IF(ISBLANK(I155), "N/A", _xlfn.IFS(L155="AS", I155+15, L155="NCR", I155+30, L155="submitted", I155+30, TRUE, "N/A")), _xlfn.IFS(L155="AS", J155+15, L155="NCR", J155+30, L155="submitted", J155+30, TRUE, "N/A"))</f>
        <v>N/A</v>
      </c>
      <c r="L155" s="38"/>
      <c r="M155" s="317"/>
      <c r="N155" s="802"/>
      <c r="O155" s="803"/>
      <c r="P155" s="803"/>
      <c r="Q155" s="804"/>
    </row>
    <row r="156" spans="1:17" s="1" customFormat="1" ht="15" customHeight="1">
      <c r="B156" s="38"/>
      <c r="C156" s="47" t="s">
        <v>1770</v>
      </c>
      <c r="D156" s="2" t="s">
        <v>1771</v>
      </c>
      <c r="E156" s="39"/>
      <c r="F156" s="39" t="s">
        <v>161</v>
      </c>
      <c r="G156" s="38" t="s">
        <v>1779</v>
      </c>
      <c r="H156" s="37" t="s">
        <v>1780</v>
      </c>
      <c r="I156" s="41"/>
      <c r="J156" s="41"/>
      <c r="K156" s="288" t="str" cm="1">
        <f t="array" ref="K156">IF(ISBLANK(J156), IF(ISBLANK(I156), "N/A", _xlfn.IFS(L156="AS", I156+15, L156="NCR", I156+30, L156="submitted", I156+30, TRUE, "N/A")), _xlfn.IFS(L156="AS", J156+15, L156="NCR", J156+30, L156="submitted", J156+30, TRUE, "N/A"))</f>
        <v>N/A</v>
      </c>
      <c r="L156" s="38"/>
      <c r="M156" s="317"/>
      <c r="N156" s="802"/>
      <c r="O156" s="803"/>
      <c r="P156" s="803"/>
      <c r="Q156" s="804"/>
    </row>
    <row r="157" spans="1:17" s="1" customFormat="1" ht="15" customHeight="1">
      <c r="B157" s="38"/>
      <c r="C157" s="47" t="s">
        <v>1770</v>
      </c>
      <c r="D157" s="2" t="s">
        <v>1771</v>
      </c>
      <c r="E157" s="39"/>
      <c r="F157" s="39" t="s">
        <v>161</v>
      </c>
      <c r="G157" s="38" t="s">
        <v>1781</v>
      </c>
      <c r="H157" s="37" t="s">
        <v>1782</v>
      </c>
      <c r="I157" s="41"/>
      <c r="J157" s="41"/>
      <c r="K157" s="288" t="str" cm="1">
        <f t="array" ref="K157">IF(ISBLANK(J157), IF(ISBLANK(I157), "N/A", _xlfn.IFS(L157="AS", I157+15, L157="NCR", I157+30, L157="submitted", I157+30, TRUE, "N/A")), _xlfn.IFS(L157="AS", J157+15, L157="NCR", J157+30, L157="submitted", J157+30, TRUE, "N/A"))</f>
        <v>N/A</v>
      </c>
      <c r="L157" s="38"/>
      <c r="M157" s="317"/>
      <c r="N157" s="802"/>
      <c r="O157" s="803"/>
      <c r="P157" s="803"/>
      <c r="Q157" s="804"/>
    </row>
    <row r="158" spans="1:17" s="1" customFormat="1" ht="36" customHeight="1">
      <c r="B158" s="38"/>
      <c r="C158" s="47" t="s">
        <v>1770</v>
      </c>
      <c r="D158" s="2" t="s">
        <v>1771</v>
      </c>
      <c r="E158" s="39"/>
      <c r="F158" s="39" t="s">
        <v>161</v>
      </c>
      <c r="G158" s="38" t="s">
        <v>1783</v>
      </c>
      <c r="H158" s="37" t="s">
        <v>1784</v>
      </c>
      <c r="I158" s="41"/>
      <c r="J158" s="41"/>
      <c r="K158" s="288" t="str" cm="1">
        <f t="array" ref="K158">IF(ISBLANK(J158), IF(ISBLANK(I158), "N/A", _xlfn.IFS(L158="AS", I158+15, L158="NCR", I158+30, L158="submitted", I158+30, TRUE, "N/A")), _xlfn.IFS(L158="AS", J158+15, L158="NCR", J158+30, L158="submitted", J158+30, TRUE, "N/A"))</f>
        <v>N/A</v>
      </c>
      <c r="L158" s="38"/>
      <c r="M158" s="317"/>
      <c r="N158" s="802"/>
      <c r="O158" s="803"/>
      <c r="P158" s="803"/>
      <c r="Q158" s="804"/>
    </row>
    <row r="159" spans="1:17" s="66" customFormat="1" ht="42.75" customHeight="1">
      <c r="B159" s="62"/>
      <c r="C159" s="905" t="s">
        <v>1785</v>
      </c>
      <c r="D159" s="908" t="s">
        <v>1786</v>
      </c>
      <c r="E159" s="63"/>
      <c r="F159" s="63" t="s">
        <v>1535</v>
      </c>
      <c r="G159" s="62" t="s">
        <v>212</v>
      </c>
      <c r="H159" s="64" t="s">
        <v>1787</v>
      </c>
      <c r="I159" s="65"/>
      <c r="J159" s="65"/>
      <c r="K159" s="288" t="str" cm="1">
        <f t="array" ref="K159">IF(ISBLANK(J159), IF(ISBLANK(I159), "N/A", _xlfn.IFS(L159="AS", I159+15, L159="NCR", I159+30, L159="submitted", I159+30, TRUE, "N/A")), _xlfn.IFS(L159="AS", J159+15, L159="NCR", J159+30, L159="submitted", J159+30, TRUE, "N/A"))</f>
        <v>N/A</v>
      </c>
      <c r="L159" s="62"/>
      <c r="M159" s="317"/>
      <c r="N159" s="802"/>
      <c r="O159" s="803"/>
      <c r="P159" s="803"/>
      <c r="Q159" s="804"/>
    </row>
    <row r="160" spans="1:17" s="71" customFormat="1" ht="15.75" customHeight="1">
      <c r="B160" s="67"/>
      <c r="C160" s="906"/>
      <c r="D160" s="909"/>
      <c r="E160" s="68"/>
      <c r="F160" s="63" t="s">
        <v>1535</v>
      </c>
      <c r="G160" s="67" t="s">
        <v>336</v>
      </c>
      <c r="H160" s="69" t="s">
        <v>1788</v>
      </c>
      <c r="I160" s="70"/>
      <c r="J160" s="70"/>
      <c r="K160" s="288" t="str" cm="1">
        <f t="array" ref="K160">IF(ISBLANK(J160), IF(ISBLANK(I160), "N/A", _xlfn.IFS(L160="AS", I160+15, L160="NCR", I160+30, L160="submitted", I160+30, TRUE, "N/A")), _xlfn.IFS(L160="AS", J160+15, L160="NCR", J160+30, L160="submitted", J160+30, TRUE, "N/A"))</f>
        <v>N/A</v>
      </c>
      <c r="L160" s="67"/>
      <c r="M160" s="317"/>
      <c r="N160" s="802"/>
      <c r="O160" s="803"/>
      <c r="P160" s="803"/>
      <c r="Q160" s="804"/>
    </row>
    <row r="161" spans="2:17" s="71" customFormat="1" ht="40.5" customHeight="1">
      <c r="B161" s="67"/>
      <c r="C161" s="906"/>
      <c r="D161" s="909"/>
      <c r="E161" s="68"/>
      <c r="F161" s="63" t="s">
        <v>1535</v>
      </c>
      <c r="G161" s="67" t="s">
        <v>337</v>
      </c>
      <c r="H161" s="72" t="s">
        <v>1789</v>
      </c>
      <c r="I161" s="70"/>
      <c r="J161" s="70"/>
      <c r="K161" s="288" t="str" cm="1">
        <f t="array" ref="K161">IF(ISBLANK(J161), IF(ISBLANK(I161), "N/A", _xlfn.IFS(L161="AS", I161+15, L161="NCR", I161+30, L161="submitted", I161+30, TRUE, "N/A")), _xlfn.IFS(L161="AS", J161+15, L161="NCR", J161+30, L161="submitted", J161+30, TRUE, "N/A"))</f>
        <v>N/A</v>
      </c>
      <c r="L161" s="67"/>
      <c r="M161" s="317"/>
      <c r="N161" s="802"/>
      <c r="O161" s="803"/>
      <c r="P161" s="803"/>
      <c r="Q161" s="804"/>
    </row>
    <row r="162" spans="2:17" s="71" customFormat="1" ht="15.75" customHeight="1">
      <c r="B162" s="67"/>
      <c r="C162" s="906"/>
      <c r="D162" s="909"/>
      <c r="E162" s="68"/>
      <c r="F162" s="63" t="s">
        <v>1535</v>
      </c>
      <c r="G162" s="67" t="s">
        <v>404</v>
      </c>
      <c r="H162" s="69" t="s">
        <v>1790</v>
      </c>
      <c r="I162" s="70"/>
      <c r="J162" s="70"/>
      <c r="K162" s="288" t="str" cm="1">
        <f t="array" ref="K162">IF(ISBLANK(J162), IF(ISBLANK(I162), "N/A", _xlfn.IFS(L162="AS", I162+15, L162="NCR", I162+30, L162="submitted", I162+30, TRUE, "N/A")), _xlfn.IFS(L162="AS", J162+15, L162="NCR", J162+30, L162="submitted", J162+30, TRUE, "N/A"))</f>
        <v>N/A</v>
      </c>
      <c r="L162" s="67"/>
      <c r="M162" s="317"/>
      <c r="N162" s="802"/>
      <c r="O162" s="803"/>
      <c r="P162" s="803"/>
      <c r="Q162" s="804"/>
    </row>
    <row r="163" spans="2:17" s="71" customFormat="1" ht="15.75" customHeight="1">
      <c r="B163" s="67"/>
      <c r="C163" s="907"/>
      <c r="D163" s="910"/>
      <c r="E163" s="69"/>
      <c r="F163" s="63" t="s">
        <v>1535</v>
      </c>
      <c r="G163" s="67" t="s">
        <v>405</v>
      </c>
      <c r="H163" s="69" t="s">
        <v>1791</v>
      </c>
      <c r="I163" s="70"/>
      <c r="J163" s="70"/>
      <c r="K163" s="288" t="str" cm="1">
        <f t="array" ref="K163">IF(ISBLANK(J163), IF(ISBLANK(I163), "N/A", _xlfn.IFS(L163="AS", I163+15, L163="NCR", I163+30, L163="submitted", I163+30, TRUE, "N/A")), _xlfn.IFS(L163="AS", J163+15, L163="NCR", J163+30, L163="submitted", J163+30, TRUE, "N/A"))</f>
        <v>N/A</v>
      </c>
      <c r="L163" s="67"/>
      <c r="M163" s="317"/>
      <c r="N163" s="802"/>
      <c r="O163" s="803"/>
      <c r="P163" s="803"/>
      <c r="Q163" s="804"/>
    </row>
    <row r="164" spans="2:17" s="4" customFormat="1" ht="15" customHeight="1">
      <c r="C164" s="825" t="s">
        <v>1792</v>
      </c>
      <c r="D164" s="827" t="s">
        <v>1793</v>
      </c>
      <c r="E164" s="34"/>
      <c r="F164" s="34" t="s">
        <v>1535</v>
      </c>
      <c r="G164" s="4" t="s">
        <v>208</v>
      </c>
      <c r="H164" s="17" t="s">
        <v>1794</v>
      </c>
      <c r="I164" s="18"/>
      <c r="J164" s="18"/>
      <c r="K164" s="288" t="str" cm="1">
        <f t="array" ref="K164">IF(ISBLANK(J164), IF(ISBLANK(I164), "N/A", _xlfn.IFS(L164="AS", I164+15, L164="NCR", I164+30, L164="submitted", I164+30, TRUE, "N/A")), _xlfn.IFS(L164="AS", J164+15, L164="NCR", J164+30, L164="submitted", J164+30, TRUE, "N/A"))</f>
        <v>N/A</v>
      </c>
      <c r="M164" s="317"/>
      <c r="N164" s="802"/>
      <c r="O164" s="803"/>
      <c r="P164" s="803"/>
      <c r="Q164" s="804"/>
    </row>
    <row r="165" spans="2:17" s="5" customFormat="1" ht="15" customHeight="1">
      <c r="B165" s="73"/>
      <c r="C165" s="829"/>
      <c r="D165" s="830"/>
      <c r="E165" s="35"/>
      <c r="F165" s="34" t="s">
        <v>1535</v>
      </c>
      <c r="G165" s="73" t="s">
        <v>281</v>
      </c>
      <c r="H165" s="36" t="s">
        <v>1795</v>
      </c>
      <c r="I165" s="74"/>
      <c r="J165" s="74"/>
      <c r="K165" s="288" t="str" cm="1">
        <f t="array" ref="K165">IF(ISBLANK(J165), IF(ISBLANK(I165), "N/A", _xlfn.IFS(L165="AS", I165+15, L165="NCR", I165+30, L165="submitted", I165+30, TRUE, "N/A")), _xlfn.IFS(L165="AS", J165+15, L165="NCR", J165+30, L165="submitted", J165+30, TRUE, "N/A"))</f>
        <v>N/A</v>
      </c>
      <c r="L165" s="73"/>
      <c r="M165" s="317"/>
      <c r="N165" s="802"/>
      <c r="O165" s="803"/>
      <c r="P165" s="803"/>
      <c r="Q165" s="804"/>
    </row>
    <row r="166" spans="2:17" s="5" customFormat="1" ht="27" customHeight="1">
      <c r="B166" s="73"/>
      <c r="C166" s="826"/>
      <c r="D166" s="828"/>
      <c r="E166" s="36"/>
      <c r="F166" s="34" t="s">
        <v>1535</v>
      </c>
      <c r="G166" s="73" t="s">
        <v>269</v>
      </c>
      <c r="H166" s="75" t="s">
        <v>1796</v>
      </c>
      <c r="I166" s="74"/>
      <c r="J166" s="74"/>
      <c r="K166" s="288" t="str" cm="1">
        <f t="array" ref="K166">IF(ISBLANK(J166), IF(ISBLANK(I166), "N/A", _xlfn.IFS(L166="AS", I166+15, L166="NCR", I166+30, L166="submitted", I166+30, TRUE, "N/A")), _xlfn.IFS(L166="AS", J166+15, L166="NCR", J166+30, L166="submitted", J166+30, TRUE, "N/A"))</f>
        <v>N/A</v>
      </c>
      <c r="L166" s="73"/>
      <c r="M166" s="317"/>
      <c r="N166" s="802"/>
      <c r="O166" s="803"/>
      <c r="P166" s="803"/>
      <c r="Q166" s="804"/>
    </row>
    <row r="167" spans="2:17" s="1" customFormat="1" ht="15" customHeight="1">
      <c r="B167" s="9"/>
      <c r="C167" s="821" t="s">
        <v>1797</v>
      </c>
      <c r="D167" s="823" t="s">
        <v>1798</v>
      </c>
      <c r="E167" s="37"/>
      <c r="F167" s="37" t="s">
        <v>1535</v>
      </c>
      <c r="G167" s="9" t="s">
        <v>278</v>
      </c>
      <c r="H167" s="13" t="s">
        <v>328</v>
      </c>
      <c r="I167" s="14"/>
      <c r="J167" s="14"/>
      <c r="K167" s="288" t="str" cm="1">
        <f t="array" ref="K167">IF(ISBLANK(J167), IF(ISBLANK(I167), "N/A", _xlfn.IFS(L167="AS", I167+15, L167="NCR", I167+30, L167="submitted", I167+30, TRUE, "N/A")), _xlfn.IFS(L167="AS", J167+15, L167="NCR", J167+30, L167="submitted", J167+30, TRUE, "N/A"))</f>
        <v>N/A</v>
      </c>
      <c r="L167" s="9"/>
      <c r="M167" s="317"/>
      <c r="N167" s="802"/>
      <c r="O167" s="803"/>
      <c r="P167" s="803"/>
      <c r="Q167" s="804"/>
    </row>
    <row r="168" spans="2:17" s="1" customFormat="1" ht="15" customHeight="1">
      <c r="B168" s="9"/>
      <c r="C168" s="822"/>
      <c r="D168" s="824"/>
      <c r="E168" s="39"/>
      <c r="F168" s="37" t="s">
        <v>1535</v>
      </c>
      <c r="G168" s="9" t="s">
        <v>265</v>
      </c>
      <c r="H168" s="13" t="s">
        <v>484</v>
      </c>
      <c r="I168" s="14"/>
      <c r="J168" s="14"/>
      <c r="K168" s="288" t="str" cm="1">
        <f t="array" ref="K168">IF(ISBLANK(J168), IF(ISBLANK(I168), "N/A", _xlfn.IFS(L168="AS", I168+15, L168="NCR", I168+30, L168="submitted", I168+30, TRUE, "N/A")), _xlfn.IFS(L168="AS", J168+15, L168="NCR", J168+30, L168="submitted", J168+30, TRUE, "N/A"))</f>
        <v>N/A</v>
      </c>
      <c r="L168" s="9"/>
      <c r="M168" s="317"/>
      <c r="N168" s="802"/>
      <c r="O168" s="803"/>
      <c r="P168" s="803"/>
      <c r="Q168" s="804"/>
    </row>
    <row r="169" spans="2:17" s="1" customFormat="1" ht="15" customHeight="1">
      <c r="B169" s="9"/>
      <c r="C169" s="822"/>
      <c r="D169" s="824"/>
      <c r="E169" s="39"/>
      <c r="F169" s="37" t="s">
        <v>1535</v>
      </c>
      <c r="G169" s="9" t="s">
        <v>1799</v>
      </c>
      <c r="H169" s="13" t="s">
        <v>1800</v>
      </c>
      <c r="I169" s="14"/>
      <c r="J169" s="14"/>
      <c r="K169" s="288" t="str" cm="1">
        <f t="array" ref="K169">IF(ISBLANK(J169), IF(ISBLANK(I169), "N/A", _xlfn.IFS(L169="AS", I169+15, L169="NCR", I169+30, L169="submitted", I169+30, TRUE, "N/A")), _xlfn.IFS(L169="AS", J169+15, L169="NCR", J169+30, L169="submitted", J169+30, TRUE, "N/A"))</f>
        <v>N/A</v>
      </c>
      <c r="L169" s="9"/>
      <c r="M169" s="317"/>
      <c r="N169" s="802"/>
      <c r="O169" s="803"/>
      <c r="P169" s="803"/>
      <c r="Q169" s="804"/>
    </row>
    <row r="170" spans="2:17" s="1" customFormat="1" ht="15" customHeight="1">
      <c r="B170" s="9"/>
      <c r="C170" s="822"/>
      <c r="D170" s="824"/>
      <c r="E170" s="39"/>
      <c r="F170" s="37" t="s">
        <v>1535</v>
      </c>
      <c r="G170" s="9" t="s">
        <v>1801</v>
      </c>
      <c r="H170" s="13" t="s">
        <v>1802</v>
      </c>
      <c r="I170" s="14"/>
      <c r="J170" s="14"/>
      <c r="K170" s="288"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22"/>
      <c r="D171" s="824"/>
      <c r="E171" s="39"/>
      <c r="F171" s="37" t="s">
        <v>1535</v>
      </c>
      <c r="G171" s="9" t="s">
        <v>1803</v>
      </c>
      <c r="H171" s="13" t="s">
        <v>1804</v>
      </c>
      <c r="I171" s="14"/>
      <c r="J171" s="14"/>
      <c r="K171" s="288"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1" customFormat="1" ht="15" customHeight="1">
      <c r="B172" s="9"/>
      <c r="C172" s="822"/>
      <c r="D172" s="824"/>
      <c r="E172" s="39"/>
      <c r="F172" s="37" t="s">
        <v>1535</v>
      </c>
      <c r="G172" s="9" t="s">
        <v>1805</v>
      </c>
      <c r="H172" s="13" t="s">
        <v>444</v>
      </c>
      <c r="I172" s="14"/>
      <c r="J172" s="14"/>
      <c r="K172" s="288" t="str" cm="1">
        <f t="array" ref="K172">IF(ISBLANK(J172), IF(ISBLANK(I172), "N/A", _xlfn.IFS(L172="AS", I172+15, L172="NCR", I172+30, L172="submitted", I172+30, TRUE, "N/A")), _xlfn.IFS(L172="AS", J172+15, L172="NCR", J172+30, L172="submitted", J172+30, TRUE, "N/A"))</f>
        <v>N/A</v>
      </c>
      <c r="L172" s="9"/>
      <c r="M172" s="317"/>
      <c r="N172" s="802"/>
      <c r="O172" s="803"/>
      <c r="P172" s="803"/>
      <c r="Q172" s="804"/>
    </row>
    <row r="173" spans="2:17" s="1" customFormat="1" ht="15" customHeight="1">
      <c r="B173" s="9"/>
      <c r="C173" s="807"/>
      <c r="D173" s="809"/>
      <c r="E173" s="46"/>
      <c r="F173" s="37" t="s">
        <v>1535</v>
      </c>
      <c r="G173" s="9" t="s">
        <v>1806</v>
      </c>
      <c r="H173" s="13" t="s">
        <v>365</v>
      </c>
      <c r="I173" s="14"/>
      <c r="J173" s="14"/>
      <c r="K173" s="288" t="str" cm="1">
        <f t="array" ref="K173">IF(ISBLANK(J173), IF(ISBLANK(I173), "N/A", _xlfn.IFS(L173="AS", I173+15, L173="NCR", I173+30, L173="submitted", I173+30, TRUE, "N/A")), _xlfn.IFS(L173="AS", J173+15, L173="NCR", J173+30, L173="submitted", J173+30, TRUE, "N/A"))</f>
        <v>N/A</v>
      </c>
      <c r="L173" s="9"/>
      <c r="M173" s="317"/>
      <c r="N173" s="802"/>
      <c r="O173" s="803"/>
      <c r="P173" s="803"/>
      <c r="Q173" s="804"/>
    </row>
    <row r="174" spans="2:17" s="26" customFormat="1" ht="15" customHeight="1">
      <c r="B174" s="22"/>
      <c r="C174" s="898" t="s">
        <v>1807</v>
      </c>
      <c r="D174" s="899" t="s">
        <v>1808</v>
      </c>
      <c r="E174" s="76"/>
      <c r="F174" s="76" t="s">
        <v>1535</v>
      </c>
      <c r="G174" s="22" t="s">
        <v>281</v>
      </c>
      <c r="H174" s="24" t="s">
        <v>1809</v>
      </c>
      <c r="I174" s="25"/>
      <c r="J174" s="25"/>
      <c r="K174" s="288" t="str" cm="1">
        <f t="array" ref="K174">IF(ISBLANK(J174), IF(ISBLANK(I174), "N/A", _xlfn.IFS(L174="AS", I174+15, L174="NCR", I174+30, L174="submitted", I174+30, TRUE, "N/A")), _xlfn.IFS(L174="AS", J174+15, L174="NCR", J174+30, L174="submitted", J174+30, TRUE, "N/A"))</f>
        <v>N/A</v>
      </c>
      <c r="L174" s="22"/>
      <c r="M174" s="317"/>
      <c r="N174" s="802"/>
      <c r="O174" s="803"/>
      <c r="P174" s="803"/>
      <c r="Q174" s="804"/>
    </row>
    <row r="175" spans="2:17" s="26" customFormat="1" ht="27" customHeight="1">
      <c r="B175" s="22"/>
      <c r="C175" s="885"/>
      <c r="D175" s="888"/>
      <c r="E175" s="27"/>
      <c r="F175" s="76" t="s">
        <v>1535</v>
      </c>
      <c r="G175" s="22" t="s">
        <v>269</v>
      </c>
      <c r="H175" s="28" t="s">
        <v>1810</v>
      </c>
      <c r="I175" s="25"/>
      <c r="J175" s="25"/>
      <c r="K175" s="288" t="str" cm="1">
        <f t="array" ref="K175">IF(ISBLANK(J175), IF(ISBLANK(I175), "N/A", _xlfn.IFS(L175="AS", I175+15, L175="NCR", I175+30, L175="submitted", I175+30, TRUE, "N/A")), _xlfn.IFS(L175="AS", J175+15, L175="NCR", J175+30, L175="submitted", J175+30, TRUE, "N/A"))</f>
        <v>N/A</v>
      </c>
      <c r="L175" s="22"/>
      <c r="M175" s="317"/>
      <c r="N175" s="802"/>
      <c r="O175" s="803"/>
      <c r="P175" s="803"/>
      <c r="Q175" s="804"/>
    </row>
    <row r="176" spans="2:17" s="26" customFormat="1" ht="15" customHeight="1">
      <c r="B176" s="22"/>
      <c r="C176" s="886"/>
      <c r="D176" s="889"/>
      <c r="E176" s="29"/>
      <c r="F176" s="76" t="s">
        <v>1535</v>
      </c>
      <c r="G176" s="22" t="s">
        <v>259</v>
      </c>
      <c r="H176" s="24" t="s">
        <v>1811</v>
      </c>
      <c r="I176" s="25"/>
      <c r="J176" s="25"/>
      <c r="K176" s="288" t="str" cm="1">
        <f t="array" ref="K176">IF(ISBLANK(J176), IF(ISBLANK(I176), "N/A", _xlfn.IFS(L176="AS", I176+15, L176="NCR", I176+30, L176="submitted", I176+30, TRUE, "N/A")), _xlfn.IFS(L176="AS", J176+15, L176="NCR", J176+30, L176="submitted", J176+30, TRUE, "N/A"))</f>
        <v>N/A</v>
      </c>
      <c r="L176" s="22"/>
      <c r="M176" s="317"/>
      <c r="N176" s="802"/>
      <c r="O176" s="803"/>
      <c r="P176" s="803"/>
      <c r="Q176" s="804"/>
    </row>
    <row r="177" spans="1:17" s="26" customFormat="1" ht="48.75" customHeight="1">
      <c r="B177" s="22"/>
      <c r="C177" s="898" t="s">
        <v>1812</v>
      </c>
      <c r="D177" s="899" t="s">
        <v>1813</v>
      </c>
      <c r="E177" s="76"/>
      <c r="F177" s="76" t="s">
        <v>1535</v>
      </c>
      <c r="G177" s="22" t="s">
        <v>234</v>
      </c>
      <c r="H177" s="28" t="s">
        <v>1371</v>
      </c>
      <c r="I177" s="25"/>
      <c r="J177" s="25"/>
      <c r="K177" s="288" t="str" cm="1">
        <f t="array" ref="K177">IF(ISBLANK(J177), IF(ISBLANK(I177), "N/A", _xlfn.IFS(L177="AS", I177+15, L177="NCR", I177+30, L177="submitted", I177+30, TRUE, "N/A")), _xlfn.IFS(L177="AS", J177+15, L177="NCR", J177+30, L177="submitted", J177+30, TRUE, "N/A"))</f>
        <v>N/A</v>
      </c>
      <c r="L177" s="22"/>
      <c r="M177" s="317"/>
      <c r="N177" s="802"/>
      <c r="O177" s="803"/>
      <c r="P177" s="803"/>
      <c r="Q177" s="804"/>
    </row>
    <row r="178" spans="1:17" s="26" customFormat="1" ht="15" customHeight="1">
      <c r="B178" s="22"/>
      <c r="C178" s="885"/>
      <c r="D178" s="888"/>
      <c r="E178" s="27"/>
      <c r="F178" s="76" t="s">
        <v>1535</v>
      </c>
      <c r="G178" s="22" t="s">
        <v>1142</v>
      </c>
      <c r="H178" s="24" t="s">
        <v>919</v>
      </c>
      <c r="I178" s="25"/>
      <c r="J178" s="25"/>
      <c r="K178" s="288" t="str" cm="1">
        <f t="array" ref="K178">IF(ISBLANK(J178), IF(ISBLANK(I178), "N/A", _xlfn.IFS(L178="AS", I178+15, L178="NCR", I178+30, L178="submitted", I178+30, TRUE, "N/A")), _xlfn.IFS(L178="AS", J178+15, L178="NCR", J178+30, L178="submitted", J178+30, TRUE, "N/A"))</f>
        <v>N/A</v>
      </c>
      <c r="L178" s="22"/>
      <c r="M178" s="317"/>
      <c r="N178" s="802"/>
      <c r="O178" s="803"/>
      <c r="P178" s="803"/>
      <c r="Q178" s="804"/>
    </row>
    <row r="179" spans="1:17" s="26" customFormat="1" ht="15" customHeight="1">
      <c r="B179" s="22"/>
      <c r="C179" s="885"/>
      <c r="D179" s="888"/>
      <c r="E179" s="27"/>
      <c r="F179" s="76" t="s">
        <v>1535</v>
      </c>
      <c r="G179" s="22" t="s">
        <v>1144</v>
      </c>
      <c r="H179" s="24" t="s">
        <v>965</v>
      </c>
      <c r="I179" s="25"/>
      <c r="J179" s="25"/>
      <c r="K179" s="288" t="str" cm="1">
        <f t="array" ref="K179">IF(ISBLANK(J179), IF(ISBLANK(I179), "N/A", _xlfn.IFS(L179="AS", I179+15, L179="NCR", I179+30, L179="submitted", I179+30, TRUE, "N/A")), _xlfn.IFS(L179="AS", J179+15, L179="NCR", J179+30, L179="submitted", J179+30, TRUE, "N/A"))</f>
        <v>N/A</v>
      </c>
      <c r="L179" s="22"/>
      <c r="M179" s="317"/>
      <c r="N179" s="802"/>
      <c r="O179" s="803"/>
      <c r="P179" s="803"/>
      <c r="Q179" s="804"/>
    </row>
    <row r="180" spans="1:17" s="26" customFormat="1" ht="15" customHeight="1">
      <c r="B180" s="22"/>
      <c r="C180" s="885"/>
      <c r="D180" s="888"/>
      <c r="E180" s="27"/>
      <c r="F180" s="27" t="s">
        <v>1541</v>
      </c>
      <c r="G180" s="22" t="s">
        <v>1146</v>
      </c>
      <c r="H180" s="24" t="s">
        <v>1814</v>
      </c>
      <c r="I180" s="25"/>
      <c r="J180" s="25"/>
      <c r="K180" s="288" t="str" cm="1">
        <f t="array" ref="K180">IF(ISBLANK(J180), IF(ISBLANK(I180), "N/A", _xlfn.IFS(L180="AS", I180+15, L180="NCR", I180+30, L180="submitted", I180+30, TRUE, "N/A")), _xlfn.IFS(L180="AS", J180+15, L180="NCR", J180+30, L180="submitted", J180+30, TRUE, "N/A"))</f>
        <v>N/A</v>
      </c>
      <c r="L180" s="22"/>
      <c r="M180" s="317"/>
      <c r="N180" s="802"/>
      <c r="O180" s="803"/>
      <c r="P180" s="803"/>
      <c r="Q180" s="804"/>
    </row>
    <row r="181" spans="1:17" s="26" customFormat="1" ht="15" customHeight="1">
      <c r="B181" s="22"/>
      <c r="C181" s="885"/>
      <c r="D181" s="888"/>
      <c r="E181" s="27"/>
      <c r="F181" s="27" t="s">
        <v>1535</v>
      </c>
      <c r="G181" s="22" t="s">
        <v>1147</v>
      </c>
      <c r="H181" s="24" t="s">
        <v>926</v>
      </c>
      <c r="I181" s="25"/>
      <c r="J181" s="25"/>
      <c r="K181" s="288" t="str" cm="1">
        <f t="array" ref="K181">IF(ISBLANK(J181), IF(ISBLANK(I181), "N/A", _xlfn.IFS(L181="AS", I181+15, L181="NCR", I181+30, L181="submitted", I181+30, TRUE, "N/A")), _xlfn.IFS(L181="AS", J181+15, L181="NCR", J181+30, L181="submitted", J181+30, TRUE, "N/A"))</f>
        <v>N/A</v>
      </c>
      <c r="L181" s="22"/>
      <c r="M181" s="317"/>
      <c r="N181" s="802"/>
      <c r="O181" s="803"/>
      <c r="P181" s="803"/>
      <c r="Q181" s="804"/>
    </row>
    <row r="182" spans="1:17" s="26" customFormat="1" ht="15" customHeight="1">
      <c r="B182" s="22"/>
      <c r="C182" s="886"/>
      <c r="D182" s="889"/>
      <c r="E182" s="29"/>
      <c r="F182" s="29" t="s">
        <v>1535</v>
      </c>
      <c r="G182" s="22" t="s">
        <v>338</v>
      </c>
      <c r="H182" s="24" t="s">
        <v>1228</v>
      </c>
      <c r="I182" s="25"/>
      <c r="J182" s="25"/>
      <c r="K182" s="288" t="str" cm="1">
        <f t="array" ref="K182">IF(ISBLANK(J182), IF(ISBLANK(I182), "N/A", _xlfn.IFS(L182="AS", I182+15, L182="NCR", I182+30, L182="submitted", I182+30, TRUE, "N/A")), _xlfn.IFS(L182="AS", J182+15, L182="NCR", J182+30, L182="submitted", J182+30, TRUE, "N/A"))</f>
        <v>N/A</v>
      </c>
      <c r="L182" s="22"/>
      <c r="M182" s="317"/>
      <c r="N182" s="802"/>
      <c r="O182" s="803"/>
      <c r="P182" s="803"/>
      <c r="Q182" s="804"/>
    </row>
    <row r="183" spans="1:17" s="5" customFormat="1" ht="15" customHeight="1">
      <c r="B183" s="4"/>
      <c r="C183" s="825" t="s">
        <v>1815</v>
      </c>
      <c r="D183" s="827" t="s">
        <v>1816</v>
      </c>
      <c r="E183" s="34"/>
      <c r="F183" s="34"/>
      <c r="G183" s="4" t="s">
        <v>229</v>
      </c>
      <c r="H183" s="3" t="s">
        <v>1817</v>
      </c>
      <c r="I183" s="18"/>
      <c r="J183" s="18"/>
      <c r="K183" s="288"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1:17" s="5" customFormat="1" ht="15" customHeight="1">
      <c r="B184" s="4"/>
      <c r="C184" s="829"/>
      <c r="D184" s="830"/>
      <c r="E184" s="35"/>
      <c r="F184" s="35"/>
      <c r="G184" s="4" t="s">
        <v>336</v>
      </c>
      <c r="H184" s="17" t="s">
        <v>1818</v>
      </c>
      <c r="I184" s="18"/>
      <c r="J184" s="18"/>
      <c r="K184" s="288" t="str" cm="1">
        <f t="array" ref="K184">IF(ISBLANK(J184), IF(ISBLANK(I184), "N/A", _xlfn.IFS(L184="AS", I184+15, L184="NCR", I184+30, L184="submitted", I184+30, TRUE, "N/A")), _xlfn.IFS(L184="AS", J184+15, L184="NCR", J184+30, L184="submitted", J184+30, TRUE, "N/A"))</f>
        <v>N/A</v>
      </c>
      <c r="L184" s="4"/>
      <c r="M184" s="317"/>
      <c r="N184" s="802"/>
      <c r="O184" s="803"/>
      <c r="P184" s="803"/>
      <c r="Q184" s="804"/>
    </row>
    <row r="185" spans="1:17" s="5" customFormat="1" ht="15" customHeight="1">
      <c r="B185" s="4"/>
      <c r="C185" s="826"/>
      <c r="D185" s="828"/>
      <c r="E185" s="36"/>
      <c r="F185" s="36"/>
      <c r="G185" s="4" t="s">
        <v>337</v>
      </c>
      <c r="H185" s="17" t="s">
        <v>506</v>
      </c>
      <c r="I185" s="18"/>
      <c r="J185" s="18"/>
      <c r="K185" s="288" t="str" cm="1">
        <f t="array" ref="K185">IF(ISBLANK(J185), IF(ISBLANK(I185), "N/A", _xlfn.IFS(L185="AS", I185+15, L185="NCR", I185+30, L185="submitted", I185+30, TRUE, "N/A")), _xlfn.IFS(L185="AS", J185+15, L185="NCR", J185+30, L185="submitted", J185+30, TRUE, "N/A"))</f>
        <v>N/A</v>
      </c>
      <c r="L185" s="4"/>
      <c r="M185" s="317"/>
      <c r="N185" s="802"/>
      <c r="O185" s="803"/>
      <c r="P185" s="803"/>
      <c r="Q185" s="804"/>
    </row>
    <row r="186" spans="1:17" s="1" customFormat="1" ht="15" customHeight="1">
      <c r="A186" s="1" t="s">
        <v>318</v>
      </c>
      <c r="B186" s="38" t="s">
        <v>1819</v>
      </c>
      <c r="C186" s="47" t="s">
        <v>1820</v>
      </c>
      <c r="D186" s="2" t="s">
        <v>1821</v>
      </c>
      <c r="E186" s="37"/>
      <c r="F186" s="37" t="s">
        <v>764</v>
      </c>
      <c r="G186" s="9" t="s">
        <v>208</v>
      </c>
      <c r="H186" s="13" t="s">
        <v>328</v>
      </c>
      <c r="I186" s="14">
        <v>45930</v>
      </c>
      <c r="J186" s="14"/>
      <c r="K186" s="288" cm="1">
        <f t="array" ref="K186">IF(ISBLANK(J186), IF(ISBLANK(I186), "N/A", _xlfn.IFS(L186="AS", I186+15, L186="NCR", I186+30, L186="submitted", I186+30, TRUE, "N/A")), _xlfn.IFS(L186="AS", J186+15, L186="NCR", J186+30, L186="submitted", J186+30, TRUE, "N/A"))</f>
        <v>45960</v>
      </c>
      <c r="L186" s="9" t="s">
        <v>581</v>
      </c>
      <c r="M186" s="317"/>
      <c r="N186" s="802"/>
      <c r="O186" s="803"/>
      <c r="P186" s="803"/>
      <c r="Q186" s="804"/>
    </row>
    <row r="187" spans="1:17" s="1" customFormat="1" ht="27" customHeight="1">
      <c r="A187" s="1" t="s">
        <v>318</v>
      </c>
      <c r="B187" s="38" t="s">
        <v>1819</v>
      </c>
      <c r="C187" s="47" t="s">
        <v>1820</v>
      </c>
      <c r="D187" s="2" t="s">
        <v>1821</v>
      </c>
      <c r="E187" s="39"/>
      <c r="F187" s="37" t="s">
        <v>764</v>
      </c>
      <c r="G187" s="38" t="s">
        <v>281</v>
      </c>
      <c r="H187" s="40" t="s">
        <v>1822</v>
      </c>
      <c r="I187" s="14">
        <v>45930</v>
      </c>
      <c r="J187" s="41"/>
      <c r="K187" s="288" cm="1">
        <f t="array" ref="K187">IF(ISBLANK(J187), IF(ISBLANK(I187), "N/A", _xlfn.IFS(L187="AS", I187+15, L187="NCR", I187+30, L187="submitted", I187+30, TRUE, "N/A")), _xlfn.IFS(L187="AS", J187+15, L187="NCR", J187+30, L187="submitted", J187+30, TRUE, "N/A"))</f>
        <v>45960</v>
      </c>
      <c r="L187" s="38" t="s">
        <v>581</v>
      </c>
      <c r="M187" s="317"/>
      <c r="N187" s="802"/>
      <c r="O187" s="803"/>
      <c r="P187" s="803"/>
      <c r="Q187" s="804"/>
    </row>
    <row r="188" spans="1:17" s="1" customFormat="1" ht="15" customHeight="1">
      <c r="C188" s="47" t="s">
        <v>1820</v>
      </c>
      <c r="D188" s="2" t="s">
        <v>1821</v>
      </c>
      <c r="E188" s="39"/>
      <c r="F188" s="39"/>
      <c r="G188" s="38" t="s">
        <v>269</v>
      </c>
      <c r="H188" s="37" t="s">
        <v>1823</v>
      </c>
      <c r="I188" s="41"/>
      <c r="J188" s="41"/>
      <c r="K188" s="288" t="str" cm="1">
        <f t="array" ref="K188">IF(ISBLANK(J188), IF(ISBLANK(I188), "N/A", _xlfn.IFS(L188="AS", I188+15, L188="NCR", I188+30, L188="submitted", I188+30, TRUE, "N/A")), _xlfn.IFS(L188="AS", J188+15, L188="NCR", J188+30, L188="submitted", J188+30, TRUE, "N/A"))</f>
        <v>N/A</v>
      </c>
      <c r="L188" s="38"/>
      <c r="M188" s="317"/>
      <c r="N188" s="802"/>
      <c r="O188" s="803"/>
      <c r="P188" s="803"/>
      <c r="Q188" s="804"/>
    </row>
    <row r="189" spans="1:17" s="1" customFormat="1" ht="15" customHeight="1">
      <c r="B189" s="38"/>
      <c r="C189" s="47" t="s">
        <v>1820</v>
      </c>
      <c r="D189" s="2" t="s">
        <v>1821</v>
      </c>
      <c r="E189" s="39"/>
      <c r="F189" s="39"/>
      <c r="G189" s="38" t="s">
        <v>259</v>
      </c>
      <c r="H189" s="37" t="s">
        <v>444</v>
      </c>
      <c r="I189" s="41"/>
      <c r="J189" s="41"/>
      <c r="K189" s="288" t="str" cm="1">
        <f t="array" ref="K189">IF(ISBLANK(J189), IF(ISBLANK(I189), "N/A", _xlfn.IFS(L189="AS", I189+15, L189="NCR", I189+30, L189="submitted", I189+30, TRUE, "N/A")), _xlfn.IFS(L189="AS", J189+15, L189="NCR", J189+30, L189="submitted", J189+30, TRUE, "N/A"))</f>
        <v>N/A</v>
      </c>
      <c r="L189" s="38"/>
      <c r="M189" s="317"/>
      <c r="N189" s="802"/>
      <c r="O189" s="803"/>
      <c r="P189" s="803"/>
      <c r="Q189" s="804"/>
    </row>
    <row r="190" spans="1:17" s="1" customFormat="1" ht="27" customHeight="1">
      <c r="B190" s="38"/>
      <c r="C190" s="47" t="s">
        <v>1820</v>
      </c>
      <c r="D190" s="2" t="s">
        <v>1821</v>
      </c>
      <c r="E190" s="39"/>
      <c r="F190" s="39"/>
      <c r="G190" s="38" t="s">
        <v>503</v>
      </c>
      <c r="H190" s="40" t="s">
        <v>1824</v>
      </c>
      <c r="I190" s="41"/>
      <c r="J190" s="41"/>
      <c r="K190" s="288" t="str" cm="1">
        <f t="array" ref="K190">IF(ISBLANK(J190), IF(ISBLANK(I190), "N/A", _xlfn.IFS(L190="AS", I190+15, L190="NCR", I190+30, L190="submitted", I190+30, TRUE, "N/A")), _xlfn.IFS(L190="AS", J190+15, L190="NCR", J190+30, L190="submitted", J190+30, TRUE, "N/A"))</f>
        <v>N/A</v>
      </c>
      <c r="L190" s="38"/>
      <c r="M190" s="317"/>
      <c r="N190" s="802"/>
      <c r="O190" s="803"/>
      <c r="P190" s="803"/>
      <c r="Q190" s="804"/>
    </row>
    <row r="191" spans="1:17" s="5" customFormat="1" ht="15" customHeight="1">
      <c r="B191" s="19"/>
      <c r="C191" s="825" t="s">
        <v>1825</v>
      </c>
      <c r="D191" s="827" t="s">
        <v>1826</v>
      </c>
      <c r="E191" s="34"/>
      <c r="F191" s="34"/>
      <c r="G191" s="19" t="s">
        <v>208</v>
      </c>
      <c r="H191" s="53" t="s">
        <v>1827</v>
      </c>
      <c r="I191" s="30"/>
      <c r="J191" s="30"/>
      <c r="K191" s="288" t="str" cm="1">
        <f t="array" ref="K191">IF(ISBLANK(J191), IF(ISBLANK(I191), "N/A", _xlfn.IFS(L191="AS", I191+15, L191="NCR", I191+30, L191="submitted", I191+30, TRUE, "N/A")), _xlfn.IFS(L191="AS", J191+15, L191="NCR", J191+30, L191="submitted", J191+30, TRUE, "N/A"))</f>
        <v>N/A</v>
      </c>
      <c r="L191" s="19"/>
      <c r="M191" s="317"/>
      <c r="N191" s="802"/>
      <c r="O191" s="803"/>
      <c r="P191" s="803"/>
      <c r="Q191" s="804"/>
    </row>
    <row r="192" spans="1:17" s="77" customFormat="1" ht="40.5" customHeight="1">
      <c r="B192" s="4"/>
      <c r="C192" s="826"/>
      <c r="D192" s="828"/>
      <c r="E192" s="36"/>
      <c r="F192" s="36"/>
      <c r="G192" s="4" t="s">
        <v>281</v>
      </c>
      <c r="H192" s="3" t="s">
        <v>1828</v>
      </c>
      <c r="I192" s="18"/>
      <c r="J192" s="18"/>
      <c r="K192" s="288" t="str" cm="1">
        <f t="array" ref="K192">IF(ISBLANK(J192), IF(ISBLANK(I192), "N/A", _xlfn.IFS(L192="AS", I192+15, L192="NCR", I192+30, L192="submitted", I192+30, TRUE, "N/A")), _xlfn.IFS(L192="AS", J192+15, L192="NCR", J192+30, L192="submitted", J192+30, TRUE, "N/A"))</f>
        <v>N/A</v>
      </c>
      <c r="L192" s="4"/>
      <c r="M192" s="317"/>
      <c r="N192" s="802"/>
      <c r="O192" s="803"/>
      <c r="P192" s="803"/>
      <c r="Q192" s="804"/>
    </row>
    <row r="193" spans="2:17" s="26" customFormat="1" ht="15" customHeight="1">
      <c r="B193" s="78"/>
      <c r="C193" s="885" t="s">
        <v>1829</v>
      </c>
      <c r="D193" s="903" t="s">
        <v>1830</v>
      </c>
      <c r="E193" s="78"/>
      <c r="F193" s="78"/>
      <c r="G193" s="78" t="s">
        <v>212</v>
      </c>
      <c r="H193" s="79" t="s">
        <v>328</v>
      </c>
      <c r="I193" s="80"/>
      <c r="J193" s="80"/>
      <c r="K193" s="288" t="str" cm="1">
        <f t="array" ref="K193">IF(ISBLANK(J193), IF(ISBLANK(I193), "N/A", _xlfn.IFS(L193="AS", I193+15, L193="NCR", I193+30, L193="submitted", I193+30, TRUE, "N/A")), _xlfn.IFS(L193="AS", J193+15, L193="NCR", J193+30, L193="submitted", J193+30, TRUE, "N/A"))</f>
        <v>N/A</v>
      </c>
      <c r="L193" s="78"/>
      <c r="M193" s="317"/>
      <c r="N193" s="802"/>
      <c r="O193" s="803"/>
      <c r="P193" s="803"/>
      <c r="Q193" s="804"/>
    </row>
    <row r="194" spans="2:17" s="26" customFormat="1" ht="27" customHeight="1">
      <c r="B194" s="78"/>
      <c r="C194" s="885"/>
      <c r="D194" s="903"/>
      <c r="E194" s="78"/>
      <c r="F194" s="78"/>
      <c r="G194" s="22" t="s">
        <v>336</v>
      </c>
      <c r="H194" s="28" t="s">
        <v>1831</v>
      </c>
      <c r="I194" s="80"/>
      <c r="J194" s="80"/>
      <c r="K194" s="288" t="str" cm="1">
        <f t="array" ref="K194">IF(ISBLANK(J194), IF(ISBLANK(I194), "N/A", _xlfn.IFS(L194="AS", I194+15, L194="NCR", I194+30, L194="submitted", I194+30, TRUE, "N/A")), _xlfn.IFS(L194="AS", J194+15, L194="NCR", J194+30, L194="submitted", J194+30, TRUE, "N/A"))</f>
        <v>N/A</v>
      </c>
      <c r="L194" s="78"/>
      <c r="M194" s="317"/>
      <c r="N194" s="802"/>
      <c r="O194" s="803"/>
      <c r="P194" s="803"/>
      <c r="Q194" s="804"/>
    </row>
    <row r="195" spans="2:17" s="85" customFormat="1" ht="31.5" customHeight="1">
      <c r="B195" s="81"/>
      <c r="C195" s="902"/>
      <c r="D195" s="904"/>
      <c r="E195" s="81"/>
      <c r="F195" s="81"/>
      <c r="G195" s="82" t="s">
        <v>337</v>
      </c>
      <c r="H195" s="83" t="s">
        <v>1832</v>
      </c>
      <c r="I195" s="84"/>
      <c r="J195" s="84"/>
      <c r="K195" s="288" t="str" cm="1">
        <f t="array" ref="K195">IF(ISBLANK(J195), IF(ISBLANK(I195), "N/A", _xlfn.IFS(L195="AS", I195+15, L195="NCR", I195+30, L195="submitted", I195+30, TRUE, "N/A")), _xlfn.IFS(L195="AS", J195+15, L195="NCR", J195+30, L195="submitted", J195+30, TRUE, "N/A"))</f>
        <v>N/A</v>
      </c>
      <c r="L195" s="81"/>
      <c r="M195" s="317"/>
      <c r="N195" s="802"/>
      <c r="O195" s="803"/>
      <c r="P195" s="803"/>
      <c r="Q195" s="804"/>
    </row>
    <row r="196" spans="2:17" s="21" customFormat="1" ht="15" customHeight="1">
      <c r="C196" s="808" t="s">
        <v>1833</v>
      </c>
      <c r="D196" s="810" t="s">
        <v>1834</v>
      </c>
      <c r="E196" s="46"/>
      <c r="F196" s="46"/>
      <c r="G196" s="21" t="s">
        <v>208</v>
      </c>
      <c r="H196" s="46" t="s">
        <v>235</v>
      </c>
      <c r="I196" s="51"/>
      <c r="J196" s="51"/>
      <c r="K196" s="288" t="str" cm="1">
        <f t="array" ref="K196">IF(ISBLANK(J196), IF(ISBLANK(I196), "N/A", _xlfn.IFS(L196="AS", I196+15, L196="NCR", I196+30, L196="submitted", I196+30, TRUE, "N/A")), _xlfn.IFS(L196="AS", J196+15, L196="NCR", J196+30, L196="submitted", J196+30, TRUE, "N/A"))</f>
        <v>N/A</v>
      </c>
      <c r="M196" s="317"/>
      <c r="N196" s="802"/>
      <c r="O196" s="803"/>
      <c r="P196" s="803"/>
      <c r="Q196" s="804"/>
    </row>
    <row r="197" spans="2:17" s="1" customFormat="1" ht="15" customHeight="1">
      <c r="B197" s="21"/>
      <c r="C197" s="808"/>
      <c r="D197" s="810"/>
      <c r="E197" s="46"/>
      <c r="F197" s="46"/>
      <c r="G197" s="21" t="s">
        <v>281</v>
      </c>
      <c r="H197" s="46" t="s">
        <v>274</v>
      </c>
      <c r="I197" s="51"/>
      <c r="J197" s="51"/>
      <c r="K197" s="288" t="str" cm="1">
        <f t="array" ref="K197">IF(ISBLANK(J197), IF(ISBLANK(I197), "N/A", _xlfn.IFS(L197="AS", I197+15, L197="NCR", I197+30, L197="submitted", I197+30, TRUE, "N/A")), _xlfn.IFS(L197="AS", J197+15, L197="NCR", J197+30, L197="submitted", J197+30, TRUE, "N/A"))</f>
        <v>N/A</v>
      </c>
      <c r="L197" s="21"/>
      <c r="M197" s="317"/>
      <c r="N197" s="802"/>
      <c r="O197" s="803"/>
      <c r="P197" s="803"/>
      <c r="Q197" s="804"/>
    </row>
    <row r="198" spans="2:17" s="1" customFormat="1" ht="15" customHeight="1">
      <c r="B198" s="21"/>
      <c r="C198" s="808"/>
      <c r="D198" s="810"/>
      <c r="E198" s="46"/>
      <c r="F198" s="46"/>
      <c r="G198" s="21" t="s">
        <v>269</v>
      </c>
      <c r="H198" s="46" t="s">
        <v>444</v>
      </c>
      <c r="I198" s="51"/>
      <c r="J198" s="51"/>
      <c r="K198" s="288" t="str" cm="1">
        <f t="array" ref="K198">IF(ISBLANK(J198), IF(ISBLANK(I198), "N/A", _xlfn.IFS(L198="AS", I198+15, L198="NCR", I198+30, L198="submitted", I198+30, TRUE, "N/A")), _xlfn.IFS(L198="AS", J198+15, L198="NCR", J198+30, L198="submitted", J198+30, TRUE, "N/A"))</f>
        <v>N/A</v>
      </c>
      <c r="L198" s="21"/>
      <c r="M198" s="317"/>
      <c r="N198" s="802"/>
      <c r="O198" s="803"/>
      <c r="P198" s="803"/>
      <c r="Q198" s="804"/>
    </row>
    <row r="199" spans="2:17" s="1" customFormat="1" ht="15" customHeight="1">
      <c r="B199" s="21"/>
      <c r="C199" s="808"/>
      <c r="D199" s="810"/>
      <c r="E199" s="46"/>
      <c r="F199" s="46"/>
      <c r="G199" s="21" t="s">
        <v>259</v>
      </c>
      <c r="H199" s="46" t="s">
        <v>506</v>
      </c>
      <c r="I199" s="51"/>
      <c r="J199" s="51"/>
      <c r="K199" s="288" t="str" cm="1">
        <f t="array" ref="K199">IF(ISBLANK(J199), IF(ISBLANK(I199), "N/A", _xlfn.IFS(L199="AS", I199+15, L199="NCR", I199+30, L199="submitted", I199+30, TRUE, "N/A")), _xlfn.IFS(L199="AS", J199+15, L199="NCR", J199+30, L199="submitted", J199+30, TRUE, "N/A"))</f>
        <v>N/A</v>
      </c>
      <c r="L199" s="21"/>
      <c r="M199" s="317"/>
      <c r="N199" s="802"/>
      <c r="O199" s="803"/>
      <c r="P199" s="803"/>
      <c r="Q199" s="804"/>
    </row>
    <row r="200" spans="2:17" s="5" customFormat="1" ht="15" customHeight="1">
      <c r="B200" s="4"/>
      <c r="C200" s="825" t="s">
        <v>1835</v>
      </c>
      <c r="D200" s="827" t="s">
        <v>1836</v>
      </c>
      <c r="E200" s="34"/>
      <c r="F200" s="34"/>
      <c r="G200" s="4" t="s">
        <v>208</v>
      </c>
      <c r="H200" s="17" t="s">
        <v>1837</v>
      </c>
      <c r="I200" s="18"/>
      <c r="J200" s="18"/>
      <c r="K200" s="288"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27" customHeight="1">
      <c r="B201" s="4"/>
      <c r="C201" s="829"/>
      <c r="D201" s="830"/>
      <c r="E201" s="35"/>
      <c r="F201" s="35"/>
      <c r="G201" s="4" t="s">
        <v>222</v>
      </c>
      <c r="H201" s="3" t="s">
        <v>1838</v>
      </c>
      <c r="I201" s="18"/>
      <c r="J201" s="18"/>
      <c r="K201" s="288"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40.5" customHeight="1">
      <c r="B202" s="4"/>
      <c r="C202" s="829"/>
      <c r="D202" s="830"/>
      <c r="E202" s="35"/>
      <c r="F202" s="35"/>
      <c r="G202" s="4" t="s">
        <v>543</v>
      </c>
      <c r="H202" s="3" t="s">
        <v>1839</v>
      </c>
      <c r="I202" s="18"/>
      <c r="J202" s="18"/>
      <c r="K202" s="288"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15" customHeight="1">
      <c r="B203" s="4"/>
      <c r="C203" s="826"/>
      <c r="D203" s="828"/>
      <c r="E203" s="36"/>
      <c r="F203" s="36" t="s">
        <v>1541</v>
      </c>
      <c r="G203" s="4" t="s">
        <v>269</v>
      </c>
      <c r="H203" s="17" t="s">
        <v>1840</v>
      </c>
      <c r="I203" s="18"/>
      <c r="J203" s="18"/>
      <c r="K203" s="288"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1" customFormat="1" ht="15" customHeight="1">
      <c r="B204" s="9"/>
      <c r="C204" s="821" t="s">
        <v>1841</v>
      </c>
      <c r="D204" s="823" t="s">
        <v>1842</v>
      </c>
      <c r="E204" s="37"/>
      <c r="F204" s="37"/>
      <c r="G204" s="9" t="s">
        <v>212</v>
      </c>
      <c r="H204" s="13" t="s">
        <v>437</v>
      </c>
      <c r="I204" s="14"/>
      <c r="J204" s="14"/>
      <c r="K204" s="288" t="str" cm="1">
        <f t="array" ref="K204">IF(ISBLANK(J204), IF(ISBLANK(I204), "N/A", _xlfn.IFS(L204="AS", I204+15, L204="NCR", I204+30, L204="submitted", I204+30, TRUE, "N/A")), _xlfn.IFS(L204="AS", J204+15, L204="NCR", J204+30, L204="submitted", J204+30, TRUE, "N/A"))</f>
        <v>N/A</v>
      </c>
      <c r="L204" s="9"/>
      <c r="M204" s="317"/>
      <c r="N204" s="802"/>
      <c r="O204" s="803"/>
      <c r="P204" s="803"/>
      <c r="Q204" s="804"/>
    </row>
    <row r="205" spans="2:17" s="1" customFormat="1" ht="27" customHeight="1">
      <c r="B205" s="9"/>
      <c r="C205" s="822"/>
      <c r="D205" s="824"/>
      <c r="E205" s="39"/>
      <c r="F205" s="39"/>
      <c r="G205" s="9" t="s">
        <v>336</v>
      </c>
      <c r="H205" s="7" t="s">
        <v>1843</v>
      </c>
      <c r="I205" s="14"/>
      <c r="J205" s="14"/>
      <c r="K205" s="288" t="str" cm="1">
        <f t="array" ref="K205">IF(ISBLANK(J205), IF(ISBLANK(I205), "N/A", _xlfn.IFS(L205="AS", I205+15, L205="NCR", I205+30, L205="submitted", I205+30, TRUE, "N/A")), _xlfn.IFS(L205="AS", J205+15, L205="NCR", J205+30, L205="submitted", J205+30, TRUE, "N/A"))</f>
        <v>N/A</v>
      </c>
      <c r="L205" s="9"/>
      <c r="M205" s="317"/>
      <c r="N205" s="802"/>
      <c r="O205" s="803"/>
      <c r="P205" s="803"/>
      <c r="Q205" s="804"/>
    </row>
    <row r="206" spans="2:17" s="1" customFormat="1" ht="15" customHeight="1">
      <c r="B206" s="9"/>
      <c r="C206" s="807"/>
      <c r="D206" s="809"/>
      <c r="E206" s="46"/>
      <c r="F206" s="46"/>
      <c r="G206" s="9" t="s">
        <v>337</v>
      </c>
      <c r="H206" s="13" t="s">
        <v>1844</v>
      </c>
      <c r="I206" s="14"/>
      <c r="J206" s="14"/>
      <c r="K206" s="288" t="str" cm="1">
        <f t="array" ref="K206">IF(ISBLANK(J206), IF(ISBLANK(I206), "N/A", _xlfn.IFS(L206="AS", I206+15, L206="NCR", I206+30, L206="submitted", I206+30, TRUE, "N/A")), _xlfn.IFS(L206="AS", J206+15, L206="NCR", J206+30, L206="submitted", J206+30, TRUE, "N/A"))</f>
        <v>N/A</v>
      </c>
      <c r="L206" s="9"/>
      <c r="M206" s="317"/>
      <c r="N206" s="802"/>
      <c r="O206" s="803"/>
      <c r="P206" s="803"/>
      <c r="Q206" s="804"/>
    </row>
    <row r="207" spans="2:17" s="138" customFormat="1" ht="40.5" customHeight="1">
      <c r="B207" s="151" t="s">
        <v>36</v>
      </c>
      <c r="C207" s="898" t="s">
        <v>1845</v>
      </c>
      <c r="D207" s="899" t="s">
        <v>1846</v>
      </c>
      <c r="E207" s="589" t="s">
        <v>37</v>
      </c>
      <c r="F207" s="589" t="s">
        <v>1541</v>
      </c>
      <c r="G207" s="151" t="s">
        <v>281</v>
      </c>
      <c r="H207" s="153" t="s">
        <v>1847</v>
      </c>
      <c r="I207" s="261">
        <v>45869</v>
      </c>
      <c r="J207" s="261">
        <v>45905</v>
      </c>
      <c r="K207" s="288" t="str" cm="1">
        <f t="array" ref="K207">IF(ISBLANK(J207), IF(ISBLANK(I207), "N/A", _xlfn.IFS(L207="AS", I207+15, L207="NCR", I207+30, L207="submitted", I207+30, TRUE, "N/A")), _xlfn.IFS(L207="AS", J207+15, L207="NCR", J207+30, L207="submitted", J207+30, TRUE, "N/A"))</f>
        <v>N/A</v>
      </c>
      <c r="L207" s="151" t="s">
        <v>151</v>
      </c>
      <c r="M207" s="317"/>
      <c r="N207" s="796" t="s">
        <v>133</v>
      </c>
      <c r="O207" s="797"/>
      <c r="P207" s="797"/>
      <c r="Q207" s="798"/>
    </row>
    <row r="208" spans="2:17" s="26" customFormat="1" ht="15" customHeight="1">
      <c r="B208" s="22"/>
      <c r="C208" s="886"/>
      <c r="D208" s="889"/>
      <c r="E208" s="29"/>
      <c r="F208" s="29"/>
      <c r="G208" s="22" t="s">
        <v>269</v>
      </c>
      <c r="H208" s="24" t="s">
        <v>1848</v>
      </c>
      <c r="I208" s="25"/>
      <c r="J208" s="25"/>
      <c r="K208" s="288" t="str" cm="1">
        <f t="array" ref="K208">IF(ISBLANK(J208), IF(ISBLANK(I208), "N/A", _xlfn.IFS(L208="AS", I208+15, L208="NCR", I208+30, L208="submitted", I208+30, TRUE, "N/A")), _xlfn.IFS(L208="AS", J208+15, L208="NCR", J208+30, L208="submitted", J208+30, TRUE, "N/A"))</f>
        <v>N/A</v>
      </c>
      <c r="L208" s="22"/>
      <c r="M208" s="317"/>
      <c r="N208" s="799"/>
      <c r="O208" s="800"/>
      <c r="P208" s="800"/>
      <c r="Q208" s="801"/>
    </row>
    <row r="209" spans="2:17" s="26" customFormat="1" ht="15" customHeight="1">
      <c r="B209" s="22"/>
      <c r="C209" s="898" t="s">
        <v>1849</v>
      </c>
      <c r="D209" s="899" t="s">
        <v>1850</v>
      </c>
      <c r="E209" s="76"/>
      <c r="F209" s="76"/>
      <c r="G209" s="22" t="s">
        <v>208</v>
      </c>
      <c r="H209" s="24" t="s">
        <v>484</v>
      </c>
      <c r="I209" s="25"/>
      <c r="J209" s="25"/>
      <c r="K209" s="288" t="str" cm="1">
        <f t="array" ref="K209">IF(ISBLANK(J209), IF(ISBLANK(I209), "N/A", _xlfn.IFS(L209="AS", I209+15, L209="NCR", I209+30, L209="submitted", I209+30, TRUE, "N/A")), _xlfn.IFS(L209="AS", J209+15, L209="NCR", J209+30, L209="submitted", J209+30, TRUE, "N/A"))</f>
        <v>N/A</v>
      </c>
      <c r="L209" s="22"/>
      <c r="M209" s="317"/>
      <c r="N209" s="799"/>
      <c r="O209" s="800"/>
      <c r="P209" s="800"/>
      <c r="Q209" s="801"/>
    </row>
    <row r="210" spans="2:17" s="26" customFormat="1" ht="15" customHeight="1">
      <c r="B210" s="22"/>
      <c r="C210" s="886"/>
      <c r="D210" s="889"/>
      <c r="E210" s="29"/>
      <c r="F210" s="29"/>
      <c r="G210" s="22" t="s">
        <v>281</v>
      </c>
      <c r="H210" s="24" t="s">
        <v>341</v>
      </c>
      <c r="I210" s="25"/>
      <c r="J210" s="25"/>
      <c r="K210" s="288" t="str" cm="1">
        <f t="array" ref="K210">IF(ISBLANK(J210), IF(ISBLANK(I210), "N/A", _xlfn.IFS(L210="AS", I210+15, L210="NCR", I210+30, L210="submitted", I210+30, TRUE, "N/A")), _xlfn.IFS(L210="AS", J210+15, L210="NCR", J210+30, L210="submitted", J210+30, TRUE, "N/A"))</f>
        <v>N/A</v>
      </c>
      <c r="L210" s="22"/>
      <c r="M210" s="317"/>
      <c r="N210" s="799"/>
      <c r="O210" s="800"/>
      <c r="P210" s="800"/>
      <c r="Q210" s="801"/>
    </row>
    <row r="211" spans="2:17" s="5" customFormat="1" ht="15" customHeight="1">
      <c r="B211" s="4"/>
      <c r="C211" s="825" t="s">
        <v>1851</v>
      </c>
      <c r="D211" s="827" t="s">
        <v>1852</v>
      </c>
      <c r="E211" s="34"/>
      <c r="F211" s="34"/>
      <c r="G211" s="4" t="s">
        <v>208</v>
      </c>
      <c r="H211" s="17" t="s">
        <v>484</v>
      </c>
      <c r="I211" s="18"/>
      <c r="J211" s="18"/>
      <c r="K211" s="288" t="str" cm="1">
        <f t="array" ref="K211">IF(ISBLANK(J211), IF(ISBLANK(I211), "N/A", _xlfn.IFS(L211="AS", I211+15, L211="NCR", I211+30, L211="submitted", I211+30, TRUE, "N/A")), _xlfn.IFS(L211="AS", J211+15, L211="NCR", J211+30, L211="submitted", J211+30, TRUE, "N/A"))</f>
        <v>N/A</v>
      </c>
      <c r="L211" s="4"/>
      <c r="M211" s="317"/>
      <c r="N211" s="799"/>
      <c r="O211" s="800"/>
      <c r="P211" s="800"/>
      <c r="Q211" s="801"/>
    </row>
    <row r="212" spans="2:17" s="5" customFormat="1" ht="27" customHeight="1">
      <c r="B212" s="4"/>
      <c r="C212" s="829"/>
      <c r="D212" s="830"/>
      <c r="E212" s="35"/>
      <c r="F212" s="35"/>
      <c r="G212" s="4" t="s">
        <v>281</v>
      </c>
      <c r="H212" s="3" t="s">
        <v>1853</v>
      </c>
      <c r="I212" s="18"/>
      <c r="J212" s="18"/>
      <c r="K212" s="288" t="str" cm="1">
        <f t="array" ref="K212">IF(ISBLANK(J212), IF(ISBLANK(I212), "N/A", _xlfn.IFS(L212="AS", I212+15, L212="NCR", I212+30, L212="submitted", I212+30, TRUE, "N/A")), _xlfn.IFS(L212="AS", J212+15, L212="NCR", J212+30, L212="submitted", J212+30, TRUE, "N/A"))</f>
        <v>N/A</v>
      </c>
      <c r="L212" s="4"/>
      <c r="M212" s="317"/>
      <c r="N212" s="799"/>
      <c r="O212" s="800"/>
      <c r="P212" s="800"/>
      <c r="Q212" s="801"/>
    </row>
    <row r="213" spans="2:17" s="5" customFormat="1" ht="15" customHeight="1">
      <c r="B213" s="4"/>
      <c r="C213" s="829"/>
      <c r="D213" s="830"/>
      <c r="E213" s="35"/>
      <c r="F213" s="35"/>
      <c r="G213" s="4" t="s">
        <v>269</v>
      </c>
      <c r="H213" s="17" t="s">
        <v>1854</v>
      </c>
      <c r="I213" s="18"/>
      <c r="J213" s="18"/>
      <c r="K213" s="288" t="str" cm="1">
        <f t="array" ref="K213">IF(ISBLANK(J213), IF(ISBLANK(I213), "N/A", _xlfn.IFS(L213="AS", I213+15, L213="NCR", I213+30, L213="submitted", I213+30, TRUE, "N/A")), _xlfn.IFS(L213="AS", J213+15, L213="NCR", J213+30, L213="submitted", J213+30, TRUE, "N/A"))</f>
        <v>N/A</v>
      </c>
      <c r="L213" s="4"/>
      <c r="M213" s="317"/>
      <c r="N213" s="799"/>
      <c r="O213" s="800"/>
      <c r="P213" s="800"/>
      <c r="Q213" s="801"/>
    </row>
    <row r="214" spans="2:17" s="5" customFormat="1" ht="15" customHeight="1">
      <c r="B214" s="4"/>
      <c r="C214" s="829"/>
      <c r="D214" s="830"/>
      <c r="E214" s="35"/>
      <c r="F214" s="35"/>
      <c r="G214" s="4" t="s">
        <v>259</v>
      </c>
      <c r="H214" s="17" t="s">
        <v>444</v>
      </c>
      <c r="I214" s="18"/>
      <c r="J214" s="18"/>
      <c r="K214" s="288" t="str" cm="1">
        <f t="array" ref="K214">IF(ISBLANK(J214), IF(ISBLANK(I214), "N/A", _xlfn.IFS(L214="AS", I214+15, L214="NCR", I214+30, L214="submitted", I214+30, TRUE, "N/A")), _xlfn.IFS(L214="AS", J214+15, L214="NCR", J214+30, L214="submitted", J214+30, TRUE, "N/A"))</f>
        <v>N/A</v>
      </c>
      <c r="L214" s="4"/>
      <c r="M214" s="317"/>
      <c r="N214" s="799"/>
      <c r="O214" s="800"/>
      <c r="P214" s="800"/>
      <c r="Q214" s="801"/>
    </row>
    <row r="215" spans="2:17" s="5" customFormat="1" ht="15" customHeight="1">
      <c r="B215" s="4"/>
      <c r="C215" s="829"/>
      <c r="D215" s="830"/>
      <c r="E215" s="35"/>
      <c r="F215" s="35"/>
      <c r="G215" s="4" t="s">
        <v>503</v>
      </c>
      <c r="H215" s="17" t="s">
        <v>1855</v>
      </c>
      <c r="I215" s="18"/>
      <c r="J215" s="18"/>
      <c r="K215" s="288" t="str" cm="1">
        <f t="array" ref="K215">IF(ISBLANK(J215), IF(ISBLANK(I215), "N/A", _xlfn.IFS(L215="AS", I215+15, L215="NCR", I215+30, L215="submitted", I215+30, TRUE, "N/A")), _xlfn.IFS(L215="AS", J215+15, L215="NCR", J215+30, L215="submitted", J215+30, TRUE, "N/A"))</f>
        <v>N/A</v>
      </c>
      <c r="L215" s="4"/>
      <c r="M215" s="317"/>
      <c r="N215" s="747" t="s">
        <v>148</v>
      </c>
      <c r="O215" s="748"/>
      <c r="P215" s="748"/>
      <c r="Q215" s="749"/>
    </row>
    <row r="216" spans="2:17" s="5" customFormat="1" ht="27" customHeight="1">
      <c r="B216" s="4"/>
      <c r="C216" s="829"/>
      <c r="D216" s="830"/>
      <c r="E216" s="35"/>
      <c r="F216" s="35"/>
      <c r="G216" s="4" t="s">
        <v>1120</v>
      </c>
      <c r="H216" s="3" t="s">
        <v>1856</v>
      </c>
      <c r="I216" s="18"/>
      <c r="J216" s="18"/>
      <c r="K216" s="288" t="str" cm="1">
        <f t="array" ref="K216">IF(ISBLANK(J216), IF(ISBLANK(I216), "N/A", _xlfn.IFS(L216="AS", I216+15, L216="NCR", I216+30, L216="submitted", I216+30, TRUE, "N/A")), _xlfn.IFS(L216="AS", J216+15, L216="NCR", J216+30, L216="submitted", J216+30, TRUE, "N/A"))</f>
        <v>N/A</v>
      </c>
      <c r="L216" s="4"/>
      <c r="M216" s="317"/>
      <c r="N216" s="747"/>
      <c r="O216" s="748"/>
      <c r="P216" s="748"/>
      <c r="Q216" s="749"/>
    </row>
    <row r="217" spans="2:17" s="5" customFormat="1" ht="15" customHeight="1">
      <c r="B217" s="4"/>
      <c r="C217" s="829"/>
      <c r="D217" s="830"/>
      <c r="E217" s="35"/>
      <c r="F217" s="35"/>
      <c r="G217" s="4" t="s">
        <v>354</v>
      </c>
      <c r="H217" s="17" t="s">
        <v>1857</v>
      </c>
      <c r="I217" s="18"/>
      <c r="J217" s="18"/>
      <c r="K217" s="288" t="str" cm="1">
        <f t="array" ref="K217">IF(ISBLANK(J217), IF(ISBLANK(I217), "N/A", _xlfn.IFS(L217="AS", I217+15, L217="NCR", I217+30, L217="submitted", I217+30, TRUE, "N/A")), _xlfn.IFS(L217="AS", J217+15, L217="NCR", J217+30, L217="submitted", J217+30, TRUE, "N/A"))</f>
        <v>N/A</v>
      </c>
      <c r="L217" s="4"/>
      <c r="M217" s="317"/>
      <c r="N217" s="747"/>
      <c r="O217" s="748"/>
      <c r="P217" s="748"/>
      <c r="Q217" s="749"/>
    </row>
    <row r="218" spans="2:17" s="5" customFormat="1" ht="15" customHeight="1">
      <c r="B218" s="4"/>
      <c r="C218" s="826"/>
      <c r="D218" s="828"/>
      <c r="E218" s="36"/>
      <c r="F218" s="36"/>
      <c r="G218" s="4" t="s">
        <v>356</v>
      </c>
      <c r="H218" s="17" t="s">
        <v>365</v>
      </c>
      <c r="I218" s="18"/>
      <c r="J218" s="18"/>
      <c r="K218" s="288" t="str" cm="1">
        <f t="array" ref="K218">IF(ISBLANK(J218), IF(ISBLANK(I218), "N/A", _xlfn.IFS(L218="AS", I218+15, L218="NCR", I218+30, L218="submitted", I218+30, TRUE, "N/A")), _xlfn.IFS(L218="AS", J218+15, L218="NCR", J218+30, L218="submitted", J218+30, TRUE, "N/A"))</f>
        <v>N/A</v>
      </c>
      <c r="L218" s="4"/>
      <c r="M218" s="317"/>
      <c r="N218" s="747"/>
      <c r="O218" s="748"/>
      <c r="P218" s="748"/>
      <c r="Q218" s="749"/>
    </row>
    <row r="219" spans="2:17" s="483" customFormat="1" ht="53.25">
      <c r="B219" s="348" t="s">
        <v>40</v>
      </c>
      <c r="C219" s="552" t="s">
        <v>1858</v>
      </c>
      <c r="D219" s="351" t="s">
        <v>1859</v>
      </c>
      <c r="E219" s="544" t="s">
        <v>1860</v>
      </c>
      <c r="F219" s="544" t="s">
        <v>1541</v>
      </c>
      <c r="G219" s="348" t="s">
        <v>281</v>
      </c>
      <c r="H219" s="481" t="s">
        <v>1861</v>
      </c>
      <c r="I219" s="482">
        <v>45869</v>
      </c>
      <c r="J219" s="482">
        <v>45903</v>
      </c>
      <c r="K219" s="288" t="str" cm="1">
        <f t="array" ref="K219">IF(ISBLANK(J219), IF(ISBLANK(I219), "N/A", _xlfn.IFS(L219="AS", I219+15, L219="NCR", I219+30, L219="submitted", I219+30, TRUE, "N/A")), _xlfn.IFS(L219="AS", J219+15, L219="NCR", J219+30, L219="submitted", J219+30, TRUE, "N/A"))</f>
        <v>N/A</v>
      </c>
      <c r="L219" s="348" t="s">
        <v>638</v>
      </c>
      <c r="M219" s="317"/>
      <c r="N219" s="747"/>
      <c r="O219" s="748"/>
      <c r="P219" s="748"/>
      <c r="Q219" s="749"/>
    </row>
    <row r="220" spans="2:17" s="26" customFormat="1" ht="15" customHeight="1">
      <c r="B220" s="22"/>
      <c r="C220" s="128" t="s">
        <v>1858</v>
      </c>
      <c r="D220" s="129" t="s">
        <v>1859</v>
      </c>
      <c r="E220" s="27"/>
      <c r="F220" s="27"/>
      <c r="G220" s="22" t="s">
        <v>269</v>
      </c>
      <c r="H220" s="24" t="s">
        <v>328</v>
      </c>
      <c r="I220" s="25"/>
      <c r="J220" s="25"/>
      <c r="K220" s="288" t="str" cm="1">
        <f t="array" ref="K220">IF(ISBLANK(J220), IF(ISBLANK(I220), "N/A", _xlfn.IFS(L220="AS", I220+15, L220="NCR", I220+30, L220="submitted", I220+30, TRUE, "N/A")), _xlfn.IFS(L220="AS", J220+15, L220="NCR", J220+30, L220="submitted", J220+30, TRUE, "N/A"))</f>
        <v>N/A</v>
      </c>
      <c r="L220" s="22"/>
      <c r="M220" s="318"/>
      <c r="N220" s="747"/>
      <c r="O220" s="748"/>
      <c r="P220" s="748"/>
      <c r="Q220" s="749"/>
    </row>
    <row r="221" spans="2:17" s="26" customFormat="1" ht="15" customHeight="1">
      <c r="B221" s="22"/>
      <c r="C221" s="128" t="s">
        <v>1858</v>
      </c>
      <c r="D221" s="129" t="s">
        <v>1859</v>
      </c>
      <c r="E221" s="27"/>
      <c r="F221" s="27"/>
      <c r="G221" s="22" t="s">
        <v>259</v>
      </c>
      <c r="H221" s="24" t="s">
        <v>1862</v>
      </c>
      <c r="I221" s="25"/>
      <c r="J221" s="25"/>
      <c r="K221" s="288" t="str" cm="1">
        <f t="array" ref="K221">IF(ISBLANK(J221), IF(ISBLANK(I221), "N/A", _xlfn.IFS(L221="AS", I221+15, L221="NCR", I221+30, L221="submitted", I221+30, TRUE, "N/A")), _xlfn.IFS(L221="AS", J221+15, L221="NCR", J221+30, L221="submitted", J221+30, TRUE, "N/A"))</f>
        <v>N/A</v>
      </c>
      <c r="L221" s="22"/>
      <c r="M221" s="317"/>
      <c r="N221" s="747"/>
      <c r="O221" s="748"/>
      <c r="P221" s="748"/>
      <c r="Q221" s="749"/>
    </row>
    <row r="222" spans="2:17" s="26" customFormat="1" ht="36.75" customHeight="1">
      <c r="B222" s="22"/>
      <c r="C222" s="128" t="s">
        <v>1858</v>
      </c>
      <c r="D222" s="129" t="s">
        <v>1859</v>
      </c>
      <c r="E222" s="27"/>
      <c r="F222" s="27" t="s">
        <v>1541</v>
      </c>
      <c r="G222" s="22" t="s">
        <v>352</v>
      </c>
      <c r="H222" s="28" t="s">
        <v>1863</v>
      </c>
      <c r="I222" s="25"/>
      <c r="J222" s="25"/>
      <c r="K222" s="288" t="str" cm="1">
        <f t="array" ref="K222">IF(ISBLANK(J222), IF(ISBLANK(I222), "N/A", _xlfn.IFS(L222="AS", I222+15, L222="NCR", I222+30, L222="submitted", I222+30, TRUE, "N/A")), _xlfn.IFS(L222="AS", J222+15, L222="NCR", J222+30, L222="submitted", J222+30, TRUE, "N/A"))</f>
        <v>N/A</v>
      </c>
      <c r="L222" s="22"/>
      <c r="M222" s="317"/>
      <c r="N222" s="747"/>
      <c r="O222" s="748"/>
      <c r="P222" s="748"/>
      <c r="Q222" s="749"/>
    </row>
    <row r="223" spans="2:17" s="26" customFormat="1" ht="42" customHeight="1">
      <c r="B223" s="22"/>
      <c r="C223" s="128" t="s">
        <v>1858</v>
      </c>
      <c r="D223" s="129" t="s">
        <v>1859</v>
      </c>
      <c r="E223" s="27"/>
      <c r="F223" s="27"/>
      <c r="G223" s="22" t="s">
        <v>354</v>
      </c>
      <c r="H223" s="28" t="s">
        <v>1864</v>
      </c>
      <c r="I223" s="25"/>
      <c r="J223" s="25"/>
      <c r="K223" s="288" t="str" cm="1">
        <f t="array" ref="K223">IF(ISBLANK(J223), IF(ISBLANK(I223), "N/A", _xlfn.IFS(L223="AS", I223+15, L223="NCR", I223+30, L223="submitted", I223+30, TRUE, "N/A")), _xlfn.IFS(L223="AS", J223+15, L223="NCR", J223+30, L223="submitted", J223+30, TRUE, "N/A"))</f>
        <v>N/A</v>
      </c>
      <c r="L223" s="22"/>
      <c r="M223" s="317"/>
      <c r="N223" s="747"/>
      <c r="O223" s="748"/>
      <c r="P223" s="748"/>
      <c r="Q223" s="749"/>
    </row>
    <row r="224" spans="2:17" s="26" customFormat="1" ht="15" customHeight="1">
      <c r="B224" s="22"/>
      <c r="C224" s="128" t="s">
        <v>1858</v>
      </c>
      <c r="D224" s="129" t="s">
        <v>1859</v>
      </c>
      <c r="E224" s="29"/>
      <c r="F224" s="29"/>
      <c r="G224" s="22" t="s">
        <v>356</v>
      </c>
      <c r="H224" s="24" t="s">
        <v>1865</v>
      </c>
      <c r="I224" s="25"/>
      <c r="J224" s="25"/>
      <c r="K224" s="288" t="str" cm="1">
        <f t="array" ref="K224">IF(ISBLANK(J224), IF(ISBLANK(I224), "N/A", _xlfn.IFS(L224="AS", I224+15, L224="NCR", I224+30, L224="submitted", I224+30, TRUE, "N/A")), _xlfn.IFS(L224="AS", J224+15, L224="NCR", J224+30, L224="submitted", J224+30, TRUE, "N/A"))</f>
        <v>N/A</v>
      </c>
      <c r="L224" s="22"/>
      <c r="M224" s="317"/>
      <c r="N224" s="747"/>
      <c r="O224" s="748"/>
      <c r="P224" s="748"/>
      <c r="Q224" s="749"/>
    </row>
    <row r="225" spans="2:17" s="1" customFormat="1" ht="15" customHeight="1">
      <c r="B225" s="9"/>
      <c r="C225" s="821" t="s">
        <v>1866</v>
      </c>
      <c r="D225" s="823" t="s">
        <v>1867</v>
      </c>
      <c r="E225" s="37"/>
      <c r="F225" s="37"/>
      <c r="G225" s="9" t="s">
        <v>208</v>
      </c>
      <c r="H225" s="13" t="s">
        <v>1868</v>
      </c>
      <c r="I225" s="14"/>
      <c r="J225" s="14"/>
      <c r="K225" s="288" t="str" cm="1">
        <f t="array" ref="K225">IF(ISBLANK(J225), IF(ISBLANK(I225), "N/A", _xlfn.IFS(L225="AS", I225+15, L225="NCR", I225+30, L225="submitted", I225+30, TRUE, "N/A")), _xlfn.IFS(L225="AS", J225+15, L225="NCR", J225+30, L225="submitted", J225+30, TRUE, "N/A"))</f>
        <v>N/A</v>
      </c>
      <c r="L225" s="9"/>
      <c r="M225" s="317"/>
      <c r="N225" s="747"/>
      <c r="O225" s="748"/>
      <c r="P225" s="748"/>
      <c r="Q225" s="749"/>
    </row>
    <row r="226" spans="2:17" s="1" customFormat="1" ht="15" customHeight="1">
      <c r="B226" s="9"/>
      <c r="C226" s="822"/>
      <c r="D226" s="824"/>
      <c r="E226" s="39"/>
      <c r="F226" s="39"/>
      <c r="G226" s="9" t="s">
        <v>281</v>
      </c>
      <c r="H226" s="13" t="s">
        <v>1869</v>
      </c>
      <c r="I226" s="14"/>
      <c r="J226" s="14"/>
      <c r="K226" s="288" t="str" cm="1">
        <f t="array" ref="K226">IF(ISBLANK(J226), IF(ISBLANK(I226), "N/A", _xlfn.IFS(L226="AS", I226+15, L226="NCR", I226+30, L226="submitted", I226+30, TRUE, "N/A")), _xlfn.IFS(L226="AS", J226+15, L226="NCR", J226+30, L226="submitted", J226+30, TRUE, "N/A"))</f>
        <v>N/A</v>
      </c>
      <c r="L226" s="9"/>
      <c r="M226" s="317"/>
      <c r="N226" s="747"/>
      <c r="O226" s="748"/>
      <c r="P226" s="748"/>
      <c r="Q226" s="749"/>
    </row>
    <row r="227" spans="2:17" s="1" customFormat="1" ht="15" customHeight="1">
      <c r="B227" s="9"/>
      <c r="C227" s="822"/>
      <c r="D227" s="824"/>
      <c r="E227" s="39"/>
      <c r="F227" s="39"/>
      <c r="G227" s="9" t="s">
        <v>269</v>
      </c>
      <c r="H227" s="13" t="s">
        <v>1870</v>
      </c>
      <c r="I227" s="14"/>
      <c r="J227" s="14"/>
      <c r="K227" s="288" t="str" cm="1">
        <f t="array" ref="K227">IF(ISBLANK(J227), IF(ISBLANK(I227), "N/A", _xlfn.IFS(L227="AS", I227+15, L227="NCR", I227+30, L227="submitted", I227+30, TRUE, "N/A")), _xlfn.IFS(L227="AS", J227+15, L227="NCR", J227+30, L227="submitted", J227+30, TRUE, "N/A"))</f>
        <v>N/A</v>
      </c>
      <c r="L227" s="9"/>
      <c r="M227" s="317"/>
      <c r="N227" s="747"/>
      <c r="O227" s="748"/>
      <c r="P227" s="748"/>
      <c r="Q227" s="749"/>
    </row>
    <row r="228" spans="2:17" s="1" customFormat="1" ht="15" customHeight="1">
      <c r="B228" s="9"/>
      <c r="C228" s="822"/>
      <c r="D228" s="824"/>
      <c r="E228" s="39"/>
      <c r="F228" s="39"/>
      <c r="G228" s="9" t="s">
        <v>259</v>
      </c>
      <c r="H228" s="13" t="s">
        <v>444</v>
      </c>
      <c r="I228" s="14"/>
      <c r="J228" s="14"/>
      <c r="K228" s="288" t="str" cm="1">
        <f t="array" ref="K228">IF(ISBLANK(J228), IF(ISBLANK(I228), "N/A", _xlfn.IFS(L228="AS", I228+15, L228="NCR", I228+30, L228="submitted", I228+30, TRUE, "N/A")), _xlfn.IFS(L228="AS", J228+15, L228="NCR", J228+30, L228="submitted", J228+30, TRUE, "N/A"))</f>
        <v>N/A</v>
      </c>
      <c r="L228" s="9"/>
      <c r="M228" s="317"/>
      <c r="N228" s="747"/>
      <c r="O228" s="748"/>
      <c r="P228" s="748"/>
      <c r="Q228" s="749"/>
    </row>
    <row r="229" spans="2:17" s="1" customFormat="1" ht="15" customHeight="1">
      <c r="B229" s="9"/>
      <c r="C229" s="822"/>
      <c r="D229" s="824"/>
      <c r="E229" s="39"/>
      <c r="F229" s="39"/>
      <c r="G229" s="9" t="s">
        <v>503</v>
      </c>
      <c r="H229" s="13" t="s">
        <v>1871</v>
      </c>
      <c r="I229" s="14"/>
      <c r="J229" s="14"/>
      <c r="K229" s="288" t="str" cm="1">
        <f t="array" ref="K229">IF(ISBLANK(J229), IF(ISBLANK(I229), "N/A", _xlfn.IFS(L229="AS", I229+15, L229="NCR", I229+30, L229="submitted", I229+30, TRUE, "N/A")), _xlfn.IFS(L229="AS", J229+15, L229="NCR", J229+30, L229="submitted", J229+30, TRUE, "N/A"))</f>
        <v>N/A</v>
      </c>
      <c r="L229" s="9"/>
    </row>
    <row r="230" spans="2:17" s="1" customFormat="1" ht="27" customHeight="1">
      <c r="B230" s="9"/>
      <c r="C230" s="822"/>
      <c r="D230" s="824"/>
      <c r="E230" s="39"/>
      <c r="F230" s="39"/>
      <c r="G230" s="9" t="s">
        <v>1120</v>
      </c>
      <c r="H230" s="7" t="s">
        <v>1872</v>
      </c>
      <c r="I230" s="14"/>
      <c r="J230" s="14"/>
      <c r="K230" s="288" t="str" cm="1">
        <f t="array" ref="K230">IF(ISBLANK(J230), IF(ISBLANK(I230), "N/A", _xlfn.IFS(L230="AS", I230+15, L230="NCR", I230+30, L230="submitted", I230+30, TRUE, "N/A")), _xlfn.IFS(L230="AS", J230+15, L230="NCR", J230+30, L230="submitted", J230+30, TRUE, "N/A"))</f>
        <v>N/A</v>
      </c>
      <c r="L230" s="9"/>
    </row>
    <row r="231" spans="2:17" s="1" customFormat="1" ht="15" customHeight="1">
      <c r="B231" s="9"/>
      <c r="C231" s="822"/>
      <c r="D231" s="824"/>
      <c r="E231" s="39"/>
      <c r="F231" s="39"/>
      <c r="G231" s="9" t="s">
        <v>1873</v>
      </c>
      <c r="H231" s="13" t="s">
        <v>1874</v>
      </c>
      <c r="I231" s="14"/>
      <c r="J231" s="14"/>
      <c r="K231" s="288" t="str" cm="1">
        <f t="array" ref="K231">IF(ISBLANK(J231), IF(ISBLANK(I231), "N/A", _xlfn.IFS(L231="AS", I231+15, L231="NCR", I231+30, L231="submitted", I231+30, TRUE, "N/A")), _xlfn.IFS(L231="AS", J231+15, L231="NCR", J231+30, L231="submitted", J231+30, TRUE, "N/A"))</f>
        <v>N/A</v>
      </c>
      <c r="L231" s="9"/>
    </row>
    <row r="232" spans="2:17" s="1" customFormat="1" ht="27" customHeight="1">
      <c r="B232" s="9"/>
      <c r="C232" s="822"/>
      <c r="D232" s="824"/>
      <c r="E232" s="39"/>
      <c r="F232" s="39"/>
      <c r="G232" s="9" t="s">
        <v>354</v>
      </c>
      <c r="H232" s="7" t="s">
        <v>1875</v>
      </c>
      <c r="I232" s="14"/>
      <c r="J232" s="14"/>
      <c r="K232" s="288" t="str" cm="1">
        <f t="array" ref="K232">IF(ISBLANK(J232), IF(ISBLANK(I232), "N/A", _xlfn.IFS(L232="AS", I232+15, L232="NCR", I232+30, L232="submitted", I232+30, TRUE, "N/A")), _xlfn.IFS(L232="AS", J232+15, L232="NCR", J232+30, L232="submitted", J232+30, TRUE, "N/A"))</f>
        <v>N/A</v>
      </c>
      <c r="L232" s="9"/>
    </row>
    <row r="233" spans="2:17" s="1" customFormat="1" ht="15" customHeight="1">
      <c r="B233" s="9"/>
      <c r="C233" s="822"/>
      <c r="D233" s="824"/>
      <c r="E233" s="39"/>
      <c r="F233" s="39"/>
      <c r="G233" s="9" t="s">
        <v>356</v>
      </c>
      <c r="H233" s="13" t="s">
        <v>1876</v>
      </c>
      <c r="I233" s="14"/>
      <c r="J233" s="14"/>
      <c r="K233" s="288" t="str" cm="1">
        <f t="array" ref="K233">IF(ISBLANK(J233), IF(ISBLANK(I233), "N/A", _xlfn.IFS(L233="AS", I233+15, L233="NCR", I233+30, L233="submitted", I233+30, TRUE, "N/A")), _xlfn.IFS(L233="AS", J233+15, L233="NCR", J233+30, L233="submitted", J233+30, TRUE, "N/A"))</f>
        <v>N/A</v>
      </c>
      <c r="L233" s="9"/>
    </row>
    <row r="234" spans="2:17" s="1" customFormat="1" ht="15" customHeight="1">
      <c r="B234" s="9"/>
      <c r="C234" s="822"/>
      <c r="D234" s="824"/>
      <c r="E234" s="39"/>
      <c r="F234" s="39"/>
      <c r="G234" s="9" t="s">
        <v>1133</v>
      </c>
      <c r="H234" s="13" t="s">
        <v>1877</v>
      </c>
      <c r="I234" s="14"/>
      <c r="J234" s="14"/>
      <c r="K234" s="288" t="str" cm="1">
        <f t="array" ref="K234">IF(ISBLANK(J234), IF(ISBLANK(I234), "N/A", _xlfn.IFS(L234="AS", I234+15, L234="NCR", I234+30, L234="submitted", I234+30, TRUE, "N/A")), _xlfn.IFS(L234="AS", J234+15, L234="NCR", J234+30, L234="submitted", J234+30, TRUE, "N/A"))</f>
        <v>N/A</v>
      </c>
      <c r="L234" s="9"/>
    </row>
    <row r="235" spans="2:17" s="1" customFormat="1" ht="27" customHeight="1">
      <c r="B235" s="9"/>
      <c r="C235" s="822"/>
      <c r="D235" s="824"/>
      <c r="E235" s="39"/>
      <c r="F235" s="39"/>
      <c r="G235" s="9" t="s">
        <v>1878</v>
      </c>
      <c r="H235" s="7" t="s">
        <v>1879</v>
      </c>
      <c r="I235" s="14"/>
      <c r="J235" s="14"/>
      <c r="K235" s="288" t="str" cm="1">
        <f t="array" ref="K235">IF(ISBLANK(J235), IF(ISBLANK(I235), "N/A", _xlfn.IFS(L235="AS", I235+15, L235="NCR", I235+30, L235="submitted", I235+30, TRUE, "N/A")), _xlfn.IFS(L235="AS", J235+15, L235="NCR", J235+30, L235="submitted", J235+30, TRUE, "N/A"))</f>
        <v>N/A</v>
      </c>
      <c r="L235" s="9"/>
    </row>
    <row r="236" spans="2:17" s="1" customFormat="1" ht="27" customHeight="1">
      <c r="B236" s="9"/>
      <c r="C236" s="822"/>
      <c r="D236" s="824"/>
      <c r="E236" s="39"/>
      <c r="F236" s="39"/>
      <c r="G236" s="9" t="s">
        <v>1880</v>
      </c>
      <c r="H236" s="7" t="s">
        <v>1881</v>
      </c>
      <c r="I236" s="14"/>
      <c r="J236" s="14"/>
      <c r="K236" s="288" t="str" cm="1">
        <f t="array" ref="K236">IF(ISBLANK(J236), IF(ISBLANK(I236), "N/A", _xlfn.IFS(L236="AS", I236+15, L236="NCR", I236+30, L236="submitted", I236+30, TRUE, "N/A")), _xlfn.IFS(L236="AS", J236+15, L236="NCR", J236+30, L236="submitted", J236+30, TRUE, "N/A"))</f>
        <v>N/A</v>
      </c>
      <c r="L236" s="9"/>
    </row>
    <row r="237" spans="2:17" s="1" customFormat="1" ht="15" customHeight="1">
      <c r="B237" s="9"/>
      <c r="C237" s="807"/>
      <c r="D237" s="809"/>
      <c r="E237" s="46"/>
      <c r="F237" s="46"/>
      <c r="G237" s="9" t="s">
        <v>1318</v>
      </c>
      <c r="H237" s="13" t="s">
        <v>1882</v>
      </c>
      <c r="I237" s="14"/>
      <c r="J237" s="14"/>
      <c r="K237" s="288" t="str" cm="1">
        <f t="array" ref="K237">IF(ISBLANK(J237), IF(ISBLANK(I237), "N/A", _xlfn.IFS(L237="AS", I237+15, L237="NCR", I237+30, L237="submitted", I237+30, TRUE, "N/A")), _xlfn.IFS(L237="AS", J237+15, L237="NCR", J237+30, L237="submitted", J237+30, TRUE, "N/A"))</f>
        <v>N/A</v>
      </c>
      <c r="L237" s="9"/>
    </row>
    <row r="238" spans="2:17" s="5" customFormat="1" ht="15" customHeight="1">
      <c r="B238" s="4"/>
      <c r="C238" s="825" t="s">
        <v>1883</v>
      </c>
      <c r="D238" s="827" t="s">
        <v>1884</v>
      </c>
      <c r="E238" s="34"/>
      <c r="F238" s="34"/>
      <c r="G238" s="4" t="s">
        <v>208</v>
      </c>
      <c r="H238" s="17" t="s">
        <v>1885</v>
      </c>
      <c r="I238" s="18"/>
      <c r="J238" s="18"/>
      <c r="K238" s="288"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29"/>
      <c r="D239" s="830"/>
      <c r="E239" s="35"/>
      <c r="F239" s="35"/>
      <c r="G239" s="4" t="s">
        <v>281</v>
      </c>
      <c r="H239" s="17" t="s">
        <v>1886</v>
      </c>
      <c r="I239" s="18"/>
      <c r="J239" s="18"/>
      <c r="K239" s="288" t="str" cm="1">
        <f t="array" ref="K239">IF(ISBLANK(J239), IF(ISBLANK(I239), "N/A", _xlfn.IFS(L239="AS", I239+15, L239="NCR", I239+30, L239="submitted", I239+30, TRUE, "N/A")), _xlfn.IFS(L239="AS", J239+15, L239="NCR", J239+30, L239="submitted", J239+30, TRUE, "N/A"))</f>
        <v>N/A</v>
      </c>
      <c r="L239" s="4"/>
    </row>
    <row r="240" spans="2:17" s="5" customFormat="1" ht="27" customHeight="1">
      <c r="B240" s="4"/>
      <c r="C240" s="829"/>
      <c r="D240" s="830"/>
      <c r="E240" s="35"/>
      <c r="F240" s="35"/>
      <c r="G240" s="4" t="s">
        <v>269</v>
      </c>
      <c r="H240" s="3" t="s">
        <v>1887</v>
      </c>
      <c r="I240" s="18"/>
      <c r="J240" s="18"/>
      <c r="K240" s="288" t="str" cm="1">
        <f t="array" ref="K240">IF(ISBLANK(J240), IF(ISBLANK(I240), "N/A", _xlfn.IFS(L240="AS", I240+15, L240="NCR", I240+30, L240="submitted", I240+30, TRUE, "N/A")), _xlfn.IFS(L240="AS", J240+15, L240="NCR", J240+30, L240="submitted", J240+30, TRUE, "N/A"))</f>
        <v>N/A</v>
      </c>
      <c r="L240" s="4"/>
    </row>
    <row r="241" spans="2:12" s="5" customFormat="1" ht="15" customHeight="1">
      <c r="B241" s="4"/>
      <c r="C241" s="829"/>
      <c r="D241" s="830"/>
      <c r="E241" s="35"/>
      <c r="F241" s="35"/>
      <c r="G241" s="4" t="s">
        <v>259</v>
      </c>
      <c r="H241" s="17" t="s">
        <v>1888</v>
      </c>
      <c r="I241" s="18"/>
      <c r="J241" s="18"/>
      <c r="K241" s="288"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29"/>
      <c r="D242" s="830"/>
      <c r="E242" s="35"/>
      <c r="F242" s="35"/>
      <c r="G242" s="4" t="s">
        <v>352</v>
      </c>
      <c r="H242" s="17" t="s">
        <v>444</v>
      </c>
      <c r="I242" s="18"/>
      <c r="J242" s="18"/>
      <c r="K242" s="288" t="str" cm="1">
        <f t="array" ref="K242">IF(ISBLANK(J242), IF(ISBLANK(I242), "N/A", _xlfn.IFS(L242="AS", I242+15, L242="NCR", I242+30, L242="submitted", I242+30, TRUE, "N/A")), _xlfn.IFS(L242="AS", J242+15, L242="NCR", J242+30, L242="submitted", J242+30, TRUE, "N/A"))</f>
        <v>N/A</v>
      </c>
      <c r="L242" s="4"/>
    </row>
    <row r="243" spans="2:12" s="5" customFormat="1" ht="15" customHeight="1">
      <c r="B243" s="4"/>
      <c r="C243" s="826"/>
      <c r="D243" s="828"/>
      <c r="E243" s="36"/>
      <c r="F243" s="36"/>
      <c r="G243" s="4" t="s">
        <v>354</v>
      </c>
      <c r="H243" s="17" t="s">
        <v>696</v>
      </c>
      <c r="I243" s="18"/>
      <c r="J243" s="18"/>
      <c r="K243" s="288" t="str" cm="1">
        <f t="array" ref="K243">IF(ISBLANK(J243), IF(ISBLANK(I243), "N/A", _xlfn.IFS(L243="AS", I243+15, L243="NCR", I243+30, L243="submitted", I243+30, TRUE, "N/A")), _xlfn.IFS(L243="AS", J243+15, L243="NCR", J243+30, L243="submitted", J243+30, TRUE, "N/A"))</f>
        <v>N/A</v>
      </c>
      <c r="L243" s="4"/>
    </row>
    <row r="244" spans="2:12" s="1" customFormat="1" ht="15" customHeight="1">
      <c r="B244" s="9"/>
      <c r="C244" s="821" t="s">
        <v>1889</v>
      </c>
      <c r="D244" s="823" t="s">
        <v>1890</v>
      </c>
      <c r="E244" s="37"/>
      <c r="F244" s="37"/>
      <c r="G244" s="9" t="s">
        <v>208</v>
      </c>
      <c r="H244" s="13" t="s">
        <v>1891</v>
      </c>
      <c r="I244" s="14"/>
      <c r="J244" s="14"/>
      <c r="K244" s="288" t="str" cm="1">
        <f t="array" ref="K244">IF(ISBLANK(J244), IF(ISBLANK(I244), "N/A", _xlfn.IFS(L244="AS", I244+15, L244="NCR", I244+30, L244="submitted", I244+30, TRUE, "N/A")), _xlfn.IFS(L244="AS", J244+15, L244="NCR", J244+30, L244="submitted", J244+30, TRUE, "N/A"))</f>
        <v>N/A</v>
      </c>
      <c r="L244" s="9"/>
    </row>
    <row r="245" spans="2:12" s="1" customFormat="1" ht="15" customHeight="1">
      <c r="B245" s="9"/>
      <c r="C245" s="822"/>
      <c r="D245" s="824"/>
      <c r="E245" s="39"/>
      <c r="F245" s="39"/>
      <c r="G245" s="9" t="s">
        <v>281</v>
      </c>
      <c r="H245" s="13" t="s">
        <v>1892</v>
      </c>
      <c r="I245" s="14"/>
      <c r="J245" s="14"/>
      <c r="K245" s="288" t="str" cm="1">
        <f t="array" ref="K245">IF(ISBLANK(J245), IF(ISBLANK(I245), "N/A", _xlfn.IFS(L245="AS", I245+15, L245="NCR", I245+30, L245="submitted", I245+30, TRUE, "N/A")), _xlfn.IFS(L245="AS", J245+15, L245="NCR", J245+30, L245="submitted", J245+30, TRUE, "N/A"))</f>
        <v>N/A</v>
      </c>
      <c r="L245" s="9"/>
    </row>
    <row r="246" spans="2:12" s="1" customFormat="1" ht="15" customHeight="1">
      <c r="B246" s="9"/>
      <c r="C246" s="807"/>
      <c r="D246" s="809"/>
      <c r="E246" s="46"/>
      <c r="F246" s="46"/>
      <c r="G246" s="9" t="s">
        <v>269</v>
      </c>
      <c r="H246" s="13" t="s">
        <v>444</v>
      </c>
      <c r="I246" s="14"/>
      <c r="J246" s="14"/>
      <c r="K246" s="288" t="str" cm="1">
        <f t="array" ref="K246">IF(ISBLANK(J246), IF(ISBLANK(I246), "N/A", _xlfn.IFS(L246="AS", I246+15, L246="NCR", I246+30, L246="submitted", I246+30, TRUE, "N/A")), _xlfn.IFS(L246="AS", J246+15, L246="NCR", J246+30, L246="submitted", J246+30, TRUE, "N/A"))</f>
        <v>N/A</v>
      </c>
      <c r="L246" s="9"/>
    </row>
    <row r="247" spans="2:12" s="5" customFormat="1" ht="15" customHeight="1">
      <c r="B247" s="4"/>
      <c r="C247" s="15" t="s">
        <v>1893</v>
      </c>
      <c r="D247" s="17" t="s">
        <v>1894</v>
      </c>
      <c r="E247" s="17"/>
      <c r="F247" s="17" t="s">
        <v>1895</v>
      </c>
      <c r="G247" s="4" t="s">
        <v>208</v>
      </c>
      <c r="H247" s="17" t="s">
        <v>1896</v>
      </c>
      <c r="I247" s="18"/>
      <c r="J247" s="18"/>
      <c r="K247" s="288" t="str" cm="1">
        <f t="array" ref="K247">IF(ISBLANK(J247), IF(ISBLANK(I247), "N/A", _xlfn.IFS(L247="AS", I247+15, L247="NCR", I247+30, L247="submitted", I247+30, TRUE, "N/A")), _xlfn.IFS(L247="AS", J247+15, L247="NCR", J247+30, L247="submitted", J247+30, TRUE, "N/A"))</f>
        <v>N/A</v>
      </c>
      <c r="L247" s="4"/>
    </row>
    <row r="248" spans="2:12" s="1" customFormat="1" ht="15" customHeight="1">
      <c r="B248" s="9"/>
      <c r="C248" s="821" t="s">
        <v>1897</v>
      </c>
      <c r="D248" s="823" t="s">
        <v>1898</v>
      </c>
      <c r="E248" s="37"/>
      <c r="F248" s="37"/>
      <c r="G248" s="9" t="s">
        <v>208</v>
      </c>
      <c r="H248" s="13" t="s">
        <v>484</v>
      </c>
      <c r="I248" s="14"/>
      <c r="J248" s="14"/>
      <c r="K248" s="288" t="str" cm="1">
        <f t="array" ref="K248">IF(ISBLANK(J248), IF(ISBLANK(I248), "N/A", _xlfn.IFS(L248="AS", I248+15, L248="NCR", I248+30, L248="submitted", I248+30, TRUE, "N/A")), _xlfn.IFS(L248="AS", J248+15, L248="NCR", J248+30, L248="submitted", J248+30, TRUE, "N/A"))</f>
        <v>N/A</v>
      </c>
      <c r="L248" s="9"/>
    </row>
    <row r="249" spans="2:12" s="1" customFormat="1" ht="15" customHeight="1">
      <c r="B249" s="38"/>
      <c r="C249" s="822"/>
      <c r="D249" s="824"/>
      <c r="E249" s="39"/>
      <c r="F249" s="39"/>
      <c r="G249" s="38" t="s">
        <v>281</v>
      </c>
      <c r="H249" s="37" t="s">
        <v>1899</v>
      </c>
      <c r="I249" s="41"/>
      <c r="J249" s="41"/>
      <c r="K249" s="288" t="str" cm="1">
        <f t="array" ref="K249">IF(ISBLANK(J249), IF(ISBLANK(I249), "N/A", _xlfn.IFS(L249="AS", I249+15, L249="NCR", I249+30, L249="submitted", I249+30, TRUE, "N/A")), _xlfn.IFS(L249="AS", J249+15, L249="NCR", J249+30, L249="submitted", J249+30, TRUE, "N/A"))</f>
        <v>N/A</v>
      </c>
      <c r="L249" s="38"/>
    </row>
    <row r="250" spans="2:12" s="1" customFormat="1" ht="15" customHeight="1">
      <c r="B250" s="38"/>
      <c r="C250" s="822"/>
      <c r="D250" s="824"/>
      <c r="E250" s="39"/>
      <c r="F250" s="39"/>
      <c r="G250" s="38" t="s">
        <v>269</v>
      </c>
      <c r="H250" s="37" t="s">
        <v>444</v>
      </c>
      <c r="I250" s="41"/>
      <c r="J250" s="41"/>
      <c r="K250" s="288" t="str" cm="1">
        <f t="array" ref="K250">IF(ISBLANK(J250), IF(ISBLANK(I250), "N/A", _xlfn.IFS(L250="AS", I250+15, L250="NCR", I250+30, L250="submitted", I250+30, TRUE, "N/A")), _xlfn.IFS(L250="AS", J250+15, L250="NCR", J250+30, L250="submitted", J250+30, TRUE, "N/A"))</f>
        <v>N/A</v>
      </c>
      <c r="L250" s="38"/>
    </row>
    <row r="251" spans="2:12" s="1" customFormat="1" ht="15" customHeight="1">
      <c r="B251" s="38"/>
      <c r="C251" s="807"/>
      <c r="D251" s="809"/>
      <c r="E251" s="39"/>
      <c r="F251" s="39"/>
      <c r="G251" s="38" t="s">
        <v>259</v>
      </c>
      <c r="H251" s="37" t="s">
        <v>506</v>
      </c>
      <c r="I251" s="41"/>
      <c r="J251" s="41"/>
      <c r="K251" s="288" t="str" cm="1">
        <f t="array" ref="K251">IF(ISBLANK(J251), IF(ISBLANK(I251), "N/A", _xlfn.IFS(L251="AS", I251+15, L251="NCR", I251+30, L251="submitted", I251+30, TRUE, "N/A")), _xlfn.IFS(L251="AS", J251+15, L251="NCR", J251+30, L251="submitted", J251+30, TRUE, "N/A"))</f>
        <v>N/A</v>
      </c>
      <c r="L251" s="38"/>
    </row>
    <row r="252" spans="2:12" s="5" customFormat="1" ht="15" customHeight="1">
      <c r="B252" s="19"/>
      <c r="C252" s="86" t="s">
        <v>1900</v>
      </c>
      <c r="D252" s="34" t="s">
        <v>1901</v>
      </c>
      <c r="E252" s="34"/>
      <c r="F252" s="34"/>
      <c r="G252" s="19" t="s">
        <v>145</v>
      </c>
      <c r="H252" s="34"/>
      <c r="I252" s="30"/>
      <c r="J252" s="30"/>
      <c r="K252" s="288" t="str" cm="1">
        <f t="array" ref="K252">IF(ISBLANK(J252), IF(ISBLANK(I252), "N/A", _xlfn.IFS(L252="AS", I252+15, L252="NCR", I252+30, L252="submitted", I252+30, TRUE, "N/A")), _xlfn.IFS(L252="AS", J252+15, L252="NCR", J252+30, L252="submitted", J252+30, TRUE, "N/A"))</f>
        <v>N/A</v>
      </c>
      <c r="L252" s="19"/>
    </row>
    <row r="253" spans="2:12" s="82" customFormat="1" ht="53.25" customHeight="1">
      <c r="C253" s="87" t="s">
        <v>1902</v>
      </c>
      <c r="D253" s="88" t="s">
        <v>1903</v>
      </c>
      <c r="E253" s="88"/>
      <c r="F253" s="88"/>
      <c r="G253" s="82" t="s">
        <v>145</v>
      </c>
      <c r="H253" s="88"/>
      <c r="I253" s="89"/>
      <c r="J253" s="89"/>
      <c r="K253" s="288" t="str" cm="1">
        <f t="array" ref="K253">IF(ISBLANK(J253), IF(ISBLANK(I253), "N/A", _xlfn.IFS(L253="AS", I253+15, L253="NCR", I253+30, L253="submitted", I253+30, TRUE, "N/A")), _xlfn.IFS(L253="AS", J253+15, L253="NCR", J253+30, L253="submitted", J253+30, TRUE, "N/A"))</f>
        <v>N/A</v>
      </c>
    </row>
    <row r="254" spans="2:12" s="21" customFormat="1" ht="15" customHeight="1">
      <c r="C254" s="821" t="s">
        <v>1904</v>
      </c>
      <c r="D254" s="823" t="s">
        <v>1905</v>
      </c>
      <c r="E254" s="39"/>
      <c r="F254" s="39"/>
      <c r="G254" s="21" t="s">
        <v>1906</v>
      </c>
      <c r="H254" s="46" t="s">
        <v>1907</v>
      </c>
      <c r="I254" s="51"/>
      <c r="J254" s="51"/>
      <c r="K254" s="288" t="str" cm="1">
        <f t="array" ref="K254">IF(ISBLANK(J254), IF(ISBLANK(I254), "N/A", _xlfn.IFS(L254="AS", I254+15, L254="NCR", I254+30, L254="submitted", I254+30, TRUE, "N/A")), _xlfn.IFS(L254="AS", J254+15, L254="NCR", J254+30, L254="submitted", J254+30, TRUE, "N/A"))</f>
        <v>N/A</v>
      </c>
    </row>
    <row r="255" spans="2:12" s="1" customFormat="1" ht="15" customHeight="1">
      <c r="B255" s="21"/>
      <c r="C255" s="822"/>
      <c r="D255" s="824"/>
      <c r="E255" s="39"/>
      <c r="F255" s="39"/>
      <c r="G255" s="21" t="s">
        <v>134</v>
      </c>
      <c r="H255" s="46" t="s">
        <v>282</v>
      </c>
      <c r="I255" s="51"/>
      <c r="J255" s="51"/>
      <c r="K255" s="288" t="str" cm="1">
        <f t="array" ref="K255">IF(ISBLANK(J255), IF(ISBLANK(I255), "N/A", _xlfn.IFS(L255="AS", I255+15, L255="NCR", I255+30, L255="submitted", I255+30, TRUE, "N/A")), _xlfn.IFS(L255="AS", J255+15, L255="NCR", J255+30, L255="submitted", J255+30, TRUE, "N/A"))</f>
        <v>N/A</v>
      </c>
      <c r="L255" s="21"/>
    </row>
    <row r="256" spans="2:12" s="1" customFormat="1" ht="27" customHeight="1">
      <c r="B256" s="21"/>
      <c r="C256" s="822"/>
      <c r="D256" s="824"/>
      <c r="E256" s="39"/>
      <c r="F256" s="39"/>
      <c r="G256" s="21" t="s">
        <v>136</v>
      </c>
      <c r="H256" s="52" t="s">
        <v>1908</v>
      </c>
      <c r="I256" s="51"/>
      <c r="J256" s="51"/>
      <c r="K256" s="288" t="str" cm="1">
        <f t="array" ref="K256">IF(ISBLANK(J256), IF(ISBLANK(I256), "N/A", _xlfn.IFS(L256="AS", I256+15, L256="NCR", I256+30, L256="submitted", I256+30, TRUE, "N/A")), _xlfn.IFS(L256="AS", J256+15, L256="NCR", J256+30, L256="submitted", J256+30, TRUE, "N/A"))</f>
        <v>N/A</v>
      </c>
      <c r="L256" s="21"/>
    </row>
    <row r="257" spans="2:12" s="1" customFormat="1" ht="15" customHeight="1">
      <c r="B257" s="21"/>
      <c r="C257" s="807"/>
      <c r="D257" s="809"/>
      <c r="E257" s="46"/>
      <c r="F257" s="46"/>
      <c r="G257" s="21" t="s">
        <v>138</v>
      </c>
      <c r="H257" s="46" t="s">
        <v>1909</v>
      </c>
      <c r="I257" s="51"/>
      <c r="J257" s="51"/>
      <c r="K257" s="288" t="str" cm="1">
        <f t="array" ref="K257">IF(ISBLANK(J257), IF(ISBLANK(I257), "N/A", _xlfn.IFS(L257="AS", I257+15, L257="NCR", I257+30, L257="submitted", I257+30, TRUE, "N/A")), _xlfn.IFS(L257="AS", J257+15, L257="NCR", J257+30, L257="submitted", J257+30, TRUE, "N/A"))</f>
        <v>N/A</v>
      </c>
      <c r="L257" s="21"/>
    </row>
    <row r="258" spans="2:12" s="5" customFormat="1" ht="15" customHeight="1">
      <c r="B258" s="4"/>
      <c r="C258" s="825" t="s">
        <v>1910</v>
      </c>
      <c r="D258" s="827" t="s">
        <v>1911</v>
      </c>
      <c r="E258" s="34"/>
      <c r="F258" s="34"/>
      <c r="G258" s="4" t="s">
        <v>208</v>
      </c>
      <c r="H258" s="17" t="s">
        <v>484</v>
      </c>
      <c r="I258" s="18"/>
      <c r="J258" s="18"/>
      <c r="K258" s="288" t="str" cm="1">
        <f t="array" ref="K258">IF(ISBLANK(J258), IF(ISBLANK(I258), "N/A", _xlfn.IFS(L258="AS", I258+15, L258="NCR", I258+30, L258="submitted", I258+30, TRUE, "N/A")), _xlfn.IFS(L258="AS", J258+15, L258="NCR", J258+30, L258="submitted", J258+30, TRUE, "N/A"))</f>
        <v>N/A</v>
      </c>
      <c r="L258" s="4"/>
    </row>
    <row r="259" spans="2:12" s="5" customFormat="1" ht="15" customHeight="1">
      <c r="B259" s="4"/>
      <c r="C259" s="826"/>
      <c r="D259" s="828"/>
      <c r="E259" s="36"/>
      <c r="F259" s="36"/>
      <c r="G259" s="4" t="s">
        <v>281</v>
      </c>
      <c r="H259" s="17" t="s">
        <v>282</v>
      </c>
      <c r="I259" s="18"/>
      <c r="J259" s="18"/>
      <c r="K259" s="288" t="str" cm="1">
        <f t="array" ref="K259">IF(ISBLANK(J259), IF(ISBLANK(I259), "N/A", _xlfn.IFS(L259="AS", I259+15, L259="NCR", I259+30, L259="submitted", I259+30, TRUE, "N/A")), _xlfn.IFS(L259="AS", J259+15, L259="NCR", J259+30, L259="submitted", J259+30, TRUE, "N/A"))</f>
        <v>N/A</v>
      </c>
      <c r="L259" s="4"/>
    </row>
    <row r="260" spans="2:12" s="1" customFormat="1" ht="15" customHeight="1">
      <c r="B260" s="9"/>
      <c r="C260" s="821" t="s">
        <v>1912</v>
      </c>
      <c r="D260" s="823" t="s">
        <v>1913</v>
      </c>
      <c r="E260" s="37"/>
      <c r="F260" s="37"/>
      <c r="G260" s="9" t="s">
        <v>208</v>
      </c>
      <c r="H260" s="13" t="s">
        <v>235</v>
      </c>
      <c r="I260" s="14"/>
      <c r="J260" s="14"/>
      <c r="K260" s="288" t="str" cm="1">
        <f t="array" ref="K260">IF(ISBLANK(J260), IF(ISBLANK(I260), "N/A", _xlfn.IFS(L260="AS", I260+15, L260="NCR", I260+30, L260="submitted", I260+30, TRUE, "N/A")), _xlfn.IFS(L260="AS", J260+15, L260="NCR", J260+30, L260="submitted", J260+30, TRUE, "N/A"))</f>
        <v>N/A</v>
      </c>
      <c r="L260" s="9"/>
    </row>
    <row r="261" spans="2:12" s="1" customFormat="1" ht="15" customHeight="1">
      <c r="B261" s="9"/>
      <c r="C261" s="822"/>
      <c r="D261" s="824"/>
      <c r="E261" s="39"/>
      <c r="F261" s="39"/>
      <c r="G261" s="9" t="s">
        <v>281</v>
      </c>
      <c r="H261" s="13" t="s">
        <v>282</v>
      </c>
      <c r="I261" s="14"/>
      <c r="J261" s="14"/>
      <c r="K261" s="288" t="str" cm="1">
        <f t="array" ref="K261">IF(ISBLANK(J261), IF(ISBLANK(I261), "N/A", _xlfn.IFS(L261="AS", I261+15, L261="NCR", I261+30, L261="submitted", I261+30, TRUE, "N/A")), _xlfn.IFS(L261="AS", J261+15, L261="NCR", J261+30, L261="submitted", J261+30, TRUE, "N/A"))</f>
        <v>N/A</v>
      </c>
      <c r="L261" s="9"/>
    </row>
    <row r="262" spans="2:12" s="1" customFormat="1" ht="15" customHeight="1">
      <c r="B262" s="9"/>
      <c r="C262" s="822"/>
      <c r="D262" s="824"/>
      <c r="E262" s="39"/>
      <c r="F262" s="39"/>
      <c r="G262" s="9" t="s">
        <v>269</v>
      </c>
      <c r="H262" s="13" t="s">
        <v>1914</v>
      </c>
      <c r="I262" s="14"/>
      <c r="J262" s="14"/>
      <c r="K262" s="288" t="str" cm="1">
        <f t="array" ref="K262">IF(ISBLANK(J262), IF(ISBLANK(I262), "N/A", _xlfn.IFS(L262="AS", I262+15, L262="NCR", I262+30, L262="submitted", I262+30, TRUE, "N/A")), _xlfn.IFS(L262="AS", J262+15, L262="NCR", J262+30, L262="submitted", J262+30, TRUE, "N/A"))</f>
        <v>N/A</v>
      </c>
      <c r="L262" s="9"/>
    </row>
    <row r="263" spans="2:12" s="1" customFormat="1" ht="15" customHeight="1">
      <c r="B263" s="9"/>
      <c r="C263" s="822"/>
      <c r="D263" s="824"/>
      <c r="E263" s="39"/>
      <c r="F263" s="39"/>
      <c r="G263" s="9" t="s">
        <v>259</v>
      </c>
      <c r="H263" s="7" t="s">
        <v>1915</v>
      </c>
      <c r="I263" s="14"/>
      <c r="J263" s="14"/>
      <c r="K263" s="288"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22"/>
      <c r="D264" s="824"/>
      <c r="E264" s="39"/>
      <c r="F264" s="39"/>
      <c r="G264" s="9" t="s">
        <v>503</v>
      </c>
      <c r="H264" s="13" t="s">
        <v>1153</v>
      </c>
      <c r="I264" s="14"/>
      <c r="J264" s="14"/>
      <c r="K264" s="288"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22"/>
      <c r="D265" s="824"/>
      <c r="E265" s="39"/>
      <c r="F265" s="39"/>
      <c r="G265" s="9" t="s">
        <v>816</v>
      </c>
      <c r="H265" s="13" t="s">
        <v>1916</v>
      </c>
      <c r="I265" s="14"/>
      <c r="J265" s="14"/>
      <c r="K265" s="288" t="str" cm="1">
        <f t="array" ref="K265">IF(ISBLANK(J265), IF(ISBLANK(I265), "N/A", _xlfn.IFS(L265="AS", I265+15, L265="NCR", I265+30, L265="submitted", I265+30, TRUE, "N/A")), _xlfn.IFS(L265="AS", J265+15, L265="NCR", J265+30, L265="submitted", J265+30, TRUE, "N/A"))</f>
        <v>N/A</v>
      </c>
      <c r="L265" s="9"/>
    </row>
    <row r="266" spans="2:12" s="1" customFormat="1" ht="15" customHeight="1">
      <c r="B266" s="9"/>
      <c r="C266" s="807"/>
      <c r="D266" s="809"/>
      <c r="E266" s="46"/>
      <c r="F266" s="46"/>
      <c r="G266" s="9" t="s">
        <v>817</v>
      </c>
      <c r="H266" s="13" t="s">
        <v>1917</v>
      </c>
      <c r="I266" s="14"/>
      <c r="J266" s="14"/>
      <c r="K266" s="288" t="str" cm="1">
        <f t="array" ref="K266">IF(ISBLANK(J266), IF(ISBLANK(I266), "N/A", _xlfn.IFS(L266="AS", I266+15, L266="NCR", I266+30, L266="submitted", I266+30, TRUE, "N/A")), _xlfn.IFS(L266="AS", J266+15, L266="NCR", J266+30, L266="submitted", J266+30, TRUE, "N/A"))</f>
        <v>N/A</v>
      </c>
      <c r="L266" s="9"/>
    </row>
    <row r="267" spans="2:12" s="5" customFormat="1" ht="15" customHeight="1">
      <c r="B267" s="4"/>
      <c r="C267" s="825" t="s">
        <v>1918</v>
      </c>
      <c r="D267" s="827" t="s">
        <v>1919</v>
      </c>
      <c r="E267" s="34"/>
      <c r="F267" s="34"/>
      <c r="G267" s="4" t="s">
        <v>1442</v>
      </c>
      <c r="H267" s="17" t="s">
        <v>1772</v>
      </c>
      <c r="I267" s="18"/>
      <c r="J267" s="18"/>
      <c r="K267" s="288" t="str" cm="1">
        <f t="array" ref="K267">IF(ISBLANK(J267), IF(ISBLANK(I267), "N/A", _xlfn.IFS(L267="AS", I267+15, L267="NCR", I267+30, L267="submitted", I267+30, TRUE, "N/A")), _xlfn.IFS(L267="AS", J267+15, L267="NCR", J267+30, L267="submitted", J267+30, TRUE, "N/A"))</f>
        <v>N/A</v>
      </c>
      <c r="L267" s="4"/>
    </row>
    <row r="268" spans="2:12" s="5" customFormat="1" ht="15" customHeight="1">
      <c r="B268" s="4"/>
      <c r="C268" s="829"/>
      <c r="D268" s="830"/>
      <c r="E268" s="35"/>
      <c r="F268" s="35"/>
      <c r="G268" s="4" t="s">
        <v>1444</v>
      </c>
      <c r="H268" s="17" t="s">
        <v>1156</v>
      </c>
      <c r="I268" s="18"/>
      <c r="J268" s="18"/>
      <c r="K268" s="288" t="str" cm="1">
        <f t="array" ref="K268">IF(ISBLANK(J268), IF(ISBLANK(I268), "N/A", _xlfn.IFS(L268="AS", I268+15, L268="NCR", I268+30, L268="submitted", I268+30, TRUE, "N/A")), _xlfn.IFS(L268="AS", J268+15, L268="NCR", J268+30, L268="submitted", J268+30, TRUE, "N/A"))</f>
        <v>N/A</v>
      </c>
      <c r="L268" s="4"/>
    </row>
    <row r="269" spans="2:12" s="5" customFormat="1" ht="15" customHeight="1">
      <c r="B269" s="4"/>
      <c r="C269" s="829"/>
      <c r="D269" s="830"/>
      <c r="E269" s="35"/>
      <c r="F269" s="35"/>
      <c r="G269" s="4" t="s">
        <v>1920</v>
      </c>
      <c r="H269" s="17" t="s">
        <v>1921</v>
      </c>
      <c r="I269" s="18"/>
      <c r="J269" s="18"/>
      <c r="K269" s="288" t="str" cm="1">
        <f t="array" ref="K269">IF(ISBLANK(J269), IF(ISBLANK(I269), "N/A", _xlfn.IFS(L269="AS", I269+15, L269="NCR", I269+30, L269="submitted", I269+30, TRUE, "N/A")), _xlfn.IFS(L269="AS", J269+15, L269="NCR", J269+30, L269="submitted", J269+30, TRUE, "N/A"))</f>
        <v>N/A</v>
      </c>
      <c r="L269" s="4"/>
    </row>
    <row r="270" spans="2:12" s="5" customFormat="1" ht="15" customHeight="1">
      <c r="B270" s="4"/>
      <c r="C270" s="829"/>
      <c r="D270" s="830"/>
      <c r="E270" s="35"/>
      <c r="F270" s="35"/>
      <c r="G270" s="4" t="s">
        <v>1922</v>
      </c>
      <c r="H270" s="17" t="s">
        <v>282</v>
      </c>
      <c r="I270" s="18"/>
      <c r="J270" s="18"/>
      <c r="K270" s="288" t="str" cm="1">
        <f t="array" ref="K270">IF(ISBLANK(J270), IF(ISBLANK(I270), "N/A", _xlfn.IFS(L270="AS", I270+15, L270="NCR", I270+30, L270="submitted", I270+30, TRUE, "N/A")), _xlfn.IFS(L270="AS", J270+15, L270="NCR", J270+30, L270="submitted", J270+30, TRUE, "N/A"))</f>
        <v>N/A</v>
      </c>
      <c r="L270" s="4"/>
    </row>
    <row r="271" spans="2:12" s="5" customFormat="1" ht="27" customHeight="1">
      <c r="B271" s="4"/>
      <c r="C271" s="829"/>
      <c r="D271" s="830"/>
      <c r="E271" s="35"/>
      <c r="F271" s="35"/>
      <c r="G271" s="4" t="s">
        <v>1923</v>
      </c>
      <c r="H271" s="3" t="s">
        <v>1924</v>
      </c>
      <c r="I271" s="18"/>
      <c r="J271" s="18"/>
      <c r="K271" s="288" t="str" cm="1">
        <f t="array" ref="K271">IF(ISBLANK(J271), IF(ISBLANK(I271), "N/A", _xlfn.IFS(L271="AS", I271+15, L271="NCR", I271+30, L271="submitted", I271+30, TRUE, "N/A")), _xlfn.IFS(L271="AS", J271+15, L271="NCR", J271+30, L271="submitted", J271+30, TRUE, "N/A"))</f>
        <v>N/A</v>
      </c>
      <c r="L271" s="4"/>
    </row>
    <row r="272" spans="2:12" s="5" customFormat="1" ht="27" customHeight="1">
      <c r="B272" s="4"/>
      <c r="C272" s="829"/>
      <c r="D272" s="830"/>
      <c r="E272" s="35"/>
      <c r="F272" s="35"/>
      <c r="G272" s="4" t="s">
        <v>512</v>
      </c>
      <c r="H272" s="3" t="s">
        <v>1925</v>
      </c>
      <c r="I272" s="18"/>
      <c r="J272" s="18"/>
      <c r="K272" s="288" t="str" cm="1">
        <f t="array" ref="K272">IF(ISBLANK(J272), IF(ISBLANK(I272), "N/A", _xlfn.IFS(L272="AS", I272+15, L272="NCR", I272+30, L272="submitted", I272+30, TRUE, "N/A")), _xlfn.IFS(L272="AS", J272+15, L272="NCR", J272+30, L272="submitted", J272+30, TRUE, "N/A"))</f>
        <v>N/A</v>
      </c>
      <c r="L272" s="4"/>
    </row>
    <row r="273" spans="2:14" s="5" customFormat="1" ht="15" customHeight="1">
      <c r="B273" s="4"/>
      <c r="C273" s="829"/>
      <c r="D273" s="830"/>
      <c r="E273" s="35"/>
      <c r="F273" s="35"/>
      <c r="G273" s="4" t="s">
        <v>1926</v>
      </c>
      <c r="H273" s="17" t="s">
        <v>1927</v>
      </c>
      <c r="I273" s="18"/>
      <c r="J273" s="18"/>
      <c r="K273" s="288" t="str" cm="1">
        <f t="array" ref="K273">IF(ISBLANK(J273), IF(ISBLANK(I273), "N/A", _xlfn.IFS(L273="AS", I273+15, L273="NCR", I273+30, L273="submitted", I273+30, TRUE, "N/A")), _xlfn.IFS(L273="AS", J273+15, L273="NCR", J273+30, L273="submitted", J273+30, TRUE, "N/A"))</f>
        <v>N/A</v>
      </c>
      <c r="L273" s="4"/>
    </row>
    <row r="274" spans="2:14" s="5" customFormat="1" ht="15" customHeight="1">
      <c r="B274" s="4"/>
      <c r="C274" s="829"/>
      <c r="D274" s="830"/>
      <c r="E274" s="35"/>
      <c r="F274" s="35" t="s">
        <v>161</v>
      </c>
      <c r="G274" s="4" t="s">
        <v>1928</v>
      </c>
      <c r="H274" s="17" t="s">
        <v>1929</v>
      </c>
      <c r="I274" s="18"/>
      <c r="J274" s="18"/>
      <c r="K274" s="288"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29"/>
      <c r="D275" s="830"/>
      <c r="E275" s="35"/>
      <c r="F275" s="35" t="s">
        <v>161</v>
      </c>
      <c r="G275" s="4" t="s">
        <v>1930</v>
      </c>
      <c r="H275" s="3" t="s">
        <v>1931</v>
      </c>
      <c r="I275" s="18"/>
      <c r="J275" s="18"/>
      <c r="K275" s="288" t="str" cm="1">
        <f t="array" ref="K275">IF(ISBLANK(J275), IF(ISBLANK(I275), "N/A", _xlfn.IFS(L275="AS", I275+15, L275="NCR", I275+30, L275="submitted", I275+30, TRUE, "N/A")), _xlfn.IFS(L275="AS", J275+15, L275="NCR", J275+30, L275="submitted", J275+30, TRUE, "N/A"))</f>
        <v>N/A</v>
      </c>
      <c r="L275" s="4"/>
    </row>
    <row r="276" spans="2:14" s="5" customFormat="1" ht="15" customHeight="1">
      <c r="B276" s="4"/>
      <c r="C276" s="829"/>
      <c r="D276" s="830"/>
      <c r="E276" s="35"/>
      <c r="F276" s="35" t="s">
        <v>161</v>
      </c>
      <c r="G276" s="4" t="s">
        <v>1932</v>
      </c>
      <c r="H276" s="3" t="s">
        <v>1933</v>
      </c>
      <c r="I276" s="18"/>
      <c r="J276" s="18"/>
      <c r="K276" s="288" t="str" cm="1">
        <f t="array" ref="K276">IF(ISBLANK(J276), IF(ISBLANK(I276), "N/A", _xlfn.IFS(L276="AS", I276+15, L276="NCR", I276+30, L276="submitted", I276+30, TRUE, "N/A")), _xlfn.IFS(L276="AS", J276+15, L276="NCR", J276+30, L276="submitted", J276+30, TRUE, "N/A"))</f>
        <v>N/A</v>
      </c>
      <c r="L276" s="4"/>
    </row>
    <row r="277" spans="2:14" s="5" customFormat="1" ht="15" customHeight="1">
      <c r="B277" s="4"/>
      <c r="C277" s="829"/>
      <c r="D277" s="830"/>
      <c r="E277" s="35"/>
      <c r="F277" s="35" t="s">
        <v>161</v>
      </c>
      <c r="G277" s="4" t="s">
        <v>1934</v>
      </c>
      <c r="H277" s="3" t="s">
        <v>1935</v>
      </c>
      <c r="I277" s="18"/>
      <c r="J277" s="18"/>
      <c r="K277" s="288" t="str" cm="1">
        <f t="array" ref="K277">IF(ISBLANK(J277), IF(ISBLANK(I277), "N/A", _xlfn.IFS(L277="AS", I277+15, L277="NCR", I277+30, L277="submitted", I277+30, TRUE, "N/A")), _xlfn.IFS(L277="AS", J277+15, L277="NCR", J277+30, L277="submitted", J277+30, TRUE, "N/A"))</f>
        <v>N/A</v>
      </c>
      <c r="L277" s="4"/>
      <c r="M277" s="317"/>
      <c r="N277" s="747"/>
    </row>
    <row r="278" spans="2:14" s="5" customFormat="1" ht="27" customHeight="1">
      <c r="B278" s="4"/>
      <c r="C278" s="826"/>
      <c r="D278" s="828"/>
      <c r="E278" s="36"/>
      <c r="F278" s="36"/>
      <c r="G278" s="4" t="s">
        <v>835</v>
      </c>
      <c r="H278" s="3" t="s">
        <v>1936</v>
      </c>
      <c r="I278" s="18"/>
      <c r="J278" s="18"/>
      <c r="K278" s="288" t="str" cm="1">
        <f t="array" ref="K278">IF(ISBLANK(J278), IF(ISBLANK(I278), "N/A", _xlfn.IFS(L278="AS", I278+15, L278="NCR", I278+30, L278="submitted", I278+30, TRUE, "N/A")), _xlfn.IFS(L278="AS", J278+15, L278="NCR", J278+30, L278="submitted", J278+30, TRUE, "N/A"))</f>
        <v>N/A</v>
      </c>
      <c r="L278" s="4"/>
      <c r="M278" s="317"/>
      <c r="N278" s="747"/>
    </row>
    <row r="279" spans="2:14" s="26" customFormat="1" ht="27" customHeight="1">
      <c r="B279" s="22"/>
      <c r="C279" s="898" t="s">
        <v>1937</v>
      </c>
      <c r="D279" s="899" t="s">
        <v>1938</v>
      </c>
      <c r="E279" s="76"/>
      <c r="F279" s="76"/>
      <c r="G279" s="22" t="s">
        <v>134</v>
      </c>
      <c r="H279" s="28" t="s">
        <v>1939</v>
      </c>
      <c r="I279" s="25"/>
      <c r="J279" s="25"/>
      <c r="K279" s="288" t="str" cm="1">
        <f t="array" ref="K279">IF(ISBLANK(J279), IF(ISBLANK(I279), "N/A", _xlfn.IFS(L279="AS", I279+15, L279="NCR", I279+30, L279="submitted", I279+30, TRUE, "N/A")), _xlfn.IFS(L279="AS", J279+15, L279="NCR", J279+30, L279="submitted", J279+30, TRUE, "N/A"))</f>
        <v>N/A</v>
      </c>
      <c r="L279" s="22"/>
      <c r="M279" s="317"/>
      <c r="N279" s="747"/>
    </row>
    <row r="280" spans="2:14" s="26" customFormat="1" ht="15" customHeight="1">
      <c r="B280" s="22"/>
      <c r="C280" s="885"/>
      <c r="D280" s="888"/>
      <c r="E280" s="27"/>
      <c r="F280" s="27"/>
      <c r="G280" s="22" t="s">
        <v>136</v>
      </c>
      <c r="H280" s="28" t="s">
        <v>328</v>
      </c>
      <c r="I280" s="25"/>
      <c r="J280" s="25"/>
      <c r="K280" s="288" t="str" cm="1">
        <f t="array" ref="K280">IF(ISBLANK(J280), IF(ISBLANK(I280), "N/A", _xlfn.IFS(L280="AS", I280+15, L280="NCR", I280+30, L280="submitted", I280+30, TRUE, "N/A")), _xlfn.IFS(L280="AS", J280+15, L280="NCR", J280+30, L280="submitted", J280+30, TRUE, "N/A"))</f>
        <v>N/A</v>
      </c>
      <c r="L280" s="22"/>
      <c r="M280" s="317"/>
      <c r="N280" s="747"/>
    </row>
    <row r="281" spans="2:14" s="26" customFormat="1" ht="27" customHeight="1">
      <c r="B281" s="22"/>
      <c r="C281" s="885"/>
      <c r="D281" s="888"/>
      <c r="E281" s="27"/>
      <c r="F281" s="27"/>
      <c r="G281" s="22" t="s">
        <v>138</v>
      </c>
      <c r="H281" s="28" t="s">
        <v>1940</v>
      </c>
      <c r="I281" s="25"/>
      <c r="J281" s="25"/>
      <c r="K281" s="288" t="str" cm="1">
        <f t="array" ref="K281">IF(ISBLANK(J281), IF(ISBLANK(I281), "N/A", _xlfn.IFS(L281="AS", I281+15, L281="NCR", I281+30, L281="submitted", I281+30, TRUE, "N/A")), _xlfn.IFS(L281="AS", J281+15, L281="NCR", J281+30, L281="submitted", J281+30, TRUE, "N/A"))</f>
        <v>N/A</v>
      </c>
      <c r="L281" s="22"/>
      <c r="M281" s="317"/>
      <c r="N281" s="747"/>
    </row>
    <row r="282" spans="2:14" s="26" customFormat="1" ht="40.5" customHeight="1">
      <c r="B282" s="22"/>
      <c r="C282" s="885"/>
      <c r="D282" s="888"/>
      <c r="E282" s="27"/>
      <c r="F282" s="27" t="s">
        <v>161</v>
      </c>
      <c r="G282" s="22" t="s">
        <v>166</v>
      </c>
      <c r="H282" s="28" t="s">
        <v>1941</v>
      </c>
      <c r="I282" s="25"/>
      <c r="J282" s="25"/>
      <c r="K282" s="288" t="str" cm="1">
        <f t="array" ref="K282">IF(ISBLANK(J282), IF(ISBLANK(I282), "N/A", _xlfn.IFS(L282="AS", I282+15, L282="NCR", I282+30, L282="submitted", I282+30, TRUE, "N/A")), _xlfn.IFS(L282="AS", J282+15, L282="NCR", J282+30, L282="submitted", J282+30, TRUE, "N/A"))</f>
        <v>N/A</v>
      </c>
      <c r="L282" s="22"/>
      <c r="M282" s="317"/>
      <c r="N282" s="747"/>
    </row>
    <row r="283" spans="2:14" s="26" customFormat="1" ht="27" customHeight="1">
      <c r="B283" s="22"/>
      <c r="C283" s="885"/>
      <c r="D283" s="888"/>
      <c r="E283" s="27"/>
      <c r="F283" s="27"/>
      <c r="G283" s="22" t="s">
        <v>169</v>
      </c>
      <c r="H283" s="28" t="s">
        <v>1942</v>
      </c>
      <c r="I283" s="25"/>
      <c r="J283" s="25"/>
      <c r="K283" s="288" t="str" cm="1">
        <f t="array" ref="K283">IF(ISBLANK(J283), IF(ISBLANK(I283), "N/A", _xlfn.IFS(L283="AS", I283+15, L283="NCR", I283+30, L283="submitted", I283+30, TRUE, "N/A")), _xlfn.IFS(L283="AS", J283+15, L283="NCR", J283+30, L283="submitted", J283+30, TRUE, "N/A"))</f>
        <v>N/A</v>
      </c>
      <c r="L283" s="22"/>
      <c r="M283" s="317"/>
      <c r="N283" s="747"/>
    </row>
    <row r="284" spans="2:14" s="26" customFormat="1" ht="15" customHeight="1">
      <c r="B284" s="22"/>
      <c r="C284" s="885"/>
      <c r="D284" s="888"/>
      <c r="E284" s="27"/>
      <c r="F284" s="27"/>
      <c r="G284" s="22" t="s">
        <v>312</v>
      </c>
      <c r="H284" s="28" t="s">
        <v>1943</v>
      </c>
      <c r="I284" s="25"/>
      <c r="J284" s="25"/>
      <c r="K284" s="288" t="str" cm="1">
        <f t="array" ref="K284">IF(ISBLANK(J284), IF(ISBLANK(I284), "N/A", _xlfn.IFS(L284="AS", I284+15, L284="NCR", I284+30, L284="submitted", I284+30, TRUE, "N/A")), _xlfn.IFS(L284="AS", J284+15, L284="NCR", J284+30, L284="submitted", J284+30, TRUE, "N/A"))</f>
        <v>N/A</v>
      </c>
      <c r="L284" s="22"/>
      <c r="M284" s="317"/>
      <c r="N284" s="747"/>
    </row>
    <row r="285" spans="2:14" s="26" customFormat="1" ht="27" customHeight="1">
      <c r="B285" s="22"/>
      <c r="C285" s="886"/>
      <c r="D285" s="889"/>
      <c r="E285" s="29"/>
      <c r="F285" s="29"/>
      <c r="G285" s="22" t="s">
        <v>314</v>
      </c>
      <c r="H285" s="28" t="s">
        <v>1944</v>
      </c>
      <c r="I285" s="25"/>
      <c r="J285" s="25"/>
      <c r="K285" s="288" t="str" cm="1">
        <f t="array" ref="K285">IF(ISBLANK(J285), IF(ISBLANK(I285), "N/A", _xlfn.IFS(L285="AS", I285+15, L285="NCR", I285+30, L285="submitted", I285+30, TRUE, "N/A")), _xlfn.IFS(L285="AS", J285+15, L285="NCR", J285+30, L285="submitted", J285+30, TRUE, "N/A"))</f>
        <v>N/A</v>
      </c>
      <c r="L285" s="22"/>
      <c r="M285" s="317"/>
      <c r="N285" s="747"/>
    </row>
    <row r="286" spans="2:14" s="1" customFormat="1" ht="15" customHeight="1">
      <c r="B286" s="9"/>
      <c r="C286" s="821" t="s">
        <v>1945</v>
      </c>
      <c r="D286" s="823" t="s">
        <v>1946</v>
      </c>
      <c r="E286" s="37"/>
      <c r="F286" s="37"/>
      <c r="G286" s="9" t="s">
        <v>278</v>
      </c>
      <c r="H286" s="13" t="s">
        <v>1947</v>
      </c>
      <c r="I286" s="14"/>
      <c r="J286" s="14"/>
      <c r="K286" s="288" t="str" cm="1">
        <f t="array" ref="K286">IF(ISBLANK(J286), IF(ISBLANK(I286), "N/A", _xlfn.IFS(L286="AS", I286+15, L286="NCR", I286+30, L286="submitted", I286+30, TRUE, "N/A")), _xlfn.IFS(L286="AS", J286+15, L286="NCR", J286+30, L286="submitted", J286+30, TRUE, "N/A"))</f>
        <v>N/A</v>
      </c>
      <c r="L286" s="9"/>
      <c r="M286" s="317"/>
      <c r="N286" s="747"/>
    </row>
    <row r="287" spans="2:14" s="1" customFormat="1" ht="15" customHeight="1">
      <c r="B287" s="9"/>
      <c r="C287" s="822"/>
      <c r="D287" s="824"/>
      <c r="E287" s="39"/>
      <c r="F287" s="39"/>
      <c r="G287" s="9" t="s">
        <v>265</v>
      </c>
      <c r="H287" s="13" t="s">
        <v>1948</v>
      </c>
      <c r="I287" s="14"/>
      <c r="J287" s="14"/>
      <c r="K287" s="288" t="str" cm="1">
        <f t="array" ref="K287">IF(ISBLANK(J287), IF(ISBLANK(I287), "N/A", _xlfn.IFS(L287="AS", I287+15, L287="NCR", I287+30, L287="submitted", I287+30, TRUE, "N/A")), _xlfn.IFS(L287="AS", J287+15, L287="NCR", J287+30, L287="submitted", J287+30, TRUE, "N/A"))</f>
        <v>N/A</v>
      </c>
      <c r="L287" s="9"/>
      <c r="M287" s="317"/>
      <c r="N287" s="747"/>
    </row>
    <row r="288" spans="2:14" s="1" customFormat="1" ht="15" customHeight="1">
      <c r="B288" s="9"/>
      <c r="C288" s="822"/>
      <c r="D288" s="824"/>
      <c r="E288" s="39"/>
      <c r="F288" s="39"/>
      <c r="G288" s="9" t="s">
        <v>281</v>
      </c>
      <c r="H288" s="13" t="s">
        <v>1949</v>
      </c>
      <c r="I288" s="14"/>
      <c r="J288" s="14"/>
      <c r="K288" s="288" t="str" cm="1">
        <f t="array" ref="K288">IF(ISBLANK(J288), IF(ISBLANK(I288), "N/A", _xlfn.IFS(L288="AS", I288+15, L288="NCR", I288+30, L288="submitted", I288+30, TRUE, "N/A")), _xlfn.IFS(L288="AS", J288+15, L288="NCR", J288+30, L288="submitted", J288+30, TRUE, "N/A"))</f>
        <v>N/A</v>
      </c>
      <c r="L288" s="9"/>
      <c r="M288" s="317"/>
      <c r="N288" s="747"/>
    </row>
    <row r="289" spans="2:14" s="1" customFormat="1" ht="15" customHeight="1">
      <c r="B289" s="9"/>
      <c r="C289" s="822"/>
      <c r="D289" s="824"/>
      <c r="E289" s="39"/>
      <c r="F289" s="39"/>
      <c r="G289" s="9" t="s">
        <v>269</v>
      </c>
      <c r="H289" s="13" t="s">
        <v>1950</v>
      </c>
      <c r="I289" s="14"/>
      <c r="J289" s="14"/>
      <c r="K289" s="288" t="str" cm="1">
        <f t="array" ref="K289">IF(ISBLANK(J289), IF(ISBLANK(I289), "N/A", _xlfn.IFS(L289="AS", I289+15, L289="NCR", I289+30, L289="submitted", I289+30, TRUE, "N/A")), _xlfn.IFS(L289="AS", J289+15, L289="NCR", J289+30, L289="submitted", J289+30, TRUE, "N/A"))</f>
        <v>N/A</v>
      </c>
      <c r="L289" s="9"/>
      <c r="M289" s="317"/>
      <c r="N289" s="747"/>
    </row>
    <row r="290" spans="2:14" s="1" customFormat="1" ht="15" customHeight="1">
      <c r="B290" s="9"/>
      <c r="C290" s="822"/>
      <c r="D290" s="824"/>
      <c r="E290" s="39"/>
      <c r="F290" s="39"/>
      <c r="G290" s="9" t="s">
        <v>259</v>
      </c>
      <c r="H290" s="13" t="s">
        <v>1951</v>
      </c>
      <c r="I290" s="14"/>
      <c r="J290" s="14"/>
      <c r="K290" s="288" t="str" cm="1">
        <f t="array" ref="K290">IF(ISBLANK(J290), IF(ISBLANK(I290), "N/A", _xlfn.IFS(L290="AS", I290+15, L290="NCR", I290+30, L290="submitted", I290+30, TRUE, "N/A")), _xlfn.IFS(L290="AS", J290+15, L290="NCR", J290+30, L290="submitted", J290+30, TRUE, "N/A"))</f>
        <v>N/A</v>
      </c>
      <c r="L290" s="9"/>
      <c r="M290" s="317"/>
      <c r="N290" s="747"/>
    </row>
    <row r="291" spans="2:14" s="1" customFormat="1" ht="15" customHeight="1">
      <c r="B291" s="9"/>
      <c r="C291" s="822"/>
      <c r="D291" s="824"/>
      <c r="E291" s="39"/>
      <c r="F291" s="39"/>
      <c r="G291" s="9" t="s">
        <v>352</v>
      </c>
      <c r="H291" s="13" t="s">
        <v>1952</v>
      </c>
      <c r="I291" s="14"/>
      <c r="J291" s="14"/>
      <c r="K291" s="288" t="str" cm="1">
        <f t="array" ref="K291">IF(ISBLANK(J291), IF(ISBLANK(I291), "N/A", _xlfn.IFS(L291="AS", I291+15, L291="NCR", I291+30, L291="submitted", I291+30, TRUE, "N/A")), _xlfn.IFS(L291="AS", J291+15, L291="NCR", J291+30, L291="submitted", J291+30, TRUE, "N/A"))</f>
        <v>N/A</v>
      </c>
      <c r="L291" s="9"/>
      <c r="M291" s="317"/>
      <c r="N291" s="747"/>
    </row>
    <row r="292" spans="2:14" s="1" customFormat="1" ht="15" customHeight="1">
      <c r="B292" s="9"/>
      <c r="C292" s="822"/>
      <c r="D292" s="824"/>
      <c r="E292" s="39"/>
      <c r="F292" s="39"/>
      <c r="G292" s="9" t="s">
        <v>354</v>
      </c>
      <c r="H292" s="13" t="s">
        <v>1953</v>
      </c>
      <c r="I292" s="14"/>
      <c r="J292" s="14"/>
      <c r="K292" s="288" t="str" cm="1">
        <f t="array" ref="K292">IF(ISBLANK(J292), IF(ISBLANK(I292), "N/A", _xlfn.IFS(L292="AS", I292+15, L292="NCR", I292+30, L292="submitted", I292+30, TRUE, "N/A")), _xlfn.IFS(L292="AS", J292+15, L292="NCR", J292+30, L292="submitted", J292+30, TRUE, "N/A"))</f>
        <v>N/A</v>
      </c>
      <c r="L292" s="9"/>
      <c r="M292" s="317"/>
      <c r="N292" s="745" t="s">
        <v>133</v>
      </c>
    </row>
    <row r="293" spans="2:14" s="1" customFormat="1" ht="15" customHeight="1">
      <c r="B293" s="9"/>
      <c r="C293" s="807"/>
      <c r="D293" s="809"/>
      <c r="E293" s="46"/>
      <c r="F293" s="46"/>
      <c r="G293" s="9" t="s">
        <v>356</v>
      </c>
      <c r="H293" s="13" t="s">
        <v>1954</v>
      </c>
      <c r="I293" s="14"/>
      <c r="J293" s="14"/>
      <c r="K293" s="288" t="str" cm="1">
        <f t="array" ref="K293">IF(ISBLANK(J293), IF(ISBLANK(I293), "N/A", _xlfn.IFS(L293="AS", I293+15, L293="NCR", I293+30, L293="submitted", I293+30, TRUE, "N/A")), _xlfn.IFS(L293="AS", J293+15, L293="NCR", J293+30, L293="submitted", J293+30, TRUE, "N/A"))</f>
        <v>N/A</v>
      </c>
      <c r="L293" s="9"/>
      <c r="M293" s="317"/>
      <c r="N293" s="746"/>
    </row>
    <row r="294" spans="2:14" s="5" customFormat="1" ht="15" customHeight="1">
      <c r="B294" s="4"/>
      <c r="C294" s="825" t="s">
        <v>1955</v>
      </c>
      <c r="D294" s="827" t="s">
        <v>1956</v>
      </c>
      <c r="E294" s="34"/>
      <c r="F294" s="34"/>
      <c r="G294" s="4" t="s">
        <v>212</v>
      </c>
      <c r="H294" s="17" t="s">
        <v>235</v>
      </c>
      <c r="I294" s="18"/>
      <c r="J294" s="18"/>
      <c r="K294" s="288" t="str" cm="1">
        <f t="array" ref="K294">IF(ISBLANK(J294), IF(ISBLANK(I294), "N/A", _xlfn.IFS(L294="AS", I294+15, L294="NCR", I294+30, L294="submitted", I294+30, TRUE, "N/A")), _xlfn.IFS(L294="AS", J294+15, L294="NCR", J294+30, L294="submitted", J294+30, TRUE, "N/A"))</f>
        <v>N/A</v>
      </c>
      <c r="L294" s="4"/>
      <c r="M294" s="317"/>
      <c r="N294" s="746"/>
    </row>
    <row r="295" spans="2:14" s="5" customFormat="1" ht="15" customHeight="1">
      <c r="B295" s="19"/>
      <c r="C295" s="829"/>
      <c r="D295" s="830"/>
      <c r="E295" s="35"/>
      <c r="F295" s="35"/>
      <c r="G295" s="19" t="s">
        <v>336</v>
      </c>
      <c r="H295" s="34" t="s">
        <v>1957</v>
      </c>
      <c r="I295" s="30"/>
      <c r="J295" s="30"/>
      <c r="K295" s="288"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29"/>
      <c r="D296" s="830"/>
      <c r="E296" s="35"/>
      <c r="F296" s="35"/>
      <c r="G296" s="19" t="s">
        <v>240</v>
      </c>
      <c r="H296" s="34" t="s">
        <v>1958</v>
      </c>
      <c r="I296" s="30"/>
      <c r="J296" s="30"/>
      <c r="K296" s="288"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29"/>
      <c r="D297" s="830"/>
      <c r="E297" s="35"/>
      <c r="F297" s="35"/>
      <c r="G297" s="19" t="s">
        <v>242</v>
      </c>
      <c r="H297" s="34" t="s">
        <v>1959</v>
      </c>
      <c r="I297" s="30"/>
      <c r="J297" s="30"/>
      <c r="K297" s="288" t="str" cm="1">
        <f t="array" ref="K297">IF(ISBLANK(J297), IF(ISBLANK(I297), "N/A", _xlfn.IFS(L297="AS", I297+15, L297="NCR", I297+30, L297="submitted", I297+30, TRUE, "N/A")), _xlfn.IFS(L297="AS", J297+15, L297="NCR", J297+30, L297="submitted", J297+30, TRUE, "N/A"))</f>
        <v>N/A</v>
      </c>
      <c r="L297" s="19"/>
      <c r="M297" s="317"/>
      <c r="N297" s="746"/>
    </row>
    <row r="298" spans="2:14" s="5" customFormat="1" ht="27" customHeight="1">
      <c r="B298" s="19"/>
      <c r="C298" s="829"/>
      <c r="D298" s="830"/>
      <c r="E298" s="35"/>
      <c r="F298" s="35"/>
      <c r="G298" s="19" t="s">
        <v>404</v>
      </c>
      <c r="H298" s="53" t="s">
        <v>1960</v>
      </c>
      <c r="I298" s="30"/>
      <c r="J298" s="30"/>
      <c r="K298" s="288" t="str" cm="1">
        <f t="array" ref="K298">IF(ISBLANK(J298), IF(ISBLANK(I298), "N/A", _xlfn.IFS(L298="AS", I298+15, L298="NCR", I298+30, L298="submitted", I298+30, TRUE, "N/A")), _xlfn.IFS(L298="AS", J298+15, L298="NCR", J298+30, L298="submitted", J298+30, TRUE, "N/A"))</f>
        <v>N/A</v>
      </c>
      <c r="L298" s="19"/>
      <c r="M298" s="317"/>
      <c r="N298" s="746"/>
    </row>
    <row r="299" spans="2:14" s="5" customFormat="1" ht="15" customHeight="1">
      <c r="B299" s="19"/>
      <c r="C299" s="826"/>
      <c r="D299" s="828"/>
      <c r="E299" s="35"/>
      <c r="F299" s="35"/>
      <c r="G299" s="19" t="s">
        <v>405</v>
      </c>
      <c r="H299" s="34" t="s">
        <v>444</v>
      </c>
      <c r="I299" s="30"/>
      <c r="J299" s="30"/>
      <c r="K299" s="288" t="str" cm="1">
        <f t="array" ref="K299">IF(ISBLANK(J299), IF(ISBLANK(I299), "N/A", _xlfn.IFS(L299="AS", I299+15, L299="NCR", I299+30, L299="submitted", I299+30, TRUE, "N/A")), _xlfn.IFS(L299="AS", J299+15, L299="NCR", J299+30, L299="submitted", J299+30, TRUE, "N/A"))</f>
        <v>N/A</v>
      </c>
      <c r="L299" s="19"/>
      <c r="M299" s="317"/>
      <c r="N299" s="746"/>
    </row>
    <row r="300" spans="2:14" s="1" customFormat="1" ht="15" customHeight="1">
      <c r="B300" s="38"/>
      <c r="C300" s="821" t="s">
        <v>1961</v>
      </c>
      <c r="D300" s="823" t="s">
        <v>1962</v>
      </c>
      <c r="E300" s="37"/>
      <c r="F300" s="37"/>
      <c r="G300" s="38" t="s">
        <v>208</v>
      </c>
      <c r="H300" s="37" t="s">
        <v>282</v>
      </c>
      <c r="I300" s="41"/>
      <c r="J300" s="41"/>
      <c r="K300" s="288" t="str" cm="1">
        <f t="array" ref="K300">IF(ISBLANK(J300), IF(ISBLANK(I300), "N/A", _xlfn.IFS(L300="AS", I300+15, L300="NCR", I300+30, L300="submitted", I300+30, TRUE, "N/A")), _xlfn.IFS(L300="AS", J300+15, L300="NCR", J300+30, L300="submitted", J300+30, TRUE, "N/A"))</f>
        <v>N/A</v>
      </c>
      <c r="L300" s="38"/>
      <c r="M300" s="317"/>
      <c r="N300" s="747" t="s">
        <v>148</v>
      </c>
    </row>
    <row r="301" spans="2:14" s="1" customFormat="1" ht="27" customHeight="1">
      <c r="B301" s="38"/>
      <c r="C301" s="822"/>
      <c r="D301" s="824"/>
      <c r="E301" s="39"/>
      <c r="F301" s="39"/>
      <c r="G301" s="38" t="s">
        <v>281</v>
      </c>
      <c r="H301" s="40" t="s">
        <v>1963</v>
      </c>
      <c r="I301" s="41"/>
      <c r="J301" s="41"/>
      <c r="K301" s="288" t="str" cm="1">
        <f t="array" ref="K301">IF(ISBLANK(J301), IF(ISBLANK(I301), "N/A", _xlfn.IFS(L301="AS", I301+15, L301="NCR", I301+30, L301="submitted", I301+30, TRUE, "N/A")), _xlfn.IFS(L301="AS", J301+15, L301="NCR", J301+30, L301="submitted", J301+30, TRUE, "N/A"))</f>
        <v>N/A</v>
      </c>
      <c r="L301" s="38"/>
      <c r="M301" s="317"/>
      <c r="N301" s="747"/>
    </row>
    <row r="302" spans="2:14" s="1" customFormat="1" ht="27" customHeight="1">
      <c r="B302" s="38"/>
      <c r="C302" s="822"/>
      <c r="D302" s="824"/>
      <c r="E302" s="39"/>
      <c r="F302" s="39"/>
      <c r="G302" s="38" t="s">
        <v>269</v>
      </c>
      <c r="H302" s="40" t="s">
        <v>1964</v>
      </c>
      <c r="I302" s="41"/>
      <c r="J302" s="41"/>
      <c r="K302" s="288" t="str" cm="1">
        <f t="array" ref="K302">IF(ISBLANK(J302), IF(ISBLANK(I302), "N/A", _xlfn.IFS(L302="AS", I302+15, L302="NCR", I302+30, L302="submitted", I302+30, TRUE, "N/A")), _xlfn.IFS(L302="AS", J302+15, L302="NCR", J302+30, L302="submitted", J302+30, TRUE, "N/A"))</f>
        <v>N/A</v>
      </c>
      <c r="L302" s="38"/>
      <c r="M302" s="317"/>
      <c r="N302" s="747"/>
    </row>
    <row r="303" spans="2:14" s="1" customFormat="1" ht="15" customHeight="1">
      <c r="B303" s="38"/>
      <c r="C303" s="822"/>
      <c r="D303" s="824"/>
      <c r="E303" s="39"/>
      <c r="F303" s="39"/>
      <c r="G303" s="38" t="s">
        <v>259</v>
      </c>
      <c r="H303" s="37" t="s">
        <v>1965</v>
      </c>
      <c r="I303" s="41"/>
      <c r="J303" s="41"/>
      <c r="K303" s="288" t="str" cm="1">
        <f t="array" ref="K303">IF(ISBLANK(J303), IF(ISBLANK(I303), "N/A", _xlfn.IFS(L303="AS", I303+15, L303="NCR", I303+30, L303="submitted", I303+30, TRUE, "N/A")), _xlfn.IFS(L303="AS", J303+15, L303="NCR", J303+30, L303="submitted", J303+30, TRUE, "N/A"))</f>
        <v>N/A</v>
      </c>
      <c r="L303" s="38"/>
      <c r="M303" s="317"/>
      <c r="N303" s="747"/>
    </row>
    <row r="304" spans="2:14" s="1" customFormat="1" ht="15" customHeight="1">
      <c r="B304" s="38"/>
      <c r="C304" s="822"/>
      <c r="D304" s="824"/>
      <c r="E304" s="39"/>
      <c r="F304" s="39"/>
      <c r="G304" s="38" t="s">
        <v>352</v>
      </c>
      <c r="H304" s="37" t="s">
        <v>365</v>
      </c>
      <c r="I304" s="41"/>
      <c r="J304" s="41"/>
      <c r="K304" s="288" t="str" cm="1">
        <f t="array" ref="K304">IF(ISBLANK(J304), IF(ISBLANK(I304), "N/A", _xlfn.IFS(L304="AS", I304+15, L304="NCR", I304+30, L304="submitted", I304+30, TRUE, "N/A")), _xlfn.IFS(L304="AS", J304+15, L304="NCR", J304+30, L304="submitted", J304+30, TRUE, "N/A"))</f>
        <v>N/A</v>
      </c>
      <c r="L304" s="38"/>
      <c r="M304" s="317"/>
      <c r="N304" s="747"/>
    </row>
    <row r="305" spans="2:14" s="1" customFormat="1" ht="15" customHeight="1">
      <c r="B305" s="38"/>
      <c r="C305" s="822"/>
      <c r="D305" s="824"/>
      <c r="E305" s="39"/>
      <c r="F305" s="39"/>
      <c r="G305" s="38" t="s">
        <v>354</v>
      </c>
      <c r="H305" s="40" t="s">
        <v>1966</v>
      </c>
      <c r="I305" s="41"/>
      <c r="J305" s="41"/>
      <c r="K305" s="288" t="str" cm="1">
        <f t="array" ref="K305">IF(ISBLANK(J305), IF(ISBLANK(I305), "N/A", _xlfn.IFS(L305="AS", I305+15, L305="NCR", I305+30, L305="submitted", I305+30, TRUE, "N/A")), _xlfn.IFS(L305="AS", J305+15, L305="NCR", J305+30, L305="submitted", J305+30, TRUE, "N/A"))</f>
        <v>N/A</v>
      </c>
      <c r="L305" s="38"/>
      <c r="M305" s="318"/>
      <c r="N305" s="747"/>
    </row>
    <row r="306" spans="2:14" s="1" customFormat="1" ht="15" customHeight="1">
      <c r="B306" s="38"/>
      <c r="C306" s="822"/>
      <c r="D306" s="824"/>
      <c r="E306" s="39"/>
      <c r="F306" s="39"/>
      <c r="G306" s="38" t="s">
        <v>356</v>
      </c>
      <c r="H306" s="40" t="s">
        <v>1967</v>
      </c>
      <c r="I306" s="41"/>
      <c r="J306" s="41"/>
      <c r="K306" s="288" t="str" cm="1">
        <f t="array" ref="K306">IF(ISBLANK(J306), IF(ISBLANK(I306), "N/A", _xlfn.IFS(L306="AS", I306+15, L306="NCR", I306+30, L306="submitted", I306+30, TRUE, "N/A")), _xlfn.IFS(L306="AS", J306+15, L306="NCR", J306+30, L306="submitted", J306+30, TRUE, "N/A"))</f>
        <v>N/A</v>
      </c>
      <c r="L306" s="38"/>
      <c r="M306" s="317"/>
      <c r="N306" s="747"/>
    </row>
    <row r="307" spans="2:14" s="94" customFormat="1" ht="27" customHeight="1">
      <c r="B307" s="90"/>
      <c r="C307" s="900"/>
      <c r="D307" s="901"/>
      <c r="E307" s="91"/>
      <c r="F307" s="91"/>
      <c r="G307" s="90" t="s">
        <v>358</v>
      </c>
      <c r="H307" s="92" t="s">
        <v>1968</v>
      </c>
      <c r="I307" s="93"/>
      <c r="J307" s="93"/>
      <c r="K307" s="288" t="str" cm="1">
        <f t="array" ref="K307">IF(ISBLANK(J307), IF(ISBLANK(I307), "N/A", _xlfn.IFS(L307="AS", I307+15, L307="NCR", I307+30, L307="submitted", I307+30, TRUE, "N/A")), _xlfn.IFS(L307="AS", J307+15, L307="NCR", J307+30, L307="submitted", J307+30, TRUE, "N/A"))</f>
        <v>N/A</v>
      </c>
      <c r="L307" s="90"/>
      <c r="M307" s="317"/>
      <c r="N307" s="747"/>
    </row>
    <row r="308" spans="2:14" s="5" customFormat="1" ht="15" customHeight="1">
      <c r="B308" s="73"/>
      <c r="C308" s="95" t="s">
        <v>1969</v>
      </c>
      <c r="D308" s="36" t="s">
        <v>1970</v>
      </c>
      <c r="E308" s="36"/>
      <c r="F308" s="36"/>
      <c r="G308" s="73" t="s">
        <v>208</v>
      </c>
      <c r="H308" s="36" t="s">
        <v>1971</v>
      </c>
      <c r="I308" s="74"/>
      <c r="J308" s="74"/>
      <c r="K308" s="288" t="str" cm="1">
        <f t="array" ref="K308">IF(ISBLANK(J308), IF(ISBLANK(I308), "N/A", _xlfn.IFS(L308="AS", I308+15, L308="NCR", I308+30, L308="submitted", I308+30, TRUE, "N/A")), _xlfn.IFS(L308="AS", J308+15, L308="NCR", J308+30, L308="submitted", J308+30, TRUE, "N/A"))</f>
        <v>N/A</v>
      </c>
      <c r="L308" s="73"/>
      <c r="M308" s="317"/>
      <c r="N308" s="747"/>
    </row>
    <row r="309" spans="2:14" s="1" customFormat="1" ht="15" customHeight="1">
      <c r="B309" s="9"/>
      <c r="C309" s="821" t="s">
        <v>1972</v>
      </c>
      <c r="D309" s="823" t="s">
        <v>1973</v>
      </c>
      <c r="E309" s="37"/>
      <c r="F309" s="37"/>
      <c r="G309" s="9" t="s">
        <v>208</v>
      </c>
      <c r="H309" s="13" t="s">
        <v>1974</v>
      </c>
      <c r="I309" s="14"/>
      <c r="J309" s="14"/>
      <c r="K309" s="288" t="str" cm="1">
        <f t="array" ref="K309">IF(ISBLANK(J309), IF(ISBLANK(I309), "N/A", _xlfn.IFS(L309="AS", I309+15, L309="NCR", I309+30, L309="submitted", I309+30, TRUE, "N/A")), _xlfn.IFS(L309="AS", J309+15, L309="NCR", J309+30, L309="submitted", J309+30, TRUE, "N/A"))</f>
        <v>N/A</v>
      </c>
      <c r="L309" s="9"/>
    </row>
    <row r="310" spans="2:14" s="1" customFormat="1" ht="15" customHeight="1">
      <c r="B310" s="9"/>
      <c r="C310" s="822"/>
      <c r="D310" s="824"/>
      <c r="E310" s="39"/>
      <c r="F310" s="39"/>
      <c r="G310" s="9" t="s">
        <v>281</v>
      </c>
      <c r="H310" s="13" t="s">
        <v>1975</v>
      </c>
      <c r="I310" s="14"/>
      <c r="J310" s="14"/>
      <c r="K310" s="288" t="str" cm="1">
        <f t="array" ref="K310">IF(ISBLANK(J310), IF(ISBLANK(I310), "N/A", _xlfn.IFS(L310="AS", I310+15, L310="NCR", I310+30, L310="submitted", I310+30, TRUE, "N/A")), _xlfn.IFS(L310="AS", J310+15, L310="NCR", J310+30, L310="submitted", J310+30, TRUE, "N/A"))</f>
        <v>N/A</v>
      </c>
      <c r="L310" s="9"/>
    </row>
    <row r="311" spans="2:14" s="1" customFormat="1" ht="27" customHeight="1">
      <c r="B311" s="9"/>
      <c r="C311" s="807"/>
      <c r="D311" s="809"/>
      <c r="E311" s="46"/>
      <c r="F311" s="46"/>
      <c r="G311" s="9" t="s">
        <v>269</v>
      </c>
      <c r="H311" s="7" t="s">
        <v>1976</v>
      </c>
      <c r="I311" s="14"/>
      <c r="J311" s="14"/>
      <c r="K311" s="288" t="str" cm="1">
        <f t="array" ref="K311">IF(ISBLANK(J311), IF(ISBLANK(I311), "N/A", _xlfn.IFS(L311="AS", I311+15, L311="NCR", I311+30, L311="submitted", I311+30, TRUE, "N/A")), _xlfn.IFS(L311="AS", J311+15, L311="NCR", J311+30, L311="submitted", J311+30, TRUE, "N/A"))</f>
        <v>N/A</v>
      </c>
      <c r="L311" s="9"/>
    </row>
    <row r="312" spans="2:14" s="5" customFormat="1" ht="27" customHeight="1">
      <c r="B312" s="4"/>
      <c r="C312" s="825" t="s">
        <v>1977</v>
      </c>
      <c r="D312" s="827" t="s">
        <v>1978</v>
      </c>
      <c r="E312" s="34"/>
      <c r="F312" s="34"/>
      <c r="G312" s="4" t="s">
        <v>208</v>
      </c>
      <c r="H312" s="3" t="s">
        <v>1979</v>
      </c>
      <c r="I312" s="18"/>
      <c r="J312" s="18"/>
      <c r="K312" s="288" t="str" cm="1">
        <f t="array" ref="K312">IF(ISBLANK(J312), IF(ISBLANK(I312), "N/A", _xlfn.IFS(L312="AS", I312+15, L312="NCR", I312+30, L312="submitted", I312+30, TRUE, "N/A")), _xlfn.IFS(L312="AS", J312+15, L312="NCR", J312+30, L312="submitted", J312+30, TRUE, "N/A"))</f>
        <v>N/A</v>
      </c>
      <c r="L312" s="4"/>
    </row>
    <row r="313" spans="2:14" s="5" customFormat="1" ht="15" customHeight="1">
      <c r="B313" s="4"/>
      <c r="C313" s="826"/>
      <c r="D313" s="828"/>
      <c r="E313" s="36"/>
      <c r="F313" s="36"/>
      <c r="G313" s="4" t="s">
        <v>281</v>
      </c>
      <c r="H313" s="17" t="s">
        <v>1980</v>
      </c>
      <c r="I313" s="18"/>
      <c r="J313" s="18"/>
      <c r="K313" s="288" t="str" cm="1">
        <f t="array" ref="K313">IF(ISBLANK(J313), IF(ISBLANK(I313), "N/A", _xlfn.IFS(L313="AS", I313+15, L313="NCR", I313+30, L313="submitted", I313+30, TRUE, "N/A")), _xlfn.IFS(L313="AS", J313+15, L313="NCR", J313+30, L313="submitted", J313+30, TRUE, "N/A"))</f>
        <v>N/A</v>
      </c>
      <c r="L313" s="4"/>
    </row>
    <row r="314" spans="2:14" s="483" customFormat="1" ht="15" customHeight="1">
      <c r="B314" s="348" t="s">
        <v>44</v>
      </c>
      <c r="C314" s="552" t="s">
        <v>1981</v>
      </c>
      <c r="D314" s="351" t="s">
        <v>1982</v>
      </c>
      <c r="E314" s="480" t="s">
        <v>1278</v>
      </c>
      <c r="F314" s="480" t="s">
        <v>1983</v>
      </c>
      <c r="G314" s="348" t="s">
        <v>208</v>
      </c>
      <c r="H314" s="352" t="s">
        <v>1984</v>
      </c>
      <c r="I314" s="482">
        <v>45867</v>
      </c>
      <c r="J314" s="482">
        <v>45903</v>
      </c>
      <c r="K314" s="288" t="str" cm="1">
        <f t="array" ref="K314">IF(ISBLANK(J314), IF(ISBLANK(I314), "N/A", _xlfn.IFS(L314="AS", I314+15, L314="NCR", I314+30, L314="submitted", I314+30, TRUE, "N/A")), _xlfn.IFS(L314="AS", J314+15, L314="NCR", J314+30, L314="submitted", J314+30, TRUE, "N/A"))</f>
        <v>N/A</v>
      </c>
      <c r="L314" s="348" t="s">
        <v>638</v>
      </c>
    </row>
    <row r="315" spans="2:14" s="558" customFormat="1" ht="27" customHeight="1">
      <c r="B315" s="122"/>
      <c r="C315" s="553" t="s">
        <v>1981</v>
      </c>
      <c r="D315" s="554" t="s">
        <v>1982</v>
      </c>
      <c r="E315" s="555" t="s">
        <v>1985</v>
      </c>
      <c r="F315" s="555"/>
      <c r="G315" s="122" t="s">
        <v>281</v>
      </c>
      <c r="H315" s="556" t="s">
        <v>1986</v>
      </c>
      <c r="I315" s="557"/>
      <c r="J315" s="557"/>
      <c r="K315" s="288" t="str" cm="1">
        <f t="array" ref="K315">IF(ISBLANK(J315), IF(ISBLANK(I315), "N/A", _xlfn.IFS(L315="AS", I315+15, L315="NCR", I315+30, L315="submitted", I315+30, TRUE, "N/A")), _xlfn.IFS(L315="AS", J315+15, L315="NCR", J315+30, L315="submitted", J315+30, TRUE, "N/A"))</f>
        <v>N/A</v>
      </c>
      <c r="L315" s="122"/>
    </row>
    <row r="316" spans="2:14" s="26" customFormat="1" ht="15" customHeight="1">
      <c r="B316" s="22"/>
      <c r="C316" s="96" t="s">
        <v>1987</v>
      </c>
      <c r="D316" s="27" t="s">
        <v>1988</v>
      </c>
      <c r="E316" s="27"/>
      <c r="F316" s="27"/>
      <c r="G316" s="22" t="s">
        <v>145</v>
      </c>
      <c r="H316" s="28"/>
      <c r="I316" s="25"/>
      <c r="J316" s="25"/>
      <c r="K316" s="288" t="str" cm="1">
        <f t="array" ref="K316">IF(ISBLANK(J316), IF(ISBLANK(I316), "N/A", _xlfn.IFS(L316="AS", I316+15, L316="NCR", I316+30, L316="submitted", I316+30, TRUE, "N/A")), _xlfn.IFS(L316="AS", J316+15, L316="NCR", J316+30, L316="submitted", J316+30, TRUE, "N/A"))</f>
        <v>N/A</v>
      </c>
      <c r="L316" s="22"/>
    </row>
    <row r="317" spans="2:14" s="5" customFormat="1" ht="15" customHeight="1">
      <c r="B317" s="4"/>
      <c r="C317" s="825" t="s">
        <v>1989</v>
      </c>
      <c r="D317" s="827" t="s">
        <v>1990</v>
      </c>
      <c r="E317" s="34"/>
      <c r="F317" s="34"/>
      <c r="G317" s="4" t="s">
        <v>208</v>
      </c>
      <c r="H317" s="17" t="s">
        <v>484</v>
      </c>
      <c r="I317" s="18"/>
      <c r="J317" s="18"/>
      <c r="K317" s="288" t="str" cm="1">
        <f t="array" ref="K317">IF(ISBLANK(J317), IF(ISBLANK(I317), "N/A", _xlfn.IFS(L317="AS", I317+15, L317="NCR", I317+30, L317="submitted", I317+30, TRUE, "N/A")), _xlfn.IFS(L317="AS", J317+15, L317="NCR", J317+30, L317="submitted", J317+30, TRUE, "N/A"))</f>
        <v>N/A</v>
      </c>
      <c r="L317" s="4"/>
    </row>
    <row r="318" spans="2:14" s="5" customFormat="1" ht="15" customHeight="1">
      <c r="B318" s="4"/>
      <c r="C318" s="829"/>
      <c r="D318" s="830"/>
      <c r="E318" s="35"/>
      <c r="F318" s="35"/>
      <c r="G318" s="4" t="s">
        <v>281</v>
      </c>
      <c r="H318" s="17" t="s">
        <v>1991</v>
      </c>
      <c r="I318" s="18"/>
      <c r="J318" s="18"/>
      <c r="K318" s="288" t="str" cm="1">
        <f t="array" ref="K318">IF(ISBLANK(J318), IF(ISBLANK(I318), "N/A", _xlfn.IFS(L318="AS", I318+15, L318="NCR", I318+30, L318="submitted", I318+30, TRUE, "N/A")), _xlfn.IFS(L318="AS", J318+15, L318="NCR", J318+30, L318="submitted", J318+30, TRUE, "N/A"))</f>
        <v>N/A</v>
      </c>
      <c r="L318" s="4"/>
    </row>
    <row r="319" spans="2:14" s="5" customFormat="1" ht="15" customHeight="1">
      <c r="B319" s="4"/>
      <c r="C319" s="826"/>
      <c r="D319" s="828"/>
      <c r="E319" s="36"/>
      <c r="F319" s="36"/>
      <c r="G319" s="4" t="s">
        <v>269</v>
      </c>
      <c r="H319" s="17" t="s">
        <v>1965</v>
      </c>
      <c r="I319" s="18"/>
      <c r="J319" s="18"/>
      <c r="K319" s="288" t="str" cm="1">
        <f t="array" ref="K319">IF(ISBLANK(J319), IF(ISBLANK(I319), "N/A", _xlfn.IFS(L319="AS", I319+15, L319="NCR", I319+30, L319="submitted", I319+30, TRUE, "N/A")), _xlfn.IFS(L319="AS", J319+15, L319="NCR", J319+30, L319="submitted", J319+30, TRUE, "N/A"))</f>
        <v>N/A</v>
      </c>
      <c r="L319" s="4"/>
    </row>
    <row r="320" spans="2:14" s="1" customFormat="1" ht="27" customHeight="1">
      <c r="B320" s="9"/>
      <c r="C320" s="821" t="s">
        <v>1992</v>
      </c>
      <c r="D320" s="823" t="s">
        <v>1993</v>
      </c>
      <c r="E320" s="37"/>
      <c r="F320" s="37"/>
      <c r="G320" s="9" t="s">
        <v>208</v>
      </c>
      <c r="H320" s="7" t="s">
        <v>1994</v>
      </c>
      <c r="I320" s="14"/>
      <c r="J320" s="14"/>
      <c r="K320" s="288" t="str" cm="1">
        <f t="array" ref="K320">IF(ISBLANK(J320), IF(ISBLANK(I320), "N/A", _xlfn.IFS(L320="AS", I320+15, L320="NCR", I320+30, L320="submitted", I320+30, TRUE, "N/A")), _xlfn.IFS(L320="AS", J320+15, L320="NCR", J320+30, L320="submitted", J320+30, TRUE, "N/A"))</f>
        <v>N/A</v>
      </c>
      <c r="L320" s="9"/>
    </row>
    <row r="321" spans="2:12" s="1" customFormat="1" ht="15" customHeight="1">
      <c r="B321" s="9"/>
      <c r="C321" s="822"/>
      <c r="D321" s="824"/>
      <c r="E321" s="39"/>
      <c r="F321" s="39"/>
      <c r="G321" s="9" t="s">
        <v>281</v>
      </c>
      <c r="H321" s="13" t="s">
        <v>282</v>
      </c>
      <c r="I321" s="14"/>
      <c r="J321" s="14"/>
      <c r="K321" s="288" t="str" cm="1">
        <f t="array" ref="K321">IF(ISBLANK(J321), IF(ISBLANK(I321), "N/A", _xlfn.IFS(L321="AS", I321+15, L321="NCR", I321+30, L321="submitted", I321+30, TRUE, "N/A")), _xlfn.IFS(L321="AS", J321+15, L321="NCR", J321+30, L321="submitted", J321+30, TRUE, "N/A"))</f>
        <v>N/A</v>
      </c>
      <c r="L321" s="9"/>
    </row>
    <row r="322" spans="2:12" s="1" customFormat="1" ht="15" customHeight="1">
      <c r="B322" s="9"/>
      <c r="C322" s="822"/>
      <c r="D322" s="824"/>
      <c r="E322" s="39"/>
      <c r="F322" s="39" t="s">
        <v>161</v>
      </c>
      <c r="G322" s="9" t="s">
        <v>269</v>
      </c>
      <c r="H322" s="7" t="s">
        <v>1995</v>
      </c>
      <c r="I322" s="14"/>
      <c r="J322" s="14"/>
      <c r="K322" s="288" t="str" cm="1">
        <f t="array" ref="K322">IF(ISBLANK(J322), IF(ISBLANK(I322), "N/A", _xlfn.IFS(L322="AS", I322+15, L322="NCR", I322+30, L322="submitted", I322+30, TRUE, "N/A")), _xlfn.IFS(L322="AS", J322+15, L322="NCR", J322+30, L322="submitted", J322+30, TRUE, "N/A"))</f>
        <v>N/A</v>
      </c>
      <c r="L322" s="9"/>
    </row>
    <row r="323" spans="2:12" s="1" customFormat="1" ht="27" customHeight="1">
      <c r="B323" s="9"/>
      <c r="C323" s="822"/>
      <c r="D323" s="824"/>
      <c r="E323" s="39"/>
      <c r="F323" s="39"/>
      <c r="G323" s="9" t="s">
        <v>259</v>
      </c>
      <c r="H323" s="7" t="s">
        <v>1996</v>
      </c>
      <c r="I323" s="14"/>
      <c r="J323" s="14"/>
      <c r="K323" s="288" t="str" cm="1">
        <f t="array" ref="K323">IF(ISBLANK(J323), IF(ISBLANK(I323), "N/A", _xlfn.IFS(L323="AS", I323+15, L323="NCR", I323+30, L323="submitted", I323+30, TRUE, "N/A")), _xlfn.IFS(L323="AS", J323+15, L323="NCR", J323+30, L323="submitted", J323+30, TRUE, "N/A"))</f>
        <v>N/A</v>
      </c>
      <c r="L323" s="9"/>
    </row>
    <row r="324" spans="2:12" s="1" customFormat="1" ht="15" customHeight="1">
      <c r="B324" s="9"/>
      <c r="C324" s="807"/>
      <c r="D324" s="809"/>
      <c r="E324" s="46"/>
      <c r="F324" s="46"/>
      <c r="G324" s="9" t="s">
        <v>352</v>
      </c>
      <c r="H324" s="13" t="s">
        <v>1870</v>
      </c>
      <c r="I324" s="14"/>
      <c r="J324" s="14"/>
      <c r="K324" s="288" t="str" cm="1">
        <f t="array" ref="K324">IF(ISBLANK(J324), IF(ISBLANK(I324), "N/A", _xlfn.IFS(L324="AS", I324+15, L324="NCR", I324+30, L324="submitted", I324+30, TRUE, "N/A")), _xlfn.IFS(L324="AS", J324+15, L324="NCR", J324+30, L324="submitted", J324+30, TRUE, "N/A"))</f>
        <v>N/A</v>
      </c>
      <c r="L324" s="9"/>
    </row>
    <row r="325" spans="2:12" s="652" customFormat="1" ht="27" customHeight="1">
      <c r="B325" s="187" t="s">
        <v>48</v>
      </c>
      <c r="C325" s="892" t="s">
        <v>1997</v>
      </c>
      <c r="D325" s="895" t="s">
        <v>1998</v>
      </c>
      <c r="E325" s="647" t="s">
        <v>49</v>
      </c>
      <c r="F325" s="647"/>
      <c r="G325" s="187" t="s">
        <v>134</v>
      </c>
      <c r="H325" s="648" t="s">
        <v>1999</v>
      </c>
      <c r="I325" s="649">
        <v>45854</v>
      </c>
      <c r="J325" s="649">
        <v>45922</v>
      </c>
      <c r="K325" s="288" cm="1">
        <f t="array" ref="K325">IF(ISBLANK(J325), IF(ISBLANK(I325), "N/A", _xlfn.IFS(L325="AS", I325+15, L325="NCR", I325+30, L325="submitted", I325+30, TRUE, "N/A")), _xlfn.IFS(L325="AS", J325+15, L325="NCR", J325+30, L325="submitted", J325+30, TRUE, "N/A"))</f>
        <v>45952</v>
      </c>
      <c r="L325" s="187" t="s">
        <v>157</v>
      </c>
    </row>
    <row r="326" spans="2:12" s="652" customFormat="1" ht="27" customHeight="1">
      <c r="B326" s="187" t="s">
        <v>48</v>
      </c>
      <c r="C326" s="893"/>
      <c r="D326" s="896"/>
      <c r="E326" s="671"/>
      <c r="F326" s="671"/>
      <c r="G326" s="187" t="s">
        <v>136</v>
      </c>
      <c r="H326" s="648" t="s">
        <v>2000</v>
      </c>
      <c r="I326" s="649">
        <v>45854</v>
      </c>
      <c r="J326" s="649">
        <v>45922</v>
      </c>
      <c r="K326" s="288" cm="1">
        <f t="array" ref="K326">IF(ISBLANK(J326), IF(ISBLANK(I326), "N/A", _xlfn.IFS(L326="AS", I326+15, L326="NCR", I326+30, L326="submitted", I326+30, TRUE, "N/A")), _xlfn.IFS(L326="AS", J326+15, L326="NCR", J326+30, L326="submitted", J326+30, TRUE, "N/A"))</f>
        <v>45952</v>
      </c>
      <c r="L326" s="187" t="s">
        <v>157</v>
      </c>
    </row>
    <row r="327" spans="2:12" s="652" customFormat="1" ht="27" customHeight="1">
      <c r="B327" s="187" t="s">
        <v>48</v>
      </c>
      <c r="C327" s="893"/>
      <c r="D327" s="896"/>
      <c r="E327" s="647" t="s">
        <v>49</v>
      </c>
      <c r="F327" s="671"/>
      <c r="G327" s="187" t="s">
        <v>138</v>
      </c>
      <c r="H327" s="648" t="s">
        <v>2001</v>
      </c>
      <c r="I327" s="649">
        <v>45854</v>
      </c>
      <c r="J327" s="649">
        <v>45922</v>
      </c>
      <c r="K327" s="288" cm="1">
        <f t="array" ref="K327">IF(ISBLANK(J327), IF(ISBLANK(I327), "N/A", _xlfn.IFS(L327="AS", I327+15, L327="NCR", I327+30, L327="submitted", I327+30, TRUE, "N/A")), _xlfn.IFS(L327="AS", J327+15, L327="NCR", J327+30, L327="submitted", J327+30, TRUE, "N/A"))</f>
        <v>45952</v>
      </c>
      <c r="L327" s="187" t="s">
        <v>157</v>
      </c>
    </row>
    <row r="328" spans="2:12" s="652" customFormat="1" ht="27" customHeight="1">
      <c r="B328" s="187" t="s">
        <v>48</v>
      </c>
      <c r="C328" s="893"/>
      <c r="D328" s="896"/>
      <c r="E328" s="647" t="s">
        <v>49</v>
      </c>
      <c r="F328" s="671" t="s">
        <v>161</v>
      </c>
      <c r="G328" s="187" t="s">
        <v>166</v>
      </c>
      <c r="H328" s="648" t="s">
        <v>2002</v>
      </c>
      <c r="I328" s="649">
        <v>45854</v>
      </c>
      <c r="J328" s="649">
        <v>45922</v>
      </c>
      <c r="K328" s="288" cm="1">
        <f t="array" ref="K328">IF(ISBLANK(J328), IF(ISBLANK(I328), "N/A", _xlfn.IFS(L328="AS", I328+15, L328="NCR", I328+30, L328="submitted", I328+30, TRUE, "N/A")), _xlfn.IFS(L328="AS", J328+15, L328="NCR", J328+30, L328="submitted", J328+30, TRUE, "N/A"))</f>
        <v>45952</v>
      </c>
      <c r="L328" s="187" t="s">
        <v>157</v>
      </c>
    </row>
    <row r="329" spans="2:12" s="652" customFormat="1" ht="27" customHeight="1">
      <c r="B329" s="187" t="s">
        <v>48</v>
      </c>
      <c r="C329" s="894"/>
      <c r="D329" s="897"/>
      <c r="E329" s="647" t="s">
        <v>49</v>
      </c>
      <c r="F329" s="672"/>
      <c r="G329" s="187" t="s">
        <v>169</v>
      </c>
      <c r="H329" s="648" t="s">
        <v>2003</v>
      </c>
      <c r="I329" s="649">
        <v>45854</v>
      </c>
      <c r="J329" s="649">
        <v>45922</v>
      </c>
      <c r="K329" s="288" cm="1">
        <f t="array" ref="K329">IF(ISBLANK(J329), IF(ISBLANK(I329), "N/A", _xlfn.IFS(L329="AS", I329+15, L329="NCR", I329+30, L329="submitted", I329+30, TRUE, "N/A")), _xlfn.IFS(L329="AS", J329+15, L329="NCR", J329+30, L329="submitted", J329+30, TRUE, "N/A"))</f>
        <v>45952</v>
      </c>
      <c r="L329" s="187" t="s">
        <v>157</v>
      </c>
    </row>
    <row r="330" spans="2:12" s="138" customFormat="1" ht="27" customHeight="1">
      <c r="B330" s="151" t="s">
        <v>50</v>
      </c>
      <c r="C330" s="169" t="s">
        <v>2004</v>
      </c>
      <c r="D330" s="388" t="s">
        <v>2005</v>
      </c>
      <c r="E330" s="155" t="s">
        <v>2006</v>
      </c>
      <c r="F330" s="536"/>
      <c r="G330" s="151" t="s">
        <v>131</v>
      </c>
      <c r="H330" s="152" t="s">
        <v>484</v>
      </c>
      <c r="I330" s="261">
        <v>45854</v>
      </c>
      <c r="J330" s="261">
        <v>45922</v>
      </c>
      <c r="K330" s="288" t="str" cm="1">
        <f t="array" ref="K330">IF(ISBLANK(J330), IF(ISBLANK(I330), "N/A", _xlfn.IFS(L330="AS", I330+15, L330="NCR", I330+30, L330="submitted", I330+30, TRUE, "N/A")), _xlfn.IFS(L330="AS", J330+15, L330="NCR", J330+30, L330="submitted", J330+30, TRUE, "N/A"))</f>
        <v>N/A</v>
      </c>
      <c r="L330" s="151" t="s">
        <v>638</v>
      </c>
    </row>
    <row r="331" spans="2:12" s="5" customFormat="1" ht="15" customHeight="1">
      <c r="B331" s="4"/>
      <c r="C331" s="54" t="s">
        <v>2004</v>
      </c>
      <c r="D331" s="345" t="s">
        <v>2005</v>
      </c>
      <c r="E331" s="157"/>
      <c r="F331" s="308"/>
      <c r="G331" s="4" t="s">
        <v>131</v>
      </c>
      <c r="H331" s="17" t="s">
        <v>484</v>
      </c>
      <c r="I331" s="18"/>
      <c r="J331" s="18"/>
      <c r="K331" s="288" t="str" cm="1">
        <f t="array" ref="K331">IF(ISBLANK(J331), IF(ISBLANK(I331), "N/A", _xlfn.IFS(L331="AS", I331+15, L331="NCR", I331+30, L331="submitted", I331+30, TRUE, "N/A")), _xlfn.IFS(L331="AS", J331+15, L331="NCR", J331+30, L331="submitted", J331+30, TRUE, "N/A"))</f>
        <v>N/A</v>
      </c>
      <c r="L331" s="4"/>
    </row>
    <row r="332" spans="2:12" s="5" customFormat="1" ht="15" customHeight="1">
      <c r="B332" s="4"/>
      <c r="C332" s="54" t="s">
        <v>2004</v>
      </c>
      <c r="D332" s="345" t="s">
        <v>2005</v>
      </c>
      <c r="E332" s="143"/>
      <c r="F332" s="309"/>
      <c r="G332" s="4" t="s">
        <v>134</v>
      </c>
      <c r="H332" s="3" t="s">
        <v>2007</v>
      </c>
      <c r="I332" s="18"/>
      <c r="J332" s="18"/>
      <c r="K332" s="288" t="str" cm="1">
        <f t="array" ref="K332">IF(ISBLANK(J332), IF(ISBLANK(I332), "N/A", _xlfn.IFS(L332="AS", I332+15, L332="NCR", I332+30, L332="submitted", I332+30, TRUE, "N/A")), _xlfn.IFS(L332="AS", J332+15, L332="NCR", J332+30, L332="submitted", J332+30, TRUE, "N/A"))</f>
        <v>N/A</v>
      </c>
      <c r="L332" s="4"/>
    </row>
    <row r="333" spans="2:12" s="1" customFormat="1" ht="15" customHeight="1">
      <c r="B333" s="9"/>
      <c r="C333" s="821" t="s">
        <v>2008</v>
      </c>
      <c r="D333" s="823" t="s">
        <v>2009</v>
      </c>
      <c r="E333" s="39"/>
      <c r="F333" s="37"/>
      <c r="G333" s="9" t="s">
        <v>208</v>
      </c>
      <c r="H333" s="13" t="s">
        <v>484</v>
      </c>
      <c r="I333" s="14"/>
      <c r="J333" s="14"/>
      <c r="K333" s="288" t="str" cm="1">
        <f t="array" ref="K333">IF(ISBLANK(J333), IF(ISBLANK(I333), "N/A", _xlfn.IFS(L333="AS", I333+15, L333="NCR", I333+30, L333="submitted", I333+30, TRUE, "N/A")), _xlfn.IFS(L333="AS", J333+15, L333="NCR", J333+30, L333="submitted", J333+30, TRUE, "N/A"))</f>
        <v>N/A</v>
      </c>
      <c r="L333" s="9"/>
    </row>
    <row r="334" spans="2:12" s="1" customFormat="1" ht="15" customHeight="1">
      <c r="B334" s="9"/>
      <c r="C334" s="822"/>
      <c r="D334" s="824"/>
      <c r="E334" s="39"/>
      <c r="F334" s="39"/>
      <c r="G334" s="9" t="s">
        <v>281</v>
      </c>
      <c r="H334" s="13" t="s">
        <v>282</v>
      </c>
      <c r="I334" s="14"/>
      <c r="J334" s="14"/>
      <c r="K334" s="288" t="str" cm="1">
        <f t="array" ref="K334">IF(ISBLANK(J334), IF(ISBLANK(I334), "N/A", _xlfn.IFS(L334="AS", I334+15, L334="NCR", I334+30, L334="submitted", I334+30, TRUE, "N/A")), _xlfn.IFS(L334="AS", J334+15, L334="NCR", J334+30, L334="submitted", J334+30, TRUE, "N/A"))</f>
        <v>N/A</v>
      </c>
      <c r="L334" s="9"/>
    </row>
    <row r="335" spans="2:12" s="1" customFormat="1" ht="15" customHeight="1">
      <c r="B335" s="9"/>
      <c r="C335" s="822"/>
      <c r="D335" s="824"/>
      <c r="E335" s="39"/>
      <c r="F335" s="39"/>
      <c r="G335" s="9" t="s">
        <v>269</v>
      </c>
      <c r="H335" s="7" t="s">
        <v>2010</v>
      </c>
      <c r="I335" s="14"/>
      <c r="J335" s="14"/>
      <c r="K335" s="288" t="str" cm="1">
        <f t="array" ref="K335">IF(ISBLANK(J335), IF(ISBLANK(I335), "N/A", _xlfn.IFS(L335="AS", I335+15, L335="NCR", I335+30, L335="submitted", I335+30, TRUE, "N/A")), _xlfn.IFS(L335="AS", J335+15, L335="NCR", J335+30, L335="submitted", J335+30, TRUE, "N/A"))</f>
        <v>N/A</v>
      </c>
      <c r="L335" s="9"/>
    </row>
    <row r="336" spans="2:12" s="1" customFormat="1" ht="15" customHeight="1">
      <c r="B336" s="9"/>
      <c r="C336" s="807"/>
      <c r="D336" s="809"/>
      <c r="E336" s="46"/>
      <c r="F336" s="46"/>
      <c r="G336" s="9" t="s">
        <v>259</v>
      </c>
      <c r="H336" s="13" t="s">
        <v>341</v>
      </c>
      <c r="I336" s="14"/>
      <c r="J336" s="14"/>
      <c r="K336" s="288" t="str" cm="1">
        <f t="array" ref="K336">IF(ISBLANK(J336), IF(ISBLANK(I336), "N/A", _xlfn.IFS(L336="AS", I336+15, L336="NCR", I336+30, L336="submitted", I336+30, TRUE, "N/A")), _xlfn.IFS(L336="AS", J336+15, L336="NCR", J336+30, L336="submitted", J336+30, TRUE, "N/A"))</f>
        <v>N/A</v>
      </c>
      <c r="L336" s="9"/>
    </row>
    <row r="337" spans="2:12" s="26" customFormat="1" ht="46.5" customHeight="1">
      <c r="B337" s="22" t="s">
        <v>2011</v>
      </c>
      <c r="C337" s="128" t="s">
        <v>2012</v>
      </c>
      <c r="D337" s="129" t="s">
        <v>2013</v>
      </c>
      <c r="E337" s="27" t="s">
        <v>2014</v>
      </c>
      <c r="F337" s="76" t="s">
        <v>524</v>
      </c>
      <c r="G337" s="22" t="s">
        <v>208</v>
      </c>
      <c r="H337" s="28" t="s">
        <v>2015</v>
      </c>
      <c r="I337" s="25">
        <v>45912</v>
      </c>
      <c r="J337" s="25">
        <v>45926</v>
      </c>
      <c r="K337" s="288" cm="1">
        <f t="array" ref="K337">IF(ISBLANK(J337), IF(ISBLANK(I337), "N/A", _xlfn.IFS(L337="AS", I337+15, L337="NCR", I337+30, L337="submitted", I337+30, TRUE, "N/A")), _xlfn.IFS(L337="AS", J337+15, L337="NCR", J337+30, L337="submitted", J337+30, TRUE, "N/A"))</f>
        <v>45956</v>
      </c>
      <c r="L337" s="22" t="s">
        <v>157</v>
      </c>
    </row>
    <row r="338" spans="2:12" s="26" customFormat="1" ht="61.5" customHeight="1">
      <c r="B338" s="22"/>
      <c r="C338" s="128" t="s">
        <v>2012</v>
      </c>
      <c r="D338" s="358" t="s">
        <v>2013</v>
      </c>
      <c r="E338" s="202"/>
      <c r="F338" s="202"/>
      <c r="G338" s="203" t="s">
        <v>281</v>
      </c>
      <c r="H338" s="28" t="s">
        <v>2016</v>
      </c>
      <c r="I338" s="25"/>
      <c r="J338" s="25"/>
      <c r="K338" s="288" t="str" cm="1">
        <f t="array" ref="K338">IF(ISBLANK(J338), IF(ISBLANK(I338), "N/A", _xlfn.IFS(L338="AS", I338+15, L338="NCR", I338+30, L338="submitted", I338+30, TRUE, "N/A")), _xlfn.IFS(L338="AS", J338+15, L338="NCR", J338+30, L338="submitted", J338+30, TRUE, "N/A"))</f>
        <v>N/A</v>
      </c>
      <c r="L338" s="22"/>
    </row>
    <row r="339" spans="2:12" s="26" customFormat="1" ht="30.75" customHeight="1">
      <c r="B339" s="22"/>
      <c r="C339" s="128" t="s">
        <v>2012</v>
      </c>
      <c r="D339" s="358" t="s">
        <v>2013</v>
      </c>
      <c r="E339" s="625"/>
      <c r="F339" s="202"/>
      <c r="G339" s="203" t="s">
        <v>269</v>
      </c>
      <c r="H339" s="28" t="s">
        <v>2017</v>
      </c>
      <c r="I339" s="25"/>
      <c r="J339" s="25"/>
      <c r="K339" s="288" t="str" cm="1">
        <f t="array" ref="K339">IF(ISBLANK(J339), IF(ISBLANK(I339), "N/A", _xlfn.IFS(L339="AS", I339+15, L339="NCR", I339+30, L339="submitted", I339+30, TRUE, "N/A")), _xlfn.IFS(L339="AS", J339+15, L339="NCR", J339+30, L339="submitted", J339+30, TRUE, "N/A"))</f>
        <v>N/A</v>
      </c>
      <c r="L339" s="22"/>
    </row>
    <row r="340" spans="2:12" s="26" customFormat="1" ht="53.25" customHeight="1">
      <c r="B340" s="22" t="s">
        <v>2011</v>
      </c>
      <c r="C340" s="128" t="s">
        <v>2012</v>
      </c>
      <c r="D340" s="358" t="s">
        <v>2013</v>
      </c>
      <c r="E340" s="202" t="s">
        <v>2014</v>
      </c>
      <c r="F340" s="587" t="s">
        <v>524</v>
      </c>
      <c r="G340" s="22" t="s">
        <v>259</v>
      </c>
      <c r="H340" s="28" t="s">
        <v>2018</v>
      </c>
      <c r="I340" s="25">
        <v>45912</v>
      </c>
      <c r="J340" s="25">
        <v>45926</v>
      </c>
      <c r="K340" s="288" cm="1">
        <f t="array" ref="K340">IF(ISBLANK(J340), IF(ISBLANK(I340), "N/A", _xlfn.IFS(L340="AS", I340+15, L340="NCR", I340+30, L340="submitted", I340+30, TRUE, "N/A")), _xlfn.IFS(L340="AS", J340+15, L340="NCR", J340+30, L340="submitted", J340+30, TRUE, "N/A"))</f>
        <v>45956</v>
      </c>
      <c r="L340" s="22" t="s">
        <v>157</v>
      </c>
    </row>
    <row r="341" spans="2:12" s="26" customFormat="1" ht="65.25" customHeight="1">
      <c r="B341" s="22" t="s">
        <v>2011</v>
      </c>
      <c r="C341" s="128" t="s">
        <v>2012</v>
      </c>
      <c r="D341" s="358" t="s">
        <v>2013</v>
      </c>
      <c r="E341" s="202" t="s">
        <v>2014</v>
      </c>
      <c r="F341" s="359" t="s">
        <v>524</v>
      </c>
      <c r="G341" s="22" t="s">
        <v>352</v>
      </c>
      <c r="H341" s="28" t="s">
        <v>2019</v>
      </c>
      <c r="I341" s="25">
        <v>45912</v>
      </c>
      <c r="J341" s="25">
        <v>45926</v>
      </c>
      <c r="K341" s="288" cm="1">
        <f t="array" ref="K341">IF(ISBLANK(J341), IF(ISBLANK(I341), "N/A", _xlfn.IFS(L341="AS", I341+15, L341="NCR", I341+30, L341="submitted", I341+30, TRUE, "N/A")), _xlfn.IFS(L341="AS", J341+15, L341="NCR", J341+30, L341="submitted", J341+30, TRUE, "N/A"))</f>
        <v>45956</v>
      </c>
      <c r="L341" s="22" t="s">
        <v>157</v>
      </c>
    </row>
    <row r="342" spans="2:12" s="26" customFormat="1" ht="27" customHeight="1">
      <c r="B342" s="22" t="s">
        <v>2011</v>
      </c>
      <c r="C342" s="128" t="s">
        <v>2012</v>
      </c>
      <c r="D342" s="358" t="s">
        <v>2013</v>
      </c>
      <c r="E342" s="202" t="s">
        <v>2014</v>
      </c>
      <c r="F342" s="359" t="s">
        <v>524</v>
      </c>
      <c r="G342" s="22" t="s">
        <v>354</v>
      </c>
      <c r="H342" s="28" t="s">
        <v>2020</v>
      </c>
      <c r="I342" s="25">
        <v>45912</v>
      </c>
      <c r="J342" s="25">
        <v>45926</v>
      </c>
      <c r="K342" s="288" cm="1">
        <f t="array" ref="K342">IF(ISBLANK(J342), IF(ISBLANK(I342), "N/A", _xlfn.IFS(L342="AS", I342+15, L342="NCR", I342+30, L342="submitted", I342+30, TRUE, "N/A")), _xlfn.IFS(L342="AS", J342+15, L342="NCR", J342+30, L342="submitted", J342+30, TRUE, "N/A"))</f>
        <v>45956</v>
      </c>
      <c r="L342" s="22" t="s">
        <v>157</v>
      </c>
    </row>
    <row r="343" spans="2:12" s="138" customFormat="1" ht="15" customHeight="1">
      <c r="B343" s="151" t="s">
        <v>2021</v>
      </c>
      <c r="C343" s="169" t="s">
        <v>2022</v>
      </c>
      <c r="D343" s="260" t="s">
        <v>2023</v>
      </c>
      <c r="E343" s="518" t="s">
        <v>2023</v>
      </c>
      <c r="F343" s="168" t="s">
        <v>2024</v>
      </c>
      <c r="G343" s="151" t="s">
        <v>281</v>
      </c>
      <c r="H343" s="152" t="s">
        <v>282</v>
      </c>
      <c r="I343" s="261">
        <v>45908</v>
      </c>
      <c r="J343" s="261"/>
      <c r="K343" s="288" t="str" cm="1">
        <f t="array" ref="K343">IF(ISBLANK(J343), IF(ISBLANK(I343), "N/A", _xlfn.IFS(L343="AS", I343+15, L343="NCR", I343+30, L343="submitted", I343+30, TRUE, "N/A")), _xlfn.IFS(L343="AS", J343+15, L343="NCR", J343+30, L343="submitted", J343+30, TRUE, "N/A"))</f>
        <v>N/A</v>
      </c>
      <c r="L343" s="151" t="s">
        <v>638</v>
      </c>
    </row>
    <row r="344" spans="2:12" s="138" customFormat="1" ht="54.75" customHeight="1">
      <c r="B344" s="151" t="s">
        <v>2021</v>
      </c>
      <c r="C344" s="169" t="s">
        <v>2022</v>
      </c>
      <c r="D344" s="260" t="s">
        <v>2023</v>
      </c>
      <c r="E344" s="346" t="s">
        <v>2023</v>
      </c>
      <c r="F344" s="168" t="s">
        <v>2024</v>
      </c>
      <c r="G344" s="151" t="s">
        <v>269</v>
      </c>
      <c r="H344" s="153" t="s">
        <v>2025</v>
      </c>
      <c r="I344" s="261">
        <v>45908</v>
      </c>
      <c r="J344" s="261"/>
      <c r="K344" s="288" t="str" cm="1">
        <f t="array" ref="K344">IF(ISBLANK(J344), IF(ISBLANK(I344), "N/A", _xlfn.IFS(L344="AS", I344+15, L344="NCR", I344+30, L344="submitted", I344+30, TRUE, "N/A")), _xlfn.IFS(L344="AS", J344+15, L344="NCR", J344+30, L344="submitted", J344+30, TRUE, "N/A"))</f>
        <v>N/A</v>
      </c>
      <c r="L344" s="151" t="s">
        <v>638</v>
      </c>
    </row>
    <row r="345" spans="2:12" s="676" customFormat="1" ht="53.25" customHeight="1">
      <c r="B345" s="673"/>
      <c r="C345" s="674" t="s">
        <v>2022</v>
      </c>
      <c r="D345" s="675" t="s">
        <v>2023</v>
      </c>
      <c r="F345" s="676" t="s">
        <v>161</v>
      </c>
      <c r="G345" s="673" t="s">
        <v>259</v>
      </c>
      <c r="H345" s="677" t="s">
        <v>2026</v>
      </c>
      <c r="I345" s="678"/>
      <c r="J345" s="678"/>
      <c r="K345" s="288" t="str" cm="1">
        <f t="array" ref="K345">IF(ISBLANK(J345), IF(ISBLANK(I345), "N/A", _xlfn.IFS(L345="AS", I345+15, L345="NCR", I345+30, L345="submitted", I345+30, TRUE, "N/A")), _xlfn.IFS(L345="AS", J345+15, L345="NCR", J345+30, L345="submitted", J345+30, TRUE, "N/A"))</f>
        <v>N/A</v>
      </c>
      <c r="L345" s="673"/>
    </row>
    <row r="346" spans="2:12" s="138" customFormat="1" ht="45" customHeight="1">
      <c r="B346" s="151" t="s">
        <v>2021</v>
      </c>
      <c r="C346" s="169" t="s">
        <v>2022</v>
      </c>
      <c r="D346" s="260" t="s">
        <v>2023</v>
      </c>
      <c r="E346" s="346" t="s">
        <v>2023</v>
      </c>
      <c r="F346" s="168" t="s">
        <v>2024</v>
      </c>
      <c r="G346" s="151" t="s">
        <v>352</v>
      </c>
      <c r="H346" s="153" t="s">
        <v>2027</v>
      </c>
      <c r="I346" s="261">
        <v>45908</v>
      </c>
      <c r="J346" s="261"/>
      <c r="K346" s="288" t="str" cm="1">
        <f t="array" ref="K346">IF(ISBLANK(J346), IF(ISBLANK(I346), "N/A", _xlfn.IFS(L346="AS", I346+15, L346="NCR", I346+30, L346="submitted", I346+30, TRUE, "N/A")), _xlfn.IFS(L346="AS", J346+15, L346="NCR", J346+30, L346="submitted", J346+30, TRUE, "N/A"))</f>
        <v>N/A</v>
      </c>
      <c r="L346" s="151" t="s">
        <v>638</v>
      </c>
    </row>
    <row r="347" spans="2:12" s="1" customFormat="1" ht="15" customHeight="1">
      <c r="B347" s="9"/>
      <c r="C347" s="47" t="s">
        <v>2028</v>
      </c>
      <c r="D347" s="2" t="s">
        <v>2029</v>
      </c>
      <c r="E347" s="37"/>
      <c r="F347" s="37"/>
      <c r="G347" s="9" t="s">
        <v>2030</v>
      </c>
      <c r="H347" s="13" t="s">
        <v>2031</v>
      </c>
      <c r="I347" s="14"/>
      <c r="J347" s="14"/>
      <c r="K347" s="288" t="str" cm="1">
        <f t="array" ref="K347">IF(ISBLANK(J347), IF(ISBLANK(I347), "N/A", _xlfn.IFS(L347="AS", I347+15, L347="NCR", I347+30, L347="submitted", I347+30, TRUE, "N/A")), _xlfn.IFS(L347="AS", J347+15, L347="NCR", J347+30, L347="submitted", J347+30, TRUE, "N/A"))</f>
        <v>N/A</v>
      </c>
      <c r="L347" s="9"/>
    </row>
    <row r="348" spans="2:12" s="1" customFormat="1" ht="15" customHeight="1">
      <c r="B348" s="38"/>
      <c r="C348" s="47" t="s">
        <v>2028</v>
      </c>
      <c r="D348" s="2" t="s">
        <v>2029</v>
      </c>
      <c r="E348" s="39"/>
      <c r="F348" s="39"/>
      <c r="G348" s="38" t="s">
        <v>1760</v>
      </c>
      <c r="H348" s="37" t="s">
        <v>2032</v>
      </c>
      <c r="I348" s="41"/>
      <c r="J348" s="41"/>
      <c r="K348" s="288" t="str" cm="1">
        <f t="array" ref="K348">IF(ISBLANK(J348), IF(ISBLANK(I348), "N/A", _xlfn.IFS(L348="AS", I348+15, L348="NCR", I348+30, L348="submitted", I348+30, TRUE, "N/A")), _xlfn.IFS(L348="AS", J348+15, L348="NCR", J348+30, L348="submitted", J348+30, TRUE, "N/A"))</f>
        <v>N/A</v>
      </c>
      <c r="L348" s="38"/>
    </row>
    <row r="349" spans="2:12" s="1" customFormat="1" ht="15" customHeight="1">
      <c r="B349" s="38"/>
      <c r="C349" s="47" t="s">
        <v>2028</v>
      </c>
      <c r="D349" s="2" t="s">
        <v>2029</v>
      </c>
      <c r="E349" s="39"/>
      <c r="F349" s="39"/>
      <c r="G349" s="38" t="s">
        <v>2033</v>
      </c>
      <c r="H349" s="37" t="s">
        <v>2034</v>
      </c>
      <c r="I349" s="41"/>
      <c r="J349" s="41"/>
      <c r="K349" s="288" t="str" cm="1">
        <f t="array" ref="K349">IF(ISBLANK(J349), IF(ISBLANK(I349), "N/A", _xlfn.IFS(L349="AS", I349+15, L349="NCR", I349+30, L349="submitted", I349+30, TRUE, "N/A")), _xlfn.IFS(L349="AS", J349+15, L349="NCR", J349+30, L349="submitted", J349+30, TRUE, "N/A"))</f>
        <v>N/A</v>
      </c>
      <c r="L349" s="38"/>
    </row>
    <row r="350" spans="2:12" s="26" customFormat="1" ht="15" customHeight="1">
      <c r="B350" s="99" t="s">
        <v>2035</v>
      </c>
      <c r="C350" s="128" t="s">
        <v>2028</v>
      </c>
      <c r="D350" s="129" t="s">
        <v>2029</v>
      </c>
      <c r="E350" s="27" t="s">
        <v>2036</v>
      </c>
      <c r="F350" s="27"/>
      <c r="G350" s="99" t="s">
        <v>2037</v>
      </c>
      <c r="H350" s="76" t="s">
        <v>235</v>
      </c>
      <c r="I350" s="608">
        <v>45909</v>
      </c>
      <c r="J350" s="608"/>
      <c r="K350" s="288" cm="1">
        <f t="array" ref="K350">IF(ISBLANK(J350), IF(ISBLANK(I350), "N/A", _xlfn.IFS(L350="AS", I350+15, L350="NCR", I350+30, L350="submitted", I350+30, TRUE, "N/A")), _xlfn.IFS(L350="AS", J350+15, L350="NCR", J350+30, L350="submitted", J350+30, TRUE, "N/A"))</f>
        <v>45939</v>
      </c>
      <c r="L350" s="99" t="s">
        <v>581</v>
      </c>
    </row>
    <row r="351" spans="2:12" s="1" customFormat="1" ht="15" customHeight="1">
      <c r="B351" s="38"/>
      <c r="C351" s="47" t="s">
        <v>2028</v>
      </c>
      <c r="D351" s="2" t="s">
        <v>2029</v>
      </c>
      <c r="E351" s="39"/>
      <c r="F351" s="39"/>
      <c r="G351" s="38" t="s">
        <v>2038</v>
      </c>
      <c r="H351" s="37" t="s">
        <v>2039</v>
      </c>
      <c r="I351" s="41"/>
      <c r="J351" s="41"/>
      <c r="K351" s="288" t="str" cm="1">
        <f t="array" ref="K351">IF(ISBLANK(J351), IF(ISBLANK(I351), "N/A", _xlfn.IFS(L351="AS", I351+15, L351="NCR", I351+30, L351="submitted", I351+30, TRUE, "N/A")), _xlfn.IFS(L351="AS", J351+15, L351="NCR", J351+30, L351="submitted", J351+30, TRUE, "N/A"))</f>
        <v>N/A</v>
      </c>
      <c r="L351" s="38"/>
    </row>
    <row r="352" spans="2:12" s="1" customFormat="1" ht="15" customHeight="1">
      <c r="B352" s="38"/>
      <c r="C352" s="47" t="s">
        <v>2028</v>
      </c>
      <c r="D352" s="2" t="s">
        <v>2029</v>
      </c>
      <c r="E352" s="39"/>
      <c r="F352" s="39"/>
      <c r="G352" s="38" t="s">
        <v>2040</v>
      </c>
      <c r="H352" s="37" t="s">
        <v>2041</v>
      </c>
      <c r="I352" s="41"/>
      <c r="J352" s="41"/>
      <c r="K352" s="288" t="str" cm="1">
        <f t="array" ref="K352">IF(ISBLANK(J352), IF(ISBLANK(I352), "N/A", _xlfn.IFS(L352="AS", I352+15, L352="NCR", I352+30, L352="submitted", I352+30, TRUE, "N/A")), _xlfn.IFS(L352="AS", J352+15, L352="NCR", J352+30, L352="submitted", J352+30, TRUE, "N/A"))</f>
        <v>N/A</v>
      </c>
      <c r="L352" s="38"/>
    </row>
    <row r="353" spans="2:12" s="1" customFormat="1" ht="15" customHeight="1">
      <c r="B353" s="38"/>
      <c r="C353" s="47" t="s">
        <v>2028</v>
      </c>
      <c r="D353" s="2" t="s">
        <v>2029</v>
      </c>
      <c r="E353" s="39"/>
      <c r="F353" s="39"/>
      <c r="G353" s="38" t="s">
        <v>2042</v>
      </c>
      <c r="H353" s="37" t="s">
        <v>2043</v>
      </c>
      <c r="I353" s="41"/>
      <c r="J353" s="41"/>
      <c r="K353" s="288" t="str" cm="1">
        <f t="array" ref="K353">IF(ISBLANK(J353), IF(ISBLANK(I353), "N/A", _xlfn.IFS(L353="AS", I353+15, L353="NCR", I353+30, L353="submitted", I353+30, TRUE, "N/A")), _xlfn.IFS(L353="AS", J353+15, L353="NCR", J353+30, L353="submitted", J353+30, TRUE, "N/A"))</f>
        <v>N/A</v>
      </c>
      <c r="L353" s="38"/>
    </row>
    <row r="354" spans="2:12" s="1" customFormat="1" ht="15" customHeight="1">
      <c r="B354" s="38"/>
      <c r="C354" s="47" t="s">
        <v>2028</v>
      </c>
      <c r="D354" s="2" t="s">
        <v>2029</v>
      </c>
      <c r="E354" s="39"/>
      <c r="F354" s="39"/>
      <c r="G354" s="38" t="s">
        <v>2044</v>
      </c>
      <c r="H354" s="37" t="s">
        <v>2045</v>
      </c>
      <c r="I354" s="41"/>
      <c r="J354" s="41"/>
      <c r="K354" s="288" t="str" cm="1">
        <f t="array" ref="K354">IF(ISBLANK(J354), IF(ISBLANK(I354), "N/A", _xlfn.IFS(L354="AS", I354+15, L354="NCR", I354+30, L354="submitted", I354+30, TRUE, "N/A")), _xlfn.IFS(L354="AS", J354+15, L354="NCR", J354+30, L354="submitted", J354+30, TRUE, "N/A"))</f>
        <v>N/A</v>
      </c>
      <c r="L354" s="38"/>
    </row>
    <row r="355" spans="2:12" s="5" customFormat="1" ht="15" customHeight="1">
      <c r="B355" s="19"/>
      <c r="C355" s="825" t="s">
        <v>2046</v>
      </c>
      <c r="D355" s="827" t="s">
        <v>2047</v>
      </c>
      <c r="E355" s="34"/>
      <c r="F355" s="34"/>
      <c r="G355" s="19" t="s">
        <v>391</v>
      </c>
      <c r="H355" s="34" t="s">
        <v>282</v>
      </c>
      <c r="I355" s="30"/>
      <c r="J355" s="30"/>
      <c r="K355" s="288" t="str" cm="1">
        <f t="array" ref="K355">IF(ISBLANK(J355), IF(ISBLANK(I355), "N/A", _xlfn.IFS(L355="AS", I355+15, L355="NCR", I355+30, L355="submitted", I355+30, TRUE, "N/A")), _xlfn.IFS(L355="AS", J355+15, L355="NCR", J355+30, L355="submitted", J355+30, TRUE, "N/A"))</f>
        <v>N/A</v>
      </c>
      <c r="L355" s="19"/>
    </row>
    <row r="356" spans="2:12" s="5" customFormat="1" ht="15.75" customHeight="1">
      <c r="B356" s="19"/>
      <c r="C356" s="829"/>
      <c r="D356" s="830"/>
      <c r="E356" s="35"/>
      <c r="F356" s="35"/>
      <c r="G356" s="19" t="s">
        <v>393</v>
      </c>
      <c r="H356" s="34" t="s">
        <v>2048</v>
      </c>
      <c r="I356" s="30"/>
      <c r="J356" s="30"/>
      <c r="K356" s="288" t="str" cm="1">
        <f t="array" ref="K356">IF(ISBLANK(J356), IF(ISBLANK(I356), "N/A", _xlfn.IFS(L356="AS", I356+15, L356="NCR", I356+30, L356="submitted", I356+30, TRUE, "N/A")), _xlfn.IFS(L356="AS", J356+15, L356="NCR", J356+30, L356="submitted", J356+30, TRUE, "N/A"))</f>
        <v>N/A</v>
      </c>
      <c r="L356" s="19"/>
    </row>
    <row r="357" spans="2:12" s="5" customFormat="1" ht="27" customHeight="1">
      <c r="B357" s="19"/>
      <c r="C357" s="829"/>
      <c r="D357" s="830"/>
      <c r="E357" s="35"/>
      <c r="F357" s="35"/>
      <c r="G357" s="19" t="s">
        <v>2049</v>
      </c>
      <c r="H357" s="53" t="s">
        <v>2050</v>
      </c>
      <c r="I357" s="30"/>
      <c r="J357" s="30"/>
      <c r="K357" s="288" t="str" cm="1">
        <f t="array" ref="K357">IF(ISBLANK(J357), IF(ISBLANK(I357), "N/A", _xlfn.IFS(L357="AS", I357+15, L357="NCR", I357+30, L357="submitted", I357+30, TRUE, "N/A")), _xlfn.IFS(L357="AS", J357+15, L357="NCR", J357+30, L357="submitted", J357+30, TRUE, "N/A"))</f>
        <v>N/A</v>
      </c>
      <c r="L357" s="19"/>
    </row>
    <row r="358" spans="2:12" s="5" customFormat="1" ht="40.5" customHeight="1">
      <c r="B358" s="19"/>
      <c r="C358" s="829"/>
      <c r="D358" s="830"/>
      <c r="E358" s="35"/>
      <c r="F358" s="35"/>
      <c r="G358" s="19" t="s">
        <v>2051</v>
      </c>
      <c r="H358" s="53" t="s">
        <v>2052</v>
      </c>
      <c r="I358" s="30"/>
      <c r="J358" s="30"/>
      <c r="K358" s="288" t="str" cm="1">
        <f t="array" ref="K358">IF(ISBLANK(J358), IF(ISBLANK(I358), "N/A", _xlfn.IFS(L358="AS", I358+15, L358="NCR", I358+30, L358="submitted", I358+30, TRUE, "N/A")), _xlfn.IFS(L358="AS", J358+15, L358="NCR", J358+30, L358="submitted", J358+30, TRUE, "N/A"))</f>
        <v>N/A</v>
      </c>
      <c r="L358" s="19"/>
    </row>
    <row r="359" spans="2:12" s="5" customFormat="1" ht="40.5" customHeight="1">
      <c r="B359" s="19"/>
      <c r="C359" s="829"/>
      <c r="D359" s="830"/>
      <c r="E359" s="35"/>
      <c r="F359" s="35"/>
      <c r="G359" s="19" t="s">
        <v>2053</v>
      </c>
      <c r="H359" s="53" t="s">
        <v>2054</v>
      </c>
      <c r="I359" s="30"/>
      <c r="J359" s="30"/>
      <c r="K359" s="288" t="str" cm="1">
        <f t="array" ref="K359">IF(ISBLANK(J359), IF(ISBLANK(I359), "N/A", _xlfn.IFS(L359="AS", I359+15, L359="NCR", I359+30, L359="submitted", I359+30, TRUE, "N/A")), _xlfn.IFS(L359="AS", J359+15, L359="NCR", J359+30, L359="submitted", J359+30, TRUE, "N/A"))</f>
        <v>N/A</v>
      </c>
      <c r="L359" s="19"/>
    </row>
    <row r="360" spans="2:12" s="5" customFormat="1" ht="27" customHeight="1">
      <c r="B360" s="19"/>
      <c r="C360" s="829"/>
      <c r="D360" s="830"/>
      <c r="E360" s="35"/>
      <c r="F360" s="35"/>
      <c r="G360" s="19" t="s">
        <v>2055</v>
      </c>
      <c r="H360" s="53" t="s">
        <v>2056</v>
      </c>
      <c r="I360" s="30"/>
      <c r="J360" s="30"/>
      <c r="K360" s="288" t="str" cm="1">
        <f t="array" ref="K360">IF(ISBLANK(J360), IF(ISBLANK(I360), "N/A", _xlfn.IFS(L360="AS", I360+15, L360="NCR", I360+30, L360="submitted", I360+30, TRUE, "N/A")), _xlfn.IFS(L360="AS", J360+15, L360="NCR", J360+30, L360="submitted", J360+30, TRUE, "N/A"))</f>
        <v>N/A</v>
      </c>
      <c r="L360" s="19"/>
    </row>
    <row r="361" spans="2:12" s="5" customFormat="1" ht="15" customHeight="1">
      <c r="B361" s="19"/>
      <c r="C361" s="829"/>
      <c r="D361" s="830"/>
      <c r="E361" s="35"/>
      <c r="F361" s="35"/>
      <c r="G361" s="19" t="s">
        <v>513</v>
      </c>
      <c r="H361" s="34" t="s">
        <v>2057</v>
      </c>
      <c r="I361" s="30"/>
      <c r="J361" s="30"/>
      <c r="K361" s="288" t="str" cm="1">
        <f t="array" ref="K361">IF(ISBLANK(J361), IF(ISBLANK(I361), "N/A", _xlfn.IFS(L361="AS", I361+15, L361="NCR", I361+30, L361="submitted", I361+30, TRUE, "N/A")), _xlfn.IFS(L361="AS", J361+15, L361="NCR", J361+30, L361="submitted", J361+30, TRUE, "N/A"))</f>
        <v>N/A</v>
      </c>
      <c r="L361" s="19"/>
    </row>
    <row r="362" spans="2:12" s="5" customFormat="1" ht="15" customHeight="1">
      <c r="B362" s="19"/>
      <c r="C362" s="829"/>
      <c r="D362" s="830"/>
      <c r="E362" s="35"/>
      <c r="F362" s="35"/>
      <c r="G362" s="19" t="s">
        <v>514</v>
      </c>
      <c r="H362" s="34" t="s">
        <v>2058</v>
      </c>
      <c r="I362" s="30"/>
      <c r="J362" s="30"/>
      <c r="K362" s="288" t="str" cm="1">
        <f t="array" ref="K362">IF(ISBLANK(J362), IF(ISBLANK(I362), "N/A", _xlfn.IFS(L362="AS", I362+15, L362="NCR", I362+30, L362="submitted", I362+30, TRUE, "N/A")), _xlfn.IFS(L362="AS", J362+15, L362="NCR", J362+30, L362="submitted", J362+30, TRUE, "N/A"))</f>
        <v>N/A</v>
      </c>
      <c r="L362" s="19"/>
    </row>
    <row r="363" spans="2:12" s="5" customFormat="1" ht="55.5" customHeight="1">
      <c r="B363" s="19"/>
      <c r="C363" s="829"/>
      <c r="D363" s="830"/>
      <c r="E363" s="35"/>
      <c r="F363" s="35"/>
      <c r="G363" s="19" t="s">
        <v>2059</v>
      </c>
      <c r="H363" s="53" t="s">
        <v>2060</v>
      </c>
      <c r="I363" s="30"/>
      <c r="J363" s="30"/>
      <c r="K363" s="288" t="str" cm="1">
        <f t="array" ref="K363">IF(ISBLANK(J363), IF(ISBLANK(I363), "N/A", _xlfn.IFS(L363="AS", I363+15, L363="NCR", I363+30, L363="submitted", I363+30, TRUE, "N/A")), _xlfn.IFS(L363="AS", J363+15, L363="NCR", J363+30, L363="submitted", J363+30, TRUE, "N/A"))</f>
        <v>N/A</v>
      </c>
      <c r="L363" s="19"/>
    </row>
    <row r="364" spans="2:12" s="5" customFormat="1" ht="51.75" customHeight="1">
      <c r="B364" s="19"/>
      <c r="C364" s="829"/>
      <c r="D364" s="830"/>
      <c r="E364" s="35"/>
      <c r="F364" s="35"/>
      <c r="G364" s="19" t="s">
        <v>516</v>
      </c>
      <c r="H364" s="53" t="s">
        <v>2061</v>
      </c>
      <c r="I364" s="30"/>
      <c r="J364" s="30"/>
      <c r="K364" s="288" t="str" cm="1">
        <f t="array" ref="K364">IF(ISBLANK(J364), IF(ISBLANK(I364), "N/A", _xlfn.IFS(L364="AS", I364+15, L364="NCR", I364+30, L364="submitted", I364+30, TRUE, "N/A")), _xlfn.IFS(L364="AS", J364+15, L364="NCR", J364+30, L364="submitted", J364+30, TRUE, "N/A"))</f>
        <v>N/A</v>
      </c>
      <c r="L364" s="19"/>
    </row>
    <row r="365" spans="2:12" s="45" customFormat="1" ht="15.75" customHeight="1">
      <c r="B365" s="42"/>
      <c r="C365" s="868"/>
      <c r="D365" s="869"/>
      <c r="E365" s="49"/>
      <c r="F365" s="49"/>
      <c r="G365" s="42" t="s">
        <v>518</v>
      </c>
      <c r="H365" s="43" t="s">
        <v>2062</v>
      </c>
      <c r="I365" s="44"/>
      <c r="J365" s="44"/>
      <c r="K365" s="288" t="str" cm="1">
        <f t="array" ref="K365">IF(ISBLANK(J365), IF(ISBLANK(I365), "N/A", _xlfn.IFS(L365="AS", I365+15, L365="NCR", I365+30, L365="submitted", I365+30, TRUE, "N/A")), _xlfn.IFS(L365="AS", J365+15, L365="NCR", J365+30, L365="submitted", J365+30, TRUE, "N/A"))</f>
        <v>N/A</v>
      </c>
      <c r="L365" s="42"/>
    </row>
    <row r="366" spans="2:12" s="1" customFormat="1" ht="15" customHeight="1">
      <c r="B366" s="21"/>
      <c r="C366" s="890" t="s">
        <v>2063</v>
      </c>
      <c r="D366" s="891" t="s">
        <v>2064</v>
      </c>
      <c r="E366" s="39"/>
      <c r="F366" s="39"/>
      <c r="G366" s="21" t="s">
        <v>131</v>
      </c>
      <c r="H366" s="46" t="s">
        <v>484</v>
      </c>
      <c r="I366" s="51"/>
      <c r="J366" s="51"/>
      <c r="K366" s="288" t="str" cm="1">
        <f t="array" ref="K366">IF(ISBLANK(J366), IF(ISBLANK(I366), "N/A", _xlfn.IFS(L366="AS", I366+15, L366="NCR", I366+30, L366="submitted", I366+30, TRUE, "N/A")), _xlfn.IFS(L366="AS", J366+15, L366="NCR", J366+30, L366="submitted", J366+30, TRUE, "N/A"))</f>
        <v>N/A</v>
      </c>
      <c r="L366" s="21"/>
    </row>
    <row r="367" spans="2:12" s="1" customFormat="1" ht="15" customHeight="1">
      <c r="B367" s="21"/>
      <c r="C367" s="822"/>
      <c r="D367" s="824"/>
      <c r="E367" s="39"/>
      <c r="F367" s="39"/>
      <c r="G367" s="21" t="s">
        <v>134</v>
      </c>
      <c r="H367" s="46" t="s">
        <v>2065</v>
      </c>
      <c r="I367" s="51"/>
      <c r="J367" s="51"/>
      <c r="K367" s="288" t="str" cm="1">
        <f t="array" ref="K367">IF(ISBLANK(J367), IF(ISBLANK(I367), "N/A", _xlfn.IFS(L367="AS", I367+15, L367="NCR", I367+30, L367="submitted", I367+30, TRUE, "N/A")), _xlfn.IFS(L367="AS", J367+15, L367="NCR", J367+30, L367="submitted", J367+30, TRUE, "N/A"))</f>
        <v>N/A</v>
      </c>
      <c r="L367" s="21"/>
    </row>
    <row r="368" spans="2:12" s="1" customFormat="1" ht="15" customHeight="1">
      <c r="B368" s="21"/>
      <c r="C368" s="822"/>
      <c r="D368" s="824"/>
      <c r="E368" s="39"/>
      <c r="F368" s="39"/>
      <c r="G368" s="21" t="s">
        <v>136</v>
      </c>
      <c r="H368" s="46" t="s">
        <v>341</v>
      </c>
      <c r="I368" s="51"/>
      <c r="J368" s="51"/>
      <c r="K368" s="288" t="str" cm="1">
        <f t="array" ref="K368">IF(ISBLANK(J368), IF(ISBLANK(I368), "N/A", _xlfn.IFS(L368="AS", I368+15, L368="NCR", I368+30, L368="submitted", I368+30, TRUE, "N/A")), _xlfn.IFS(L368="AS", J368+15, L368="NCR", J368+30, L368="submitted", J368+30, TRUE, "N/A"))</f>
        <v>N/A</v>
      </c>
      <c r="L368" s="21"/>
    </row>
    <row r="369" spans="2:12" s="1" customFormat="1" ht="15" customHeight="1">
      <c r="B369" s="21"/>
      <c r="C369" s="807"/>
      <c r="D369" s="809"/>
      <c r="E369" s="46"/>
      <c r="F369" s="46"/>
      <c r="G369" s="21" t="s">
        <v>138</v>
      </c>
      <c r="H369" s="46" t="s">
        <v>2066</v>
      </c>
      <c r="I369" s="51"/>
      <c r="J369" s="51"/>
      <c r="K369" s="288" t="str" cm="1">
        <f t="array" ref="K369">IF(ISBLANK(J369), IF(ISBLANK(I369), "N/A", _xlfn.IFS(L369="AS", I369+15, L369="NCR", I369+30, L369="submitted", I369+30, TRUE, "N/A")), _xlfn.IFS(L369="AS", J369+15, L369="NCR", J369+30, L369="submitted", J369+30, TRUE, "N/A"))</f>
        <v>N/A</v>
      </c>
      <c r="L369" s="21"/>
    </row>
    <row r="370" spans="2:12" s="5" customFormat="1" ht="15" customHeight="1">
      <c r="B370" s="4"/>
      <c r="C370" s="825" t="s">
        <v>2067</v>
      </c>
      <c r="D370" s="827" t="s">
        <v>2068</v>
      </c>
      <c r="E370" s="34"/>
      <c r="F370" s="34"/>
      <c r="G370" s="4" t="s">
        <v>208</v>
      </c>
      <c r="H370" s="17" t="s">
        <v>484</v>
      </c>
      <c r="I370" s="18"/>
      <c r="J370" s="18"/>
      <c r="K370" s="288" t="str" cm="1">
        <f t="array" ref="K370">IF(ISBLANK(J370), IF(ISBLANK(I370), "N/A", _xlfn.IFS(L370="AS", I370+15, L370="NCR", I370+30, L370="submitted", I370+30, TRUE, "N/A")), _xlfn.IFS(L370="AS", J370+15, L370="NCR", J370+30, L370="submitted", J370+30, TRUE, "N/A"))</f>
        <v>N/A</v>
      </c>
      <c r="L370" s="4"/>
    </row>
    <row r="371" spans="2:12" s="5" customFormat="1" ht="15" customHeight="1">
      <c r="B371" s="4"/>
      <c r="C371" s="829"/>
      <c r="D371" s="830"/>
      <c r="E371" s="35"/>
      <c r="F371" s="35"/>
      <c r="G371" s="4" t="s">
        <v>281</v>
      </c>
      <c r="H371" s="17" t="s">
        <v>282</v>
      </c>
      <c r="I371" s="18"/>
      <c r="J371" s="18"/>
      <c r="K371" s="288" t="str" cm="1">
        <f t="array" ref="K371">IF(ISBLANK(J371), IF(ISBLANK(I371), "N/A", _xlfn.IFS(L371="AS", I371+15, L371="NCR", I371+30, L371="submitted", I371+30, TRUE, "N/A")), _xlfn.IFS(L371="AS", J371+15, L371="NCR", J371+30, L371="submitted", J371+30, TRUE, "N/A"))</f>
        <v>N/A</v>
      </c>
      <c r="L371" s="4"/>
    </row>
    <row r="372" spans="2:12" s="5" customFormat="1" ht="15" customHeight="1">
      <c r="B372" s="4"/>
      <c r="C372" s="829"/>
      <c r="D372" s="830"/>
      <c r="E372" s="35"/>
      <c r="F372" s="35"/>
      <c r="G372" s="4" t="s">
        <v>269</v>
      </c>
      <c r="H372" s="17" t="s">
        <v>2069</v>
      </c>
      <c r="I372" s="18"/>
      <c r="J372" s="18"/>
      <c r="K372" s="288" t="str" cm="1">
        <f t="array" ref="K372">IF(ISBLANK(J372), IF(ISBLANK(I372), "N/A", _xlfn.IFS(L372="AS", I372+15, L372="NCR", I372+30, L372="submitted", I372+30, TRUE, "N/A")), _xlfn.IFS(L372="AS", J372+15, L372="NCR", J372+30, L372="submitted", J372+30, TRUE, "N/A"))</f>
        <v>N/A</v>
      </c>
      <c r="L372" s="4"/>
    </row>
    <row r="373" spans="2:12" s="5" customFormat="1" ht="15" customHeight="1">
      <c r="B373" s="4"/>
      <c r="C373" s="826"/>
      <c r="D373" s="828"/>
      <c r="E373" s="36"/>
      <c r="F373" s="36"/>
      <c r="G373" s="4" t="s">
        <v>259</v>
      </c>
      <c r="H373" s="17" t="s">
        <v>341</v>
      </c>
      <c r="I373" s="18"/>
      <c r="J373" s="18"/>
      <c r="K373" s="288" t="str" cm="1">
        <f t="array" ref="K373">IF(ISBLANK(J373), IF(ISBLANK(I373), "N/A", _xlfn.IFS(L373="AS", I373+15, L373="NCR", I373+30, L373="submitted", I373+30, TRUE, "N/A")), _xlfn.IFS(L373="AS", J373+15, L373="NCR", J373+30, L373="submitted", J373+30, TRUE, "N/A"))</f>
        <v>N/A</v>
      </c>
      <c r="L373" s="4"/>
    </row>
    <row r="374" spans="2:12" s="1" customFormat="1" ht="15" customHeight="1">
      <c r="B374" s="38"/>
      <c r="C374" s="47" t="s">
        <v>2070</v>
      </c>
      <c r="D374" s="2" t="s">
        <v>2071</v>
      </c>
      <c r="E374" s="37"/>
      <c r="G374" s="38" t="s">
        <v>208</v>
      </c>
      <c r="H374" s="37" t="s">
        <v>282</v>
      </c>
      <c r="I374" s="38"/>
      <c r="J374" s="41"/>
      <c r="K374" s="288" t="str" cm="1">
        <f t="array" ref="K374">IF(ISBLANK(J374), IF(ISBLANK(I374), "N/A", _xlfn.IFS(L374="AS", I374+15, L374="NCR", I374+30, L374="submitted", I374+30, TRUE, "N/A")), _xlfn.IFS(L374="AS", J374+15, L374="NCR", J374+30, L374="submitted", J374+30, TRUE, "N/A"))</f>
        <v>N/A</v>
      </c>
      <c r="L374" s="41"/>
    </row>
    <row r="375" spans="2:12" s="1" customFormat="1" ht="33.6" customHeight="1">
      <c r="B375" s="38"/>
      <c r="C375" s="48"/>
      <c r="D375" s="2" t="s">
        <v>2071</v>
      </c>
      <c r="E375" s="39"/>
      <c r="G375" s="38" t="s">
        <v>281</v>
      </c>
      <c r="H375" s="40" t="s">
        <v>2072</v>
      </c>
      <c r="I375" s="38"/>
      <c r="J375" s="41"/>
      <c r="K375" s="288" t="str" cm="1">
        <f t="array" ref="K375">IF(ISBLANK(J375), IF(ISBLANK(I375), "N/A", _xlfn.IFS(L375="AS", I375+15, L375="NCR", I375+30, L375="submitted", I375+30, TRUE, "N/A")), _xlfn.IFS(L375="AS", J375+15, L375="NCR", J375+30, L375="submitted", J375+30, TRUE, "N/A"))</f>
        <v>N/A</v>
      </c>
      <c r="L375" s="41"/>
    </row>
    <row r="376" spans="2:12" s="94" customFormat="1" ht="15.75" customHeight="1">
      <c r="B376" s="90"/>
      <c r="C376" s="127"/>
      <c r="D376" s="2" t="s">
        <v>2071</v>
      </c>
      <c r="E376" s="91"/>
      <c r="G376" s="90" t="s">
        <v>329</v>
      </c>
      <c r="H376" s="98" t="s">
        <v>2073</v>
      </c>
      <c r="I376" s="90"/>
      <c r="J376" s="93"/>
      <c r="K376" s="288" t="str" cm="1">
        <f t="array" ref="K376">IF(ISBLANK(J376), IF(ISBLANK(I376), "N/A", _xlfn.IFS(L376="AS", I376+15, L376="NCR", I376+30, L376="submitted", I376+30, TRUE, "N/A")), _xlfn.IFS(L376="AS", J376+15, L376="NCR", J376+30, L376="submitted", J376+30, TRUE, "N/A"))</f>
        <v>N/A</v>
      </c>
      <c r="L376" s="93"/>
    </row>
    <row r="377" spans="2:12" s="149" customFormat="1" ht="15.75" customHeight="1">
      <c r="B377" s="541" t="s">
        <v>52</v>
      </c>
      <c r="C377" s="884" t="s">
        <v>2074</v>
      </c>
      <c r="D377" s="887" t="s">
        <v>2075</v>
      </c>
      <c r="E377" s="219" t="s">
        <v>53</v>
      </c>
      <c r="F377" s="149" t="s">
        <v>1644</v>
      </c>
      <c r="G377" s="334" t="s">
        <v>758</v>
      </c>
      <c r="H377" s="219" t="s">
        <v>2076</v>
      </c>
      <c r="I377" s="542">
        <v>45869</v>
      </c>
      <c r="J377" s="542">
        <v>45903</v>
      </c>
      <c r="K377" s="288" t="str" cm="1">
        <f t="array" ref="K377">IF(ISBLANK(J377), IF(ISBLANK(I377), "N/A", _xlfn.IFS(L377="AS", I377+15, L377="NCR", I377+30, L377="submitted", I377+30, TRUE, "N/A")), _xlfn.IFS(L377="AS", J377+15, L377="NCR", J377+30, L377="submitted", J377+30, TRUE, "N/A"))</f>
        <v>N/A</v>
      </c>
      <c r="L377" s="542" t="s">
        <v>147</v>
      </c>
    </row>
    <row r="378" spans="2:12" s="525" customFormat="1" ht="15.75" customHeight="1">
      <c r="B378" s="754" t="s">
        <v>2077</v>
      </c>
      <c r="C378" s="885"/>
      <c r="D378" s="888"/>
      <c r="E378" s="610" t="s">
        <v>53</v>
      </c>
      <c r="F378" s="525" t="s">
        <v>1644</v>
      </c>
      <c r="G378" s="755" t="s">
        <v>758</v>
      </c>
      <c r="H378" s="610" t="s">
        <v>2076</v>
      </c>
      <c r="I378" s="756">
        <v>45929</v>
      </c>
      <c r="J378" s="756">
        <v>45937</v>
      </c>
      <c r="K378" s="753" t="str" cm="1">
        <f t="array" ref="K378">IF(ISBLANK(J378), IF(ISBLANK(I378), "N/A", _xlfn.IFS(L378="AS", I378+15, L378="NCR", I378+30, L378="submitted", I378+30, TRUE, "N/A")), _xlfn.IFS(L378="AS", J378+15, L378="NCR", J378+30, L378="submitted", J378+30, TRUE, "N/A"))</f>
        <v>N/A</v>
      </c>
      <c r="L378" s="756" t="s">
        <v>151</v>
      </c>
    </row>
    <row r="379" spans="2:12" s="26" customFormat="1" ht="15.75" customHeight="1">
      <c r="B379" s="78"/>
      <c r="C379" s="885"/>
      <c r="D379" s="888"/>
      <c r="E379" s="27"/>
      <c r="G379" s="22" t="s">
        <v>483</v>
      </c>
      <c r="H379" s="24" t="s">
        <v>328</v>
      </c>
      <c r="I379" s="78"/>
      <c r="J379" s="80"/>
      <c r="K379" s="288" t="str" cm="1">
        <f t="array" ref="K379">IF(ISBLANK(J379), IF(ISBLANK(I379), "N/A", _xlfn.IFS(L379="AS", I379+15, L379="NCR", I379+30, L379="submitted", I379+30, TRUE, "N/A")), _xlfn.IFS(L379="AS", J379+15, L379="NCR", J379+30, L379="submitted", J379+30, TRUE, "N/A"))</f>
        <v>N/A</v>
      </c>
      <c r="L379" s="80"/>
    </row>
    <row r="380" spans="2:12" s="26" customFormat="1" ht="27" customHeight="1">
      <c r="B380" s="78"/>
      <c r="C380" s="885"/>
      <c r="D380" s="888"/>
      <c r="E380" s="27"/>
      <c r="G380" s="22" t="s">
        <v>485</v>
      </c>
      <c r="H380" s="28" t="s">
        <v>2078</v>
      </c>
      <c r="I380" s="78"/>
      <c r="J380" s="80"/>
      <c r="K380" s="288" t="str" cm="1">
        <f t="array" ref="K380">IF(ISBLANK(J380), IF(ISBLANK(I380), "N/A", _xlfn.IFS(L380="AS", I380+15, L380="NCR", I380+30, L380="submitted", I380+30, TRUE, "N/A")), _xlfn.IFS(L380="AS", J380+15, L380="NCR", J380+30, L380="submitted", J380+30, TRUE, "N/A"))</f>
        <v>N/A</v>
      </c>
      <c r="L380" s="80"/>
    </row>
    <row r="381" spans="2:12" s="26" customFormat="1" ht="15.75" customHeight="1">
      <c r="B381" s="78"/>
      <c r="C381" s="885"/>
      <c r="D381" s="888"/>
      <c r="E381" s="27"/>
      <c r="G381" s="22" t="s">
        <v>486</v>
      </c>
      <c r="H381" s="24" t="s">
        <v>2079</v>
      </c>
      <c r="I381" s="78"/>
      <c r="J381" s="80"/>
      <c r="K381" s="288" t="str" cm="1">
        <f t="array" ref="K381">IF(ISBLANK(J381), IF(ISBLANK(I381), "N/A", _xlfn.IFS(L381="AS", I381+15, L381="NCR", I381+30, L381="submitted", I381+30, TRUE, "N/A")), _xlfn.IFS(L381="AS", J381+15, L381="NCR", J381+30, L381="submitted", J381+30, TRUE, "N/A"))</f>
        <v>N/A</v>
      </c>
      <c r="L381" s="80"/>
    </row>
    <row r="382" spans="2:12" s="26" customFormat="1" ht="27" customHeight="1">
      <c r="B382" s="78"/>
      <c r="C382" s="885"/>
      <c r="D382" s="888"/>
      <c r="E382" s="27"/>
      <c r="G382" s="22" t="s">
        <v>861</v>
      </c>
      <c r="H382" s="28" t="s">
        <v>2080</v>
      </c>
      <c r="I382" s="78"/>
      <c r="J382" s="80"/>
      <c r="K382" s="288" t="str" cm="1">
        <f t="array" ref="K382">IF(ISBLANK(J382), IF(ISBLANK(I382), "N/A", _xlfn.IFS(L382="AS", I382+15, L382="NCR", I382+30, L382="submitted", I382+30, TRUE, "N/A")), _xlfn.IFS(L382="AS", J382+15, L382="NCR", J382+30, L382="submitted", J382+30, TRUE, "N/A"))</f>
        <v>N/A</v>
      </c>
      <c r="L382" s="80"/>
    </row>
    <row r="383" spans="2:12" s="26" customFormat="1" ht="15.75" customHeight="1">
      <c r="B383" s="78"/>
      <c r="C383" s="885"/>
      <c r="D383" s="888"/>
      <c r="E383" s="27"/>
      <c r="G383" s="22" t="s">
        <v>497</v>
      </c>
      <c r="H383" s="24" t="s">
        <v>2081</v>
      </c>
      <c r="I383" s="78"/>
      <c r="J383" s="80"/>
      <c r="K383" s="288" t="str" cm="1">
        <f t="array" ref="K383">IF(ISBLANK(J383), IF(ISBLANK(I383), "N/A", _xlfn.IFS(L383="AS", I383+15, L383="NCR", I383+30, L383="submitted", I383+30, TRUE, "N/A")), _xlfn.IFS(L383="AS", J383+15, L383="NCR", J383+30, L383="submitted", J383+30, TRUE, "N/A"))</f>
        <v>N/A</v>
      </c>
      <c r="L383" s="80"/>
    </row>
    <row r="384" spans="2:12" s="26" customFormat="1" ht="45" customHeight="1">
      <c r="B384" s="78"/>
      <c r="C384" s="886"/>
      <c r="D384" s="889"/>
      <c r="E384" s="29"/>
      <c r="G384" s="22" t="s">
        <v>489</v>
      </c>
      <c r="H384" s="28" t="s">
        <v>2082</v>
      </c>
      <c r="I384" s="78"/>
      <c r="J384" s="80"/>
      <c r="K384" s="288" t="str" cm="1">
        <f t="array" ref="K384">IF(ISBLANK(J384), IF(ISBLANK(I384), "N/A", _xlfn.IFS(L384="AS", I384+15, L384="NCR", I384+30, L384="submitted", I384+30, TRUE, "N/A")), _xlfn.IFS(L384="AS", J384+15, L384="NCR", J384+30, L384="submitted", J384+30, TRUE, "N/A"))</f>
        <v>N/A</v>
      </c>
      <c r="L384" s="80"/>
    </row>
  </sheetData>
  <mergeCells count="107">
    <mergeCell ref="C87:C91"/>
    <mergeCell ref="D87:D91"/>
    <mergeCell ref="C159:C163"/>
    <mergeCell ref="D159:D163"/>
    <mergeCell ref="B1:H1"/>
    <mergeCell ref="D3:D6"/>
    <mergeCell ref="C12:C13"/>
    <mergeCell ref="D12:D13"/>
    <mergeCell ref="C15:C17"/>
    <mergeCell ref="D15:D17"/>
    <mergeCell ref="C18:C19"/>
    <mergeCell ref="D18:D19"/>
    <mergeCell ref="C118:C129"/>
    <mergeCell ref="D118:D129"/>
    <mergeCell ref="C22:C23"/>
    <mergeCell ref="D22:D23"/>
    <mergeCell ref="C140:C147"/>
    <mergeCell ref="D140:D147"/>
    <mergeCell ref="C148:C149"/>
    <mergeCell ref="D148:D149"/>
    <mergeCell ref="C130:C137"/>
    <mergeCell ref="D130:D137"/>
    <mergeCell ref="C138:C139"/>
    <mergeCell ref="D138:D139"/>
    <mergeCell ref="C112:C117"/>
    <mergeCell ref="D112:D117"/>
    <mergeCell ref="C174:C176"/>
    <mergeCell ref="D174:D176"/>
    <mergeCell ref="C177:C182"/>
    <mergeCell ref="D177:D182"/>
    <mergeCell ref="C183:C185"/>
    <mergeCell ref="D183:D185"/>
    <mergeCell ref="C164:C166"/>
    <mergeCell ref="D164:D166"/>
    <mergeCell ref="C167:C173"/>
    <mergeCell ref="D167:D173"/>
    <mergeCell ref="C196:C199"/>
    <mergeCell ref="D196:D199"/>
    <mergeCell ref="C200:C203"/>
    <mergeCell ref="D200:D203"/>
    <mergeCell ref="C204:C206"/>
    <mergeCell ref="D204:D206"/>
    <mergeCell ref="C191:C192"/>
    <mergeCell ref="D191:D192"/>
    <mergeCell ref="C193:C195"/>
    <mergeCell ref="D193:D195"/>
    <mergeCell ref="D209:D210"/>
    <mergeCell ref="C211:C218"/>
    <mergeCell ref="D211:D218"/>
    <mergeCell ref="C254:C257"/>
    <mergeCell ref="D254:D257"/>
    <mergeCell ref="C258:C259"/>
    <mergeCell ref="D258:D259"/>
    <mergeCell ref="C260:C266"/>
    <mergeCell ref="D260:D266"/>
    <mergeCell ref="C244:C246"/>
    <mergeCell ref="D244:D246"/>
    <mergeCell ref="C248:C251"/>
    <mergeCell ref="D248:D251"/>
    <mergeCell ref="D317:D319"/>
    <mergeCell ref="C20:C21"/>
    <mergeCell ref="D20:D21"/>
    <mergeCell ref="C24:C25"/>
    <mergeCell ref="D24:D25"/>
    <mergeCell ref="C294:C299"/>
    <mergeCell ref="D294:D299"/>
    <mergeCell ref="C300:C307"/>
    <mergeCell ref="D300:D307"/>
    <mergeCell ref="C309:C311"/>
    <mergeCell ref="D309:D311"/>
    <mergeCell ref="C279:C285"/>
    <mergeCell ref="D279:D285"/>
    <mergeCell ref="C286:C293"/>
    <mergeCell ref="D286:D293"/>
    <mergeCell ref="C225:C237"/>
    <mergeCell ref="D225:D237"/>
    <mergeCell ref="C238:C243"/>
    <mergeCell ref="D238:D243"/>
    <mergeCell ref="C267:C278"/>
    <mergeCell ref="D267:D278"/>
    <mergeCell ref="C207:C208"/>
    <mergeCell ref="D207:D208"/>
    <mergeCell ref="C209:C210"/>
    <mergeCell ref="C377:C384"/>
    <mergeCell ref="D377:D384"/>
    <mergeCell ref="C355:C365"/>
    <mergeCell ref="D355:D365"/>
    <mergeCell ref="C366:C369"/>
    <mergeCell ref="D366:D369"/>
    <mergeCell ref="C333:C336"/>
    <mergeCell ref="D333:D336"/>
    <mergeCell ref="N3:Q6"/>
    <mergeCell ref="N7:Q39"/>
    <mergeCell ref="N40:Q49"/>
    <mergeCell ref="N50:Q121"/>
    <mergeCell ref="N122:Q129"/>
    <mergeCell ref="N130:Q206"/>
    <mergeCell ref="N207:Q214"/>
    <mergeCell ref="C370:C373"/>
    <mergeCell ref="D370:D373"/>
    <mergeCell ref="C320:C324"/>
    <mergeCell ref="D320:D324"/>
    <mergeCell ref="C325:C329"/>
    <mergeCell ref="D325:D329"/>
    <mergeCell ref="C312:C313"/>
    <mergeCell ref="D312:D313"/>
    <mergeCell ref="C317:C319"/>
  </mergeCells>
  <conditionalFormatting sqref="E62">
    <cfRule type="expression" dxfId="83" priority="68">
      <formula>$L61="IN PROGRESS"</formula>
    </cfRule>
    <cfRule type="expression" dxfId="82" priority="69">
      <formula>$L61="N"</formula>
    </cfRule>
    <cfRule type="expression" dxfId="81" priority="70">
      <formula>$L61="Y"</formula>
    </cfRule>
  </conditionalFormatting>
  <conditionalFormatting sqref="E61">
    <cfRule type="expression" dxfId="80" priority="56">
      <formula>$L61="IN PROGRESS"</formula>
    </cfRule>
    <cfRule type="expression" dxfId="79" priority="57">
      <formula>$L61="N"</formula>
    </cfRule>
    <cfRule type="expression" dxfId="78" priority="58">
      <formula>$L61="Y"</formula>
    </cfRule>
  </conditionalFormatting>
  <conditionalFormatting sqref="B374:E384 G374:J384 L374:L384">
    <cfRule type="expression" dxfId="77" priority="386">
      <formula>#REF!="IN PROGRESS"</formula>
    </cfRule>
    <cfRule type="expression" dxfId="76" priority="387">
      <formula>#REF!="N"</formula>
    </cfRule>
    <cfRule type="expression" dxfId="75" priority="388">
      <formula>#REF!="Y"</formula>
    </cfRule>
  </conditionalFormatting>
  <conditionalFormatting sqref="C29 C31 C6 C158">
    <cfRule type="expression" dxfId="74" priority="52">
      <formula>$L6="IN PROGRESS"</formula>
    </cfRule>
    <cfRule type="expression" dxfId="73" priority="53">
      <formula>$L6="Rejected"</formula>
    </cfRule>
  </conditionalFormatting>
  <conditionalFormatting sqref="C29 C31 C6 C158">
    <cfRule type="expression" dxfId="72" priority="54">
      <formula>$L6="Accepted"</formula>
    </cfRule>
  </conditionalFormatting>
  <conditionalFormatting sqref="E32:H32">
    <cfRule type="expression" dxfId="71" priority="418">
      <formula>#REF!="IN PROGRESS"</formula>
    </cfRule>
    <cfRule type="expression" dxfId="70" priority="419">
      <formula>#REF!="Rejected"</formula>
    </cfRule>
  </conditionalFormatting>
  <conditionalFormatting sqref="E32:H32">
    <cfRule type="expression" dxfId="69" priority="420">
      <formula>#REF!="Accepted"</formula>
    </cfRule>
  </conditionalFormatting>
  <conditionalFormatting sqref="B28:D28 J28 F28:H28 B19:J19 E346:F346 B35 B21:H21">
    <cfRule type="expression" dxfId="68" priority="429">
      <formula>$L18="IN PROGRESS"</formula>
    </cfRule>
    <cfRule type="expression" dxfId="67" priority="430">
      <formula>$L18="Rejected"</formula>
    </cfRule>
  </conditionalFormatting>
  <conditionalFormatting sqref="J27 F27:H27 B27:D27">
    <cfRule type="expression" dxfId="66" priority="431">
      <formula>#REF!="IN PROGRESS"</formula>
    </cfRule>
    <cfRule type="expression" dxfId="65" priority="432">
      <formula>#REF!="Rejected"</formula>
    </cfRule>
  </conditionalFormatting>
  <conditionalFormatting sqref="B28:D28 J28 F28:H28 B19:J19 E346:F346 B35 B21:H21">
    <cfRule type="expression" dxfId="64" priority="454">
      <formula>$L18="Accepted"</formula>
    </cfRule>
  </conditionalFormatting>
  <conditionalFormatting sqref="J27 F27:H27 B27:D27">
    <cfRule type="expression" dxfId="63" priority="455">
      <formula>#REF!="Accepted"</formula>
    </cfRule>
  </conditionalFormatting>
  <conditionalFormatting sqref="C4">
    <cfRule type="expression" dxfId="62" priority="49">
      <formula>$L4="IN PROGRESS"</formula>
    </cfRule>
    <cfRule type="expression" dxfId="61" priority="50">
      <formula>$L4="Rejected"</formula>
    </cfRule>
  </conditionalFormatting>
  <conditionalFormatting sqref="C4">
    <cfRule type="expression" dxfId="60" priority="51">
      <formula>$L4="Accepted"</formula>
    </cfRule>
  </conditionalFormatting>
  <conditionalFormatting sqref="B18:J18">
    <cfRule type="expression" dxfId="59" priority="468">
      <formula>#REF!="IN PROGRESS"</formula>
    </cfRule>
    <cfRule type="expression" dxfId="58" priority="469">
      <formula>#REF!="Rejected"</formula>
    </cfRule>
  </conditionalFormatting>
  <conditionalFormatting sqref="B18:J18">
    <cfRule type="expression" dxfId="57" priority="473">
      <formula>#REF!="Accepted"</formula>
    </cfRule>
  </conditionalFormatting>
  <conditionalFormatting sqref="C151:C153">
    <cfRule type="expression" dxfId="56" priority="46">
      <formula>$L151="IN PROGRESS"</formula>
    </cfRule>
    <cfRule type="expression" dxfId="55" priority="47">
      <formula>$L151="Rejected"</formula>
    </cfRule>
  </conditionalFormatting>
  <conditionalFormatting sqref="C151:C153">
    <cfRule type="expression" dxfId="54" priority="48">
      <formula>$L151="Accepted"</formula>
    </cfRule>
  </conditionalFormatting>
  <conditionalFormatting sqref="C154">
    <cfRule type="expression" dxfId="53" priority="43">
      <formula>$L154="IN PROGRESS"</formula>
    </cfRule>
    <cfRule type="expression" dxfId="52" priority="44">
      <formula>$L154="Rejected"</formula>
    </cfRule>
  </conditionalFormatting>
  <conditionalFormatting sqref="C154">
    <cfRule type="expression" dxfId="51" priority="45">
      <formula>$L154="Accepted"</formula>
    </cfRule>
  </conditionalFormatting>
  <conditionalFormatting sqref="C155">
    <cfRule type="expression" dxfId="50" priority="40">
      <formula>$L155="IN PROGRESS"</formula>
    </cfRule>
    <cfRule type="expression" dxfId="49" priority="41">
      <formula>$L155="Rejected"</formula>
    </cfRule>
  </conditionalFormatting>
  <conditionalFormatting sqref="C155">
    <cfRule type="expression" dxfId="48" priority="42">
      <formula>$L155="Accepted"</formula>
    </cfRule>
  </conditionalFormatting>
  <conditionalFormatting sqref="C156">
    <cfRule type="expression" dxfId="47" priority="37">
      <formula>$L156="IN PROGRESS"</formula>
    </cfRule>
    <cfRule type="expression" dxfId="46" priority="38">
      <formula>$L156="Rejected"</formula>
    </cfRule>
  </conditionalFormatting>
  <conditionalFormatting sqref="C156">
    <cfRule type="expression" dxfId="45" priority="39">
      <formula>$L156="Accepted"</formula>
    </cfRule>
  </conditionalFormatting>
  <conditionalFormatting sqref="C157">
    <cfRule type="expression" dxfId="44" priority="34">
      <formula>$L157="IN PROGRESS"</formula>
    </cfRule>
    <cfRule type="expression" dxfId="43" priority="35">
      <formula>$L157="Rejected"</formula>
    </cfRule>
  </conditionalFormatting>
  <conditionalFormatting sqref="C157">
    <cfRule type="expression" dxfId="42" priority="36">
      <formula>$L157="Accepted"</formula>
    </cfRule>
  </conditionalFormatting>
  <conditionalFormatting sqref="B20:J20">
    <cfRule type="expression" dxfId="41" priority="31">
      <formula>#REF!="IN PROGRESS"</formula>
    </cfRule>
    <cfRule type="expression" dxfId="40" priority="32">
      <formula>#REF!="Rejected"</formula>
    </cfRule>
  </conditionalFormatting>
  <conditionalFormatting sqref="B20:J20">
    <cfRule type="expression" dxfId="39" priority="33">
      <formula>#REF!="Accepted"</formula>
    </cfRule>
  </conditionalFormatting>
  <conditionalFormatting sqref="I21">
    <cfRule type="expression" dxfId="38" priority="28">
      <formula>#REF!="IN PROGRESS"</formula>
    </cfRule>
    <cfRule type="expression" dxfId="37" priority="29">
      <formula>#REF!="Rejected"</formula>
    </cfRule>
  </conditionalFormatting>
  <conditionalFormatting sqref="I21">
    <cfRule type="expression" dxfId="36" priority="30">
      <formula>#REF!="Accepted"</formula>
    </cfRule>
  </conditionalFormatting>
  <conditionalFormatting sqref="J25">
    <cfRule type="expression" dxfId="35" priority="25">
      <formula>$L24="IN PROGRESS"</formula>
    </cfRule>
    <cfRule type="expression" dxfId="34" priority="26">
      <formula>$L24="Rejected"</formula>
    </cfRule>
  </conditionalFormatting>
  <conditionalFormatting sqref="J25">
    <cfRule type="expression" dxfId="33" priority="27">
      <formula>$L24="Accepted"</formula>
    </cfRule>
  </conditionalFormatting>
  <conditionalFormatting sqref="I24:J24">
    <cfRule type="expression" dxfId="32" priority="22">
      <formula>#REF!="IN PROGRESS"</formula>
    </cfRule>
    <cfRule type="expression" dxfId="31" priority="23">
      <formula>#REF!="Rejected"</formula>
    </cfRule>
  </conditionalFormatting>
  <conditionalFormatting sqref="I24:J24">
    <cfRule type="expression" dxfId="30" priority="24">
      <formula>#REF!="Accepted"</formula>
    </cfRule>
  </conditionalFormatting>
  <conditionalFormatting sqref="I25">
    <cfRule type="expression" dxfId="29" priority="19">
      <formula>#REF!="IN PROGRESS"</formula>
    </cfRule>
    <cfRule type="expression" dxfId="28" priority="20">
      <formula>#REF!="Rejected"</formula>
    </cfRule>
  </conditionalFormatting>
  <conditionalFormatting sqref="I25">
    <cfRule type="expression" dxfId="27" priority="21">
      <formula>#REF!="Accepted"</formula>
    </cfRule>
  </conditionalFormatting>
  <conditionalFormatting sqref="J21">
    <cfRule type="expression" dxfId="26" priority="16">
      <formula>#REF!="IN PROGRESS"</formula>
    </cfRule>
    <cfRule type="expression" dxfId="25" priority="17">
      <formula>#REF!="Rejected"</formula>
    </cfRule>
  </conditionalFormatting>
  <conditionalFormatting sqref="J21">
    <cfRule type="expression" dxfId="24" priority="18">
      <formula>#REF!="Accepted"</formula>
    </cfRule>
  </conditionalFormatting>
  <conditionalFormatting sqref="J29:J31">
    <cfRule type="expression" dxfId="23" priority="7">
      <formula>#REF!="IN PROGRESS"</formula>
    </cfRule>
    <cfRule type="expression" dxfId="22" priority="8">
      <formula>#REF!="Rejected"</formula>
    </cfRule>
  </conditionalFormatting>
  <conditionalFormatting sqref="J29:J31">
    <cfRule type="expression" dxfId="21" priority="9">
      <formula>#REF!="Accepted"</formula>
    </cfRule>
  </conditionalFormatting>
  <conditionalFormatting sqref="B189:L9004 C188:L188 B3:L187">
    <cfRule type="expression" dxfId="20" priority="6">
      <formula>NOT(OR(INDEX($L:$L,ROW())="NCR",INDEX($L:$L,ROW())="NR",INDEX($L:$L,ROW())="AS",INDEX($L:$L,ROW())="AC",INDEX($L:$L,ROW())="AN",INDEX($L:$L,ROW())="RC",INDEX($L:$L,ROW())="RA",INDEX($L:$L,ROW())="Submitted",INDEX($L:$L,ROW())="REV"))</formula>
    </cfRule>
  </conditionalFormatting>
  <conditionalFormatting sqref="B189:L9004 C188:L188 B3:L187">
    <cfRule type="expression" dxfId="19" priority="5">
      <formula>OR(INDEX($L:$L,ROW())="Submitted",INDEX($L:$L,ROW())="REV")</formula>
    </cfRule>
  </conditionalFormatting>
  <conditionalFormatting sqref="B189:L9004 C188:L188 B2:L187">
    <cfRule type="expression" dxfId="18" priority="4">
      <formula>OR(INDEX($L:$L,ROW())="AC",INDEX($L:$L,ROW())="AN",INDEX($L:$L,ROW())="RC",INDEX($L:$L,ROW())="RA")</formula>
    </cfRule>
  </conditionalFormatting>
  <conditionalFormatting sqref="B189:L9004 C188:L188 B2:L187">
    <cfRule type="expression" dxfId="17" priority="3">
      <formula>OR(INDEX($L:$L,ROW())="NCR",INDEX($L:$L,ROW())="NR",INDEX($L:$L,ROW())="AS")</formula>
    </cfRule>
  </conditionalFormatting>
  <conditionalFormatting sqref="A1:A1048576">
    <cfRule type="cellIs" dxfId="16" priority="2" operator="equal">
      <formula>"Y"</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Q313"/>
  <sheetViews>
    <sheetView tabSelected="1" workbookViewId="0">
      <pane ySplit="2" topLeftCell="C54" activePane="bottomLeft" state="frozen"/>
      <selection pane="bottomLeft" activeCell="I62" sqref="I62"/>
    </sheetView>
  </sheetViews>
  <sheetFormatPr defaultRowHeight="15"/>
  <cols>
    <col min="1" max="1" width="12" customWidth="1"/>
    <col min="2" max="2" width="24.7109375" customWidth="1"/>
    <col min="3" max="3" width="10.5703125" bestFit="1" customWidth="1"/>
    <col min="4" max="4" width="51.28515625" bestFit="1" customWidth="1"/>
    <col min="5" max="5" width="34.28515625" bestFit="1" customWidth="1"/>
    <col min="6" max="6" width="26.28515625" customWidth="1"/>
    <col min="7" max="7" width="18" customWidth="1"/>
    <col min="8" max="8" width="64.28515625" customWidth="1"/>
    <col min="9" max="9" width="11.7109375" customWidth="1"/>
    <col min="10" max="10" width="19" customWidth="1"/>
    <col min="11" max="11" width="20.42578125" customWidth="1"/>
    <col min="12" max="12" width="20.7109375" customWidth="1"/>
    <col min="13" max="13" width="1.7109375" customWidth="1"/>
    <col min="18" max="18" width="1.85546875" customWidth="1"/>
  </cols>
  <sheetData>
    <row r="1" spans="1:17" ht="32.450000000000003" customHeight="1">
      <c r="B1" s="805" t="s">
        <v>2083</v>
      </c>
      <c r="C1" s="806"/>
      <c r="D1" s="806"/>
      <c r="E1" s="806"/>
      <c r="F1" s="806"/>
      <c r="G1" s="806"/>
      <c r="H1" s="806"/>
      <c r="M1" s="317"/>
      <c r="N1" s="314"/>
      <c r="O1" s="315"/>
      <c r="P1" s="315"/>
      <c r="Q1" s="316"/>
    </row>
    <row r="2" spans="1:17" ht="40.5">
      <c r="A2" s="282" t="s">
        <v>284</v>
      </c>
      <c r="B2" s="282" t="s">
        <v>113</v>
      </c>
      <c r="C2" s="283" t="s">
        <v>114</v>
      </c>
      <c r="D2" s="283" t="s">
        <v>115</v>
      </c>
      <c r="E2" s="283" t="s">
        <v>116</v>
      </c>
      <c r="F2" s="283" t="s">
        <v>117</v>
      </c>
      <c r="G2" s="283" t="s">
        <v>118</v>
      </c>
      <c r="H2" s="283" t="s">
        <v>119</v>
      </c>
      <c r="I2" s="290" t="s">
        <v>2084</v>
      </c>
      <c r="J2" s="290" t="s">
        <v>121</v>
      </c>
      <c r="K2" s="290" t="s">
        <v>122</v>
      </c>
      <c r="L2" s="291" t="s">
        <v>123</v>
      </c>
      <c r="M2" s="319"/>
      <c r="N2" s="311" t="s">
        <v>124</v>
      </c>
      <c r="O2" s="293" t="s">
        <v>125</v>
      </c>
      <c r="P2" s="294" t="s">
        <v>126</v>
      </c>
      <c r="Q2" s="295" t="s">
        <v>127</v>
      </c>
    </row>
    <row r="3" spans="1:17" s="5" customFormat="1" ht="27" customHeight="1">
      <c r="B3" s="73"/>
      <c r="C3" s="111" t="s">
        <v>289</v>
      </c>
      <c r="D3" s="35" t="s">
        <v>290</v>
      </c>
      <c r="E3" s="35"/>
      <c r="F3" s="35"/>
      <c r="G3" s="73" t="s">
        <v>291</v>
      </c>
      <c r="H3" s="75" t="s">
        <v>292</v>
      </c>
      <c r="I3" s="74"/>
      <c r="J3" s="74"/>
      <c r="K3" s="74" t="str" cm="1">
        <f t="array" ref="K3">IF(ISBLANK(J3), IF(ISBLANK(I3), "N/A", _xlfn.IFS(L3="AS", I3+15, L3="NCR", I3+30, L3="submitted", I3+30, TRUE, "N/A")), _xlfn.IFS(L3="AS", J3+15, L3="NCR", J3+30, L3="submitted", J3+30, TRUE, "N/A"))</f>
        <v>N/A</v>
      </c>
      <c r="L3" s="73"/>
      <c r="M3" s="317"/>
      <c r="N3" s="796" t="s">
        <v>133</v>
      </c>
      <c r="O3" s="797"/>
      <c r="P3" s="797"/>
      <c r="Q3" s="798"/>
    </row>
    <row r="4" spans="1:17" s="1" customFormat="1" ht="15" customHeight="1">
      <c r="B4" s="4"/>
      <c r="C4" s="111"/>
      <c r="D4" s="35"/>
      <c r="E4" s="35"/>
      <c r="F4" s="35"/>
      <c r="G4" s="4" t="s">
        <v>293</v>
      </c>
      <c r="H4" s="17" t="s">
        <v>294</v>
      </c>
      <c r="I4" s="18"/>
      <c r="J4" s="18"/>
      <c r="K4" s="74" t="str" cm="1">
        <f t="array" ref="K4">IF(ISBLANK(J4), IF(ISBLANK(I4), "N/A", _xlfn.IFS(L4="AS", I4+15, L4="NCR", I4+30, L4="submitted", I4+30, TRUE, "N/A")), _xlfn.IFS(L4="AS", J4+15, L4="NCR", J4+30, L4="submitted", J4+30, TRUE, "N/A"))</f>
        <v>N/A</v>
      </c>
      <c r="L4" s="4"/>
      <c r="M4" s="317"/>
      <c r="N4" s="799"/>
      <c r="O4" s="800"/>
      <c r="P4" s="800"/>
      <c r="Q4" s="801"/>
    </row>
    <row r="5" spans="1:17" s="1" customFormat="1" ht="27" customHeight="1">
      <c r="B5" s="4"/>
      <c r="C5" s="95"/>
      <c r="D5" s="36"/>
      <c r="E5" s="36"/>
      <c r="F5" s="36"/>
      <c r="G5" s="4" t="s">
        <v>134</v>
      </c>
      <c r="H5" s="3" t="s">
        <v>295</v>
      </c>
      <c r="I5" s="18"/>
      <c r="J5" s="18"/>
      <c r="K5" s="74" t="str" cm="1">
        <f t="array" ref="K5">IF(ISBLANK(J5), IF(ISBLANK(I5), "N/A", _xlfn.IFS(L5="AS", I5+15, L5="NCR", I5+30, L5="submitted", I5+30, TRUE, "N/A")), _xlfn.IFS(L5="AS", J5+15, L5="NCR", J5+30, L5="submitted", J5+30, TRUE, "N/A"))</f>
        <v>N/A</v>
      </c>
      <c r="L5" s="4"/>
      <c r="M5" s="317"/>
      <c r="N5" s="799"/>
      <c r="O5" s="800"/>
      <c r="P5" s="800"/>
      <c r="Q5" s="801"/>
    </row>
    <row r="6" spans="1:17" s="1" customFormat="1" ht="15" customHeight="1">
      <c r="B6" s="9"/>
      <c r="C6" s="32" t="s">
        <v>2085</v>
      </c>
      <c r="D6" s="37" t="s">
        <v>2086</v>
      </c>
      <c r="E6" s="37"/>
      <c r="F6" s="37"/>
      <c r="G6" s="9" t="s">
        <v>212</v>
      </c>
      <c r="H6" s="13" t="s">
        <v>2087</v>
      </c>
      <c r="I6" s="18"/>
      <c r="J6" s="18"/>
      <c r="K6" s="74" t="str" cm="1">
        <f t="array" ref="K6">IF(ISBLANK(J6), IF(ISBLANK(I6), "N/A", _xlfn.IFS(L6="AS", I6+15, L6="NCR", I6+30, L6="submitted", I6+30, TRUE, "N/A")), _xlfn.IFS(L6="AS", J6+15, L6="NCR", J6+30, L6="submitted", J6+30, TRUE, "N/A"))</f>
        <v>N/A</v>
      </c>
      <c r="L6" s="9"/>
      <c r="M6" s="317"/>
      <c r="N6" s="799"/>
      <c r="O6" s="800"/>
      <c r="P6" s="800"/>
      <c r="Q6" s="801"/>
    </row>
    <row r="7" spans="1:17" s="1" customFormat="1" ht="15" customHeight="1">
      <c r="B7" s="9"/>
      <c r="C7" s="32" t="s">
        <v>2085</v>
      </c>
      <c r="D7" s="37" t="s">
        <v>2086</v>
      </c>
      <c r="E7" s="37"/>
      <c r="F7" s="37"/>
      <c r="G7" s="9" t="s">
        <v>336</v>
      </c>
      <c r="H7" s="13" t="s">
        <v>282</v>
      </c>
      <c r="I7" s="18"/>
      <c r="J7" s="18"/>
      <c r="K7" s="74" t="str" cm="1">
        <f t="array" ref="K7">IF(ISBLANK(J7), IF(ISBLANK(I7), "N/A", _xlfn.IFS(L7="AS", I7+15, L7="NCR", I7+30, L7="submitted", I7+30, TRUE, "N/A")), _xlfn.IFS(L7="AS", J7+15, L7="NCR", J7+30, L7="submitted", J7+30, TRUE, "N/A"))</f>
        <v>N/A</v>
      </c>
      <c r="L7" s="9"/>
      <c r="M7" s="317"/>
      <c r="N7" s="802" t="s">
        <v>148</v>
      </c>
      <c r="O7" s="803"/>
      <c r="P7" s="803"/>
      <c r="Q7" s="804"/>
    </row>
    <row r="8" spans="1:17" s="1" customFormat="1" ht="15" customHeight="1">
      <c r="B8" s="9"/>
      <c r="C8" s="32" t="s">
        <v>2085</v>
      </c>
      <c r="D8" s="37" t="s">
        <v>2086</v>
      </c>
      <c r="E8" s="37"/>
      <c r="F8" s="37"/>
      <c r="G8" s="9" t="s">
        <v>1142</v>
      </c>
      <c r="H8" s="13" t="s">
        <v>1967</v>
      </c>
      <c r="I8" s="18"/>
      <c r="J8" s="18"/>
      <c r="K8" s="74" t="str" cm="1">
        <f t="array" ref="K8">IF(ISBLANK(J8), IF(ISBLANK(I8), "N/A", _xlfn.IFS(L8="AS", I8+15, L8="NCR", I8+30, L8="submitted", I8+30, TRUE, "N/A")), _xlfn.IFS(L8="AS", J8+15, L8="NCR", J8+30, L8="submitted", J8+30, TRUE, "N/A"))</f>
        <v>N/A</v>
      </c>
      <c r="L8" s="9"/>
      <c r="M8" s="317"/>
      <c r="N8" s="802"/>
      <c r="O8" s="803"/>
      <c r="P8" s="803"/>
      <c r="Q8" s="804"/>
    </row>
    <row r="9" spans="1:17" s="138" customFormat="1" ht="27" customHeight="1">
      <c r="B9" s="151" t="s">
        <v>102</v>
      </c>
      <c r="C9" s="239" t="s">
        <v>2085</v>
      </c>
      <c r="D9" s="168" t="s">
        <v>2086</v>
      </c>
      <c r="E9" s="168" t="s">
        <v>103</v>
      </c>
      <c r="F9" s="168"/>
      <c r="G9" s="151" t="s">
        <v>1144</v>
      </c>
      <c r="H9" s="153" t="s">
        <v>2088</v>
      </c>
      <c r="I9" s="261">
        <v>45820</v>
      </c>
      <c r="J9" s="261">
        <v>45889</v>
      </c>
      <c r="K9" s="74" t="str" cm="1">
        <f t="array" ref="K9">IF(ISBLANK(J9), IF(ISBLANK(I9), "N/A", _xlfn.IFS(L9="AS", I9+15, L9="NCR", I9+30, L9="submitted", I9+30, TRUE, "N/A")), _xlfn.IFS(L9="AS", J9+15, L9="NCR", J9+30, L9="submitted", J9+30, TRUE, "N/A"))</f>
        <v>N/A</v>
      </c>
      <c r="L9" s="151" t="s">
        <v>151</v>
      </c>
      <c r="M9" s="317"/>
      <c r="N9" s="802"/>
      <c r="O9" s="803"/>
      <c r="P9" s="803"/>
      <c r="Q9" s="804"/>
    </row>
    <row r="10" spans="1:17" s="1" customFormat="1" ht="27" customHeight="1">
      <c r="B10" s="9"/>
      <c r="C10" s="32" t="s">
        <v>2085</v>
      </c>
      <c r="D10" s="37" t="s">
        <v>2086</v>
      </c>
      <c r="E10" s="37"/>
      <c r="F10" s="37"/>
      <c r="G10" s="9" t="s">
        <v>2089</v>
      </c>
      <c r="H10" s="7" t="s">
        <v>2090</v>
      </c>
      <c r="I10" s="18"/>
      <c r="J10" s="18"/>
      <c r="K10" s="74" t="str" cm="1">
        <f t="array" ref="K10">IF(ISBLANK(J10), IF(ISBLANK(I10), "N/A", _xlfn.IFS(L10="AS", I10+15, L10="NCR", I10+30, L10="submitted", I10+30, TRUE, "N/A")), _xlfn.IFS(L10="AS", J10+15, L10="NCR", J10+30, L10="submitted", J10+30, TRUE, "N/A"))</f>
        <v>N/A</v>
      </c>
      <c r="L10" s="9"/>
      <c r="M10" s="317"/>
      <c r="N10" s="802"/>
      <c r="O10" s="803"/>
      <c r="P10" s="803"/>
      <c r="Q10" s="804"/>
    </row>
    <row r="11" spans="1:17" s="1" customFormat="1" ht="27" customHeight="1">
      <c r="B11" s="9"/>
      <c r="C11" s="32" t="s">
        <v>2085</v>
      </c>
      <c r="D11" s="37" t="s">
        <v>2086</v>
      </c>
      <c r="E11" s="37"/>
      <c r="F11" s="37"/>
      <c r="G11" s="9" t="s">
        <v>421</v>
      </c>
      <c r="H11" s="7" t="s">
        <v>2091</v>
      </c>
      <c r="I11" s="18"/>
      <c r="J11" s="18"/>
      <c r="K11" s="74" t="str" cm="1">
        <f t="array" ref="K11">IF(ISBLANK(J11), IF(ISBLANK(I11), "N/A", _xlfn.IFS(L11="AS", I11+15, L11="NCR", I11+30, L11="submitted", I11+30, TRUE, "N/A")), _xlfn.IFS(L11="AS", J11+15, L11="NCR", J11+30, L11="submitted", J11+30, TRUE, "N/A"))</f>
        <v>N/A</v>
      </c>
      <c r="L11" s="9"/>
      <c r="M11" s="317"/>
      <c r="N11" s="802"/>
      <c r="O11" s="803"/>
      <c r="P11" s="803"/>
      <c r="Q11" s="804"/>
    </row>
    <row r="12" spans="1:17" s="1" customFormat="1" ht="27" customHeight="1">
      <c r="B12" s="9"/>
      <c r="C12" s="32" t="s">
        <v>2085</v>
      </c>
      <c r="D12" s="37" t="s">
        <v>2086</v>
      </c>
      <c r="E12" s="37"/>
      <c r="F12" s="37"/>
      <c r="G12" s="9" t="s">
        <v>423</v>
      </c>
      <c r="H12" s="7" t="s">
        <v>2092</v>
      </c>
      <c r="I12" s="18"/>
      <c r="J12" s="18"/>
      <c r="K12" s="74" t="str" cm="1">
        <f t="array" ref="K12">IF(ISBLANK(J12), IF(ISBLANK(I12), "N/A", _xlfn.IFS(L12="AS", I12+15, L12="NCR", I12+30, L12="submitted", I12+30, TRUE, "N/A")), _xlfn.IFS(L12="AS", J12+15, L12="NCR", J12+30, L12="submitted", J12+30, TRUE, "N/A"))</f>
        <v>N/A</v>
      </c>
      <c r="L12" s="9"/>
      <c r="M12" s="318"/>
      <c r="N12" s="802"/>
      <c r="O12" s="803"/>
      <c r="P12" s="803"/>
      <c r="Q12" s="804"/>
    </row>
    <row r="13" spans="1:17" s="1" customFormat="1" ht="15" customHeight="1">
      <c r="B13" s="9"/>
      <c r="C13" s="32" t="s">
        <v>2085</v>
      </c>
      <c r="D13" s="37" t="s">
        <v>2086</v>
      </c>
      <c r="E13" s="37"/>
      <c r="F13" s="37"/>
      <c r="G13" s="9" t="s">
        <v>346</v>
      </c>
      <c r="H13" s="13" t="s">
        <v>2093</v>
      </c>
      <c r="I13" s="18"/>
      <c r="J13" s="18"/>
      <c r="K13" s="74" t="str" cm="1">
        <f t="array" ref="K13">IF(ISBLANK(J13), IF(ISBLANK(I13), "N/A", _xlfn.IFS(L13="AS", I13+15, L13="NCR", I13+30, L13="submitted", I13+30, TRUE, "N/A")), _xlfn.IFS(L13="AS", J13+15, L13="NCR", J13+30, L13="submitted", J13+30, TRUE, "N/A"))</f>
        <v>N/A</v>
      </c>
      <c r="L13" s="9"/>
      <c r="M13" s="317"/>
      <c r="N13" s="802"/>
      <c r="O13" s="803"/>
      <c r="P13" s="803"/>
      <c r="Q13" s="804"/>
    </row>
    <row r="14" spans="1:17" s="1" customFormat="1" ht="15" customHeight="1">
      <c r="B14" s="9"/>
      <c r="C14" s="32" t="s">
        <v>2085</v>
      </c>
      <c r="D14" s="37" t="s">
        <v>2086</v>
      </c>
      <c r="E14" s="37"/>
      <c r="F14" s="37"/>
      <c r="G14" s="9" t="s">
        <v>1046</v>
      </c>
      <c r="H14" s="13" t="s">
        <v>2094</v>
      </c>
      <c r="I14" s="18"/>
      <c r="J14" s="18"/>
      <c r="K14" s="74" t="str" cm="1">
        <f t="array" ref="K14">IF(ISBLANK(J14), IF(ISBLANK(I14), "N/A", _xlfn.IFS(L14="AS", I14+15, L14="NCR", I14+30, L14="submitted", I14+30, TRUE, "N/A")), _xlfn.IFS(L14="AS", J14+15, L14="NCR", J14+30, L14="submitted", J14+30, TRUE, "N/A"))</f>
        <v>N/A</v>
      </c>
      <c r="L14" s="9"/>
      <c r="M14" s="317"/>
      <c r="N14" s="802"/>
      <c r="O14" s="803"/>
      <c r="P14" s="803"/>
      <c r="Q14" s="804"/>
    </row>
    <row r="15" spans="1:17" s="1" customFormat="1" ht="15" customHeight="1">
      <c r="B15" s="9"/>
      <c r="C15" s="32" t="s">
        <v>2085</v>
      </c>
      <c r="D15" s="37" t="s">
        <v>2086</v>
      </c>
      <c r="E15" s="37"/>
      <c r="F15" s="37"/>
      <c r="G15" s="9" t="s">
        <v>1624</v>
      </c>
      <c r="H15" s="13" t="s">
        <v>2095</v>
      </c>
      <c r="I15" s="18"/>
      <c r="J15" s="18"/>
      <c r="K15" s="74" t="str" cm="1">
        <f t="array" ref="K15">IF(ISBLANK(J15), IF(ISBLANK(I15), "N/A", _xlfn.IFS(L15="AS", I15+15, L15="NCR", I15+30, L15="submitted", I15+30, TRUE, "N/A")), _xlfn.IFS(L15="AS", J15+15, L15="NCR", J15+30, L15="submitted", J15+30, TRUE, "N/A"))</f>
        <v>N/A</v>
      </c>
      <c r="L15" s="9"/>
      <c r="M15" s="317"/>
      <c r="N15" s="802"/>
      <c r="O15" s="803"/>
      <c r="P15" s="803"/>
      <c r="Q15" s="804"/>
    </row>
    <row r="16" spans="1:17" s="1" customFormat="1" ht="15" customHeight="1">
      <c r="B16" s="9"/>
      <c r="C16" s="32" t="s">
        <v>2085</v>
      </c>
      <c r="D16" s="37" t="s">
        <v>2086</v>
      </c>
      <c r="E16" s="37"/>
      <c r="F16" s="37"/>
      <c r="G16" s="9" t="s">
        <v>410</v>
      </c>
      <c r="H16" s="13" t="s">
        <v>2096</v>
      </c>
      <c r="I16" s="18"/>
      <c r="J16" s="18"/>
      <c r="K16" s="74" t="str" cm="1">
        <f t="array" ref="K16">IF(ISBLANK(J16), IF(ISBLANK(I16), "N/A", _xlfn.IFS(L16="AS", I16+15, L16="NCR", I16+30, L16="submitted", I16+30, TRUE, "N/A")), _xlfn.IFS(L16="AS", J16+15, L16="NCR", J16+30, L16="submitted", J16+30, TRUE, "N/A"))</f>
        <v>N/A</v>
      </c>
      <c r="L16" s="9"/>
      <c r="M16" s="317"/>
      <c r="N16" s="802"/>
      <c r="O16" s="803"/>
      <c r="P16" s="803"/>
      <c r="Q16" s="804"/>
    </row>
    <row r="17" spans="2:17" s="1" customFormat="1" ht="15" customHeight="1">
      <c r="B17" s="9"/>
      <c r="C17" s="32" t="s">
        <v>2085</v>
      </c>
      <c r="D17" s="37" t="s">
        <v>2086</v>
      </c>
      <c r="E17" s="37"/>
      <c r="F17" s="37"/>
      <c r="G17" s="9" t="s">
        <v>412</v>
      </c>
      <c r="H17" s="13" t="s">
        <v>2097</v>
      </c>
      <c r="I17" s="18"/>
      <c r="J17" s="18"/>
      <c r="K17" s="74" t="str" cm="1">
        <f t="array" ref="K17">IF(ISBLANK(J17), IF(ISBLANK(I17), "N/A", _xlfn.IFS(L17="AS", I17+15, L17="NCR", I17+30, L17="submitted", I17+30, TRUE, "N/A")), _xlfn.IFS(L17="AS", J17+15, L17="NCR", J17+30, L17="submitted", J17+30, TRUE, "N/A"))</f>
        <v>N/A</v>
      </c>
      <c r="L17" s="9"/>
      <c r="M17" s="317"/>
      <c r="N17" s="802"/>
      <c r="O17" s="803"/>
      <c r="P17" s="803"/>
      <c r="Q17" s="804"/>
    </row>
    <row r="18" spans="2:17" s="26" customFormat="1" ht="15" customHeight="1">
      <c r="B18" s="22" t="s">
        <v>2098</v>
      </c>
      <c r="C18" s="190" t="s">
        <v>2099</v>
      </c>
      <c r="D18" s="24" t="s">
        <v>2100</v>
      </c>
      <c r="E18" s="24" t="s">
        <v>2101</v>
      </c>
      <c r="F18" s="24" t="s">
        <v>2102</v>
      </c>
      <c r="G18" s="22" t="s">
        <v>281</v>
      </c>
      <c r="H18" s="24" t="s">
        <v>235</v>
      </c>
      <c r="I18" s="25">
        <v>45911</v>
      </c>
      <c r="J18" s="25"/>
      <c r="K18" s="74" cm="1">
        <f t="array" ref="K18">IF(ISBLANK(J18), IF(ISBLANK(I18), "N/A", _xlfn.IFS(L18="AS", I18+15, L18="NCR", I18+30, L18="submitted", I18+30, TRUE, "N/A")), _xlfn.IFS(L18="AS", J18+15, L18="NCR", J18+30, L18="submitted", J18+30, TRUE, "N/A"))</f>
        <v>45941</v>
      </c>
      <c r="L18" s="22" t="s">
        <v>581</v>
      </c>
      <c r="M18" s="317"/>
      <c r="N18" s="802"/>
      <c r="O18" s="803"/>
      <c r="P18" s="803"/>
      <c r="Q18" s="804"/>
    </row>
    <row r="19" spans="2:17" s="1" customFormat="1" ht="15" customHeight="1">
      <c r="B19" s="9"/>
      <c r="C19" s="32" t="s">
        <v>2103</v>
      </c>
      <c r="D19" s="37" t="s">
        <v>2104</v>
      </c>
      <c r="E19" s="37"/>
      <c r="F19" s="37"/>
      <c r="G19" s="9" t="s">
        <v>336</v>
      </c>
      <c r="H19" s="13" t="s">
        <v>235</v>
      </c>
      <c r="I19" s="18"/>
      <c r="J19" s="18"/>
      <c r="K19" s="74" t="str" cm="1">
        <f t="array" ref="K19">IF(ISBLANK(J19), IF(ISBLANK(I19), "N/A", _xlfn.IFS(L19="AS", I19+15, L19="NCR", I19+30, L19="submitted", I19+30, TRUE, "N/A")), _xlfn.IFS(L19="AS", J19+15, L19="NCR", J19+30, L19="submitted", J19+30, TRUE, "N/A"))</f>
        <v>N/A</v>
      </c>
      <c r="L19" s="9"/>
      <c r="M19" s="317"/>
      <c r="N19" s="802"/>
      <c r="O19" s="803"/>
      <c r="P19" s="803"/>
      <c r="Q19" s="804"/>
    </row>
    <row r="20" spans="2:17" s="1" customFormat="1" ht="15" customHeight="1">
      <c r="B20" s="9"/>
      <c r="C20" s="33"/>
      <c r="D20" s="39"/>
      <c r="E20" s="39"/>
      <c r="F20" s="39"/>
      <c r="G20" s="9" t="s">
        <v>337</v>
      </c>
      <c r="H20" s="13" t="s">
        <v>282</v>
      </c>
      <c r="I20" s="18"/>
      <c r="J20" s="18"/>
      <c r="K20" s="74" t="str" cm="1">
        <f t="array" ref="K20">IF(ISBLANK(J20), IF(ISBLANK(I20), "N/A", _xlfn.IFS(L20="AS", I20+15, L20="NCR", I20+30, L20="submitted", I20+30, TRUE, "N/A")), _xlfn.IFS(L20="AS", J20+15, L20="NCR", J20+30, L20="submitted", J20+30, TRUE, "N/A"))</f>
        <v>N/A</v>
      </c>
      <c r="L20" s="9"/>
      <c r="M20" s="317"/>
      <c r="N20" s="802"/>
      <c r="O20" s="803"/>
      <c r="P20" s="803"/>
      <c r="Q20" s="804"/>
    </row>
    <row r="21" spans="2:17" s="1" customFormat="1" ht="15" customHeight="1">
      <c r="B21" s="9"/>
      <c r="C21" s="33"/>
      <c r="D21" s="39"/>
      <c r="E21" s="39"/>
      <c r="F21" s="39"/>
      <c r="G21" s="9" t="s">
        <v>338</v>
      </c>
      <c r="H21" s="13" t="s">
        <v>2105</v>
      </c>
      <c r="I21" s="18"/>
      <c r="J21" s="18"/>
      <c r="K21" s="74" t="str" cm="1">
        <f t="array" ref="K21">IF(ISBLANK(J21), IF(ISBLANK(I21), "N/A", _xlfn.IFS(L21="AS", I21+15, L21="NCR", I21+30, L21="submitted", I21+30, TRUE, "N/A")), _xlfn.IFS(L21="AS", J21+15, L21="NCR", J21+30, L21="submitted", J21+30, TRUE, "N/A"))</f>
        <v>N/A</v>
      </c>
      <c r="L21" s="9"/>
      <c r="M21" s="317"/>
      <c r="N21" s="802"/>
      <c r="O21" s="803"/>
      <c r="P21" s="803"/>
      <c r="Q21" s="804"/>
    </row>
    <row r="22" spans="2:17" s="1" customFormat="1" ht="27" customHeight="1">
      <c r="B22" s="9"/>
      <c r="C22" s="33"/>
      <c r="D22" s="39"/>
      <c r="E22" s="39"/>
      <c r="F22" s="39"/>
      <c r="G22" s="9" t="s">
        <v>1265</v>
      </c>
      <c r="H22" s="7" t="s">
        <v>2106</v>
      </c>
      <c r="I22" s="18"/>
      <c r="J22" s="18"/>
      <c r="K22" s="74" t="str" cm="1">
        <f t="array" ref="K22">IF(ISBLANK(J22), IF(ISBLANK(I22), "N/A", _xlfn.IFS(L22="AS", I22+15, L22="NCR", I22+30, L22="submitted", I22+30, TRUE, "N/A")), _xlfn.IFS(L22="AS", J22+15, L22="NCR", J22+30, L22="submitted", J22+30, TRUE, "N/A"))</f>
        <v>N/A</v>
      </c>
      <c r="L22" s="9"/>
      <c r="M22" s="317"/>
      <c r="N22" s="802"/>
      <c r="O22" s="803"/>
      <c r="P22" s="803"/>
      <c r="Q22" s="804"/>
    </row>
    <row r="23" spans="2:17" s="1" customFormat="1" ht="27" customHeight="1">
      <c r="B23" s="9"/>
      <c r="C23" s="97"/>
      <c r="D23" s="46"/>
      <c r="E23" s="46"/>
      <c r="F23" s="46"/>
      <c r="G23" s="9" t="s">
        <v>1267</v>
      </c>
      <c r="H23" s="7" t="s">
        <v>2107</v>
      </c>
      <c r="I23" s="18"/>
      <c r="J23" s="18"/>
      <c r="K23" s="74" t="str" cm="1">
        <f t="array" ref="K23">IF(ISBLANK(J23), IF(ISBLANK(I23), "N/A", _xlfn.IFS(L23="AS", I23+15, L23="NCR", I23+30, L23="submitted", I23+30, TRUE, "N/A")), _xlfn.IFS(L23="AS", J23+15, L23="NCR", J23+30, L23="submitted", J23+30, TRUE, "N/A"))</f>
        <v>N/A</v>
      </c>
      <c r="L23" s="9"/>
      <c r="M23" s="317"/>
      <c r="N23" s="802"/>
      <c r="O23" s="803"/>
      <c r="P23" s="803"/>
      <c r="Q23" s="804"/>
    </row>
    <row r="24" spans="2:17" s="5" customFormat="1" ht="15" customHeight="1">
      <c r="B24" s="4"/>
      <c r="C24" s="86" t="s">
        <v>2108</v>
      </c>
      <c r="D24" s="34" t="s">
        <v>2109</v>
      </c>
      <c r="E24" s="34"/>
      <c r="F24" s="34"/>
      <c r="G24" s="4" t="s">
        <v>281</v>
      </c>
      <c r="H24" s="17" t="s">
        <v>235</v>
      </c>
      <c r="I24" s="18"/>
      <c r="J24" s="18"/>
      <c r="K24" s="74" t="str" cm="1">
        <f t="array" ref="K24">IF(ISBLANK(J24), IF(ISBLANK(I24), "N/A", _xlfn.IFS(L24="AS", I24+15, L24="NCR", I24+30, L24="submitted", I24+30, TRUE, "N/A")), _xlfn.IFS(L24="AS", J24+15, L24="NCR", J24+30, L24="submitted", J24+30, TRUE, "N/A"))</f>
        <v>N/A</v>
      </c>
      <c r="L24" s="4"/>
      <c r="M24" s="317"/>
      <c r="N24" s="802"/>
      <c r="O24" s="803"/>
      <c r="P24" s="803"/>
      <c r="Q24" s="804"/>
    </row>
    <row r="25" spans="2:17" s="5" customFormat="1" ht="27" customHeight="1">
      <c r="B25" s="4"/>
      <c r="C25" s="95"/>
      <c r="D25" s="36"/>
      <c r="E25" s="36"/>
      <c r="F25" s="36"/>
      <c r="G25" s="4" t="s">
        <v>329</v>
      </c>
      <c r="H25" s="3" t="s">
        <v>2110</v>
      </c>
      <c r="I25" s="18"/>
      <c r="J25" s="18"/>
      <c r="K25" s="74" t="str" cm="1">
        <f t="array" ref="K25">IF(ISBLANK(J25), IF(ISBLANK(I25), "N/A", _xlfn.IFS(L25="AS", I25+15, L25="NCR", I25+30, L25="submitted", I25+30, TRUE, "N/A")), _xlfn.IFS(L25="AS", J25+15, L25="NCR", J25+30, L25="submitted", J25+30, TRUE, "N/A"))</f>
        <v>N/A</v>
      </c>
      <c r="L25" s="4"/>
      <c r="M25" s="317"/>
      <c r="N25" s="802"/>
      <c r="O25" s="803"/>
      <c r="P25" s="803"/>
      <c r="Q25" s="804"/>
    </row>
    <row r="26" spans="2:17" s="1" customFormat="1" ht="12" customHeight="1">
      <c r="B26" s="9" t="s">
        <v>2111</v>
      </c>
      <c r="C26" s="32" t="s">
        <v>2112</v>
      </c>
      <c r="D26" s="37" t="s">
        <v>2113</v>
      </c>
      <c r="E26" s="37" t="s">
        <v>2114</v>
      </c>
      <c r="F26" s="37" t="s">
        <v>2102</v>
      </c>
      <c r="G26" s="9" t="s">
        <v>281</v>
      </c>
      <c r="H26" s="13" t="s">
        <v>235</v>
      </c>
      <c r="I26" s="18">
        <v>45931</v>
      </c>
      <c r="J26" s="18"/>
      <c r="K26" s="74" cm="1">
        <f t="array" ref="K26">IF(ISBLANK(J26), IF(ISBLANK(I26), "N/A", _xlfn.IFS(L26="AS", I26+15, L26="NCR", I26+30, L26="submitted", I26+30, TRUE, "N/A")), _xlfn.IFS(L26="AS", J26+15, L26="NCR", J26+30, L26="submitted", J26+30, TRUE, "N/A"))</f>
        <v>45961</v>
      </c>
      <c r="L26" s="9" t="s">
        <v>581</v>
      </c>
      <c r="M26" s="317"/>
      <c r="N26" s="802"/>
      <c r="O26" s="803"/>
      <c r="P26" s="803"/>
      <c r="Q26" s="804"/>
    </row>
    <row r="27" spans="2:17" s="1" customFormat="1" ht="12" customHeight="1">
      <c r="B27" s="9"/>
      <c r="C27" s="32" t="s">
        <v>2112</v>
      </c>
      <c r="D27" s="37" t="s">
        <v>2113</v>
      </c>
      <c r="E27" s="39"/>
      <c r="F27" s="39"/>
      <c r="G27" s="9" t="s">
        <v>269</v>
      </c>
      <c r="H27" s="13" t="s">
        <v>282</v>
      </c>
      <c r="I27" s="18"/>
      <c r="J27" s="18"/>
      <c r="K27" s="74" t="str" cm="1">
        <f t="array" ref="K27">IF(ISBLANK(J27), IF(ISBLANK(I27), "N/A", _xlfn.IFS(L27="AS", I27+15, L27="NCR", I27+30, L27="submitted", I27+30, TRUE, "N/A")), _xlfn.IFS(L27="AS", J27+15, L27="NCR", J27+30, L27="submitted", J27+30, TRUE, "N/A"))</f>
        <v>N/A</v>
      </c>
      <c r="L27" s="9"/>
      <c r="M27" s="317"/>
      <c r="N27" s="802"/>
      <c r="O27" s="803"/>
      <c r="P27" s="803"/>
      <c r="Q27" s="804"/>
    </row>
    <row r="28" spans="2:17" s="1" customFormat="1" ht="12" customHeight="1">
      <c r="B28" s="9"/>
      <c r="C28" s="32" t="s">
        <v>2115</v>
      </c>
      <c r="D28" s="37" t="s">
        <v>2113</v>
      </c>
      <c r="E28" s="20"/>
      <c r="F28" s="20"/>
      <c r="G28" s="1" t="s">
        <v>259</v>
      </c>
      <c r="H28" s="13" t="s">
        <v>1762</v>
      </c>
      <c r="I28" s="18"/>
      <c r="J28" s="18"/>
      <c r="K28" s="74" t="str" cm="1">
        <f t="array" ref="K28">IF(ISBLANK(J28), IF(ISBLANK(I28), "N/A", _xlfn.IFS(L28="AS", I28+15, L28="NCR", I28+30, L28="submitted", I28+30, TRUE, "N/A")), _xlfn.IFS(L28="AS", J28+15, L28="NCR", J28+30, L28="submitted", J28+30, TRUE, "N/A"))</f>
        <v>N/A</v>
      </c>
      <c r="L28" s="9"/>
      <c r="M28" s="317"/>
      <c r="N28" s="802"/>
      <c r="O28" s="803"/>
      <c r="P28" s="803"/>
      <c r="Q28" s="804"/>
    </row>
    <row r="29" spans="2:17" s="1" customFormat="1" ht="12" customHeight="1">
      <c r="B29" s="9"/>
      <c r="C29" s="32" t="s">
        <v>2116</v>
      </c>
      <c r="D29" s="37" t="s">
        <v>2113</v>
      </c>
      <c r="E29" s="39"/>
      <c r="F29" s="39"/>
      <c r="G29" s="9" t="s">
        <v>352</v>
      </c>
      <c r="H29" s="13" t="s">
        <v>353</v>
      </c>
      <c r="I29" s="18"/>
      <c r="J29" s="18"/>
      <c r="K29" s="74" t="str" cm="1">
        <f t="array" ref="K29">IF(ISBLANK(J29), IF(ISBLANK(I29), "N/A", _xlfn.IFS(L29="AS", I29+15, L29="NCR", I29+30, L29="submitted", I29+30, TRUE, "N/A")), _xlfn.IFS(L29="AS", J29+15, L29="NCR", J29+30, L29="submitted", J29+30, TRUE, "N/A"))</f>
        <v>N/A</v>
      </c>
      <c r="L29" s="9"/>
      <c r="M29" s="317"/>
      <c r="N29" s="802"/>
      <c r="O29" s="803"/>
      <c r="P29" s="803"/>
      <c r="Q29" s="804"/>
    </row>
    <row r="30" spans="2:17" s="1" customFormat="1" ht="28.5" customHeight="1">
      <c r="B30" s="9"/>
      <c r="C30" s="32" t="s">
        <v>2117</v>
      </c>
      <c r="D30" s="37" t="s">
        <v>2113</v>
      </c>
      <c r="E30" s="39"/>
      <c r="F30" s="39"/>
      <c r="G30" s="9" t="s">
        <v>382</v>
      </c>
      <c r="H30" s="7" t="s">
        <v>2118</v>
      </c>
      <c r="I30" s="18"/>
      <c r="J30" s="18"/>
      <c r="K30" s="74" t="str" cm="1">
        <f t="array" ref="K30">IF(ISBLANK(J30), IF(ISBLANK(I30), "N/A", _xlfn.IFS(L30="AS", I30+15, L30="NCR", I30+30, L30="submitted", I30+30, TRUE, "N/A")), _xlfn.IFS(L30="AS", J30+15, L30="NCR", J30+30, L30="submitted", J30+30, TRUE, "N/A"))</f>
        <v>N/A</v>
      </c>
      <c r="L30" s="9"/>
      <c r="M30" s="317"/>
      <c r="N30" s="802"/>
      <c r="O30" s="803"/>
      <c r="P30" s="803"/>
      <c r="Q30" s="804"/>
    </row>
    <row r="31" spans="2:17" s="1" customFormat="1" ht="25.5" customHeight="1">
      <c r="B31" s="9"/>
      <c r="C31" s="32" t="s">
        <v>2119</v>
      </c>
      <c r="D31" s="37" t="s">
        <v>2113</v>
      </c>
      <c r="E31" s="46"/>
      <c r="F31" s="46"/>
      <c r="G31" s="9" t="s">
        <v>384</v>
      </c>
      <c r="H31" s="7" t="s">
        <v>2120</v>
      </c>
      <c r="I31" s="18"/>
      <c r="J31" s="18"/>
      <c r="K31" s="74" t="str" cm="1">
        <f t="array" ref="K31">IF(ISBLANK(J31), IF(ISBLANK(I31), "N/A", _xlfn.IFS(L31="AS", I31+15, L31="NCR", I31+30, L31="submitted", I31+30, TRUE, "N/A")), _xlfn.IFS(L31="AS", J31+15, L31="NCR", J31+30, L31="submitted", J31+30, TRUE, "N/A"))</f>
        <v>N/A</v>
      </c>
      <c r="L31" s="9"/>
      <c r="M31" s="317"/>
      <c r="N31" s="802"/>
      <c r="O31" s="803"/>
      <c r="P31" s="803"/>
      <c r="Q31" s="804"/>
    </row>
    <row r="32" spans="2:17" s="107" customFormat="1" ht="15" customHeight="1">
      <c r="B32" s="104"/>
      <c r="C32" s="601" t="s">
        <v>2121</v>
      </c>
      <c r="D32" s="105" t="s">
        <v>2122</v>
      </c>
      <c r="E32" s="105"/>
      <c r="F32" s="105"/>
      <c r="G32" s="104" t="s">
        <v>281</v>
      </c>
      <c r="H32" s="106" t="s">
        <v>235</v>
      </c>
      <c r="I32" s="18"/>
      <c r="J32" s="18"/>
      <c r="K32" s="74" t="str" cm="1">
        <f t="array" ref="K32">IF(ISBLANK(J32), IF(ISBLANK(I32), "N/A", _xlfn.IFS(L32="AS", I32+15, L32="NCR", I32+30, L32="submitted", I32+30, TRUE, "N/A")), _xlfn.IFS(L32="AS", J32+15, L32="NCR", J32+30, L32="submitted", J32+30, TRUE, "N/A"))</f>
        <v>N/A</v>
      </c>
      <c r="L32" s="104"/>
      <c r="M32" s="317"/>
      <c r="N32" s="802"/>
      <c r="O32" s="803"/>
      <c r="P32" s="803"/>
      <c r="Q32" s="804"/>
    </row>
    <row r="33" spans="2:17" s="107" customFormat="1" ht="15" customHeight="1">
      <c r="B33" s="104"/>
      <c r="C33" s="602"/>
      <c r="D33" s="108"/>
      <c r="E33" s="108"/>
      <c r="F33" s="108"/>
      <c r="G33" s="104" t="s">
        <v>269</v>
      </c>
      <c r="H33" s="106" t="s">
        <v>328</v>
      </c>
      <c r="I33" s="18"/>
      <c r="J33" s="18"/>
      <c r="K33" s="74" t="str" cm="1">
        <f t="array" ref="K33">IF(ISBLANK(J33), IF(ISBLANK(I33), "N/A", _xlfn.IFS(L33="AS", I33+15, L33="NCR", I33+30, L33="submitted", I33+30, TRUE, "N/A")), _xlfn.IFS(L33="AS", J33+15, L33="NCR", J33+30, L33="submitted", J33+30, TRUE, "N/A"))</f>
        <v>N/A</v>
      </c>
      <c r="L33" s="104"/>
      <c r="M33" s="317"/>
      <c r="N33" s="802"/>
      <c r="O33" s="803"/>
      <c r="P33" s="803"/>
      <c r="Q33" s="804"/>
    </row>
    <row r="34" spans="2:17" s="107" customFormat="1" ht="15" customHeight="1">
      <c r="B34" s="104"/>
      <c r="C34" s="602"/>
      <c r="D34" s="108"/>
      <c r="E34" s="664"/>
      <c r="F34" s="108"/>
      <c r="G34" s="104" t="s">
        <v>259</v>
      </c>
      <c r="H34" s="106" t="s">
        <v>353</v>
      </c>
      <c r="I34" s="18"/>
      <c r="J34" s="18"/>
      <c r="K34" s="74" t="str" cm="1">
        <f t="array" ref="K34">IF(ISBLANK(J34), IF(ISBLANK(I34), "N/A", _xlfn.IFS(L34="AS", I34+15, L34="NCR", I34+30, L34="submitted", I34+30, TRUE, "N/A")), _xlfn.IFS(L34="AS", J34+15, L34="NCR", J34+30, L34="submitted", J34+30, TRUE, "N/A"))</f>
        <v>N/A</v>
      </c>
      <c r="L34" s="104"/>
      <c r="M34" s="317"/>
      <c r="N34" s="802"/>
      <c r="O34" s="803"/>
      <c r="P34" s="803"/>
      <c r="Q34" s="804"/>
    </row>
    <row r="35" spans="2:17" s="107" customFormat="1" ht="15" customHeight="1">
      <c r="B35" s="104"/>
      <c r="C35" s="602"/>
      <c r="D35" s="108"/>
      <c r="E35" s="108"/>
      <c r="F35" s="108"/>
      <c r="G35" s="104" t="s">
        <v>352</v>
      </c>
      <c r="H35" s="106" t="s">
        <v>2123</v>
      </c>
      <c r="I35" s="18"/>
      <c r="J35" s="18"/>
      <c r="K35" s="74" t="str" cm="1">
        <f t="array" ref="K35">IF(ISBLANK(J35), IF(ISBLANK(I35), "N/A", _xlfn.IFS(L35="AS", I35+15, L35="NCR", I35+30, L35="submitted", I35+30, TRUE, "N/A")), _xlfn.IFS(L35="AS", J35+15, L35="NCR", J35+30, L35="submitted", J35+30, TRUE, "N/A"))</f>
        <v>N/A</v>
      </c>
      <c r="L35" s="104"/>
      <c r="M35" s="317"/>
      <c r="N35" s="802"/>
      <c r="O35" s="803"/>
      <c r="P35" s="803"/>
      <c r="Q35" s="804"/>
    </row>
    <row r="36" spans="2:17" s="107" customFormat="1" ht="15" customHeight="1">
      <c r="B36" s="104"/>
      <c r="C36" s="602"/>
      <c r="D36" s="108"/>
      <c r="E36" s="108"/>
      <c r="F36" s="108"/>
      <c r="G36" s="104" t="s">
        <v>354</v>
      </c>
      <c r="H36" s="106" t="s">
        <v>1762</v>
      </c>
      <c r="I36" s="18"/>
      <c r="J36" s="18"/>
      <c r="K36" s="74" t="str" cm="1">
        <f t="array" ref="K36">IF(ISBLANK(J36), IF(ISBLANK(I36), "N/A", _xlfn.IFS(L36="AS", I36+15, L36="NCR", I36+30, L36="submitted", I36+30, TRUE, "N/A")), _xlfn.IFS(L36="AS", J36+15, L36="NCR", J36+30, L36="submitted", J36+30, TRUE, "N/A"))</f>
        <v>N/A</v>
      </c>
      <c r="L36" s="104"/>
      <c r="M36" s="317"/>
      <c r="N36" s="802"/>
      <c r="O36" s="803"/>
      <c r="P36" s="803"/>
      <c r="Q36" s="804"/>
    </row>
    <row r="37" spans="2:17" s="107" customFormat="1" ht="27" customHeight="1">
      <c r="B37" s="104"/>
      <c r="C37" s="602"/>
      <c r="D37" s="108"/>
      <c r="E37" s="108"/>
      <c r="F37" s="108"/>
      <c r="G37" s="104" t="s">
        <v>596</v>
      </c>
      <c r="H37" s="109" t="s">
        <v>2124</v>
      </c>
      <c r="I37" s="18"/>
      <c r="J37" s="18"/>
      <c r="K37" s="74" t="str" cm="1">
        <f t="array" ref="K37">IF(ISBLANK(J37), IF(ISBLANK(I37), "N/A", _xlfn.IFS(L37="AS", I37+15, L37="NCR", I37+30, L37="submitted", I37+30, TRUE, "N/A")), _xlfn.IFS(L37="AS", J37+15, L37="NCR", J37+30, L37="submitted", J37+30, TRUE, "N/A"))</f>
        <v>N/A</v>
      </c>
      <c r="L37" s="104"/>
      <c r="M37" s="317"/>
      <c r="N37" s="802"/>
      <c r="O37" s="803"/>
      <c r="P37" s="803"/>
      <c r="Q37" s="804"/>
    </row>
    <row r="38" spans="2:17" s="107" customFormat="1" ht="15" customHeight="1">
      <c r="B38" s="104"/>
      <c r="C38" s="603"/>
      <c r="D38" s="110"/>
      <c r="E38" s="110"/>
      <c r="F38" s="110"/>
      <c r="G38" s="104" t="s">
        <v>358</v>
      </c>
      <c r="H38" s="106" t="s">
        <v>2125</v>
      </c>
      <c r="I38" s="18"/>
      <c r="J38" s="18"/>
      <c r="K38" s="74" t="str" cm="1">
        <f t="array" ref="K38">IF(ISBLANK(J38), IF(ISBLANK(I38), "N/A", _xlfn.IFS(L38="AS", I38+15, L38="NCR", I38+30, L38="submitted", I38+30, TRUE, "N/A")), _xlfn.IFS(L38="AS", J38+15, L38="NCR", J38+30, L38="submitted", J38+30, TRUE, "N/A"))</f>
        <v>N/A</v>
      </c>
      <c r="L38" s="104"/>
      <c r="M38" s="317"/>
      <c r="N38" s="802"/>
      <c r="O38" s="803"/>
      <c r="P38" s="803"/>
      <c r="Q38" s="804"/>
    </row>
    <row r="39" spans="2:17" s="1" customFormat="1" ht="15" customHeight="1">
      <c r="B39" s="9"/>
      <c r="C39" s="32" t="s">
        <v>2116</v>
      </c>
      <c r="D39" s="37" t="s">
        <v>2126</v>
      </c>
      <c r="E39" s="37"/>
      <c r="F39" s="37"/>
      <c r="G39" s="9" t="s">
        <v>281</v>
      </c>
      <c r="H39" s="13" t="s">
        <v>235</v>
      </c>
      <c r="I39" s="18"/>
      <c r="J39" s="18"/>
      <c r="K39" s="74" t="str" cm="1">
        <f t="array" ref="K39">IF(ISBLANK(J39), IF(ISBLANK(I39), "N/A", _xlfn.IFS(L39="AS", I39+15, L39="NCR", I39+30, L39="submitted", I39+30, TRUE, "N/A")), _xlfn.IFS(L39="AS", J39+15, L39="NCR", J39+30, L39="submitted", J39+30, TRUE, "N/A"))</f>
        <v>N/A</v>
      </c>
      <c r="L39" s="9"/>
      <c r="M39" s="317"/>
      <c r="N39" s="811"/>
      <c r="O39" s="812"/>
      <c r="P39" s="812"/>
      <c r="Q39" s="813"/>
    </row>
    <row r="40" spans="2:17" s="1" customFormat="1" ht="15" customHeight="1">
      <c r="B40" s="9"/>
      <c r="C40" s="33"/>
      <c r="D40" s="39"/>
      <c r="E40" s="39"/>
      <c r="F40" s="39"/>
      <c r="G40" s="9" t="s">
        <v>269</v>
      </c>
      <c r="H40" s="13" t="s">
        <v>282</v>
      </c>
      <c r="I40" s="18"/>
      <c r="J40" s="18"/>
      <c r="K40" s="74" t="str" cm="1">
        <f t="array" ref="K40">IF(ISBLANK(J40), IF(ISBLANK(I40), "N/A", _xlfn.IFS(L40="AS", I40+15, L40="NCR", I40+30, L40="submitted", I40+30, TRUE, "N/A")), _xlfn.IFS(L40="AS", J40+15, L40="NCR", J40+30, L40="submitted", J40+30, TRUE, "N/A"))</f>
        <v>N/A</v>
      </c>
      <c r="L40" s="9"/>
      <c r="M40" s="317"/>
      <c r="N40" s="796" t="s">
        <v>133</v>
      </c>
      <c r="O40" s="797"/>
      <c r="P40" s="797"/>
      <c r="Q40" s="798"/>
    </row>
    <row r="41" spans="2:17" s="1" customFormat="1" ht="15" customHeight="1">
      <c r="B41" s="9"/>
      <c r="C41" s="33"/>
      <c r="D41" s="39"/>
      <c r="E41" s="39"/>
      <c r="F41" s="39"/>
      <c r="G41" s="9" t="s">
        <v>259</v>
      </c>
      <c r="H41" s="13" t="s">
        <v>2127</v>
      </c>
      <c r="I41" s="18"/>
      <c r="J41" s="18"/>
      <c r="K41" s="74" t="str" cm="1">
        <f t="array" ref="K41">IF(ISBLANK(J41), IF(ISBLANK(I41), "N/A", _xlfn.IFS(L41="AS", I41+15, L41="NCR", I41+30, L41="submitted", I41+30, TRUE, "N/A")), _xlfn.IFS(L41="AS", J41+15, L41="NCR", J41+30, L41="submitted", J41+30, TRUE, "N/A"))</f>
        <v>N/A</v>
      </c>
      <c r="L41" s="9"/>
      <c r="M41" s="317"/>
      <c r="N41" s="799"/>
      <c r="O41" s="800"/>
      <c r="P41" s="800"/>
      <c r="Q41" s="801"/>
    </row>
    <row r="42" spans="2:17" s="1" customFormat="1" ht="15" customHeight="1">
      <c r="B42" s="9"/>
      <c r="C42" s="33"/>
      <c r="D42" s="39"/>
      <c r="E42" s="39"/>
      <c r="F42" s="39"/>
      <c r="G42" s="9" t="s">
        <v>503</v>
      </c>
      <c r="H42" s="13" t="s">
        <v>919</v>
      </c>
      <c r="I42" s="18"/>
      <c r="J42" s="18"/>
      <c r="K42" s="74" t="str" cm="1">
        <f t="array" ref="K42">IF(ISBLANK(J42), IF(ISBLANK(I42), "N/A", _xlfn.IFS(L42="AS", I42+15, L42="NCR", I42+30, L42="submitted", I42+30, TRUE, "N/A")), _xlfn.IFS(L42="AS", J42+15, L42="NCR", J42+30, L42="submitted", J42+30, TRUE, "N/A"))</f>
        <v>N/A</v>
      </c>
      <c r="L42" s="9"/>
      <c r="M42" s="317"/>
      <c r="N42" s="799"/>
      <c r="O42" s="800"/>
      <c r="P42" s="800"/>
      <c r="Q42" s="801"/>
    </row>
    <row r="43" spans="2:17" s="1" customFormat="1" ht="15" customHeight="1">
      <c r="B43" s="9"/>
      <c r="C43" s="33"/>
      <c r="D43" s="39"/>
      <c r="E43" s="39"/>
      <c r="F43" s="39"/>
      <c r="G43" s="9" t="s">
        <v>354</v>
      </c>
      <c r="H43" s="13" t="s">
        <v>380</v>
      </c>
      <c r="I43" s="18"/>
      <c r="J43" s="18"/>
      <c r="K43" s="74" t="str" cm="1">
        <f t="array" ref="K43">IF(ISBLANK(J43), IF(ISBLANK(I43), "N/A", _xlfn.IFS(L43="AS", I43+15, L43="NCR", I43+30, L43="submitted", I43+30, TRUE, "N/A")), _xlfn.IFS(L43="AS", J43+15, L43="NCR", J43+30, L43="submitted", J43+30, TRUE, "N/A"))</f>
        <v>N/A</v>
      </c>
      <c r="L43" s="9"/>
      <c r="M43" s="317"/>
      <c r="N43" s="799"/>
      <c r="O43" s="800"/>
      <c r="P43" s="800"/>
      <c r="Q43" s="801"/>
    </row>
    <row r="44" spans="2:17" s="1" customFormat="1" ht="15" customHeight="1">
      <c r="B44" s="9"/>
      <c r="C44" s="33"/>
      <c r="D44" s="39"/>
      <c r="E44" s="39"/>
      <c r="F44" s="39"/>
      <c r="G44" s="9" t="s">
        <v>356</v>
      </c>
      <c r="H44" s="13" t="s">
        <v>1762</v>
      </c>
      <c r="I44" s="18"/>
      <c r="J44" s="18"/>
      <c r="K44" s="74" t="str" cm="1">
        <f t="array" ref="K44">IF(ISBLANK(J44), IF(ISBLANK(I44), "N/A", _xlfn.IFS(L44="AS", I44+15, L44="NCR", I44+30, L44="submitted", I44+30, TRUE, "N/A")), _xlfn.IFS(L44="AS", J44+15, L44="NCR", J44+30, L44="submitted", J44+30, TRUE, "N/A"))</f>
        <v>N/A</v>
      </c>
      <c r="L44" s="9"/>
      <c r="M44" s="317"/>
      <c r="N44" s="799"/>
      <c r="O44" s="800"/>
      <c r="P44" s="800"/>
      <c r="Q44" s="801"/>
    </row>
    <row r="45" spans="2:17" s="1" customFormat="1" ht="15" customHeight="1">
      <c r="B45" s="9"/>
      <c r="C45" s="33"/>
      <c r="D45" s="39"/>
      <c r="E45" s="39"/>
      <c r="F45" s="39"/>
      <c r="G45" s="9" t="s">
        <v>358</v>
      </c>
      <c r="H45" s="13" t="s">
        <v>2125</v>
      </c>
      <c r="I45" s="18"/>
      <c r="J45" s="18"/>
      <c r="K45" s="74" t="str" cm="1">
        <f t="array" ref="K45">IF(ISBLANK(J45), IF(ISBLANK(I45), "N/A", _xlfn.IFS(L45="AS", I45+15, L45="NCR", I45+30, L45="submitted", I45+30, TRUE, "N/A")), _xlfn.IFS(L45="AS", J45+15, L45="NCR", J45+30, L45="submitted", J45+30, TRUE, "N/A"))</f>
        <v>N/A</v>
      </c>
      <c r="L45" s="9"/>
      <c r="M45" s="317"/>
      <c r="N45" s="799"/>
      <c r="O45" s="800"/>
      <c r="P45" s="800"/>
      <c r="Q45" s="801"/>
    </row>
    <row r="46" spans="2:17" s="1" customFormat="1" ht="15" customHeight="1">
      <c r="B46" s="9"/>
      <c r="C46" s="97"/>
      <c r="D46" s="46"/>
      <c r="E46" s="46"/>
      <c r="F46" s="46"/>
      <c r="G46" s="9" t="s">
        <v>360</v>
      </c>
      <c r="H46" s="13" t="s">
        <v>2128</v>
      </c>
      <c r="I46" s="18"/>
      <c r="J46" s="18"/>
      <c r="K46" s="74" t="str" cm="1">
        <f t="array" ref="K46">IF(ISBLANK(J46), IF(ISBLANK(I46), "N/A", _xlfn.IFS(L46="AS", I46+15, L46="NCR", I46+30, L46="submitted", I46+30, TRUE, "N/A")), _xlfn.IFS(L46="AS", J46+15, L46="NCR", J46+30, L46="submitted", J46+30, TRUE, "N/A"))</f>
        <v>N/A</v>
      </c>
      <c r="L46" s="9"/>
      <c r="M46" s="317"/>
      <c r="N46" s="799"/>
      <c r="O46" s="800"/>
      <c r="P46" s="800"/>
      <c r="Q46" s="801"/>
    </row>
    <row r="47" spans="2:17" s="652" customFormat="1" ht="15" customHeight="1">
      <c r="B47" s="187" t="s">
        <v>2129</v>
      </c>
      <c r="C47" s="646" t="s">
        <v>2130</v>
      </c>
      <c r="D47" s="647" t="s">
        <v>2131</v>
      </c>
      <c r="E47" s="647" t="s">
        <v>2132</v>
      </c>
      <c r="F47" s="647"/>
      <c r="G47" s="187" t="s">
        <v>336</v>
      </c>
      <c r="H47" s="653" t="s">
        <v>235</v>
      </c>
      <c r="I47" s="649">
        <v>45910</v>
      </c>
      <c r="J47" s="649">
        <v>45911</v>
      </c>
      <c r="K47" s="74" t="str" cm="1">
        <f t="array" ref="K47">IF(ISBLANK(J47), IF(ISBLANK(I47), "N/A", _xlfn.IFS(L47="AS", I47+15, L47="NCR", I47+30, L47="submitted", I47+30, TRUE, "N/A")), _xlfn.IFS(L47="AS", J47+15, L47="NCR", J47+30, L47="submitted", J47+30, TRUE, "N/A"))</f>
        <v>N/A</v>
      </c>
      <c r="L47" s="187" t="s">
        <v>147</v>
      </c>
      <c r="M47" s="317"/>
      <c r="N47" s="799"/>
      <c r="O47" s="800"/>
      <c r="P47" s="800"/>
      <c r="Q47" s="801"/>
    </row>
    <row r="48" spans="2:17" s="26" customFormat="1" ht="15" customHeight="1">
      <c r="B48" s="22" t="s">
        <v>2133</v>
      </c>
      <c r="C48" s="310" t="s">
        <v>2130</v>
      </c>
      <c r="D48" s="76" t="s">
        <v>2131</v>
      </c>
      <c r="E48" s="76" t="s">
        <v>2132</v>
      </c>
      <c r="F48" s="76"/>
      <c r="G48" s="22" t="s">
        <v>336</v>
      </c>
      <c r="H48" s="24" t="s">
        <v>235</v>
      </c>
      <c r="I48" s="25">
        <v>45911</v>
      </c>
      <c r="J48" s="25"/>
      <c r="K48" s="74" cm="1">
        <f t="array" ref="K48">IF(ISBLANK(J48), IF(ISBLANK(I48), "N/A", _xlfn.IFS(L48="AS", I48+15, L48="NCR", I48+30, L48="submitted", I48+30, TRUE, "N/A")), _xlfn.IFS(L48="AS", J48+15, L48="NCR", J48+30, L48="submitted", J48+30, TRUE, "N/A"))</f>
        <v>45941</v>
      </c>
      <c r="L48" s="22" t="s">
        <v>581</v>
      </c>
      <c r="M48" s="317"/>
      <c r="N48" s="802" t="s">
        <v>148</v>
      </c>
      <c r="O48" s="803"/>
      <c r="P48" s="803"/>
      <c r="Q48" s="804"/>
    </row>
    <row r="49" spans="2:17" s="138" customFormat="1" ht="15" customHeight="1">
      <c r="B49" s="151" t="s">
        <v>2134</v>
      </c>
      <c r="C49" s="239" t="s">
        <v>2130</v>
      </c>
      <c r="D49" s="168" t="s">
        <v>2131</v>
      </c>
      <c r="E49" s="168" t="s">
        <v>2135</v>
      </c>
      <c r="F49" s="168"/>
      <c r="G49" s="151" t="s">
        <v>336</v>
      </c>
      <c r="H49" s="152" t="s">
        <v>235</v>
      </c>
      <c r="I49" s="261">
        <v>45910</v>
      </c>
      <c r="J49" s="261">
        <v>45922</v>
      </c>
      <c r="K49" s="74" t="str" cm="1">
        <f t="array" ref="K49">IF(ISBLANK(J49), IF(ISBLANK(I49), "N/A", _xlfn.IFS(L49="AS", I49+15, L49="NCR", I49+30, L49="submitted", I49+30, TRUE, "N/A")), _xlfn.IFS(L49="AS", J49+15, L49="NCR", J49+30, L49="submitted", J49+30, TRUE, "N/A"))</f>
        <v>N/A</v>
      </c>
      <c r="L49" s="151" t="s">
        <v>638</v>
      </c>
      <c r="M49" s="317"/>
      <c r="N49" s="802"/>
      <c r="O49" s="803"/>
      <c r="P49" s="803"/>
      <c r="Q49" s="804"/>
    </row>
    <row r="50" spans="2:17" s="670" customFormat="1" ht="15" customHeight="1">
      <c r="B50" s="665" t="s">
        <v>2136</v>
      </c>
      <c r="C50" s="666" t="s">
        <v>2130</v>
      </c>
      <c r="D50" s="667" t="s">
        <v>2131</v>
      </c>
      <c r="E50" s="667" t="s">
        <v>2137</v>
      </c>
      <c r="F50" s="667"/>
      <c r="G50" s="665" t="s">
        <v>336</v>
      </c>
      <c r="H50" s="668" t="s">
        <v>235</v>
      </c>
      <c r="I50" s="669">
        <v>45910</v>
      </c>
      <c r="J50" s="669">
        <v>45922</v>
      </c>
      <c r="K50" s="74" t="str" cm="1">
        <f t="array" ref="K50">IF(ISBLANK(J50), IF(ISBLANK(I50), "N/A", _xlfn.IFS(L50="AS", I50+15, L50="NCR", I50+30, L50="submitted", I50+30, TRUE, "N/A")), _xlfn.IFS(L50="AS", J50+15, L50="NCR", J50+30, L50="submitted", J50+30, TRUE, "N/A"))</f>
        <v>N/A</v>
      </c>
      <c r="L50" s="665" t="s">
        <v>147</v>
      </c>
      <c r="M50" s="317"/>
      <c r="N50" s="802"/>
      <c r="O50" s="803"/>
      <c r="P50" s="803"/>
      <c r="Q50" s="804"/>
    </row>
    <row r="51" spans="2:17" s="670" customFormat="1" ht="15" customHeight="1">
      <c r="B51" s="665" t="s">
        <v>2138</v>
      </c>
      <c r="C51" s="666" t="s">
        <v>2130</v>
      </c>
      <c r="D51" s="667" t="s">
        <v>2131</v>
      </c>
      <c r="E51" s="667" t="s">
        <v>2137</v>
      </c>
      <c r="F51" s="667"/>
      <c r="G51" s="665" t="s">
        <v>336</v>
      </c>
      <c r="H51" s="668" t="s">
        <v>235</v>
      </c>
      <c r="I51" s="669">
        <v>45939</v>
      </c>
      <c r="J51" s="669"/>
      <c r="K51" s="74" cm="1">
        <f t="array" ref="K51">IF(ISBLANK(J51), IF(ISBLANK(I51), "N/A", _xlfn.IFS(L51="AS", I51+15, L51="NCR", I51+30, L51="submitted", I51+30, TRUE, "N/A")), _xlfn.IFS(L51="AS", J51+15, L51="NCR", J51+30, L51="submitted", J51+30, TRUE, "N/A"))</f>
        <v>45969</v>
      </c>
      <c r="L51" s="665" t="s">
        <v>581</v>
      </c>
      <c r="M51" s="317"/>
      <c r="N51" s="802"/>
      <c r="O51" s="803"/>
      <c r="P51" s="803"/>
      <c r="Q51" s="804"/>
    </row>
    <row r="52" spans="2:17" s="670" customFormat="1" ht="15" customHeight="1">
      <c r="B52" s="665" t="s">
        <v>2139</v>
      </c>
      <c r="C52" s="666" t="s">
        <v>2130</v>
      </c>
      <c r="D52" s="667" t="s">
        <v>2131</v>
      </c>
      <c r="E52" s="667" t="s">
        <v>2140</v>
      </c>
      <c r="F52" s="667"/>
      <c r="G52" s="665" t="s">
        <v>336</v>
      </c>
      <c r="H52" s="668" t="s">
        <v>235</v>
      </c>
      <c r="I52" s="669">
        <v>45910</v>
      </c>
      <c r="J52" s="669">
        <v>45922</v>
      </c>
      <c r="K52" s="74" t="str" cm="1">
        <f t="array" ref="K52">IF(ISBLANK(J52), IF(ISBLANK(I52), "N/A", _xlfn.IFS(L52="AS", I52+15, L52="NCR", I52+30, L52="submitted", I52+30, TRUE, "N/A")), _xlfn.IFS(L52="AS", J52+15, L52="NCR", J52+30, L52="submitted", J52+30, TRUE, "N/A"))</f>
        <v>N/A</v>
      </c>
      <c r="L52" s="665" t="s">
        <v>147</v>
      </c>
      <c r="M52" s="317"/>
      <c r="N52" s="802"/>
      <c r="O52" s="803"/>
      <c r="P52" s="803"/>
      <c r="Q52" s="804"/>
    </row>
    <row r="53" spans="2:17" s="670" customFormat="1" ht="15" customHeight="1">
      <c r="B53" s="665" t="s">
        <v>2141</v>
      </c>
      <c r="C53" s="666" t="s">
        <v>2130</v>
      </c>
      <c r="D53" s="667" t="s">
        <v>2131</v>
      </c>
      <c r="E53" s="667" t="s">
        <v>2140</v>
      </c>
      <c r="F53" s="667"/>
      <c r="G53" s="665" t="s">
        <v>336</v>
      </c>
      <c r="H53" s="668" t="s">
        <v>235</v>
      </c>
      <c r="I53" s="669">
        <v>45910</v>
      </c>
      <c r="J53" s="669">
        <v>45922</v>
      </c>
      <c r="K53" s="74" cm="1">
        <f t="array" ref="K53">IF(ISBLANK(J53), IF(ISBLANK(I53), "N/A", _xlfn.IFS(L53="AS", I53+15, L53="NCR", I53+30, L53="submitted", I53+30, TRUE, "N/A")), _xlfn.IFS(L53="AS", J53+15, L53="NCR", J53+30, L53="submitted", J53+30, TRUE, "N/A"))</f>
        <v>45952</v>
      </c>
      <c r="L53" s="665" t="s">
        <v>581</v>
      </c>
      <c r="M53" s="317"/>
      <c r="N53" s="802"/>
      <c r="O53" s="803"/>
      <c r="P53" s="803"/>
      <c r="Q53" s="804"/>
    </row>
    <row r="54" spans="2:17" s="5" customFormat="1" ht="15" customHeight="1">
      <c r="B54" s="4"/>
      <c r="C54" s="111"/>
      <c r="D54" s="35"/>
      <c r="E54" s="35"/>
      <c r="F54" s="35"/>
      <c r="G54" s="4" t="s">
        <v>337</v>
      </c>
      <c r="H54" s="17" t="s">
        <v>282</v>
      </c>
      <c r="I54" s="18"/>
      <c r="J54" s="18"/>
      <c r="K54" s="74" t="str" cm="1">
        <f t="array" ref="K54">IF(ISBLANK(J54), IF(ISBLANK(I54), "N/A", _xlfn.IFS(L54="AS", I54+15, L54="NCR", I54+30, L54="submitted", I54+30, TRUE, "N/A")), _xlfn.IFS(L54="AS", J54+15, L54="NCR", J54+30, L54="submitted", J54+30, TRUE, "N/A"))</f>
        <v>N/A</v>
      </c>
      <c r="L54" s="4"/>
      <c r="M54" s="317"/>
      <c r="N54" s="802"/>
      <c r="O54" s="803"/>
      <c r="P54" s="803"/>
      <c r="Q54" s="804"/>
    </row>
    <row r="55" spans="2:17" s="5" customFormat="1" ht="15" customHeight="1">
      <c r="B55" s="4"/>
      <c r="C55" s="111"/>
      <c r="D55" s="35"/>
      <c r="E55" s="35"/>
      <c r="F55" s="35"/>
      <c r="G55" s="4" t="s">
        <v>404</v>
      </c>
      <c r="H55" s="17" t="s">
        <v>2142</v>
      </c>
      <c r="I55" s="18"/>
      <c r="J55" s="18"/>
      <c r="K55" s="74" t="str" cm="1">
        <f t="array" ref="K55">IF(ISBLANK(J55), IF(ISBLANK(I55), "N/A", _xlfn.IFS(L55="AS", I55+15, L55="NCR", I55+30, L55="submitted", I55+30, TRUE, "N/A")), _xlfn.IFS(L55="AS", J55+15, L55="NCR", J55+30, L55="submitted", J55+30, TRUE, "N/A"))</f>
        <v>N/A</v>
      </c>
      <c r="L55" s="4"/>
      <c r="M55" s="318"/>
      <c r="N55" s="802"/>
      <c r="O55" s="803"/>
      <c r="P55" s="803"/>
      <c r="Q55" s="804"/>
    </row>
    <row r="56" spans="2:17" s="5" customFormat="1" ht="15" customHeight="1">
      <c r="B56" s="4"/>
      <c r="C56" s="111"/>
      <c r="D56" s="35"/>
      <c r="E56" s="35"/>
      <c r="F56" s="35"/>
      <c r="G56" s="4" t="s">
        <v>405</v>
      </c>
      <c r="H56" s="17" t="s">
        <v>2143</v>
      </c>
      <c r="I56" s="18"/>
      <c r="J56" s="18"/>
      <c r="K56" s="74" t="str" cm="1">
        <f t="array" ref="K56">IF(ISBLANK(J56), IF(ISBLANK(I56), "N/A", _xlfn.IFS(L56="AS", I56+15, L56="NCR", I56+30, L56="submitted", I56+30, TRUE, "N/A")), _xlfn.IFS(L56="AS", J56+15, L56="NCR", J56+30, L56="submitted", J56+30, TRUE, "N/A"))</f>
        <v>N/A</v>
      </c>
      <c r="L56" s="4"/>
      <c r="M56" s="317"/>
      <c r="N56" s="802"/>
      <c r="O56" s="803"/>
      <c r="P56" s="803"/>
      <c r="Q56" s="804"/>
    </row>
    <row r="57" spans="2:17" s="5" customFormat="1" ht="15" customHeight="1">
      <c r="B57" s="4"/>
      <c r="C57" s="111"/>
      <c r="D57" s="35"/>
      <c r="E57" s="35"/>
      <c r="F57" s="35"/>
      <c r="G57" s="4" t="s">
        <v>406</v>
      </c>
      <c r="H57" s="17" t="s">
        <v>2144</v>
      </c>
      <c r="I57" s="18"/>
      <c r="J57" s="18"/>
      <c r="K57" s="74" t="str" cm="1">
        <f t="array" ref="K57">IF(ISBLANK(J57), IF(ISBLANK(I57), "N/A", _xlfn.IFS(L57="AS", I57+15, L57="NCR", I57+30, L57="submitted", I57+30, TRUE, "N/A")), _xlfn.IFS(L57="AS", J57+15, L57="NCR", J57+30, L57="submitted", J57+30, TRUE, "N/A"))</f>
        <v>N/A</v>
      </c>
      <c r="L57" s="4"/>
      <c r="M57" s="317"/>
      <c r="N57" s="802"/>
      <c r="O57" s="803"/>
      <c r="P57" s="803"/>
      <c r="Q57" s="804"/>
    </row>
    <row r="58" spans="2:17" s="5" customFormat="1" ht="15" customHeight="1">
      <c r="B58" s="4"/>
      <c r="C58" s="95"/>
      <c r="D58" s="36"/>
      <c r="E58" s="36"/>
      <c r="F58" s="36"/>
      <c r="G58" s="4" t="s">
        <v>408</v>
      </c>
      <c r="H58" s="17" t="s">
        <v>2145</v>
      </c>
      <c r="I58" s="18"/>
      <c r="J58" s="18"/>
      <c r="K58" s="74" t="str" cm="1">
        <f t="array" ref="K58">IF(ISBLANK(J58), IF(ISBLANK(I58), "N/A", _xlfn.IFS(L58="AS", I58+15, L58="NCR", I58+30, L58="submitted", I58+30, TRUE, "N/A")), _xlfn.IFS(L58="AS", J58+15, L58="NCR", J58+30, L58="submitted", J58+30, TRUE, "N/A"))</f>
        <v>N/A</v>
      </c>
      <c r="L58" s="4"/>
      <c r="M58" s="317"/>
      <c r="N58" s="802"/>
      <c r="O58" s="803"/>
      <c r="P58" s="803"/>
      <c r="Q58" s="804"/>
    </row>
    <row r="59" spans="2:17" s="138" customFormat="1" ht="15" customHeight="1">
      <c r="B59" s="151" t="s">
        <v>69</v>
      </c>
      <c r="C59" s="239" t="s">
        <v>2146</v>
      </c>
      <c r="D59" s="168" t="s">
        <v>2147</v>
      </c>
      <c r="E59" s="168" t="s">
        <v>2148</v>
      </c>
      <c r="F59" s="168"/>
      <c r="G59" s="151" t="s">
        <v>2149</v>
      </c>
      <c r="H59" s="152" t="s">
        <v>2150</v>
      </c>
      <c r="I59" s="261"/>
      <c r="J59" s="261">
        <v>45810</v>
      </c>
      <c r="K59" s="74" t="str" cm="1">
        <f t="array" ref="K59">IF(ISBLANK(J59), IF(ISBLANK(I59), "N/A", _xlfn.IFS(L59="AS", I59+15, L59="NCR", I59+30, L59="submitted", I59+30, TRUE, "N/A")), _xlfn.IFS(L59="AS", J59+15, L59="NCR", J59+30, L59="submitted", J59+30, TRUE, "N/A"))</f>
        <v>N/A</v>
      </c>
      <c r="L59" s="151" t="s">
        <v>151</v>
      </c>
      <c r="M59" s="317"/>
      <c r="N59" s="802"/>
      <c r="O59" s="803"/>
      <c r="P59" s="803"/>
      <c r="Q59" s="804"/>
    </row>
    <row r="60" spans="2:17" s="149" customFormat="1" ht="15" customHeight="1">
      <c r="B60" s="146" t="s">
        <v>2151</v>
      </c>
      <c r="C60" s="425" t="s">
        <v>2146</v>
      </c>
      <c r="D60" s="231" t="s">
        <v>2147</v>
      </c>
      <c r="E60" s="231" t="s">
        <v>2152</v>
      </c>
      <c r="F60" s="231"/>
      <c r="G60" s="146" t="s">
        <v>2153</v>
      </c>
      <c r="H60" s="147" t="s">
        <v>2154</v>
      </c>
      <c r="I60" s="233">
        <v>45884</v>
      </c>
      <c r="J60" s="233">
        <v>45903</v>
      </c>
      <c r="K60" s="74" t="str" cm="1">
        <f t="array" ref="K60">IF(ISBLANK(J60), IF(ISBLANK(I60), "N/A", _xlfn.IFS(L60="AS", I60+15, L60="NCR", I60+30, L60="submitted", I60+30, TRUE, "N/A")), _xlfn.IFS(L60="AS", J60+15, L60="NCR", J60+30, L60="submitted", J60+30, TRUE, "N/A"))</f>
        <v>N/A</v>
      </c>
      <c r="L60" s="146" t="s">
        <v>147</v>
      </c>
      <c r="M60" s="317"/>
      <c r="N60" s="802"/>
      <c r="O60" s="803"/>
      <c r="P60" s="803"/>
      <c r="Q60" s="804"/>
    </row>
    <row r="61" spans="2:17" s="525" customFormat="1" ht="15" customHeight="1">
      <c r="B61" s="523" t="s">
        <v>2155</v>
      </c>
      <c r="C61" s="537" t="s">
        <v>2146</v>
      </c>
      <c r="D61" s="524" t="s">
        <v>2147</v>
      </c>
      <c r="E61" s="524" t="s">
        <v>2152</v>
      </c>
      <c r="F61" s="524"/>
      <c r="G61" s="523" t="s">
        <v>2153</v>
      </c>
      <c r="H61" s="532" t="s">
        <v>2154</v>
      </c>
      <c r="I61" s="533">
        <v>45919</v>
      </c>
      <c r="J61" s="533">
        <v>45939</v>
      </c>
      <c r="K61" s="74" cm="1">
        <f t="array" ref="K61">IF(ISBLANK(J61), IF(ISBLANK(I61), "N/A", _xlfn.IFS(L61="AS", I61+15, L61="NCR", I61+30, L61="submitted", I61+30, TRUE, "N/A")), _xlfn.IFS(L61="AS", J61+15, L61="NCR", J61+30, L61="submitted", J61+30, TRUE, "N/A"))</f>
        <v>45969</v>
      </c>
      <c r="L61" s="523" t="s">
        <v>157</v>
      </c>
      <c r="M61" s="317"/>
      <c r="N61" s="802"/>
      <c r="O61" s="803"/>
      <c r="P61" s="803"/>
      <c r="Q61" s="804"/>
    </row>
    <row r="62" spans="2:17" s="525" customFormat="1" ht="15" customHeight="1">
      <c r="B62" s="523" t="s">
        <v>2156</v>
      </c>
      <c r="C62" s="537">
        <v>16133</v>
      </c>
      <c r="D62" s="524" t="s">
        <v>2147</v>
      </c>
      <c r="E62" s="524" t="s">
        <v>2152</v>
      </c>
      <c r="F62" s="524"/>
      <c r="G62" s="523" t="s">
        <v>2153</v>
      </c>
      <c r="H62" s="532" t="s">
        <v>2154</v>
      </c>
      <c r="I62" s="533">
        <v>45944</v>
      </c>
      <c r="J62" s="533"/>
      <c r="K62" s="74"/>
      <c r="L62" s="523"/>
      <c r="M62" s="317"/>
      <c r="N62" s="802"/>
      <c r="O62" s="803"/>
      <c r="P62" s="803"/>
      <c r="Q62" s="804"/>
    </row>
    <row r="63" spans="2:17" s="525" customFormat="1" ht="15" customHeight="1">
      <c r="B63" s="523" t="s">
        <v>2157</v>
      </c>
      <c r="C63" s="537" t="s">
        <v>2146</v>
      </c>
      <c r="D63" s="524" t="s">
        <v>2147</v>
      </c>
      <c r="E63" s="524" t="s">
        <v>2158</v>
      </c>
      <c r="F63" s="524"/>
      <c r="G63" s="523" t="s">
        <v>2149</v>
      </c>
      <c r="H63" s="532" t="s">
        <v>2150</v>
      </c>
      <c r="I63" s="533">
        <v>45910</v>
      </c>
      <c r="J63" s="533">
        <v>45931</v>
      </c>
      <c r="K63" s="74" t="str" cm="1">
        <f t="array" ref="K63">IF(ISBLANK(J63), IF(ISBLANK(I63), "N/A", _xlfn.IFS(L63="AS", I63+15, L63="NCR", I63+30, L63="submitted", I63+30, TRUE, "N/A")), _xlfn.IFS(L63="AS", J63+15, L63="NCR", J63+30, L63="submitted", J63+30, TRUE, "N/A"))</f>
        <v>N/A</v>
      </c>
      <c r="L63" s="523" t="s">
        <v>147</v>
      </c>
      <c r="M63" s="317"/>
      <c r="N63" s="802"/>
      <c r="O63" s="803"/>
      <c r="P63" s="803"/>
      <c r="Q63" s="804"/>
    </row>
    <row r="64" spans="2:17" s="525" customFormat="1" ht="15" customHeight="1">
      <c r="B64" s="523" t="s">
        <v>2159</v>
      </c>
      <c r="C64" s="537" t="s">
        <v>2146</v>
      </c>
      <c r="D64" s="524" t="s">
        <v>2147</v>
      </c>
      <c r="E64" s="524" t="s">
        <v>2158</v>
      </c>
      <c r="F64" s="524"/>
      <c r="G64" s="523" t="s">
        <v>2149</v>
      </c>
      <c r="H64" s="532" t="s">
        <v>2150</v>
      </c>
      <c r="I64" s="533">
        <v>45939</v>
      </c>
      <c r="J64" s="533"/>
      <c r="K64" s="74" cm="1">
        <f t="array" ref="K64">IF(ISBLANK(J64), IF(ISBLANK(I64), "N/A", _xlfn.IFS(L64="AS", I64+15, L64="NCR", I64+30, L64="submitted", I64+30, TRUE, "N/A")), _xlfn.IFS(L64="AS", J64+15, L64="NCR", J64+30, L64="submitted", J64+30, TRUE, "N/A"))</f>
        <v>45969</v>
      </c>
      <c r="L64" s="523" t="s">
        <v>581</v>
      </c>
      <c r="M64" s="317"/>
      <c r="N64" s="802"/>
      <c r="O64" s="803"/>
      <c r="P64" s="803"/>
      <c r="Q64" s="804"/>
    </row>
    <row r="65" spans="2:17" s="5" customFormat="1" ht="15" customHeight="1">
      <c r="B65" s="4"/>
      <c r="C65" s="86" t="s">
        <v>2160</v>
      </c>
      <c r="D65" s="34" t="s">
        <v>2161</v>
      </c>
      <c r="E65" s="34"/>
      <c r="F65" s="34"/>
      <c r="G65" s="4" t="s">
        <v>281</v>
      </c>
      <c r="H65" s="17" t="s">
        <v>235</v>
      </c>
      <c r="I65" s="18"/>
      <c r="J65" s="18"/>
      <c r="K65" s="74" t="str" cm="1">
        <f t="array" ref="K65">IF(ISBLANK(J65), IF(ISBLANK(I65), "N/A", _xlfn.IFS(L65="AS", I65+15, L65="NCR", I65+30, L65="submitted", I65+30, TRUE, "N/A")), _xlfn.IFS(L65="AS", J65+15, L65="NCR", J65+30, L65="submitted", J65+30, TRUE, "N/A"))</f>
        <v>N/A</v>
      </c>
      <c r="L65" s="4"/>
      <c r="M65" s="317"/>
      <c r="N65" s="802"/>
      <c r="O65" s="803"/>
      <c r="P65" s="803"/>
      <c r="Q65" s="804"/>
    </row>
    <row r="66" spans="2:17" s="5" customFormat="1" ht="15" customHeight="1">
      <c r="B66" s="4"/>
      <c r="C66" s="111"/>
      <c r="D66" s="35"/>
      <c r="E66" s="35"/>
      <c r="F66" s="35"/>
      <c r="G66" s="4" t="s">
        <v>269</v>
      </c>
      <c r="H66" s="17" t="s">
        <v>282</v>
      </c>
      <c r="I66" s="18"/>
      <c r="J66" s="18"/>
      <c r="K66" s="74" t="str" cm="1">
        <f t="array" ref="K66">IF(ISBLANK(J66), IF(ISBLANK(I66), "N/A", _xlfn.IFS(L66="AS", I66+15, L66="NCR", I66+30, L66="submitted", I66+30, TRUE, "N/A")), _xlfn.IFS(L66="AS", J66+15, L66="NCR", J66+30, L66="submitted", J66+30, TRUE, "N/A"))</f>
        <v>N/A</v>
      </c>
      <c r="L66" s="4"/>
      <c r="M66" s="317"/>
      <c r="N66" s="802"/>
      <c r="O66" s="803"/>
      <c r="P66" s="803"/>
      <c r="Q66" s="804"/>
    </row>
    <row r="67" spans="2:17" s="5" customFormat="1" ht="15" customHeight="1">
      <c r="B67" s="4"/>
      <c r="C67" s="95"/>
      <c r="D67" s="36"/>
      <c r="E67" s="36"/>
      <c r="F67" s="36"/>
      <c r="G67" s="4" t="s">
        <v>259</v>
      </c>
      <c r="H67" s="17" t="s">
        <v>353</v>
      </c>
      <c r="I67" s="18"/>
      <c r="J67" s="18"/>
      <c r="K67" s="74" t="str" cm="1">
        <f t="array" ref="K67">IF(ISBLANK(J67), IF(ISBLANK(I67), "N/A", _xlfn.IFS(L67="AS", I67+15, L67="NCR", I67+30, L67="submitted", I67+30, TRUE, "N/A")), _xlfn.IFS(L67="AS", J67+15, L67="NCR", J67+30, L67="submitted", J67+30, TRUE, "N/A"))</f>
        <v>N/A</v>
      </c>
      <c r="L67" s="4"/>
      <c r="M67" s="317"/>
      <c r="N67" s="802"/>
      <c r="O67" s="803"/>
      <c r="P67" s="803"/>
      <c r="Q67" s="804"/>
    </row>
    <row r="68" spans="2:17" s="1" customFormat="1" ht="15" customHeight="1">
      <c r="B68" s="9"/>
      <c r="C68" s="32" t="s">
        <v>2162</v>
      </c>
      <c r="D68" s="37" t="s">
        <v>2163</v>
      </c>
      <c r="E68" s="37"/>
      <c r="F68" s="37"/>
      <c r="G68" s="9" t="s">
        <v>281</v>
      </c>
      <c r="H68" s="13" t="s">
        <v>235</v>
      </c>
      <c r="I68" s="18"/>
      <c r="J68" s="18"/>
      <c r="K68" s="74" t="str" cm="1">
        <f t="array" ref="K68">IF(ISBLANK(J68), IF(ISBLANK(I68), "N/A", _xlfn.IFS(L68="AS", I68+15, L68="NCR", I68+30, L68="submitted", I68+30, TRUE, "N/A")), _xlfn.IFS(L68="AS", J68+15, L68="NCR", J68+30, L68="submitted", J68+30, TRUE, "N/A"))</f>
        <v>N/A</v>
      </c>
      <c r="L68" s="9"/>
      <c r="M68" s="317"/>
      <c r="N68" s="802"/>
      <c r="O68" s="803"/>
      <c r="P68" s="803"/>
      <c r="Q68" s="804"/>
    </row>
    <row r="69" spans="2:17" s="1" customFormat="1" ht="15" customHeight="1">
      <c r="B69" s="9"/>
      <c r="C69" s="97"/>
      <c r="D69" s="46"/>
      <c r="E69" s="46"/>
      <c r="F69" s="46"/>
      <c r="G69" s="9" t="s">
        <v>269</v>
      </c>
      <c r="H69" s="13" t="s">
        <v>282</v>
      </c>
      <c r="I69" s="18"/>
      <c r="J69" s="18"/>
      <c r="K69" s="74" t="str" cm="1">
        <f t="array" ref="K69">IF(ISBLANK(J69), IF(ISBLANK(I69), "N/A", _xlfn.IFS(L69="AS", I69+15, L69="NCR", I69+30, L69="submitted", I69+30, TRUE, "N/A")), _xlfn.IFS(L69="AS", J69+15, L69="NCR", J69+30, L69="submitted", J69+30, TRUE, "N/A"))</f>
        <v>N/A</v>
      </c>
      <c r="L69" s="9"/>
      <c r="M69" s="317"/>
      <c r="N69" s="802"/>
      <c r="O69" s="803"/>
      <c r="P69" s="803"/>
      <c r="Q69" s="804"/>
    </row>
    <row r="70" spans="2:17" s="5" customFormat="1" ht="15" customHeight="1">
      <c r="B70" s="4"/>
      <c r="C70" s="15" t="s">
        <v>2164</v>
      </c>
      <c r="D70" s="17" t="s">
        <v>2165</v>
      </c>
      <c r="E70" s="17"/>
      <c r="F70" s="17"/>
      <c r="G70" s="4" t="s">
        <v>281</v>
      </c>
      <c r="H70" s="17" t="s">
        <v>235</v>
      </c>
      <c r="I70" s="18"/>
      <c r="J70" s="18"/>
      <c r="K70" s="74" t="str" cm="1">
        <f t="array" ref="K70">IF(ISBLANK(J70), IF(ISBLANK(I70), "N/A", _xlfn.IFS(L70="AS", I70+15, L70="NCR", I70+30, L70="submitted", I70+30, TRUE, "N/A")), _xlfn.IFS(L70="AS", J70+15, L70="NCR", J70+30, L70="submitted", J70+30, TRUE, "N/A"))</f>
        <v>N/A</v>
      </c>
      <c r="L70" s="4"/>
      <c r="M70" s="317"/>
      <c r="N70" s="802"/>
      <c r="O70" s="803"/>
      <c r="P70" s="803"/>
      <c r="Q70" s="804"/>
    </row>
    <row r="71" spans="2:17" s="5" customFormat="1" ht="15" customHeight="1">
      <c r="B71" s="4"/>
      <c r="C71" s="15" t="s">
        <v>2166</v>
      </c>
      <c r="D71" s="17" t="s">
        <v>2167</v>
      </c>
      <c r="E71" s="17"/>
      <c r="F71" s="17"/>
      <c r="G71" s="4" t="s">
        <v>281</v>
      </c>
      <c r="H71" s="17" t="s">
        <v>2168</v>
      </c>
      <c r="I71" s="18"/>
      <c r="J71" s="18"/>
      <c r="K71" s="74" t="str" cm="1">
        <f t="array" ref="K71">IF(ISBLANK(J71), IF(ISBLANK(I71), "N/A", _xlfn.IFS(L71="AS", I71+15, L71="NCR", I71+30, L71="submitted", I71+30, TRUE, "N/A")), _xlfn.IFS(L71="AS", J71+15, L71="NCR", J71+30, L71="submitted", J71+30, TRUE, "N/A"))</f>
        <v>N/A</v>
      </c>
      <c r="L71" s="4"/>
      <c r="M71" s="317"/>
      <c r="N71" s="802"/>
      <c r="O71" s="803"/>
      <c r="P71" s="803"/>
      <c r="Q71" s="804"/>
    </row>
    <row r="72" spans="2:17" s="1" customFormat="1" ht="15" customHeight="1">
      <c r="B72" s="9"/>
      <c r="C72" s="32" t="s">
        <v>2169</v>
      </c>
      <c r="D72" s="37" t="s">
        <v>2170</v>
      </c>
      <c r="E72" s="37"/>
      <c r="F72" s="37"/>
      <c r="G72" s="9" t="s">
        <v>281</v>
      </c>
      <c r="H72" s="13" t="s">
        <v>2171</v>
      </c>
      <c r="I72" s="18"/>
      <c r="J72" s="18"/>
      <c r="K72" s="74" t="str" cm="1">
        <f t="array" ref="K72">IF(ISBLANK(J72), IF(ISBLANK(I72), "N/A", _xlfn.IFS(L72="AS", I72+15, L72="NCR", I72+30, L72="submitted", I72+30, TRUE, "N/A")), _xlfn.IFS(L72="AS", J72+15, L72="NCR", J72+30, L72="submitted", J72+30, TRUE, "N/A"))</f>
        <v>N/A</v>
      </c>
      <c r="L72" s="9"/>
      <c r="M72" s="317"/>
      <c r="N72" s="802"/>
      <c r="O72" s="803"/>
      <c r="P72" s="803"/>
      <c r="Q72" s="804"/>
    </row>
    <row r="73" spans="2:17" s="1" customFormat="1" ht="15" customHeight="1">
      <c r="B73" s="9"/>
      <c r="C73" s="33"/>
      <c r="D73" s="39"/>
      <c r="E73" s="39"/>
      <c r="F73" s="39"/>
      <c r="G73" s="9" t="s">
        <v>269</v>
      </c>
      <c r="H73" s="13" t="s">
        <v>235</v>
      </c>
      <c r="I73" s="18"/>
      <c r="J73" s="18"/>
      <c r="K73" s="74" t="str" cm="1">
        <f t="array" ref="K73">IF(ISBLANK(J73), IF(ISBLANK(I73), "N/A", _xlfn.IFS(L73="AS", I73+15, L73="NCR", I73+30, L73="submitted", I73+30, TRUE, "N/A")), _xlfn.IFS(L73="AS", J73+15, L73="NCR", J73+30, L73="submitted", J73+30, TRUE, "N/A"))</f>
        <v>N/A</v>
      </c>
      <c r="L73" s="9"/>
      <c r="M73" s="317"/>
      <c r="N73" s="802"/>
      <c r="O73" s="803"/>
      <c r="P73" s="803"/>
      <c r="Q73" s="804"/>
    </row>
    <row r="74" spans="2:17" s="1" customFormat="1" ht="15" customHeight="1">
      <c r="B74" s="9"/>
      <c r="C74" s="33"/>
      <c r="D74" s="39"/>
      <c r="E74" s="39"/>
      <c r="F74" s="39"/>
      <c r="G74" s="9" t="s">
        <v>259</v>
      </c>
      <c r="H74" s="13" t="s">
        <v>282</v>
      </c>
      <c r="I74" s="18"/>
      <c r="J74" s="18"/>
      <c r="K74" s="74" t="str" cm="1">
        <f t="array" ref="K74">IF(ISBLANK(J74), IF(ISBLANK(I74), "N/A", _xlfn.IFS(L74="AS", I74+15, L74="NCR", I74+30, L74="submitted", I74+30, TRUE, "N/A")), _xlfn.IFS(L74="AS", J74+15, L74="NCR", J74+30, L74="submitted", J74+30, TRUE, "N/A"))</f>
        <v>N/A</v>
      </c>
      <c r="L74" s="9"/>
      <c r="M74" s="317"/>
      <c r="N74" s="802"/>
      <c r="O74" s="803"/>
      <c r="P74" s="803"/>
      <c r="Q74" s="804"/>
    </row>
    <row r="75" spans="2:17" s="1" customFormat="1" ht="27" customHeight="1">
      <c r="B75" s="9"/>
      <c r="C75" s="33"/>
      <c r="D75" s="39"/>
      <c r="E75" s="39"/>
      <c r="F75" s="39"/>
      <c r="G75" s="9" t="s">
        <v>352</v>
      </c>
      <c r="H75" s="7" t="s">
        <v>2172</v>
      </c>
      <c r="I75" s="18"/>
      <c r="J75" s="18"/>
      <c r="K75" s="74" t="str" cm="1">
        <f t="array" ref="K75">IF(ISBLANK(J75), IF(ISBLANK(I75), "N/A", _xlfn.IFS(L75="AS", I75+15, L75="NCR", I75+30, L75="submitted", I75+30, TRUE, "N/A")), _xlfn.IFS(L75="AS", J75+15, L75="NCR", J75+30, L75="submitted", J75+30, TRUE, "N/A"))</f>
        <v>N/A</v>
      </c>
      <c r="L75" s="9"/>
      <c r="M75" s="317"/>
      <c r="N75" s="802"/>
      <c r="O75" s="803"/>
      <c r="P75" s="803"/>
      <c r="Q75" s="804"/>
    </row>
    <row r="76" spans="2:17" s="1" customFormat="1" ht="15" customHeight="1">
      <c r="B76" s="9"/>
      <c r="C76" s="33"/>
      <c r="D76" s="39"/>
      <c r="E76" s="39"/>
      <c r="F76" s="39"/>
      <c r="G76" s="9" t="s">
        <v>354</v>
      </c>
      <c r="H76" s="13" t="s">
        <v>1762</v>
      </c>
      <c r="I76" s="18"/>
      <c r="J76" s="18"/>
      <c r="K76" s="74" t="str" cm="1">
        <f t="array" ref="K76">IF(ISBLANK(J76), IF(ISBLANK(I76), "N/A", _xlfn.IFS(L76="AS", I76+15, L76="NCR", I76+30, L76="submitted", I76+30, TRUE, "N/A")), _xlfn.IFS(L76="AS", J76+15, L76="NCR", J76+30, L76="submitted", J76+30, TRUE, "N/A"))</f>
        <v>N/A</v>
      </c>
      <c r="L76" s="9"/>
      <c r="M76" s="317"/>
      <c r="N76" s="802"/>
      <c r="O76" s="803"/>
      <c r="P76" s="803"/>
      <c r="Q76" s="804"/>
    </row>
    <row r="77" spans="2:17" s="1" customFormat="1" ht="15" customHeight="1">
      <c r="B77" s="9"/>
      <c r="C77" s="33"/>
      <c r="D77" s="39"/>
      <c r="E77" s="39"/>
      <c r="F77" s="39"/>
      <c r="G77" s="9" t="s">
        <v>356</v>
      </c>
      <c r="H77" s="13" t="s">
        <v>2168</v>
      </c>
      <c r="I77" s="18"/>
      <c r="J77" s="18"/>
      <c r="K77" s="74" t="str" cm="1">
        <f t="array" ref="K77">IF(ISBLANK(J77), IF(ISBLANK(I77), "N/A", _xlfn.IFS(L77="AS", I77+15, L77="NCR", I77+30, L77="submitted", I77+30, TRUE, "N/A")), _xlfn.IFS(L77="AS", J77+15, L77="NCR", J77+30, L77="submitted", J77+30, TRUE, "N/A"))</f>
        <v>N/A</v>
      </c>
      <c r="L77" s="9"/>
      <c r="M77" s="317"/>
      <c r="N77" s="802"/>
      <c r="O77" s="803"/>
      <c r="P77" s="803"/>
      <c r="Q77" s="804"/>
    </row>
    <row r="78" spans="2:17" s="1" customFormat="1" ht="15" customHeight="1">
      <c r="B78" s="9"/>
      <c r="C78" s="97"/>
      <c r="D78" s="46"/>
      <c r="E78" s="46"/>
      <c r="F78" s="46"/>
      <c r="G78" s="9" t="s">
        <v>358</v>
      </c>
      <c r="H78" s="13" t="s">
        <v>353</v>
      </c>
      <c r="I78" s="18"/>
      <c r="J78" s="18"/>
      <c r="K78" s="74" t="str" cm="1">
        <f t="array" ref="K78">IF(ISBLANK(J78), IF(ISBLANK(I78), "N/A", _xlfn.IFS(L78="AS", I78+15, L78="NCR", I78+30, L78="submitted", I78+30, TRUE, "N/A")), _xlfn.IFS(L78="AS", J78+15, L78="NCR", J78+30, L78="submitted", J78+30, TRUE, "N/A"))</f>
        <v>N/A</v>
      </c>
      <c r="L78" s="9"/>
      <c r="M78" s="317"/>
      <c r="N78" s="802"/>
      <c r="O78" s="803"/>
      <c r="P78" s="803"/>
      <c r="Q78" s="804"/>
    </row>
    <row r="79" spans="2:17" s="5" customFormat="1" ht="15" customHeight="1">
      <c r="B79" s="4"/>
      <c r="C79" s="86" t="s">
        <v>2173</v>
      </c>
      <c r="D79" s="34" t="s">
        <v>2174</v>
      </c>
      <c r="E79" s="34"/>
      <c r="F79" s="34"/>
      <c r="G79" s="4" t="s">
        <v>336</v>
      </c>
      <c r="H79" s="17" t="s">
        <v>235</v>
      </c>
      <c r="I79" s="18"/>
      <c r="J79" s="18"/>
      <c r="K79" s="74" t="str" cm="1">
        <f t="array" ref="K79">IF(ISBLANK(J79), IF(ISBLANK(I79), "N/A", _xlfn.IFS(L79="AS", I79+15, L79="NCR", I79+30, L79="submitted", I79+30, TRUE, "N/A")), _xlfn.IFS(L79="AS", J79+15, L79="NCR", J79+30, L79="submitted", J79+30, TRUE, "N/A"))</f>
        <v>N/A</v>
      </c>
      <c r="L79" s="4"/>
      <c r="M79" s="317"/>
      <c r="N79" s="802"/>
      <c r="O79" s="803"/>
      <c r="P79" s="803"/>
      <c r="Q79" s="804"/>
    </row>
    <row r="80" spans="2:17" s="5" customFormat="1" ht="15" customHeight="1">
      <c r="B80" s="4"/>
      <c r="C80" s="111"/>
      <c r="D80" s="35"/>
      <c r="E80" s="35"/>
      <c r="F80" s="35"/>
      <c r="G80" s="4" t="s">
        <v>337</v>
      </c>
      <c r="H80" s="17" t="s">
        <v>282</v>
      </c>
      <c r="I80" s="18"/>
      <c r="J80" s="18"/>
      <c r="K80" s="74" t="str" cm="1">
        <f t="array" ref="K80">IF(ISBLANK(J80), IF(ISBLANK(I80), "N/A", _xlfn.IFS(L80="AS", I80+15, L80="NCR", I80+30, L80="submitted", I80+30, TRUE, "N/A")), _xlfn.IFS(L80="AS", J80+15, L80="NCR", J80+30, L80="submitted", J80+30, TRUE, "N/A"))</f>
        <v>N/A</v>
      </c>
      <c r="L80" s="4"/>
      <c r="M80" s="317"/>
      <c r="N80" s="802"/>
      <c r="O80" s="803"/>
      <c r="P80" s="803"/>
      <c r="Q80" s="804"/>
    </row>
    <row r="81" spans="2:17" s="5" customFormat="1" ht="40.5" customHeight="1">
      <c r="B81" s="4"/>
      <c r="C81" s="111"/>
      <c r="D81" s="35"/>
      <c r="E81" s="35"/>
      <c r="F81" s="35"/>
      <c r="G81" s="4" t="s">
        <v>404</v>
      </c>
      <c r="H81" s="3" t="s">
        <v>2175</v>
      </c>
      <c r="I81" s="18"/>
      <c r="J81" s="18"/>
      <c r="K81" s="74" t="str" cm="1">
        <f t="array" ref="K81">IF(ISBLANK(J81), IF(ISBLANK(I81), "N/A", _xlfn.IFS(L81="AS", I81+15, L81="NCR", I81+30, L81="submitted", I81+30, TRUE, "N/A")), _xlfn.IFS(L81="AS", J81+15, L81="NCR", J81+30, L81="submitted", J81+30, TRUE, "N/A"))</f>
        <v>N/A</v>
      </c>
      <c r="L81" s="4"/>
      <c r="M81" s="317"/>
      <c r="N81" s="802"/>
      <c r="O81" s="803"/>
      <c r="P81" s="803"/>
      <c r="Q81" s="804"/>
    </row>
    <row r="82" spans="2:17" s="5" customFormat="1" ht="15" customHeight="1">
      <c r="B82" s="4"/>
      <c r="C82" s="111"/>
      <c r="D82" s="35"/>
      <c r="E82" s="35"/>
      <c r="F82" s="35"/>
      <c r="G82" s="4" t="s">
        <v>405</v>
      </c>
      <c r="H82" s="17" t="s">
        <v>2127</v>
      </c>
      <c r="I82" s="18"/>
      <c r="J82" s="18"/>
      <c r="K82" s="74" t="str" cm="1">
        <f t="array" ref="K82">IF(ISBLANK(J82), IF(ISBLANK(I82), "N/A", _xlfn.IFS(L82="AS", I82+15, L82="NCR", I82+30, L82="submitted", I82+30, TRUE, "N/A")), _xlfn.IFS(L82="AS", J82+15, L82="NCR", J82+30, L82="submitted", J82+30, TRUE, "N/A"))</f>
        <v>N/A</v>
      </c>
      <c r="L82" s="4"/>
      <c r="M82" s="317"/>
      <c r="N82" s="802"/>
      <c r="O82" s="803"/>
      <c r="P82" s="803"/>
      <c r="Q82" s="804"/>
    </row>
    <row r="83" spans="2:17" s="5" customFormat="1" ht="27" customHeight="1">
      <c r="B83" s="4"/>
      <c r="C83" s="111"/>
      <c r="D83" s="35"/>
      <c r="E83" s="35"/>
      <c r="F83" s="35"/>
      <c r="G83" s="4" t="s">
        <v>406</v>
      </c>
      <c r="H83" s="3" t="s">
        <v>2176</v>
      </c>
      <c r="I83" s="18"/>
      <c r="J83" s="18"/>
      <c r="K83" s="74" t="str" cm="1">
        <f t="array" ref="K83">IF(ISBLANK(J83), IF(ISBLANK(I83), "N/A", _xlfn.IFS(L83="AS", I83+15, L83="NCR", I83+30, L83="submitted", I83+30, TRUE, "N/A")), _xlfn.IFS(L83="AS", J83+15, L83="NCR", J83+30, L83="submitted", J83+30, TRUE, "N/A"))</f>
        <v>N/A</v>
      </c>
      <c r="L83" s="4"/>
      <c r="M83" s="317"/>
      <c r="N83" s="802"/>
      <c r="O83" s="803"/>
      <c r="P83" s="803"/>
      <c r="Q83" s="804"/>
    </row>
    <row r="84" spans="2:17" s="5" customFormat="1" ht="15" customHeight="1">
      <c r="B84" s="4"/>
      <c r="C84" s="111"/>
      <c r="D84" s="35"/>
      <c r="E84" s="35"/>
      <c r="F84" s="35"/>
      <c r="G84" s="4" t="s">
        <v>2177</v>
      </c>
      <c r="H84" s="17" t="s">
        <v>2178</v>
      </c>
      <c r="I84" s="18"/>
      <c r="J84" s="18"/>
      <c r="K84" s="74" t="str" cm="1">
        <f t="array" ref="K84">IF(ISBLANK(J84), IF(ISBLANK(I84), "N/A", _xlfn.IFS(L84="AS", I84+15, L84="NCR", I84+30, L84="submitted", I84+30, TRUE, "N/A")), _xlfn.IFS(L84="AS", J84+15, L84="NCR", J84+30, L84="submitted", J84+30, TRUE, "N/A"))</f>
        <v>N/A</v>
      </c>
      <c r="L84" s="4"/>
      <c r="M84" s="317"/>
      <c r="N84" s="802"/>
      <c r="O84" s="803"/>
      <c r="P84" s="803"/>
      <c r="Q84" s="804"/>
    </row>
    <row r="85" spans="2:17" s="5" customFormat="1" ht="15" customHeight="1">
      <c r="B85" s="4"/>
      <c r="C85" s="111"/>
      <c r="D85" s="35"/>
      <c r="E85" s="35"/>
      <c r="F85" s="35"/>
      <c r="G85" s="4" t="s">
        <v>2179</v>
      </c>
      <c r="H85" s="17" t="s">
        <v>2180</v>
      </c>
      <c r="I85" s="18"/>
      <c r="J85" s="18"/>
      <c r="K85" s="74" t="str" cm="1">
        <f t="array" ref="K85">IF(ISBLANK(J85), IF(ISBLANK(I85), "N/A", _xlfn.IFS(L85="AS", I85+15, L85="NCR", I85+30, L85="submitted", I85+30, TRUE, "N/A")), _xlfn.IFS(L85="AS", J85+15, L85="NCR", J85+30, L85="submitted", J85+30, TRUE, "N/A"))</f>
        <v>N/A</v>
      </c>
      <c r="L85" s="4"/>
      <c r="M85" s="317"/>
      <c r="N85" s="802"/>
      <c r="O85" s="803"/>
      <c r="P85" s="803"/>
      <c r="Q85" s="804"/>
    </row>
    <row r="86" spans="2:17" s="5" customFormat="1" ht="15" customHeight="1">
      <c r="B86" s="4"/>
      <c r="C86" s="111"/>
      <c r="D86" s="35"/>
      <c r="E86" s="35"/>
      <c r="F86" s="35"/>
      <c r="G86" s="4" t="s">
        <v>2181</v>
      </c>
      <c r="H86" s="17" t="s">
        <v>426</v>
      </c>
      <c r="I86" s="18"/>
      <c r="J86" s="18"/>
      <c r="K86" s="74" t="str" cm="1">
        <f t="array" ref="K86">IF(ISBLANK(J86), IF(ISBLANK(I86), "N/A", _xlfn.IFS(L86="AS", I86+15, L86="NCR", I86+30, L86="submitted", I86+30, TRUE, "N/A")), _xlfn.IFS(L86="AS", J86+15, L86="NCR", J86+30, L86="submitted", J86+30, TRUE, "N/A"))</f>
        <v>N/A</v>
      </c>
      <c r="L86" s="4"/>
      <c r="M86" s="317"/>
      <c r="N86" s="802"/>
      <c r="O86" s="803"/>
      <c r="P86" s="803"/>
      <c r="Q86" s="804"/>
    </row>
    <row r="87" spans="2:17" s="5" customFormat="1" ht="15" customHeight="1">
      <c r="B87" s="4"/>
      <c r="C87" s="111"/>
      <c r="D87" s="35"/>
      <c r="E87" s="35"/>
      <c r="F87" s="35"/>
      <c r="G87" s="4" t="s">
        <v>2182</v>
      </c>
      <c r="H87" s="17" t="s">
        <v>2183</v>
      </c>
      <c r="I87" s="18"/>
      <c r="J87" s="18"/>
      <c r="K87" s="74" t="str" cm="1">
        <f t="array" ref="K87">IF(ISBLANK(J87), IF(ISBLANK(I87), "N/A", _xlfn.IFS(L87="AS", I87+15, L87="NCR", I87+30, L87="submitted", I87+30, TRUE, "N/A")), _xlfn.IFS(L87="AS", J87+15, L87="NCR", J87+30, L87="submitted", J87+30, TRUE, "N/A"))</f>
        <v>N/A</v>
      </c>
      <c r="L87" s="4"/>
      <c r="M87" s="317"/>
      <c r="N87" s="802"/>
      <c r="O87" s="803"/>
      <c r="P87" s="803"/>
      <c r="Q87" s="804"/>
    </row>
    <row r="88" spans="2:17" s="5" customFormat="1" ht="15" customHeight="1">
      <c r="B88" s="4"/>
      <c r="C88" s="111"/>
      <c r="D88" s="35"/>
      <c r="E88" s="35"/>
      <c r="F88" s="35"/>
      <c r="G88" s="4" t="s">
        <v>2184</v>
      </c>
      <c r="H88" s="17" t="s">
        <v>2185</v>
      </c>
      <c r="I88" s="18"/>
      <c r="J88" s="18"/>
      <c r="K88" s="74" t="str" cm="1">
        <f t="array" ref="K88">IF(ISBLANK(J88), IF(ISBLANK(I88), "N/A", _xlfn.IFS(L88="AS", I88+15, L88="NCR", I88+30, L88="submitted", I88+30, TRUE, "N/A")), _xlfn.IFS(L88="AS", J88+15, L88="NCR", J88+30, L88="submitted", J88+30, TRUE, "N/A"))</f>
        <v>N/A</v>
      </c>
      <c r="L88" s="4"/>
      <c r="M88" s="317"/>
      <c r="N88" s="802"/>
      <c r="O88" s="803"/>
      <c r="P88" s="803"/>
      <c r="Q88" s="804"/>
    </row>
    <row r="89" spans="2:17" s="5" customFormat="1" ht="15" customHeight="1">
      <c r="B89" s="4"/>
      <c r="C89" s="111"/>
      <c r="D89" s="35"/>
      <c r="E89" s="35"/>
      <c r="F89" s="35"/>
      <c r="G89" s="4" t="s">
        <v>2186</v>
      </c>
      <c r="H89" s="17" t="s">
        <v>2187</v>
      </c>
      <c r="I89" s="18"/>
      <c r="J89" s="18"/>
      <c r="K89" s="74" t="str" cm="1">
        <f t="array" ref="K89">IF(ISBLANK(J89), IF(ISBLANK(I89), "N/A", _xlfn.IFS(L89="AS", I89+15, L89="NCR", I89+30, L89="submitted", I89+30, TRUE, "N/A")), _xlfn.IFS(L89="AS", J89+15, L89="NCR", J89+30, L89="submitted", J89+30, TRUE, "N/A"))</f>
        <v>N/A</v>
      </c>
      <c r="L89" s="4"/>
      <c r="M89" s="317"/>
      <c r="N89" s="802"/>
      <c r="O89" s="803"/>
      <c r="P89" s="803"/>
      <c r="Q89" s="804"/>
    </row>
    <row r="90" spans="2:17" s="5" customFormat="1" ht="15" customHeight="1">
      <c r="B90" s="4"/>
      <c r="C90" s="111"/>
      <c r="D90" s="35"/>
      <c r="E90" s="35"/>
      <c r="F90" s="35"/>
      <c r="G90" s="4" t="s">
        <v>441</v>
      </c>
      <c r="H90" s="17" t="s">
        <v>380</v>
      </c>
      <c r="I90" s="18"/>
      <c r="J90" s="18"/>
      <c r="K90" s="74" t="str" cm="1">
        <f t="array" ref="K90">IF(ISBLANK(J90), IF(ISBLANK(I90), "N/A", _xlfn.IFS(L90="AS", I90+15, L90="NCR", I90+30, L90="submitted", I90+30, TRUE, "N/A")), _xlfn.IFS(L90="AS", J90+15, L90="NCR", J90+30, L90="submitted", J90+30, TRUE, "N/A"))</f>
        <v>N/A</v>
      </c>
      <c r="L90" s="4"/>
      <c r="M90" s="317"/>
      <c r="N90" s="802"/>
      <c r="O90" s="803"/>
      <c r="P90" s="803"/>
      <c r="Q90" s="804"/>
    </row>
    <row r="91" spans="2:17" s="5" customFormat="1" ht="15" customHeight="1">
      <c r="B91" s="4"/>
      <c r="C91" s="111"/>
      <c r="D91" s="35"/>
      <c r="E91" s="35"/>
      <c r="F91" s="35"/>
      <c r="G91" s="4" t="s">
        <v>443</v>
      </c>
      <c r="H91" s="17" t="s">
        <v>1762</v>
      </c>
      <c r="I91" s="18"/>
      <c r="J91" s="18"/>
      <c r="K91" s="74" t="str" cm="1">
        <f t="array" ref="K91">IF(ISBLANK(J91), IF(ISBLANK(I91), "N/A", _xlfn.IFS(L91="AS", I91+15, L91="NCR", I91+30, L91="submitted", I91+30, TRUE, "N/A")), _xlfn.IFS(L91="AS", J91+15, L91="NCR", J91+30, L91="submitted", J91+30, TRUE, "N/A"))</f>
        <v>N/A</v>
      </c>
      <c r="L91" s="4"/>
      <c r="M91" s="317"/>
      <c r="N91" s="802"/>
      <c r="O91" s="803"/>
      <c r="P91" s="803"/>
      <c r="Q91" s="804"/>
    </row>
    <row r="92" spans="2:17" s="5" customFormat="1" ht="15" customHeight="1">
      <c r="B92" s="4"/>
      <c r="C92" s="111"/>
      <c r="D92" s="35"/>
      <c r="E92" s="35"/>
      <c r="F92" s="35"/>
      <c r="G92" s="4" t="s">
        <v>445</v>
      </c>
      <c r="H92" s="17" t="s">
        <v>490</v>
      </c>
      <c r="I92" s="18"/>
      <c r="J92" s="18"/>
      <c r="K92" s="74" t="str" cm="1">
        <f t="array" ref="K92">IF(ISBLANK(J92), IF(ISBLANK(I92), "N/A", _xlfn.IFS(L92="AS", I92+15, L92="NCR", I92+30, L92="submitted", I92+30, TRUE, "N/A")), _xlfn.IFS(L92="AS", J92+15, L92="NCR", J92+30, L92="submitted", J92+30, TRUE, "N/A"))</f>
        <v>N/A</v>
      </c>
      <c r="L92" s="4"/>
      <c r="M92" s="317"/>
      <c r="N92" s="802"/>
      <c r="O92" s="803"/>
      <c r="P92" s="803"/>
      <c r="Q92" s="804"/>
    </row>
    <row r="93" spans="2:17" s="5" customFormat="1" ht="15" customHeight="1">
      <c r="B93" s="4"/>
      <c r="C93" s="95"/>
      <c r="D93" s="36"/>
      <c r="E93" s="36"/>
      <c r="F93" s="36"/>
      <c r="G93" s="4" t="s">
        <v>470</v>
      </c>
      <c r="H93" s="17" t="s">
        <v>353</v>
      </c>
      <c r="I93" s="18"/>
      <c r="J93" s="18"/>
      <c r="K93" s="74" t="str" cm="1">
        <f t="array" ref="K93">IF(ISBLANK(J93), IF(ISBLANK(I93), "N/A", _xlfn.IFS(L93="AS", I93+15, L93="NCR", I93+30, L93="submitted", I93+30, TRUE, "N/A")), _xlfn.IFS(L93="AS", J93+15, L93="NCR", J93+30, L93="submitted", J93+30, TRUE, "N/A"))</f>
        <v>N/A</v>
      </c>
      <c r="L93" s="4"/>
      <c r="M93" s="317"/>
      <c r="N93" s="802"/>
      <c r="O93" s="803"/>
      <c r="P93" s="803"/>
      <c r="Q93" s="804"/>
    </row>
    <row r="94" spans="2:17" s="1" customFormat="1" ht="15" customHeight="1">
      <c r="B94" s="9"/>
      <c r="C94" s="32" t="s">
        <v>2188</v>
      </c>
      <c r="D94" s="37" t="s">
        <v>2189</v>
      </c>
      <c r="E94" s="37"/>
      <c r="F94" s="37"/>
      <c r="G94" s="9" t="s">
        <v>336</v>
      </c>
      <c r="H94" s="13" t="s">
        <v>235</v>
      </c>
      <c r="I94" s="18"/>
      <c r="J94" s="18"/>
      <c r="K94" s="74" t="str" cm="1">
        <f t="array" ref="K94">IF(ISBLANK(J94), IF(ISBLANK(I94), "N/A", _xlfn.IFS(L94="AS", I94+15, L94="NCR", I94+30, L94="submitted", I94+30, TRUE, "N/A")), _xlfn.IFS(L94="AS", J94+15, L94="NCR", J94+30, L94="submitted", J94+30, TRUE, "N/A"))</f>
        <v>N/A</v>
      </c>
      <c r="L94" s="9"/>
      <c r="M94" s="317"/>
      <c r="N94" s="802"/>
      <c r="O94" s="803"/>
      <c r="P94" s="803"/>
      <c r="Q94" s="804"/>
    </row>
    <row r="95" spans="2:17" s="1" customFormat="1" ht="15" customHeight="1">
      <c r="B95" s="9"/>
      <c r="C95" s="33"/>
      <c r="D95" s="39"/>
      <c r="E95" s="39"/>
      <c r="F95" s="39"/>
      <c r="G95" s="9" t="s">
        <v>337</v>
      </c>
      <c r="H95" s="13" t="s">
        <v>328</v>
      </c>
      <c r="I95" s="18"/>
      <c r="J95" s="18"/>
      <c r="K95" s="74" t="str" cm="1">
        <f t="array" ref="K95">IF(ISBLANK(J95), IF(ISBLANK(I95), "N/A", _xlfn.IFS(L95="AS", I95+15, L95="NCR", I95+30, L95="submitted", I95+30, TRUE, "N/A")), _xlfn.IFS(L95="AS", J95+15, L95="NCR", J95+30, L95="submitted", J95+30, TRUE, "N/A"))</f>
        <v>N/A</v>
      </c>
      <c r="L95" s="9"/>
      <c r="M95" s="317"/>
      <c r="N95" s="802"/>
      <c r="O95" s="803"/>
      <c r="P95" s="803"/>
      <c r="Q95" s="804"/>
    </row>
    <row r="96" spans="2:17" s="1" customFormat="1" ht="40.5">
      <c r="B96" s="9"/>
      <c r="C96" s="33"/>
      <c r="D96" s="39"/>
      <c r="E96" s="39"/>
      <c r="F96" s="39"/>
      <c r="G96" s="9" t="s">
        <v>338</v>
      </c>
      <c r="H96" s="7" t="s">
        <v>2190</v>
      </c>
      <c r="I96" s="18"/>
      <c r="J96" s="18"/>
      <c r="K96" s="74" t="str" cm="1">
        <f t="array" ref="K96">IF(ISBLANK(J96), IF(ISBLANK(I96), "N/A", _xlfn.IFS(L96="AS", I96+15, L96="NCR", I96+30, L96="submitted", I96+30, TRUE, "N/A")), _xlfn.IFS(L96="AS", J96+15, L96="NCR", J96+30, L96="submitted", J96+30, TRUE, "N/A"))</f>
        <v>N/A</v>
      </c>
      <c r="L96" s="9"/>
      <c r="M96" s="317"/>
      <c r="N96" s="802"/>
      <c r="O96" s="803"/>
      <c r="P96" s="803"/>
      <c r="Q96" s="804"/>
    </row>
    <row r="97" spans="2:17" s="1" customFormat="1" ht="15" customHeight="1">
      <c r="B97" s="9"/>
      <c r="C97" s="33"/>
      <c r="D97" s="39"/>
      <c r="E97" s="39"/>
      <c r="F97" s="39"/>
      <c r="G97" s="9" t="s">
        <v>405</v>
      </c>
      <c r="H97" s="13" t="s">
        <v>2127</v>
      </c>
      <c r="I97" s="18"/>
      <c r="J97" s="18"/>
      <c r="K97" s="74" t="str" cm="1">
        <f t="array" ref="K97">IF(ISBLANK(J97), IF(ISBLANK(I97), "N/A", _xlfn.IFS(L97="AS", I97+15, L97="NCR", I97+30, L97="submitted", I97+30, TRUE, "N/A")), _xlfn.IFS(L97="AS", J97+15, L97="NCR", J97+30, L97="submitted", J97+30, TRUE, "N/A"))</f>
        <v>N/A</v>
      </c>
      <c r="L97" s="9"/>
      <c r="M97" s="317"/>
      <c r="N97" s="802"/>
      <c r="O97" s="803"/>
      <c r="P97" s="803"/>
      <c r="Q97" s="804"/>
    </row>
    <row r="98" spans="2:17" s="1" customFormat="1" ht="27" customHeight="1">
      <c r="B98" s="9"/>
      <c r="C98" s="97"/>
      <c r="D98" s="46"/>
      <c r="E98" s="46"/>
      <c r="F98" s="46"/>
      <c r="G98" s="9" t="s">
        <v>406</v>
      </c>
      <c r="H98" s="7" t="s">
        <v>2191</v>
      </c>
      <c r="I98" s="18"/>
      <c r="J98" s="18"/>
      <c r="K98" s="74" t="str" cm="1">
        <f t="array" ref="K98">IF(ISBLANK(J98), IF(ISBLANK(I98), "N/A", _xlfn.IFS(L98="AS", I98+15, L98="NCR", I98+30, L98="submitted", I98+30, TRUE, "N/A")), _xlfn.IFS(L98="AS", J98+15, L98="NCR", J98+30, L98="submitted", J98+30, TRUE, "N/A"))</f>
        <v>N/A</v>
      </c>
      <c r="L98" s="9"/>
      <c r="M98" s="317"/>
      <c r="N98" s="802"/>
      <c r="O98" s="803"/>
      <c r="P98" s="803"/>
      <c r="Q98" s="804"/>
    </row>
    <row r="99" spans="2:17" s="5" customFormat="1" ht="15" customHeight="1">
      <c r="B99" s="4"/>
      <c r="C99" s="825" t="s">
        <v>2192</v>
      </c>
      <c r="D99" s="827" t="s">
        <v>2193</v>
      </c>
      <c r="E99" s="34"/>
      <c r="F99" s="34"/>
      <c r="G99" s="4" t="s">
        <v>336</v>
      </c>
      <c r="H99" s="17" t="s">
        <v>235</v>
      </c>
      <c r="I99" s="18"/>
      <c r="J99" s="18"/>
      <c r="K99" s="74" t="str" cm="1">
        <f t="array" ref="K99">IF(ISBLANK(J99), IF(ISBLANK(I99), "N/A", _xlfn.IFS(L99="AS", I99+15, L99="NCR", I99+30, L99="submitted", I99+30, TRUE, "N/A")), _xlfn.IFS(L99="AS", J99+15, L99="NCR", J99+30, L99="submitted", J99+30, TRUE, "N/A"))</f>
        <v>N/A</v>
      </c>
      <c r="L99" s="4"/>
      <c r="M99" s="317"/>
      <c r="N99" s="802"/>
      <c r="O99" s="803"/>
      <c r="P99" s="803"/>
      <c r="Q99" s="804"/>
    </row>
    <row r="100" spans="2:17" s="5" customFormat="1" ht="15" customHeight="1">
      <c r="B100" s="4"/>
      <c r="C100" s="829"/>
      <c r="D100" s="830"/>
      <c r="E100" s="35"/>
      <c r="F100" s="35"/>
      <c r="G100" s="4" t="s">
        <v>337</v>
      </c>
      <c r="H100" s="17" t="s">
        <v>282</v>
      </c>
      <c r="I100" s="18"/>
      <c r="J100" s="18"/>
      <c r="K100" s="74" t="str" cm="1">
        <f t="array" ref="K100">IF(ISBLANK(J100), IF(ISBLANK(I100), "N/A", _xlfn.IFS(L100="AS", I100+15, L100="NCR", I100+30, L100="submitted", I100+30, TRUE, "N/A")), _xlfn.IFS(L100="AS", J100+15, L100="NCR", J100+30, L100="submitted", J100+30, TRUE, "N/A"))</f>
        <v>N/A</v>
      </c>
      <c r="L100" s="4"/>
      <c r="M100" s="317"/>
      <c r="N100" s="802"/>
      <c r="O100" s="803"/>
      <c r="P100" s="803"/>
      <c r="Q100" s="804"/>
    </row>
    <row r="101" spans="2:17" s="5" customFormat="1" ht="15" customHeight="1">
      <c r="B101" s="4"/>
      <c r="C101" s="829"/>
      <c r="D101" s="830"/>
      <c r="E101" s="35"/>
      <c r="F101" s="35"/>
      <c r="G101" s="4" t="s">
        <v>404</v>
      </c>
      <c r="H101" s="17" t="s">
        <v>2194</v>
      </c>
      <c r="I101" s="18"/>
      <c r="J101" s="18"/>
      <c r="K101" s="74" t="str" cm="1">
        <f t="array" ref="K101">IF(ISBLANK(J101), IF(ISBLANK(I101), "N/A", _xlfn.IFS(L101="AS", I101+15, L101="NCR", I101+30, L101="submitted", I101+30, TRUE, "N/A")), _xlfn.IFS(L101="AS", J101+15, L101="NCR", J101+30, L101="submitted", J101+30, TRUE, "N/A"))</f>
        <v>N/A</v>
      </c>
      <c r="L101" s="4"/>
      <c r="M101" s="317"/>
      <c r="N101" s="802"/>
      <c r="O101" s="803"/>
      <c r="P101" s="803"/>
      <c r="Q101" s="804"/>
    </row>
    <row r="102" spans="2:17" s="5" customFormat="1" ht="15" customHeight="1">
      <c r="B102" s="4"/>
      <c r="C102" s="829"/>
      <c r="D102" s="830"/>
      <c r="E102" s="35"/>
      <c r="F102" s="35"/>
      <c r="G102" s="4" t="s">
        <v>405</v>
      </c>
      <c r="H102" s="17" t="s">
        <v>2127</v>
      </c>
      <c r="I102" s="18"/>
      <c r="J102" s="18"/>
      <c r="K102" s="74" t="str" cm="1">
        <f t="array" ref="K102">IF(ISBLANK(J102), IF(ISBLANK(I102), "N/A", _xlfn.IFS(L102="AS", I102+15, L102="NCR", I102+30, L102="submitted", I102+30, TRUE, "N/A")), _xlfn.IFS(L102="AS", J102+15, L102="NCR", J102+30, L102="submitted", J102+30, TRUE, "N/A"))</f>
        <v>N/A</v>
      </c>
      <c r="L102" s="4"/>
      <c r="M102" s="317"/>
      <c r="N102" s="802"/>
      <c r="O102" s="803"/>
      <c r="P102" s="803"/>
      <c r="Q102" s="804"/>
    </row>
    <row r="103" spans="2:17" s="5" customFormat="1" ht="15" customHeight="1">
      <c r="B103" s="4"/>
      <c r="C103" s="829"/>
      <c r="D103" s="830"/>
      <c r="E103" s="35"/>
      <c r="F103" s="35"/>
      <c r="G103" s="4" t="s">
        <v>2195</v>
      </c>
      <c r="H103" s="17" t="s">
        <v>2178</v>
      </c>
      <c r="I103" s="18"/>
      <c r="J103" s="18"/>
      <c r="K103" s="74" t="str" cm="1">
        <f t="array" ref="K103">IF(ISBLANK(J103), IF(ISBLANK(I103), "N/A", _xlfn.IFS(L103="AS", I103+15, L103="NCR", I103+30, L103="submitted", I103+30, TRUE, "N/A")), _xlfn.IFS(L103="AS", J103+15, L103="NCR", J103+30, L103="submitted", J103+30, TRUE, "N/A"))</f>
        <v>N/A</v>
      </c>
      <c r="L103" s="4"/>
      <c r="M103" s="317"/>
      <c r="N103" s="802"/>
      <c r="O103" s="803"/>
      <c r="P103" s="803"/>
      <c r="Q103" s="804"/>
    </row>
    <row r="104" spans="2:17" s="5" customFormat="1" ht="15" customHeight="1">
      <c r="B104" s="4"/>
      <c r="C104" s="829"/>
      <c r="D104" s="830"/>
      <c r="E104" s="35"/>
      <c r="F104" s="35"/>
      <c r="G104" s="4" t="s">
        <v>2196</v>
      </c>
      <c r="H104" s="17" t="s">
        <v>2180</v>
      </c>
      <c r="I104" s="18"/>
      <c r="J104" s="18"/>
      <c r="K104" s="74" t="str" cm="1">
        <f t="array" ref="K104">IF(ISBLANK(J104), IF(ISBLANK(I104), "N/A", _xlfn.IFS(L104="AS", I104+15, L104="NCR", I104+30, L104="submitted", I104+30, TRUE, "N/A")), _xlfn.IFS(L104="AS", J104+15, L104="NCR", J104+30, L104="submitted", J104+30, TRUE, "N/A"))</f>
        <v>N/A</v>
      </c>
      <c r="L104" s="4"/>
      <c r="M104" s="317"/>
      <c r="N104" s="802"/>
      <c r="O104" s="803"/>
      <c r="P104" s="803"/>
      <c r="Q104" s="804"/>
    </row>
    <row r="105" spans="2:17" s="5" customFormat="1" ht="15" customHeight="1">
      <c r="B105" s="4"/>
      <c r="C105" s="829"/>
      <c r="D105" s="830"/>
      <c r="E105" s="35"/>
      <c r="F105" s="35"/>
      <c r="G105" s="4" t="s">
        <v>2197</v>
      </c>
      <c r="H105" s="17" t="s">
        <v>426</v>
      </c>
      <c r="I105" s="18"/>
      <c r="J105" s="18"/>
      <c r="K105" s="74" t="str" cm="1">
        <f t="array" ref="K105">IF(ISBLANK(J105), IF(ISBLANK(I105), "N/A", _xlfn.IFS(L105="AS", I105+15, L105="NCR", I105+30, L105="submitted", I105+30, TRUE, "N/A")), _xlfn.IFS(L105="AS", J105+15, L105="NCR", J105+30, L105="submitted", J105+30, TRUE, "N/A"))</f>
        <v>N/A</v>
      </c>
      <c r="L105" s="4"/>
      <c r="M105" s="317"/>
      <c r="N105" s="802"/>
      <c r="O105" s="803"/>
      <c r="P105" s="803"/>
      <c r="Q105" s="804"/>
    </row>
    <row r="106" spans="2:17" s="5" customFormat="1" ht="15" customHeight="1">
      <c r="B106" s="4"/>
      <c r="C106" s="829"/>
      <c r="D106" s="830"/>
      <c r="E106" s="35"/>
      <c r="F106" s="35"/>
      <c r="G106" s="4" t="s">
        <v>2198</v>
      </c>
      <c r="H106" s="17" t="s">
        <v>2199</v>
      </c>
      <c r="I106" s="18"/>
      <c r="J106" s="18"/>
      <c r="K106" s="74" t="str" cm="1">
        <f t="array" ref="K106">IF(ISBLANK(J106), IF(ISBLANK(I106), "N/A", _xlfn.IFS(L106="AS", I106+15, L106="NCR", I106+30, L106="submitted", I106+30, TRUE, "N/A")), _xlfn.IFS(L106="AS", J106+15, L106="NCR", J106+30, L106="submitted", J106+30, TRUE, "N/A"))</f>
        <v>N/A</v>
      </c>
      <c r="L106" s="4"/>
      <c r="M106" s="317"/>
      <c r="N106" s="802"/>
      <c r="O106" s="803"/>
      <c r="P106" s="803"/>
      <c r="Q106" s="804"/>
    </row>
    <row r="107" spans="2:17" s="5" customFormat="1" ht="15" customHeight="1">
      <c r="B107" s="4"/>
      <c r="C107" s="829"/>
      <c r="D107" s="830"/>
      <c r="E107" s="35"/>
      <c r="F107" s="35"/>
      <c r="G107" s="4" t="s">
        <v>2200</v>
      </c>
      <c r="H107" s="17" t="s">
        <v>2185</v>
      </c>
      <c r="I107" s="18"/>
      <c r="J107" s="18"/>
      <c r="K107" s="74" t="str" cm="1">
        <f t="array" ref="K107">IF(ISBLANK(J107), IF(ISBLANK(I107), "N/A", _xlfn.IFS(L107="AS", I107+15, L107="NCR", I107+30, L107="submitted", I107+30, TRUE, "N/A")), _xlfn.IFS(L107="AS", J107+15, L107="NCR", J107+30, L107="submitted", J107+30, TRUE, "N/A"))</f>
        <v>N/A</v>
      </c>
      <c r="L107" s="4"/>
      <c r="M107" s="317"/>
      <c r="N107" s="802"/>
      <c r="O107" s="803"/>
      <c r="P107" s="803"/>
      <c r="Q107" s="804"/>
    </row>
    <row r="108" spans="2:17" s="5" customFormat="1" ht="15" customHeight="1">
      <c r="B108" s="4"/>
      <c r="C108" s="829"/>
      <c r="D108" s="830"/>
      <c r="E108" s="35"/>
      <c r="F108" s="35"/>
      <c r="G108" s="4" t="s">
        <v>2201</v>
      </c>
      <c r="H108" s="17" t="s">
        <v>2202</v>
      </c>
      <c r="I108" s="18"/>
      <c r="J108" s="18"/>
      <c r="K108" s="74" t="str" cm="1">
        <f t="array" ref="K108">IF(ISBLANK(J108), IF(ISBLANK(I108), "N/A", _xlfn.IFS(L108="AS", I108+15, L108="NCR", I108+30, L108="submitted", I108+30, TRUE, "N/A")), _xlfn.IFS(L108="AS", J108+15, L108="NCR", J108+30, L108="submitted", J108+30, TRUE, "N/A"))</f>
        <v>N/A</v>
      </c>
      <c r="L108" s="4"/>
      <c r="M108" s="317"/>
      <c r="N108" s="802"/>
      <c r="O108" s="803"/>
      <c r="P108" s="803"/>
      <c r="Q108" s="804"/>
    </row>
    <row r="109" spans="2:17" s="5" customFormat="1" ht="15" customHeight="1">
      <c r="B109" s="4"/>
      <c r="C109" s="829"/>
      <c r="D109" s="830"/>
      <c r="E109" s="35"/>
      <c r="F109" s="35"/>
      <c r="G109" s="4" t="s">
        <v>408</v>
      </c>
      <c r="H109" s="17" t="s">
        <v>2203</v>
      </c>
      <c r="I109" s="18"/>
      <c r="J109" s="18"/>
      <c r="K109" s="74" t="str" cm="1">
        <f t="array" ref="K109">IF(ISBLANK(J109), IF(ISBLANK(I109), "N/A", _xlfn.IFS(L109="AS", I109+15, L109="NCR", I109+30, L109="submitted", I109+30, TRUE, "N/A")), _xlfn.IFS(L109="AS", J109+15, L109="NCR", J109+30, L109="submitted", J109+30, TRUE, "N/A"))</f>
        <v>N/A</v>
      </c>
      <c r="L109" s="4"/>
      <c r="M109" s="317"/>
      <c r="N109" s="802"/>
      <c r="O109" s="803"/>
      <c r="P109" s="803"/>
      <c r="Q109" s="804"/>
    </row>
    <row r="110" spans="2:17" s="5" customFormat="1" ht="15" customHeight="1">
      <c r="B110" s="4"/>
      <c r="C110" s="826"/>
      <c r="D110" s="828"/>
      <c r="E110" s="36"/>
      <c r="F110" s="36"/>
      <c r="G110" s="4" t="s">
        <v>441</v>
      </c>
      <c r="H110" s="17" t="s">
        <v>380</v>
      </c>
      <c r="I110" s="18"/>
      <c r="J110" s="18"/>
      <c r="K110" s="74" t="str" cm="1">
        <f t="array" ref="K110">IF(ISBLANK(J110), IF(ISBLANK(I110), "N/A", _xlfn.IFS(L110="AS", I110+15, L110="NCR", I110+30, L110="submitted", I110+30, TRUE, "N/A")), _xlfn.IFS(L110="AS", J110+15, L110="NCR", J110+30, L110="submitted", J110+30, TRUE, "N/A"))</f>
        <v>N/A</v>
      </c>
      <c r="L110" s="4"/>
      <c r="M110" s="317"/>
      <c r="N110" s="802"/>
      <c r="O110" s="803"/>
      <c r="P110" s="803"/>
      <c r="Q110" s="804"/>
    </row>
    <row r="111" spans="2:17" s="1" customFormat="1" ht="27" customHeight="1">
      <c r="B111" s="9"/>
      <c r="C111" s="821" t="s">
        <v>2204</v>
      </c>
      <c r="D111" s="823" t="s">
        <v>2205</v>
      </c>
      <c r="E111" s="37"/>
      <c r="F111" s="37"/>
      <c r="G111" s="9" t="s">
        <v>229</v>
      </c>
      <c r="H111" s="7" t="s">
        <v>2206</v>
      </c>
      <c r="I111" s="18"/>
      <c r="J111" s="18"/>
      <c r="K111" s="74" t="str" cm="1">
        <f t="array" ref="K111">IF(ISBLANK(J111), IF(ISBLANK(I111), "N/A", _xlfn.IFS(L111="AS", I111+15, L111="NCR", I111+30, L111="submitted", I111+30, TRUE, "N/A")), _xlfn.IFS(L111="AS", J111+15, L111="NCR", J111+30, L111="submitted", J111+30, TRUE, "N/A"))</f>
        <v>N/A</v>
      </c>
      <c r="L111" s="9"/>
      <c r="M111" s="317"/>
      <c r="N111" s="802"/>
      <c r="O111" s="803"/>
      <c r="P111" s="803"/>
      <c r="Q111" s="804"/>
    </row>
    <row r="112" spans="2:17" s="1" customFormat="1" ht="15" customHeight="1">
      <c r="B112" s="9"/>
      <c r="C112" s="822"/>
      <c r="D112" s="824"/>
      <c r="E112" s="39"/>
      <c r="F112" s="39"/>
      <c r="G112" s="9" t="s">
        <v>336</v>
      </c>
      <c r="H112" s="13" t="s">
        <v>235</v>
      </c>
      <c r="I112" s="18"/>
      <c r="J112" s="18"/>
      <c r="K112" s="74" t="str" cm="1">
        <f t="array" ref="K112">IF(ISBLANK(J112), IF(ISBLANK(I112), "N/A", _xlfn.IFS(L112="AS", I112+15, L112="NCR", I112+30, L112="submitted", I112+30, TRUE, "N/A")), _xlfn.IFS(L112="AS", J112+15, L112="NCR", J112+30, L112="submitted", J112+30, TRUE, "N/A"))</f>
        <v>N/A</v>
      </c>
      <c r="L112" s="9"/>
      <c r="M112" s="317"/>
      <c r="N112" s="802"/>
      <c r="O112" s="803"/>
      <c r="P112" s="803"/>
      <c r="Q112" s="804"/>
    </row>
    <row r="113" spans="2:17" s="1" customFormat="1" ht="15" customHeight="1">
      <c r="B113" s="9"/>
      <c r="C113" s="822"/>
      <c r="D113" s="824"/>
      <c r="E113" s="39"/>
      <c r="F113" s="39"/>
      <c r="G113" s="9" t="s">
        <v>337</v>
      </c>
      <c r="H113" s="13" t="s">
        <v>282</v>
      </c>
      <c r="I113" s="18"/>
      <c r="J113" s="18"/>
      <c r="K113" s="74" t="str" cm="1">
        <f t="array" ref="K113">IF(ISBLANK(J113), IF(ISBLANK(I113), "N/A", _xlfn.IFS(L113="AS", I113+15, L113="NCR", I113+30, L113="submitted", I113+30, TRUE, "N/A")), _xlfn.IFS(L113="AS", J113+15, L113="NCR", J113+30, L113="submitted", J113+30, TRUE, "N/A"))</f>
        <v>N/A</v>
      </c>
      <c r="L113" s="9"/>
      <c r="M113" s="317"/>
      <c r="N113" s="802"/>
      <c r="O113" s="803"/>
      <c r="P113" s="803"/>
      <c r="Q113" s="804"/>
    </row>
    <row r="114" spans="2:17" s="1" customFormat="1" ht="67.5">
      <c r="B114" s="9"/>
      <c r="C114" s="822"/>
      <c r="D114" s="824"/>
      <c r="E114" s="39"/>
      <c r="F114" s="39"/>
      <c r="G114" s="9" t="s">
        <v>2089</v>
      </c>
      <c r="H114" s="7" t="s">
        <v>2207</v>
      </c>
      <c r="I114" s="18"/>
      <c r="J114" s="18"/>
      <c r="K114" s="74" t="str" cm="1">
        <f t="array" ref="K114">IF(ISBLANK(J114), IF(ISBLANK(I114), "N/A", _xlfn.IFS(L114="AS", I114+15, L114="NCR", I114+30, L114="submitted", I114+30, TRUE, "N/A")), _xlfn.IFS(L114="AS", J114+15, L114="NCR", J114+30, L114="submitted", J114+30, TRUE, "N/A"))</f>
        <v>N/A</v>
      </c>
      <c r="L114" s="9"/>
      <c r="M114" s="317"/>
      <c r="N114" s="802"/>
      <c r="O114" s="803"/>
      <c r="P114" s="803"/>
      <c r="Q114" s="804"/>
    </row>
    <row r="115" spans="2:17" s="1" customFormat="1" ht="40.5" customHeight="1">
      <c r="B115" s="9"/>
      <c r="C115" s="822"/>
      <c r="D115" s="824"/>
      <c r="E115" s="39"/>
      <c r="F115" s="39"/>
      <c r="G115" s="9" t="s">
        <v>1779</v>
      </c>
      <c r="H115" s="7" t="s">
        <v>2208</v>
      </c>
      <c r="I115" s="18"/>
      <c r="J115" s="18"/>
      <c r="K115" s="74" t="str" cm="1">
        <f t="array" ref="K115">IF(ISBLANK(J115), IF(ISBLANK(I115), "N/A", _xlfn.IFS(L115="AS", I115+15, L115="NCR", I115+30, L115="submitted", I115+30, TRUE, "N/A")), _xlfn.IFS(L115="AS", J115+15, L115="NCR", J115+30, L115="submitted", J115+30, TRUE, "N/A"))</f>
        <v>N/A</v>
      </c>
      <c r="L115" s="9"/>
      <c r="M115" s="317"/>
      <c r="N115" s="802"/>
      <c r="O115" s="803"/>
      <c r="P115" s="803"/>
      <c r="Q115" s="804"/>
    </row>
    <row r="116" spans="2:17" s="1" customFormat="1" ht="15" customHeight="1">
      <c r="B116" s="9"/>
      <c r="C116" s="822"/>
      <c r="D116" s="824"/>
      <c r="E116" s="39"/>
      <c r="F116" s="39"/>
      <c r="G116" s="9" t="s">
        <v>405</v>
      </c>
      <c r="H116" s="13" t="s">
        <v>2127</v>
      </c>
      <c r="I116" s="18"/>
      <c r="J116" s="18"/>
      <c r="K116" s="74" t="str" cm="1">
        <f t="array" ref="K116">IF(ISBLANK(J116), IF(ISBLANK(I116), "N/A", _xlfn.IFS(L116="AS", I116+15, L116="NCR", I116+30, L116="submitted", I116+30, TRUE, "N/A")), _xlfn.IFS(L116="AS", J116+15, L116="NCR", J116+30, L116="submitted", J116+30, TRUE, "N/A"))</f>
        <v>N/A</v>
      </c>
      <c r="L116" s="9"/>
      <c r="M116" s="317"/>
      <c r="N116" s="802"/>
      <c r="O116" s="803"/>
      <c r="P116" s="803"/>
      <c r="Q116" s="804"/>
    </row>
    <row r="117" spans="2:17" s="1" customFormat="1" ht="40.5" customHeight="1">
      <c r="B117" s="9"/>
      <c r="C117" s="822"/>
      <c r="D117" s="824"/>
      <c r="E117" s="39"/>
      <c r="F117" s="39"/>
      <c r="G117" s="9" t="s">
        <v>346</v>
      </c>
      <c r="H117" s="7" t="s">
        <v>2209</v>
      </c>
      <c r="I117" s="18"/>
      <c r="J117" s="18"/>
      <c r="K117" s="74" t="str" cm="1">
        <f t="array" ref="K117">IF(ISBLANK(J117), IF(ISBLANK(I117), "N/A", _xlfn.IFS(L117="AS", I117+15, L117="NCR", I117+30, L117="submitted", I117+30, TRUE, "N/A")), _xlfn.IFS(L117="AS", J117+15, L117="NCR", J117+30, L117="submitted", J117+30, TRUE, "N/A"))</f>
        <v>N/A</v>
      </c>
      <c r="L117" s="9"/>
      <c r="M117" s="317"/>
      <c r="N117" s="802"/>
      <c r="O117" s="803"/>
      <c r="P117" s="803"/>
      <c r="Q117" s="804"/>
    </row>
    <row r="118" spans="2:17" s="1" customFormat="1" ht="27" customHeight="1">
      <c r="B118" s="9"/>
      <c r="C118" s="822"/>
      <c r="D118" s="824"/>
      <c r="E118" s="39"/>
      <c r="F118" s="39"/>
      <c r="G118" s="9" t="s">
        <v>745</v>
      </c>
      <c r="H118" s="7" t="s">
        <v>2210</v>
      </c>
      <c r="I118" s="18"/>
      <c r="J118" s="18"/>
      <c r="K118" s="74" t="str" cm="1">
        <f t="array" ref="K118">IF(ISBLANK(J118), IF(ISBLANK(I118), "N/A", _xlfn.IFS(L118="AS", I118+15, L118="NCR", I118+30, L118="submitted", I118+30, TRUE, "N/A")), _xlfn.IFS(L118="AS", J118+15, L118="NCR", J118+30, L118="submitted", J118+30, TRUE, "N/A"))</f>
        <v>N/A</v>
      </c>
      <c r="L118" s="9"/>
      <c r="M118" s="317"/>
      <c r="N118" s="802"/>
      <c r="O118" s="803"/>
      <c r="P118" s="803"/>
      <c r="Q118" s="804"/>
    </row>
    <row r="119" spans="2:17" s="1" customFormat="1" ht="15" customHeight="1">
      <c r="B119" s="9"/>
      <c r="C119" s="822"/>
      <c r="D119" s="824"/>
      <c r="E119" s="39"/>
      <c r="F119" s="39"/>
      <c r="G119" s="9" t="s">
        <v>408</v>
      </c>
      <c r="H119" s="13" t="s">
        <v>380</v>
      </c>
      <c r="I119" s="18"/>
      <c r="J119" s="18"/>
      <c r="K119" s="74" t="str" cm="1">
        <f t="array" ref="K119">IF(ISBLANK(J119), IF(ISBLANK(I119), "N/A", _xlfn.IFS(L119="AS", I119+15, L119="NCR", I119+30, L119="submitted", I119+30, TRUE, "N/A")), _xlfn.IFS(L119="AS", J119+15, L119="NCR", J119+30, L119="submitted", J119+30, TRUE, "N/A"))</f>
        <v>N/A</v>
      </c>
      <c r="L119" s="9"/>
      <c r="M119" s="317"/>
      <c r="N119" s="802"/>
      <c r="O119" s="803"/>
      <c r="P119" s="803"/>
      <c r="Q119" s="804"/>
    </row>
    <row r="120" spans="2:17" s="1" customFormat="1" ht="15" customHeight="1">
      <c r="B120" s="9"/>
      <c r="C120" s="822"/>
      <c r="D120" s="824"/>
      <c r="E120" s="39"/>
      <c r="F120" s="39"/>
      <c r="G120" s="9" t="s">
        <v>441</v>
      </c>
      <c r="H120" s="13" t="s">
        <v>2211</v>
      </c>
      <c r="I120" s="18"/>
      <c r="J120" s="18"/>
      <c r="K120" s="74" t="str" cm="1">
        <f t="array" ref="K120">IF(ISBLANK(J120), IF(ISBLANK(I120), "N/A", _xlfn.IFS(L120="AS", I120+15, L120="NCR", I120+30, L120="submitted", I120+30, TRUE, "N/A")), _xlfn.IFS(L120="AS", J120+15, L120="NCR", J120+30, L120="submitted", J120+30, TRUE, "N/A"))</f>
        <v>N/A</v>
      </c>
      <c r="L120" s="9"/>
      <c r="M120" s="317"/>
      <c r="N120" s="802"/>
      <c r="O120" s="803"/>
      <c r="P120" s="803"/>
      <c r="Q120" s="804"/>
    </row>
    <row r="121" spans="2:17" s="1" customFormat="1" ht="15" customHeight="1">
      <c r="B121" s="9"/>
      <c r="C121" s="822"/>
      <c r="D121" s="824"/>
      <c r="E121" s="39"/>
      <c r="F121" s="39"/>
      <c r="G121" s="9" t="s">
        <v>443</v>
      </c>
      <c r="H121" s="13" t="s">
        <v>2212</v>
      </c>
      <c r="I121" s="18"/>
      <c r="J121" s="18"/>
      <c r="K121" s="74" t="str" cm="1">
        <f t="array" ref="K121">IF(ISBLANK(J121), IF(ISBLANK(I121), "N/A", _xlfn.IFS(L121="AS", I121+15, L121="NCR", I121+30, L121="submitted", I121+30, TRUE, "N/A")), _xlfn.IFS(L121="AS", J121+15, L121="NCR", J121+30, L121="submitted", J121+30, TRUE, "N/A"))</f>
        <v>N/A</v>
      </c>
      <c r="L121" s="9"/>
      <c r="M121" s="317"/>
      <c r="N121" s="802"/>
      <c r="O121" s="803"/>
      <c r="P121" s="803"/>
      <c r="Q121" s="804"/>
    </row>
    <row r="122" spans="2:17" s="1" customFormat="1" ht="15" customHeight="1">
      <c r="B122" s="9"/>
      <c r="C122" s="807"/>
      <c r="D122" s="809"/>
      <c r="E122" s="46"/>
      <c r="F122" s="46"/>
      <c r="G122" s="9" t="s">
        <v>445</v>
      </c>
      <c r="H122" s="13" t="s">
        <v>2144</v>
      </c>
      <c r="I122" s="18"/>
      <c r="J122" s="18"/>
      <c r="K122" s="74" t="str" cm="1">
        <f t="array" ref="K122">IF(ISBLANK(J122), IF(ISBLANK(I122), "N/A", _xlfn.IFS(L122="AS", I122+15, L122="NCR", I122+30, L122="submitted", I122+30, TRUE, "N/A")), _xlfn.IFS(L122="AS", J122+15, L122="NCR", J122+30, L122="submitted", J122+30, TRUE, "N/A"))</f>
        <v>N/A</v>
      </c>
      <c r="L122" s="9"/>
      <c r="M122" s="317"/>
      <c r="N122" s="802"/>
      <c r="O122" s="803"/>
      <c r="P122" s="803"/>
      <c r="Q122" s="804"/>
    </row>
    <row r="123" spans="2:17" s="5" customFormat="1" ht="27" customHeight="1">
      <c r="B123" s="4"/>
      <c r="C123" s="825" t="s">
        <v>2213</v>
      </c>
      <c r="D123" s="827" t="s">
        <v>2214</v>
      </c>
      <c r="E123" s="34"/>
      <c r="F123" s="34"/>
      <c r="G123" s="4" t="s">
        <v>2030</v>
      </c>
      <c r="H123" s="3" t="s">
        <v>2206</v>
      </c>
      <c r="I123" s="18"/>
      <c r="J123" s="18"/>
      <c r="K123" s="74" t="str" cm="1">
        <f t="array" ref="K123">IF(ISBLANK(J123), IF(ISBLANK(I123), "N/A", _xlfn.IFS(L123="AS", I123+15, L123="NCR", I123+30, L123="submitted", I123+30, TRUE, "N/A")), _xlfn.IFS(L123="AS", J123+15, L123="NCR", J123+30, L123="submitted", J123+30, TRUE, "N/A"))</f>
        <v>N/A</v>
      </c>
      <c r="L123" s="4"/>
      <c r="M123" s="317"/>
      <c r="N123" s="802"/>
      <c r="O123" s="803"/>
      <c r="P123" s="803"/>
      <c r="Q123" s="804"/>
    </row>
    <row r="124" spans="2:17" s="5" customFormat="1" ht="15" customHeight="1">
      <c r="B124" s="4"/>
      <c r="C124" s="829"/>
      <c r="D124" s="830"/>
      <c r="E124" s="35"/>
      <c r="F124" s="35"/>
      <c r="G124" s="4" t="s">
        <v>483</v>
      </c>
      <c r="H124" s="17" t="s">
        <v>235</v>
      </c>
      <c r="I124" s="18"/>
      <c r="J124" s="18"/>
      <c r="K124" s="74" t="str" cm="1">
        <f t="array" ref="K124">IF(ISBLANK(J124), IF(ISBLANK(I124), "N/A", _xlfn.IFS(L124="AS", I124+15, L124="NCR", I124+30, L124="submitted", I124+30, TRUE, "N/A")), _xlfn.IFS(L124="AS", J124+15, L124="NCR", J124+30, L124="submitted", J124+30, TRUE, "N/A"))</f>
        <v>N/A</v>
      </c>
      <c r="L124" s="4"/>
      <c r="M124" s="317"/>
      <c r="N124" s="796" t="s">
        <v>133</v>
      </c>
      <c r="O124" s="797"/>
      <c r="P124" s="797"/>
      <c r="Q124" s="798"/>
    </row>
    <row r="125" spans="2:17" s="5" customFormat="1" ht="15" customHeight="1">
      <c r="B125" s="4"/>
      <c r="C125" s="829"/>
      <c r="D125" s="830"/>
      <c r="E125" s="35"/>
      <c r="F125" s="35"/>
      <c r="G125" s="4" t="s">
        <v>485</v>
      </c>
      <c r="H125" s="17" t="s">
        <v>328</v>
      </c>
      <c r="I125" s="18"/>
      <c r="J125" s="18"/>
      <c r="K125" s="74" t="str" cm="1">
        <f t="array" ref="K125">IF(ISBLANK(J125), IF(ISBLANK(I125), "N/A", _xlfn.IFS(L125="AS", I125+15, L125="NCR", I125+30, L125="submitted", I125+30, TRUE, "N/A")), _xlfn.IFS(L125="AS", J125+15, L125="NCR", J125+30, L125="submitted", J125+30, TRUE, "N/A"))</f>
        <v>N/A</v>
      </c>
      <c r="L125" s="4"/>
      <c r="M125" s="317"/>
      <c r="N125" s="799"/>
      <c r="O125" s="800"/>
      <c r="P125" s="800"/>
      <c r="Q125" s="801"/>
    </row>
    <row r="126" spans="2:17" s="5" customFormat="1" ht="15" customHeight="1">
      <c r="B126" s="4"/>
      <c r="C126" s="829"/>
      <c r="D126" s="830"/>
      <c r="E126" s="35"/>
      <c r="F126" s="35"/>
      <c r="G126" s="4" t="s">
        <v>486</v>
      </c>
      <c r="H126" s="17" t="s">
        <v>353</v>
      </c>
      <c r="I126" s="18"/>
      <c r="J126" s="18"/>
      <c r="K126" s="74" t="str" cm="1">
        <f t="array" ref="K126">IF(ISBLANK(J126), IF(ISBLANK(I126), "N/A", _xlfn.IFS(L126="AS", I126+15, L126="NCR", I126+30, L126="submitted", I126+30, TRUE, "N/A")), _xlfn.IFS(L126="AS", J126+15, L126="NCR", J126+30, L126="submitted", J126+30, TRUE, "N/A"))</f>
        <v>N/A</v>
      </c>
      <c r="L126" s="4"/>
      <c r="M126" s="317"/>
      <c r="N126" s="799"/>
      <c r="O126" s="800"/>
      <c r="P126" s="800"/>
      <c r="Q126" s="801"/>
    </row>
    <row r="127" spans="2:17" s="5" customFormat="1" ht="40.5" customHeight="1">
      <c r="B127" s="4"/>
      <c r="C127" s="829"/>
      <c r="D127" s="830"/>
      <c r="E127" s="35"/>
      <c r="F127" s="35"/>
      <c r="G127" s="4" t="s">
        <v>487</v>
      </c>
      <c r="H127" s="3" t="s">
        <v>2190</v>
      </c>
      <c r="I127" s="18"/>
      <c r="J127" s="18"/>
      <c r="K127" s="74" t="str" cm="1">
        <f t="array" ref="K127">IF(ISBLANK(J127), IF(ISBLANK(I127), "N/A", _xlfn.IFS(L127="AS", I127+15, L127="NCR", I127+30, L127="submitted", I127+30, TRUE, "N/A")), _xlfn.IFS(L127="AS", J127+15, L127="NCR", J127+30, L127="submitted", J127+30, TRUE, "N/A"))</f>
        <v>N/A</v>
      </c>
      <c r="L127" s="4"/>
      <c r="M127" s="317"/>
      <c r="N127" s="799"/>
      <c r="O127" s="800"/>
      <c r="P127" s="800"/>
      <c r="Q127" s="801"/>
    </row>
    <row r="128" spans="2:17" s="5" customFormat="1" ht="15" customHeight="1">
      <c r="B128" s="4"/>
      <c r="C128" s="829"/>
      <c r="D128" s="830"/>
      <c r="E128" s="35"/>
      <c r="F128" s="35"/>
      <c r="G128" s="4" t="s">
        <v>497</v>
      </c>
      <c r="H128" s="17" t="s">
        <v>2127</v>
      </c>
      <c r="I128" s="18"/>
      <c r="J128" s="18"/>
      <c r="K128" s="74" t="str" cm="1">
        <f t="array" ref="K128">IF(ISBLANK(J128), IF(ISBLANK(I128), "N/A", _xlfn.IFS(L128="AS", I128+15, L128="NCR", I128+30, L128="submitted", I128+30, TRUE, "N/A")), _xlfn.IFS(L128="AS", J128+15, L128="NCR", J128+30, L128="submitted", J128+30, TRUE, "N/A"))</f>
        <v>N/A</v>
      </c>
      <c r="L128" s="4"/>
      <c r="M128" s="317"/>
      <c r="N128" s="799"/>
      <c r="O128" s="800"/>
      <c r="P128" s="800"/>
      <c r="Q128" s="801"/>
    </row>
    <row r="129" spans="2:17" s="5" customFormat="1" ht="15" customHeight="1">
      <c r="B129" s="4"/>
      <c r="C129" s="829"/>
      <c r="D129" s="830"/>
      <c r="E129" s="35"/>
      <c r="F129" s="35"/>
      <c r="G129" s="4" t="s">
        <v>1192</v>
      </c>
      <c r="H129" s="17" t="s">
        <v>2215</v>
      </c>
      <c r="I129" s="18"/>
      <c r="J129" s="18"/>
      <c r="K129" s="74" t="str" cm="1">
        <f t="array" ref="K129">IF(ISBLANK(J129), IF(ISBLANK(I129), "N/A", _xlfn.IFS(L129="AS", I129+15, L129="NCR", I129+30, L129="submitted", I129+30, TRUE, "N/A")), _xlfn.IFS(L129="AS", J129+15, L129="NCR", J129+30, L129="submitted", J129+30, TRUE, "N/A"))</f>
        <v>N/A</v>
      </c>
      <c r="L129" s="4"/>
      <c r="M129" s="317"/>
      <c r="N129" s="799"/>
      <c r="O129" s="800"/>
      <c r="P129" s="800"/>
      <c r="Q129" s="801"/>
    </row>
    <row r="130" spans="2:17" s="5" customFormat="1" ht="27" customHeight="1">
      <c r="B130" s="4"/>
      <c r="C130" s="829"/>
      <c r="D130" s="830"/>
      <c r="E130" s="35"/>
      <c r="F130" s="35"/>
      <c r="G130" s="4" t="s">
        <v>1194</v>
      </c>
      <c r="H130" s="3" t="s">
        <v>2191</v>
      </c>
      <c r="I130" s="18"/>
      <c r="J130" s="18"/>
      <c r="K130" s="74" t="str" cm="1">
        <f t="array" ref="K130">IF(ISBLANK(J130), IF(ISBLANK(I130), "N/A", _xlfn.IFS(L130="AS", I130+15, L130="NCR", I130+30, L130="submitted", I130+30, TRUE, "N/A")), _xlfn.IFS(L130="AS", J130+15, L130="NCR", J130+30, L130="submitted", J130+30, TRUE, "N/A"))</f>
        <v>N/A</v>
      </c>
      <c r="L130" s="4"/>
      <c r="M130" s="317"/>
      <c r="N130" s="799"/>
      <c r="O130" s="800"/>
      <c r="P130" s="800"/>
      <c r="Q130" s="801"/>
    </row>
    <row r="131" spans="2:17" s="5" customFormat="1" ht="27" customHeight="1">
      <c r="B131" s="4"/>
      <c r="C131" s="829"/>
      <c r="D131" s="830"/>
      <c r="E131" s="35"/>
      <c r="F131" s="35"/>
      <c r="G131" s="4" t="s">
        <v>2216</v>
      </c>
      <c r="H131" s="3" t="s">
        <v>2217</v>
      </c>
      <c r="I131" s="18"/>
      <c r="J131" s="18"/>
      <c r="K131" s="74" t="str" cm="1">
        <f t="array" ref="K131">IF(ISBLANK(J131), IF(ISBLANK(I131), "N/A", _xlfn.IFS(L131="AS", I131+15, L131="NCR", I131+30, L131="submitted", I131+30, TRUE, "N/A")), _xlfn.IFS(L131="AS", J131+15, L131="NCR", J131+30, L131="submitted", J131+30, TRUE, "N/A"))</f>
        <v>N/A</v>
      </c>
      <c r="L131" s="4"/>
      <c r="M131" s="317"/>
      <c r="N131" s="799"/>
      <c r="O131" s="800"/>
      <c r="P131" s="800"/>
      <c r="Q131" s="801"/>
    </row>
    <row r="132" spans="2:17" s="5" customFormat="1" ht="15" customHeight="1">
      <c r="B132" s="4"/>
      <c r="C132" s="829"/>
      <c r="D132" s="830"/>
      <c r="E132" s="35"/>
      <c r="F132" s="35"/>
      <c r="G132" s="4" t="s">
        <v>2218</v>
      </c>
      <c r="H132" s="17" t="s">
        <v>2219</v>
      </c>
      <c r="I132" s="18"/>
      <c r="J132" s="18"/>
      <c r="K132" s="74" t="str" cm="1">
        <f t="array" ref="K132">IF(ISBLANK(J132), IF(ISBLANK(I132), "N/A", _xlfn.IFS(L132="AS", I132+15, L132="NCR", I132+30, L132="submitted", I132+30, TRUE, "N/A")), _xlfn.IFS(L132="AS", J132+15, L132="NCR", J132+30, L132="submitted", J132+30, TRUE, "N/A"))</f>
        <v>N/A</v>
      </c>
      <c r="L132" s="4"/>
      <c r="M132" s="317"/>
      <c r="N132" s="802" t="s">
        <v>148</v>
      </c>
      <c r="O132" s="803"/>
      <c r="P132" s="803"/>
      <c r="Q132" s="804"/>
    </row>
    <row r="133" spans="2:17" s="5" customFormat="1" ht="27" customHeight="1">
      <c r="B133" s="4"/>
      <c r="C133" s="829"/>
      <c r="D133" s="830"/>
      <c r="E133" s="35"/>
      <c r="F133" s="35"/>
      <c r="G133" s="4" t="s">
        <v>2220</v>
      </c>
      <c r="H133" s="3" t="s">
        <v>2221</v>
      </c>
      <c r="I133" s="18"/>
      <c r="J133" s="18"/>
      <c r="K133" s="74" t="str" cm="1">
        <f t="array" ref="K133">IF(ISBLANK(J133), IF(ISBLANK(I133), "N/A", _xlfn.IFS(L133="AS", I133+15, L133="NCR", I133+30, L133="submitted", I133+30, TRUE, "N/A")), _xlfn.IFS(L133="AS", J133+15, L133="NCR", J133+30, L133="submitted", J133+30, TRUE, "N/A"))</f>
        <v>N/A</v>
      </c>
      <c r="L133" s="4"/>
      <c r="M133" s="317"/>
      <c r="N133" s="802"/>
      <c r="O133" s="803"/>
      <c r="P133" s="803"/>
      <c r="Q133" s="804"/>
    </row>
    <row r="134" spans="2:17" s="5" customFormat="1" ht="15" customHeight="1">
      <c r="B134" s="4"/>
      <c r="C134" s="829"/>
      <c r="D134" s="830"/>
      <c r="E134" s="35"/>
      <c r="F134" s="35"/>
      <c r="G134" s="4" t="s">
        <v>499</v>
      </c>
      <c r="H134" s="17" t="s">
        <v>2222</v>
      </c>
      <c r="I134" s="18"/>
      <c r="J134" s="18"/>
      <c r="K134" s="74" t="str" cm="1">
        <f t="array" ref="K134">IF(ISBLANK(J134), IF(ISBLANK(I134), "N/A", _xlfn.IFS(L134="AS", I134+15, L134="NCR", I134+30, L134="submitted", I134+30, TRUE, "N/A")), _xlfn.IFS(L134="AS", J134+15, L134="NCR", J134+30, L134="submitted", J134+30, TRUE, "N/A"))</f>
        <v>N/A</v>
      </c>
      <c r="L134" s="4"/>
      <c r="M134" s="317"/>
      <c r="N134" s="802"/>
      <c r="O134" s="803"/>
      <c r="P134" s="803"/>
      <c r="Q134" s="804"/>
    </row>
    <row r="135" spans="2:17" s="5" customFormat="1" ht="15" customHeight="1">
      <c r="B135" s="4"/>
      <c r="C135" s="829"/>
      <c r="D135" s="830"/>
      <c r="E135" s="35"/>
      <c r="F135" s="35"/>
      <c r="G135" s="4" t="s">
        <v>1197</v>
      </c>
      <c r="H135" s="17" t="s">
        <v>2143</v>
      </c>
      <c r="I135" s="18"/>
      <c r="J135" s="18"/>
      <c r="K135" s="74" t="str" cm="1">
        <f t="array" ref="K135">IF(ISBLANK(J135), IF(ISBLANK(I135), "N/A", _xlfn.IFS(L135="AS", I135+15, L135="NCR", I135+30, L135="submitted", I135+30, TRUE, "N/A")), _xlfn.IFS(L135="AS", J135+15, L135="NCR", J135+30, L135="submitted", J135+30, TRUE, "N/A"))</f>
        <v>N/A</v>
      </c>
      <c r="L135" s="4"/>
      <c r="M135" s="317"/>
      <c r="N135" s="802"/>
      <c r="O135" s="803"/>
      <c r="P135" s="803"/>
      <c r="Q135" s="804"/>
    </row>
    <row r="136" spans="2:17" s="5" customFormat="1" ht="15" customHeight="1">
      <c r="B136" s="4"/>
      <c r="C136" s="826"/>
      <c r="D136" s="828"/>
      <c r="E136" s="36"/>
      <c r="F136" s="36"/>
      <c r="G136" s="4" t="s">
        <v>2223</v>
      </c>
      <c r="H136" s="17" t="s">
        <v>380</v>
      </c>
      <c r="I136" s="18"/>
      <c r="J136" s="18"/>
      <c r="K136" s="74" t="str" cm="1">
        <f t="array" ref="K136">IF(ISBLANK(J136), IF(ISBLANK(I136), "N/A", _xlfn.IFS(L136="AS", I136+15, L136="NCR", I136+30, L136="submitted", I136+30, TRUE, "N/A")), _xlfn.IFS(L136="AS", J136+15, L136="NCR", J136+30, L136="submitted", J136+30, TRUE, "N/A"))</f>
        <v>N/A</v>
      </c>
      <c r="L136" s="4"/>
      <c r="M136" s="317"/>
      <c r="N136" s="802"/>
      <c r="O136" s="803"/>
      <c r="P136" s="803"/>
      <c r="Q136" s="804"/>
    </row>
    <row r="137" spans="2:17" s="1" customFormat="1" ht="15" customHeight="1">
      <c r="B137" s="9"/>
      <c r="C137" s="821" t="s">
        <v>2224</v>
      </c>
      <c r="D137" s="823" t="s">
        <v>2225</v>
      </c>
      <c r="E137" s="37"/>
      <c r="F137" s="37"/>
      <c r="G137" s="9" t="s">
        <v>336</v>
      </c>
      <c r="H137" s="7" t="s">
        <v>235</v>
      </c>
      <c r="I137" s="18"/>
      <c r="J137" s="18"/>
      <c r="K137" s="74" t="str" cm="1">
        <f t="array" ref="K137">IF(ISBLANK(J137), IF(ISBLANK(I137), "N/A", _xlfn.IFS(L137="AS", I137+15, L137="NCR", I137+30, L137="submitted", I137+30, TRUE, "N/A")), _xlfn.IFS(L137="AS", J137+15, L137="NCR", J137+30, L137="submitted", J137+30, TRUE, "N/A"))</f>
        <v>N/A</v>
      </c>
      <c r="L137" s="9"/>
      <c r="M137" s="318"/>
      <c r="N137" s="802"/>
      <c r="O137" s="803"/>
      <c r="P137" s="803"/>
      <c r="Q137" s="804"/>
    </row>
    <row r="138" spans="2:17" s="1" customFormat="1" ht="53.25">
      <c r="B138" s="9"/>
      <c r="C138" s="822"/>
      <c r="D138" s="824"/>
      <c r="E138" s="39"/>
      <c r="F138" s="39"/>
      <c r="G138" s="9" t="s">
        <v>1142</v>
      </c>
      <c r="H138" s="7" t="s">
        <v>2226</v>
      </c>
      <c r="I138" s="18"/>
      <c r="J138" s="18"/>
      <c r="K138" s="74" t="str" cm="1">
        <f t="array" ref="K138">IF(ISBLANK(J138), IF(ISBLANK(I138), "N/A", _xlfn.IFS(L138="AS", I138+15, L138="NCR", I138+30, L138="submitted", I138+30, TRUE, "N/A")), _xlfn.IFS(L138="AS", J138+15, L138="NCR", J138+30, L138="submitted", J138+30, TRUE, "N/A"))</f>
        <v>N/A</v>
      </c>
      <c r="L138" s="9"/>
      <c r="M138" s="317"/>
      <c r="N138" s="802"/>
      <c r="O138" s="803"/>
      <c r="P138" s="803"/>
      <c r="Q138" s="804"/>
    </row>
    <row r="139" spans="2:17" s="1" customFormat="1" ht="40.5" customHeight="1">
      <c r="B139" s="9"/>
      <c r="C139" s="822"/>
      <c r="D139" s="824"/>
      <c r="E139" s="39"/>
      <c r="F139" s="39"/>
      <c r="G139" s="9" t="s">
        <v>2227</v>
      </c>
      <c r="H139" s="7" t="s">
        <v>2208</v>
      </c>
      <c r="I139" s="18"/>
      <c r="J139" s="18"/>
      <c r="K139" s="74" t="str" cm="1">
        <f t="array" ref="K139">IF(ISBLANK(J139), IF(ISBLANK(I139), "N/A", _xlfn.IFS(L139="AS", I139+15, L139="NCR", I139+30, L139="submitted", I139+30, TRUE, "N/A")), _xlfn.IFS(L139="AS", J139+15, L139="NCR", J139+30, L139="submitted", J139+30, TRUE, "N/A"))</f>
        <v>N/A</v>
      </c>
      <c r="L139" s="9"/>
      <c r="M139" s="317"/>
      <c r="N139" s="802"/>
      <c r="O139" s="803"/>
      <c r="P139" s="803"/>
      <c r="Q139" s="804"/>
    </row>
    <row r="140" spans="2:17" s="1" customFormat="1" ht="15" customHeight="1">
      <c r="B140" s="9"/>
      <c r="C140" s="822"/>
      <c r="D140" s="824"/>
      <c r="E140" s="39"/>
      <c r="F140" s="39"/>
      <c r="G140" s="9" t="s">
        <v>404</v>
      </c>
      <c r="H140" s="13" t="s">
        <v>2127</v>
      </c>
      <c r="I140" s="18"/>
      <c r="J140" s="18"/>
      <c r="K140" s="74" t="str" cm="1">
        <f t="array" ref="K140">IF(ISBLANK(J140), IF(ISBLANK(I140), "N/A", _xlfn.IFS(L140="AS", I140+15, L140="NCR", I140+30, L140="submitted", I140+30, TRUE, "N/A")), _xlfn.IFS(L140="AS", J140+15, L140="NCR", J140+30, L140="submitted", J140+30, TRUE, "N/A"))</f>
        <v>N/A</v>
      </c>
      <c r="L140" s="9"/>
      <c r="M140" s="317"/>
      <c r="N140" s="802"/>
      <c r="O140" s="803"/>
      <c r="P140" s="803"/>
      <c r="Q140" s="804"/>
    </row>
    <row r="141" spans="2:17" s="1" customFormat="1" ht="27" customHeight="1">
      <c r="B141" s="9"/>
      <c r="C141" s="807"/>
      <c r="D141" s="809"/>
      <c r="E141" s="46"/>
      <c r="F141" s="46"/>
      <c r="G141" s="9" t="s">
        <v>405</v>
      </c>
      <c r="H141" s="7" t="s">
        <v>2228</v>
      </c>
      <c r="I141" s="18"/>
      <c r="J141" s="18"/>
      <c r="K141" s="74" t="str" cm="1">
        <f t="array" ref="K141">IF(ISBLANK(J141), IF(ISBLANK(I141), "N/A", _xlfn.IFS(L141="AS", I141+15, L141="NCR", I141+30, L141="submitted", I141+30, TRUE, "N/A")), _xlfn.IFS(L141="AS", J141+15, L141="NCR", J141+30, L141="submitted", J141+30, TRUE, "N/A"))</f>
        <v>N/A</v>
      </c>
      <c r="L141" s="9"/>
      <c r="M141" s="317"/>
      <c r="N141" s="802"/>
      <c r="O141" s="803"/>
      <c r="P141" s="803"/>
      <c r="Q141" s="804"/>
    </row>
    <row r="142" spans="2:17" s="1" customFormat="1" ht="15" customHeight="1">
      <c r="B142" s="9"/>
      <c r="C142" s="821" t="s">
        <v>2229</v>
      </c>
      <c r="D142" s="823" t="s">
        <v>2230</v>
      </c>
      <c r="E142" s="37"/>
      <c r="F142" s="37"/>
      <c r="G142" s="9" t="s">
        <v>336</v>
      </c>
      <c r="H142" s="13" t="s">
        <v>235</v>
      </c>
      <c r="I142" s="18"/>
      <c r="J142" s="18"/>
      <c r="K142" s="74" t="str" cm="1">
        <f t="array" ref="K142">IF(ISBLANK(J142), IF(ISBLANK(I142), "N/A", _xlfn.IFS(L142="AS", I142+15, L142="NCR", I142+30, L142="submitted", I142+30, TRUE, "N/A")), _xlfn.IFS(L142="AS", J142+15, L142="NCR", J142+30, L142="submitted", J142+30, TRUE, "N/A"))</f>
        <v>N/A</v>
      </c>
      <c r="L142" s="9"/>
      <c r="M142" s="317"/>
      <c r="N142" s="802"/>
      <c r="O142" s="803"/>
      <c r="P142" s="803"/>
      <c r="Q142" s="804"/>
    </row>
    <row r="143" spans="2:17" s="1" customFormat="1" ht="15" customHeight="1">
      <c r="B143" s="9"/>
      <c r="C143" s="822"/>
      <c r="D143" s="824"/>
      <c r="E143" s="39"/>
      <c r="F143" s="39"/>
      <c r="G143" s="9" t="s">
        <v>337</v>
      </c>
      <c r="H143" s="13" t="s">
        <v>282</v>
      </c>
      <c r="I143" s="18"/>
      <c r="J143" s="18"/>
      <c r="K143" s="74" t="str" cm="1">
        <f t="array" ref="K143">IF(ISBLANK(J143), IF(ISBLANK(I143), "N/A", _xlfn.IFS(L143="AS", I143+15, L143="NCR", I143+30, L143="submitted", I143+30, TRUE, "N/A")), _xlfn.IFS(L143="AS", J143+15, L143="NCR", J143+30, L143="submitted", J143+30, TRUE, "N/A"))</f>
        <v>N/A</v>
      </c>
      <c r="L143" s="9"/>
      <c r="M143" s="317"/>
      <c r="N143" s="802"/>
      <c r="O143" s="803"/>
      <c r="P143" s="803"/>
      <c r="Q143" s="804"/>
    </row>
    <row r="144" spans="2:17" s="1" customFormat="1" ht="40.5" customHeight="1">
      <c r="B144" s="9"/>
      <c r="C144" s="822"/>
      <c r="D144" s="824"/>
      <c r="E144" s="39"/>
      <c r="F144" s="39"/>
      <c r="G144" s="9" t="s">
        <v>338</v>
      </c>
      <c r="H144" s="7" t="s">
        <v>2231</v>
      </c>
      <c r="I144" s="18"/>
      <c r="J144" s="18"/>
      <c r="K144" s="74" t="str" cm="1">
        <f t="array" ref="K144">IF(ISBLANK(J144), IF(ISBLANK(I144), "N/A", _xlfn.IFS(L144="AS", I144+15, L144="NCR", I144+30, L144="submitted", I144+30, TRUE, "N/A")), _xlfn.IFS(L144="AS", J144+15, L144="NCR", J144+30, L144="submitted", J144+30, TRUE, "N/A"))</f>
        <v>N/A</v>
      </c>
      <c r="L144" s="9"/>
      <c r="M144" s="317"/>
      <c r="N144" s="802"/>
      <c r="O144" s="803"/>
      <c r="P144" s="803"/>
      <c r="Q144" s="804"/>
    </row>
    <row r="145" spans="2:17" s="1" customFormat="1" ht="15" customHeight="1">
      <c r="B145" s="9"/>
      <c r="C145" s="822"/>
      <c r="D145" s="824"/>
      <c r="E145" s="39"/>
      <c r="F145" s="39"/>
      <c r="G145" s="9" t="s">
        <v>405</v>
      </c>
      <c r="H145" s="13" t="s">
        <v>2127</v>
      </c>
      <c r="I145" s="18"/>
      <c r="J145" s="18"/>
      <c r="K145" s="74" t="str" cm="1">
        <f t="array" ref="K145">IF(ISBLANK(J145), IF(ISBLANK(I145), "N/A", _xlfn.IFS(L145="AS", I145+15, L145="NCR", I145+30, L145="submitted", I145+30, TRUE, "N/A")), _xlfn.IFS(L145="AS", J145+15, L145="NCR", J145+30, L145="submitted", J145+30, TRUE, "N/A"))</f>
        <v>N/A</v>
      </c>
      <c r="L145" s="9"/>
      <c r="M145" s="317"/>
      <c r="N145" s="802"/>
      <c r="O145" s="803"/>
      <c r="P145" s="803"/>
      <c r="Q145" s="804"/>
    </row>
    <row r="146" spans="2:17" s="1" customFormat="1" ht="15" customHeight="1">
      <c r="B146" s="9"/>
      <c r="C146" s="822"/>
      <c r="D146" s="824"/>
      <c r="E146" s="39"/>
      <c r="F146" s="39"/>
      <c r="G146" s="9" t="s">
        <v>2195</v>
      </c>
      <c r="H146" s="13" t="s">
        <v>2232</v>
      </c>
      <c r="I146" s="18"/>
      <c r="J146" s="18"/>
      <c r="K146" s="74" t="str" cm="1">
        <f t="array" ref="K146">IF(ISBLANK(J146), IF(ISBLANK(I146), "N/A", _xlfn.IFS(L146="AS", I146+15, L146="NCR", I146+30, L146="submitted", I146+30, TRUE, "N/A")), _xlfn.IFS(L146="AS", J146+15, L146="NCR", J146+30, L146="submitted", J146+30, TRUE, "N/A"))</f>
        <v>N/A</v>
      </c>
      <c r="L146" s="9"/>
      <c r="M146" s="317"/>
      <c r="N146" s="802"/>
      <c r="O146" s="803"/>
      <c r="P146" s="803"/>
      <c r="Q146" s="804"/>
    </row>
    <row r="147" spans="2:17" s="1" customFormat="1" ht="15" customHeight="1">
      <c r="B147" s="9"/>
      <c r="C147" s="822"/>
      <c r="D147" s="824"/>
      <c r="E147" s="39"/>
      <c r="F147" s="39"/>
      <c r="G147" s="9" t="s">
        <v>2196</v>
      </c>
      <c r="H147" s="13" t="s">
        <v>2180</v>
      </c>
      <c r="I147" s="18"/>
      <c r="J147" s="18"/>
      <c r="K147" s="74" t="str" cm="1">
        <f t="array" ref="K147">IF(ISBLANK(J147), IF(ISBLANK(I147), "N/A", _xlfn.IFS(L147="AS", I147+15, L147="NCR", I147+30, L147="submitted", I147+30, TRUE, "N/A")), _xlfn.IFS(L147="AS", J147+15, L147="NCR", J147+30, L147="submitted", J147+30, TRUE, "N/A"))</f>
        <v>N/A</v>
      </c>
      <c r="L147" s="9"/>
      <c r="M147" s="317"/>
      <c r="N147" s="802"/>
      <c r="O147" s="803"/>
      <c r="P147" s="803"/>
      <c r="Q147" s="804"/>
    </row>
    <row r="148" spans="2:17" s="1" customFormat="1" ht="15" customHeight="1">
      <c r="B148" s="9"/>
      <c r="C148" s="822"/>
      <c r="D148" s="824"/>
      <c r="E148" s="39"/>
      <c r="F148" s="39"/>
      <c r="G148" s="9" t="s">
        <v>2197</v>
      </c>
      <c r="H148" s="13" t="s">
        <v>426</v>
      </c>
      <c r="I148" s="18"/>
      <c r="J148" s="18"/>
      <c r="K148" s="74" t="str" cm="1">
        <f t="array" ref="K148">IF(ISBLANK(J148), IF(ISBLANK(I148), "N/A", _xlfn.IFS(L148="AS", I148+15, L148="NCR", I148+30, L148="submitted", I148+30, TRUE, "N/A")), _xlfn.IFS(L148="AS", J148+15, L148="NCR", J148+30, L148="submitted", J148+30, TRUE, "N/A"))</f>
        <v>N/A</v>
      </c>
      <c r="L148" s="9"/>
      <c r="M148" s="317"/>
      <c r="N148" s="802"/>
      <c r="O148" s="803"/>
      <c r="P148" s="803"/>
      <c r="Q148" s="804"/>
    </row>
    <row r="149" spans="2:17" s="1" customFormat="1" ht="15" customHeight="1">
      <c r="B149" s="9"/>
      <c r="C149" s="822"/>
      <c r="D149" s="824"/>
      <c r="E149" s="39"/>
      <c r="F149" s="39"/>
      <c r="G149" s="9" t="s">
        <v>2198</v>
      </c>
      <c r="H149" s="13" t="s">
        <v>2199</v>
      </c>
      <c r="I149" s="18"/>
      <c r="J149" s="18"/>
      <c r="K149" s="74" t="str" cm="1">
        <f t="array" ref="K149">IF(ISBLANK(J149), IF(ISBLANK(I149), "N/A", _xlfn.IFS(L149="AS", I149+15, L149="NCR", I149+30, L149="submitted", I149+30, TRUE, "N/A")), _xlfn.IFS(L149="AS", J149+15, L149="NCR", J149+30, L149="submitted", J149+30, TRUE, "N/A"))</f>
        <v>N/A</v>
      </c>
      <c r="L149" s="9"/>
      <c r="M149" s="317"/>
      <c r="N149" s="802"/>
      <c r="O149" s="803"/>
      <c r="P149" s="803"/>
      <c r="Q149" s="804"/>
    </row>
    <row r="150" spans="2:17" s="1" customFormat="1" ht="15" customHeight="1">
      <c r="B150" s="9"/>
      <c r="C150" s="822"/>
      <c r="D150" s="824"/>
      <c r="E150" s="39"/>
      <c r="F150" s="39"/>
      <c r="G150" s="9" t="s">
        <v>2200</v>
      </c>
      <c r="H150" s="13" t="s">
        <v>2233</v>
      </c>
      <c r="I150" s="18"/>
      <c r="J150" s="18"/>
      <c r="K150" s="74" t="str" cm="1">
        <f t="array" ref="K150">IF(ISBLANK(J150), IF(ISBLANK(I150), "N/A", _xlfn.IFS(L150="AS", I150+15, L150="NCR", I150+30, L150="submitted", I150+30, TRUE, "N/A")), _xlfn.IFS(L150="AS", J150+15, L150="NCR", J150+30, L150="submitted", J150+30, TRUE, "N/A"))</f>
        <v>N/A</v>
      </c>
      <c r="L150" s="9"/>
      <c r="M150" s="317"/>
      <c r="N150" s="802"/>
      <c r="O150" s="803"/>
      <c r="P150" s="803"/>
      <c r="Q150" s="804"/>
    </row>
    <row r="151" spans="2:17" s="1" customFormat="1" ht="15" customHeight="1">
      <c r="B151" s="9"/>
      <c r="C151" s="822"/>
      <c r="D151" s="824"/>
      <c r="E151" s="39"/>
      <c r="F151" s="39"/>
      <c r="G151" s="9" t="s">
        <v>2201</v>
      </c>
      <c r="H151" s="13" t="s">
        <v>2202</v>
      </c>
      <c r="I151" s="18"/>
      <c r="J151" s="18"/>
      <c r="K151" s="74" t="str" cm="1">
        <f t="array" ref="K151">IF(ISBLANK(J151), IF(ISBLANK(I151), "N/A", _xlfn.IFS(L151="AS", I151+15, L151="NCR", I151+30, L151="submitted", I151+30, TRUE, "N/A")), _xlfn.IFS(L151="AS", J151+15, L151="NCR", J151+30, L151="submitted", J151+30, TRUE, "N/A"))</f>
        <v>N/A</v>
      </c>
      <c r="L151" s="9"/>
      <c r="M151" s="317"/>
      <c r="N151" s="802"/>
      <c r="O151" s="803"/>
      <c r="P151" s="803"/>
      <c r="Q151" s="804"/>
    </row>
    <row r="152" spans="2:17" s="1" customFormat="1" ht="15" customHeight="1">
      <c r="B152" s="9"/>
      <c r="C152" s="822"/>
      <c r="D152" s="824"/>
      <c r="E152" s="39"/>
      <c r="F152" s="39"/>
      <c r="G152" s="9" t="s">
        <v>408</v>
      </c>
      <c r="H152" s="13" t="s">
        <v>353</v>
      </c>
      <c r="I152" s="18"/>
      <c r="J152" s="18"/>
      <c r="K152" s="74" t="str" cm="1">
        <f t="array" ref="K152">IF(ISBLANK(J152), IF(ISBLANK(I152), "N/A", _xlfn.IFS(L152="AS", I152+15, L152="NCR", I152+30, L152="submitted", I152+30, TRUE, "N/A")), _xlfn.IFS(L152="AS", J152+15, L152="NCR", J152+30, L152="submitted", J152+30, TRUE, "N/A"))</f>
        <v>N/A</v>
      </c>
      <c r="L152" s="9"/>
      <c r="M152" s="317"/>
      <c r="N152" s="802"/>
      <c r="O152" s="803"/>
      <c r="P152" s="803"/>
      <c r="Q152" s="804"/>
    </row>
    <row r="153" spans="2:17" s="1" customFormat="1" ht="15" customHeight="1">
      <c r="B153" s="9"/>
      <c r="C153" s="822"/>
      <c r="D153" s="824"/>
      <c r="E153" s="39"/>
      <c r="F153" s="39"/>
      <c r="G153" s="9" t="s">
        <v>441</v>
      </c>
      <c r="H153" s="13" t="s">
        <v>2211</v>
      </c>
      <c r="I153" s="18"/>
      <c r="J153" s="18"/>
      <c r="K153" s="74" t="str" cm="1">
        <f t="array" ref="K153">IF(ISBLANK(J153), IF(ISBLANK(I153), "N/A", _xlfn.IFS(L153="AS", I153+15, L153="NCR", I153+30, L153="submitted", I153+30, TRUE, "N/A")), _xlfn.IFS(L153="AS", J153+15, L153="NCR", J153+30, L153="submitted", J153+30, TRUE, "N/A"))</f>
        <v>N/A</v>
      </c>
      <c r="L153" s="9"/>
      <c r="M153" s="317"/>
      <c r="N153" s="802"/>
      <c r="O153" s="803"/>
      <c r="P153" s="803"/>
      <c r="Q153" s="804"/>
    </row>
    <row r="154" spans="2:17" s="1" customFormat="1" ht="15" customHeight="1">
      <c r="B154" s="9"/>
      <c r="C154" s="822"/>
      <c r="D154" s="824"/>
      <c r="E154" s="39"/>
      <c r="F154" s="39"/>
      <c r="G154" s="9" t="s">
        <v>443</v>
      </c>
      <c r="H154" s="13" t="s">
        <v>2125</v>
      </c>
      <c r="I154" s="18"/>
      <c r="J154" s="18"/>
      <c r="K154" s="74" t="str" cm="1">
        <f t="array" ref="K154">IF(ISBLANK(J154), IF(ISBLANK(I154), "N/A", _xlfn.IFS(L154="AS", I154+15, L154="NCR", I154+30, L154="submitted", I154+30, TRUE, "N/A")), _xlfn.IFS(L154="AS", J154+15, L154="NCR", J154+30, L154="submitted", J154+30, TRUE, "N/A"))</f>
        <v>N/A</v>
      </c>
      <c r="L154" s="9"/>
      <c r="M154" s="317"/>
      <c r="N154" s="802"/>
      <c r="O154" s="803"/>
      <c r="P154" s="803"/>
      <c r="Q154" s="804"/>
    </row>
    <row r="155" spans="2:17" s="1" customFormat="1" ht="15" customHeight="1">
      <c r="B155" s="9"/>
      <c r="C155" s="807"/>
      <c r="D155" s="809"/>
      <c r="E155" s="46"/>
      <c r="F155" s="46"/>
      <c r="G155" s="9" t="s">
        <v>445</v>
      </c>
      <c r="H155" s="13" t="s">
        <v>380</v>
      </c>
      <c r="I155" s="18"/>
      <c r="J155" s="18"/>
      <c r="K155" s="74" t="str" cm="1">
        <f t="array" ref="K155">IF(ISBLANK(J155), IF(ISBLANK(I155), "N/A", _xlfn.IFS(L155="AS", I155+15, L155="NCR", I155+30, L155="submitted", I155+30, TRUE, "N/A")), _xlfn.IFS(L155="AS", J155+15, L155="NCR", J155+30, L155="submitted", J155+30, TRUE, "N/A"))</f>
        <v>N/A</v>
      </c>
      <c r="L155" s="9"/>
      <c r="M155" s="317"/>
      <c r="N155" s="802"/>
      <c r="O155" s="803"/>
      <c r="P155" s="803"/>
      <c r="Q155" s="804"/>
    </row>
    <row r="156" spans="2:17" s="5" customFormat="1" ht="15" customHeight="1">
      <c r="B156" s="4"/>
      <c r="C156" s="825" t="s">
        <v>2234</v>
      </c>
      <c r="D156" s="827" t="s">
        <v>2235</v>
      </c>
      <c r="E156" s="34"/>
      <c r="F156" s="34"/>
      <c r="G156" s="4" t="s">
        <v>281</v>
      </c>
      <c r="H156" s="17" t="s">
        <v>235</v>
      </c>
      <c r="I156" s="18"/>
      <c r="J156" s="18"/>
      <c r="K156" s="74" t="str" cm="1">
        <f t="array" ref="K156">IF(ISBLANK(J156), IF(ISBLANK(I156), "N/A", _xlfn.IFS(L156="AS", I156+15, L156="NCR", I156+30, L156="submitted", I156+30, TRUE, "N/A")), _xlfn.IFS(L156="AS", J156+15, L156="NCR", J156+30, L156="submitted", J156+30, TRUE, "N/A"))</f>
        <v>N/A</v>
      </c>
      <c r="L156" s="4"/>
      <c r="M156" s="317"/>
      <c r="N156" s="802"/>
      <c r="O156" s="803"/>
      <c r="P156" s="803"/>
      <c r="Q156" s="804"/>
    </row>
    <row r="157" spans="2:17" s="5" customFormat="1" ht="15" customHeight="1">
      <c r="B157" s="4"/>
      <c r="C157" s="829"/>
      <c r="D157" s="830"/>
      <c r="E157" s="35"/>
      <c r="F157" s="35"/>
      <c r="G157" s="4" t="s">
        <v>269</v>
      </c>
      <c r="H157" s="17" t="s">
        <v>282</v>
      </c>
      <c r="I157" s="18"/>
      <c r="J157" s="18"/>
      <c r="K157" s="74" t="str" cm="1">
        <f t="array" ref="K157">IF(ISBLANK(J157), IF(ISBLANK(I157), "N/A", _xlfn.IFS(L157="AS", I157+15, L157="NCR", I157+30, L157="submitted", I157+30, TRUE, "N/A")), _xlfn.IFS(L157="AS", J157+15, L157="NCR", J157+30, L157="submitted", J157+30, TRUE, "N/A"))</f>
        <v>N/A</v>
      </c>
      <c r="L157" s="4"/>
      <c r="M157" s="317"/>
      <c r="N157" s="802"/>
      <c r="O157" s="803"/>
      <c r="P157" s="803"/>
      <c r="Q157" s="804"/>
    </row>
    <row r="158" spans="2:17" s="5" customFormat="1" ht="40.5" customHeight="1">
      <c r="B158" s="4"/>
      <c r="C158" s="829"/>
      <c r="D158" s="830"/>
      <c r="E158" s="35"/>
      <c r="F158" s="35"/>
      <c r="G158" s="4" t="s">
        <v>372</v>
      </c>
      <c r="H158" s="3" t="s">
        <v>2209</v>
      </c>
      <c r="I158" s="18"/>
      <c r="J158" s="18"/>
      <c r="K158" s="74" t="str" cm="1">
        <f t="array" ref="K158">IF(ISBLANK(J158), IF(ISBLANK(I158), "N/A", _xlfn.IFS(L158="AS", I158+15, L158="NCR", I158+30, L158="submitted", I158+30, TRUE, "N/A")), _xlfn.IFS(L158="AS", J158+15, L158="NCR", J158+30, L158="submitted", J158+30, TRUE, "N/A"))</f>
        <v>N/A</v>
      </c>
      <c r="L158" s="4"/>
      <c r="M158" s="317"/>
      <c r="N158" s="802"/>
      <c r="O158" s="803"/>
      <c r="P158" s="803"/>
      <c r="Q158" s="804"/>
    </row>
    <row r="159" spans="2:17" s="5" customFormat="1" ht="27" customHeight="1">
      <c r="B159" s="4"/>
      <c r="C159" s="829"/>
      <c r="D159" s="830"/>
      <c r="E159" s="35"/>
      <c r="F159" s="35"/>
      <c r="G159" s="4" t="s">
        <v>374</v>
      </c>
      <c r="H159" s="3" t="s">
        <v>2210</v>
      </c>
      <c r="I159" s="18"/>
      <c r="J159" s="18"/>
      <c r="K159" s="74" t="str" cm="1">
        <f t="array" ref="K159">IF(ISBLANK(J159), IF(ISBLANK(I159), "N/A", _xlfn.IFS(L159="AS", I159+15, L159="NCR", I159+30, L159="submitted", I159+30, TRUE, "N/A")), _xlfn.IFS(L159="AS", J159+15, L159="NCR", J159+30, L159="submitted", J159+30, TRUE, "N/A"))</f>
        <v>N/A</v>
      </c>
      <c r="L159" s="4"/>
      <c r="M159" s="317"/>
      <c r="N159" s="802"/>
      <c r="O159" s="803"/>
      <c r="P159" s="803"/>
      <c r="Q159" s="804"/>
    </row>
    <row r="160" spans="2:17" s="5" customFormat="1" ht="15" customHeight="1">
      <c r="B160" s="4"/>
      <c r="C160" s="826"/>
      <c r="D160" s="828"/>
      <c r="E160" s="36"/>
      <c r="F160" s="36"/>
      <c r="G160" s="4" t="s">
        <v>352</v>
      </c>
      <c r="H160" s="17" t="s">
        <v>380</v>
      </c>
      <c r="I160" s="18"/>
      <c r="J160" s="18"/>
      <c r="K160" s="74" t="str" cm="1">
        <f t="array" ref="K160">IF(ISBLANK(J160), IF(ISBLANK(I160), "N/A", _xlfn.IFS(L160="AS", I160+15, L160="NCR", I160+30, L160="submitted", I160+30, TRUE, "N/A")), _xlfn.IFS(L160="AS", J160+15, L160="NCR", J160+30, L160="submitted", J160+30, TRUE, "N/A"))</f>
        <v>N/A</v>
      </c>
      <c r="L160" s="4"/>
      <c r="M160" s="317"/>
      <c r="N160" s="802"/>
      <c r="O160" s="803"/>
      <c r="P160" s="803"/>
      <c r="Q160" s="804"/>
    </row>
    <row r="161" spans="2:17" s="1" customFormat="1" ht="15" customHeight="1">
      <c r="B161" s="9"/>
      <c r="C161" s="821" t="s">
        <v>2236</v>
      </c>
      <c r="D161" s="823" t="s">
        <v>2237</v>
      </c>
      <c r="E161" s="37"/>
      <c r="F161" s="37"/>
      <c r="G161" s="9" t="s">
        <v>281</v>
      </c>
      <c r="H161" s="13" t="s">
        <v>235</v>
      </c>
      <c r="I161" s="18"/>
      <c r="J161" s="18"/>
      <c r="K161" s="74" t="str" cm="1">
        <f t="array" ref="K161">IF(ISBLANK(J161), IF(ISBLANK(I161), "N/A", _xlfn.IFS(L161="AS", I161+15, L161="NCR", I161+30, L161="submitted", I161+30, TRUE, "N/A")), _xlfn.IFS(L161="AS", J161+15, L161="NCR", J161+30, L161="submitted", J161+30, TRUE, "N/A"))</f>
        <v>N/A</v>
      </c>
      <c r="L161" s="9"/>
      <c r="M161" s="317"/>
      <c r="N161" s="802"/>
      <c r="O161" s="803"/>
      <c r="P161" s="803"/>
      <c r="Q161" s="804"/>
    </row>
    <row r="162" spans="2:17" s="1" customFormat="1" ht="40.5">
      <c r="B162" s="9"/>
      <c r="C162" s="822"/>
      <c r="D162" s="824"/>
      <c r="E162" s="39"/>
      <c r="F162" s="39"/>
      <c r="G162" s="9" t="s">
        <v>329</v>
      </c>
      <c r="H162" s="7" t="s">
        <v>2209</v>
      </c>
      <c r="I162" s="18"/>
      <c r="J162" s="18"/>
      <c r="K162" s="74" t="str" cm="1">
        <f t="array" ref="K162">IF(ISBLANK(J162), IF(ISBLANK(I162), "N/A", _xlfn.IFS(L162="AS", I162+15, L162="NCR", I162+30, L162="submitted", I162+30, TRUE, "N/A")), _xlfn.IFS(L162="AS", J162+15, L162="NCR", J162+30, L162="submitted", J162+30, TRUE, "N/A"))</f>
        <v>N/A</v>
      </c>
      <c r="L162" s="9"/>
      <c r="M162" s="317"/>
      <c r="N162" s="802"/>
      <c r="O162" s="803"/>
      <c r="P162" s="803"/>
      <c r="Q162" s="804"/>
    </row>
    <row r="163" spans="2:17" s="1" customFormat="1" ht="27" customHeight="1">
      <c r="B163" s="9"/>
      <c r="C163" s="822"/>
      <c r="D163" s="824"/>
      <c r="E163" s="39"/>
      <c r="F163" s="39"/>
      <c r="G163" s="9" t="s">
        <v>601</v>
      </c>
      <c r="H163" s="7" t="s">
        <v>2210</v>
      </c>
      <c r="I163" s="18"/>
      <c r="J163" s="18"/>
      <c r="K163" s="74" t="str" cm="1">
        <f t="array" ref="K163">IF(ISBLANK(J163), IF(ISBLANK(I163), "N/A", _xlfn.IFS(L163="AS", I163+15, L163="NCR", I163+30, L163="submitted", I163+30, TRUE, "N/A")), _xlfn.IFS(L163="AS", J163+15, L163="NCR", J163+30, L163="submitted", J163+30, TRUE, "N/A"))</f>
        <v>N/A</v>
      </c>
      <c r="L163" s="9"/>
      <c r="M163" s="317"/>
      <c r="N163" s="802"/>
      <c r="O163" s="803"/>
      <c r="P163" s="803"/>
      <c r="Q163" s="804"/>
    </row>
    <row r="164" spans="2:17" s="1" customFormat="1" ht="15" customHeight="1">
      <c r="B164" s="9"/>
      <c r="C164" s="822"/>
      <c r="D164" s="824"/>
      <c r="E164" s="39"/>
      <c r="F164" s="39"/>
      <c r="G164" s="9" t="s">
        <v>259</v>
      </c>
      <c r="H164" s="13" t="s">
        <v>380</v>
      </c>
      <c r="I164" s="18"/>
      <c r="J164" s="18"/>
      <c r="K164" s="74" t="str" cm="1">
        <f t="array" ref="K164">IF(ISBLANK(J164), IF(ISBLANK(I164), "N/A", _xlfn.IFS(L164="AS", I164+15, L164="NCR", I164+30, L164="submitted", I164+30, TRUE, "N/A")), _xlfn.IFS(L164="AS", J164+15, L164="NCR", J164+30, L164="submitted", J164+30, TRUE, "N/A"))</f>
        <v>N/A</v>
      </c>
      <c r="L164" s="9"/>
      <c r="M164" s="317"/>
      <c r="N164" s="802"/>
      <c r="O164" s="803"/>
      <c r="P164" s="803"/>
      <c r="Q164" s="804"/>
    </row>
    <row r="165" spans="2:17" s="1" customFormat="1" ht="15" customHeight="1">
      <c r="B165" s="9"/>
      <c r="C165" s="807"/>
      <c r="D165" s="809"/>
      <c r="E165" s="46"/>
      <c r="F165" s="46"/>
      <c r="G165" s="9" t="s">
        <v>352</v>
      </c>
      <c r="H165" s="13" t="s">
        <v>2238</v>
      </c>
      <c r="I165" s="18"/>
      <c r="J165" s="18"/>
      <c r="K165" s="74" t="str" cm="1">
        <f t="array" ref="K165">IF(ISBLANK(J165), IF(ISBLANK(I165), "N/A", _xlfn.IFS(L165="AS", I165+15, L165="NCR", I165+30, L165="submitted", I165+30, TRUE, "N/A")), _xlfn.IFS(L165="AS", J165+15, L165="NCR", J165+30, L165="submitted", J165+30, TRUE, "N/A"))</f>
        <v>N/A</v>
      </c>
      <c r="L165" s="9"/>
      <c r="M165" s="317"/>
      <c r="N165" s="802"/>
      <c r="O165" s="803"/>
      <c r="P165" s="803"/>
      <c r="Q165" s="804"/>
    </row>
    <row r="166" spans="2:17" s="5" customFormat="1" ht="15" customHeight="1">
      <c r="B166" s="4" t="s">
        <v>2239</v>
      </c>
      <c r="C166" s="54" t="s">
        <v>2240</v>
      </c>
      <c r="D166" s="55" t="s">
        <v>2241</v>
      </c>
      <c r="E166" s="34" t="s">
        <v>2242</v>
      </c>
      <c r="F166" s="34" t="s">
        <v>2243</v>
      </c>
      <c r="G166" s="4" t="s">
        <v>281</v>
      </c>
      <c r="H166" s="17" t="s">
        <v>2244</v>
      </c>
      <c r="I166" s="18">
        <v>45931</v>
      </c>
      <c r="J166" s="18"/>
      <c r="K166" s="74" cm="1">
        <f t="array" ref="K166">IF(ISBLANK(J166), IF(ISBLANK(I166), "N/A", _xlfn.IFS(L166="AS", I166+15, L166="NCR", I166+30, L166="submitted", I166+30, TRUE, "N/A")), _xlfn.IFS(L166="AS", J166+15, L166="NCR", J166+30, L166="submitted", J166+30, TRUE, "N/A"))</f>
        <v>45961</v>
      </c>
      <c r="L166" s="4" t="s">
        <v>581</v>
      </c>
      <c r="M166" s="317"/>
      <c r="N166" s="802"/>
      <c r="O166" s="803"/>
      <c r="P166" s="803"/>
      <c r="Q166" s="804"/>
    </row>
    <row r="167" spans="2:17" s="5" customFormat="1" ht="15" customHeight="1">
      <c r="B167" s="4"/>
      <c r="C167" s="54" t="s">
        <v>2240</v>
      </c>
      <c r="D167" s="55" t="s">
        <v>2241</v>
      </c>
      <c r="E167" s="35"/>
      <c r="F167" s="35"/>
      <c r="G167" s="4" t="s">
        <v>269</v>
      </c>
      <c r="H167" s="17" t="s">
        <v>2245</v>
      </c>
      <c r="I167" s="18"/>
      <c r="J167" s="18"/>
      <c r="K167" s="74" t="str" cm="1">
        <f t="array" ref="K167">IF(ISBLANK(J167), IF(ISBLANK(I167), "N/A", _xlfn.IFS(L167="AS", I167+15, L167="NCR", I167+30, L167="submitted", I167+30, TRUE, "N/A")), _xlfn.IFS(L167="AS", J167+15, L167="NCR", J167+30, L167="submitted", J167+30, TRUE, "N/A"))</f>
        <v>N/A</v>
      </c>
      <c r="L167" s="4"/>
      <c r="M167" s="317"/>
      <c r="N167" s="802"/>
      <c r="O167" s="803"/>
      <c r="P167" s="803"/>
      <c r="Q167" s="804"/>
    </row>
    <row r="168" spans="2:17" s="138" customFormat="1" ht="27" customHeight="1">
      <c r="B168" s="151" t="s">
        <v>2246</v>
      </c>
      <c r="C168" s="169" t="s">
        <v>2240</v>
      </c>
      <c r="D168" s="260" t="s">
        <v>2241</v>
      </c>
      <c r="E168" s="346" t="s">
        <v>2247</v>
      </c>
      <c r="F168" s="346"/>
      <c r="G168" s="151">
        <v>1.05</v>
      </c>
      <c r="H168" s="153" t="s">
        <v>2248</v>
      </c>
      <c r="I168" s="261">
        <v>45894</v>
      </c>
      <c r="J168" s="261">
        <v>45911</v>
      </c>
      <c r="K168" s="74" t="str" cm="1">
        <f t="array" ref="K168">IF(ISBLANK(J168), IF(ISBLANK(I168), "N/A", _xlfn.IFS(L168="AS", I168+15, L168="NCR", I168+30, L168="submitted", I168+30, TRUE, "N/A")), _xlfn.IFS(L168="AS", J168+15, L168="NCR", J168+30, L168="submitted", J168+30, TRUE, "N/A"))</f>
        <v>N/A</v>
      </c>
      <c r="L168" s="151" t="s">
        <v>151</v>
      </c>
      <c r="M168" s="317"/>
      <c r="N168" s="802"/>
      <c r="O168" s="803"/>
      <c r="P168" s="803"/>
      <c r="Q168" s="804"/>
    </row>
    <row r="169" spans="2:17" s="5" customFormat="1" ht="15" customHeight="1">
      <c r="B169" s="4"/>
      <c r="C169" s="54" t="s">
        <v>2240</v>
      </c>
      <c r="D169" s="55" t="s">
        <v>2241</v>
      </c>
      <c r="E169" s="36"/>
      <c r="F169" s="36"/>
      <c r="G169" s="4" t="s">
        <v>352</v>
      </c>
      <c r="H169" s="17" t="s">
        <v>2249</v>
      </c>
      <c r="I169" s="18"/>
      <c r="J169" s="18"/>
      <c r="K169" s="74" t="str" cm="1">
        <f t="array" ref="K169">IF(ISBLANK(J169), IF(ISBLANK(I169), "N/A", _xlfn.IFS(L169="AS", I169+15, L169="NCR", I169+30, L169="submitted", I169+30, TRUE, "N/A")), _xlfn.IFS(L169="AS", J169+15, L169="NCR", J169+30, L169="submitted", J169+30, TRUE, "N/A"))</f>
        <v>N/A</v>
      </c>
      <c r="L169" s="4"/>
      <c r="M169" s="317"/>
      <c r="N169" s="802"/>
      <c r="O169" s="803"/>
      <c r="P169" s="803"/>
      <c r="Q169" s="804"/>
    </row>
    <row r="170" spans="2:17" s="1" customFormat="1" ht="15" customHeight="1">
      <c r="B170" s="9"/>
      <c r="C170" s="821" t="s">
        <v>2250</v>
      </c>
      <c r="D170" s="823" t="s">
        <v>2251</v>
      </c>
      <c r="E170" s="37"/>
      <c r="F170" s="37"/>
      <c r="G170" s="9" t="s">
        <v>281</v>
      </c>
      <c r="H170" s="13" t="s">
        <v>235</v>
      </c>
      <c r="I170" s="18"/>
      <c r="J170" s="18"/>
      <c r="K170" s="74" t="str" cm="1">
        <f t="array" ref="K170">IF(ISBLANK(J170), IF(ISBLANK(I170), "N/A", _xlfn.IFS(L170="AS", I170+15, L170="NCR", I170+30, L170="submitted", I170+30, TRUE, "N/A")), _xlfn.IFS(L170="AS", J170+15, L170="NCR", J170+30, L170="submitted", J170+30, TRUE, "N/A"))</f>
        <v>N/A</v>
      </c>
      <c r="L170" s="9"/>
      <c r="M170" s="317"/>
      <c r="N170" s="802"/>
      <c r="O170" s="803"/>
      <c r="P170" s="803"/>
      <c r="Q170" s="804"/>
    </row>
    <row r="171" spans="2:17" s="1" customFormat="1" ht="15" customHeight="1">
      <c r="B171" s="9"/>
      <c r="C171" s="822"/>
      <c r="D171" s="824"/>
      <c r="E171" s="39"/>
      <c r="F171" s="39"/>
      <c r="G171" s="9" t="s">
        <v>269</v>
      </c>
      <c r="H171" s="13" t="s">
        <v>282</v>
      </c>
      <c r="I171" s="18"/>
      <c r="J171" s="18"/>
      <c r="K171" s="74" t="str" cm="1">
        <f t="array" ref="K171">IF(ISBLANK(J171), IF(ISBLANK(I171), "N/A", _xlfn.IFS(L171="AS", I171+15, L171="NCR", I171+30, L171="submitted", I171+30, TRUE, "N/A")), _xlfn.IFS(L171="AS", J171+15, L171="NCR", J171+30, L171="submitted", J171+30, TRUE, "N/A"))</f>
        <v>N/A</v>
      </c>
      <c r="L171" s="9"/>
      <c r="M171" s="317"/>
      <c r="N171" s="802"/>
      <c r="O171" s="803"/>
      <c r="P171" s="803"/>
      <c r="Q171" s="804"/>
    </row>
    <row r="172" spans="2:17" s="1" customFormat="1" ht="15" customHeight="1">
      <c r="B172" s="9"/>
      <c r="C172" s="807"/>
      <c r="D172" s="809"/>
      <c r="E172" s="46"/>
      <c r="F172" s="46"/>
      <c r="G172" s="9" t="s">
        <v>259</v>
      </c>
      <c r="H172" s="13" t="s">
        <v>2127</v>
      </c>
      <c r="I172" s="18"/>
      <c r="J172" s="18"/>
      <c r="K172" s="74" t="str" cm="1">
        <f t="array" ref="K172">IF(ISBLANK(J172), IF(ISBLANK(I172), "N/A", _xlfn.IFS(L172="AS", I172+15, L172="NCR", I172+30, L172="submitted", I172+30, TRUE, "N/A")), _xlfn.IFS(L172="AS", J172+15, L172="NCR", J172+30, L172="submitted", J172+30, TRUE, "N/A"))</f>
        <v>N/A</v>
      </c>
      <c r="L172" s="9"/>
      <c r="M172" s="317"/>
      <c r="N172" s="802"/>
      <c r="O172" s="803"/>
      <c r="P172" s="803"/>
      <c r="Q172" s="804"/>
    </row>
    <row r="173" spans="2:17" s="5" customFormat="1" ht="15" customHeight="1">
      <c r="B173" s="4"/>
      <c r="C173" s="825" t="s">
        <v>2252</v>
      </c>
      <c r="D173" s="827" t="s">
        <v>2253</v>
      </c>
      <c r="E173" s="34"/>
      <c r="F173" s="34"/>
      <c r="G173" s="4" t="s">
        <v>336</v>
      </c>
      <c r="H173" s="17" t="s">
        <v>235</v>
      </c>
      <c r="I173" s="18"/>
      <c r="J173" s="18"/>
      <c r="K173" s="74" t="str" cm="1">
        <f t="array" ref="K173">IF(ISBLANK(J173), IF(ISBLANK(I173), "N/A", _xlfn.IFS(L173="AS", I173+15, L173="NCR", I173+30, L173="submitted", I173+30, TRUE, "N/A")), _xlfn.IFS(L173="AS", J173+15, L173="NCR", J173+30, L173="submitted", J173+30, TRUE, "N/A"))</f>
        <v>N/A</v>
      </c>
      <c r="L173" s="4"/>
      <c r="M173" s="317"/>
      <c r="N173" s="802"/>
      <c r="O173" s="803"/>
      <c r="P173" s="803"/>
      <c r="Q173" s="804"/>
    </row>
    <row r="174" spans="2:17" s="5" customFormat="1" ht="27" customHeight="1">
      <c r="B174" s="4"/>
      <c r="C174" s="829"/>
      <c r="D174" s="830"/>
      <c r="E174" s="35"/>
      <c r="F174" s="35"/>
      <c r="G174" s="4" t="s">
        <v>240</v>
      </c>
      <c r="H174" s="3" t="s">
        <v>2210</v>
      </c>
      <c r="I174" s="18"/>
      <c r="J174" s="18"/>
      <c r="K174" s="74" t="str" cm="1">
        <f t="array" ref="K174">IF(ISBLANK(J174), IF(ISBLANK(I174), "N/A", _xlfn.IFS(L174="AS", I174+15, L174="NCR", I174+30, L174="submitted", I174+30, TRUE, "N/A")), _xlfn.IFS(L174="AS", J174+15, L174="NCR", J174+30, L174="submitted", J174+30, TRUE, "N/A"))</f>
        <v>N/A</v>
      </c>
      <c r="L174" s="4"/>
      <c r="M174" s="317"/>
      <c r="N174" s="802"/>
      <c r="O174" s="803"/>
      <c r="P174" s="803"/>
      <c r="Q174" s="804"/>
    </row>
    <row r="175" spans="2:17" s="5" customFormat="1" ht="67.5">
      <c r="B175" s="4"/>
      <c r="C175" s="829"/>
      <c r="D175" s="830"/>
      <c r="E175" s="35"/>
      <c r="F175" s="35"/>
      <c r="G175" s="4" t="s">
        <v>2089</v>
      </c>
      <c r="H175" s="3" t="s">
        <v>2207</v>
      </c>
      <c r="I175" s="18"/>
      <c r="J175" s="18"/>
      <c r="K175" s="74" t="str" cm="1">
        <f t="array" ref="K175">IF(ISBLANK(J175), IF(ISBLANK(I175), "N/A", _xlfn.IFS(L175="AS", I175+15, L175="NCR", I175+30, L175="submitted", I175+30, TRUE, "N/A")), _xlfn.IFS(L175="AS", J175+15, L175="NCR", J175+30, L175="submitted", J175+30, TRUE, "N/A"))</f>
        <v>N/A</v>
      </c>
      <c r="L175" s="4"/>
      <c r="M175" s="317"/>
      <c r="N175" s="802"/>
      <c r="O175" s="803"/>
      <c r="P175" s="803"/>
      <c r="Q175" s="804"/>
    </row>
    <row r="176" spans="2:17" s="5" customFormat="1" ht="40.5" customHeight="1">
      <c r="B176" s="4"/>
      <c r="C176" s="826"/>
      <c r="D176" s="828"/>
      <c r="E176" s="36"/>
      <c r="F176" s="36"/>
      <c r="G176" s="4" t="s">
        <v>1779</v>
      </c>
      <c r="H176" s="3" t="s">
        <v>2208</v>
      </c>
      <c r="I176" s="18"/>
      <c r="J176" s="18"/>
      <c r="K176" s="74" t="str" cm="1">
        <f t="array" ref="K176">IF(ISBLANK(J176), IF(ISBLANK(I176), "N/A", _xlfn.IFS(L176="AS", I176+15, L176="NCR", I176+30, L176="submitted", I176+30, TRUE, "N/A")), _xlfn.IFS(L176="AS", J176+15, L176="NCR", J176+30, L176="submitted", J176+30, TRUE, "N/A"))</f>
        <v>N/A</v>
      </c>
      <c r="L176" s="4"/>
      <c r="M176" s="317"/>
      <c r="N176" s="802"/>
      <c r="O176" s="803"/>
      <c r="P176" s="803"/>
      <c r="Q176" s="804"/>
    </row>
    <row r="177" spans="2:17" s="1" customFormat="1" ht="15" customHeight="1">
      <c r="B177" s="9"/>
      <c r="C177" s="821" t="s">
        <v>2254</v>
      </c>
      <c r="D177" s="823" t="s">
        <v>2255</v>
      </c>
      <c r="E177" s="37"/>
      <c r="F177" s="37"/>
      <c r="G177" s="9" t="s">
        <v>281</v>
      </c>
      <c r="H177" s="13" t="s">
        <v>235</v>
      </c>
      <c r="I177" s="18"/>
      <c r="J177" s="18"/>
      <c r="K177" s="74" t="str" cm="1">
        <f t="array" ref="K177">IF(ISBLANK(J177), IF(ISBLANK(I177), "N/A", _xlfn.IFS(L177="AS", I177+15, L177="NCR", I177+30, L177="submitted", I177+30, TRUE, "N/A")), _xlfn.IFS(L177="AS", J177+15, L177="NCR", J177+30, L177="submitted", J177+30, TRUE, "N/A"))</f>
        <v>N/A</v>
      </c>
      <c r="L177" s="9"/>
      <c r="M177" s="317"/>
      <c r="N177" s="802"/>
      <c r="O177" s="803"/>
      <c r="P177" s="803"/>
      <c r="Q177" s="804"/>
    </row>
    <row r="178" spans="2:17" s="1" customFormat="1" ht="15" customHeight="1">
      <c r="B178" s="9"/>
      <c r="C178" s="807"/>
      <c r="D178" s="809"/>
      <c r="E178" s="46"/>
      <c r="F178" s="46"/>
      <c r="G178" s="9" t="s">
        <v>329</v>
      </c>
      <c r="H178" s="13" t="s">
        <v>2222</v>
      </c>
      <c r="I178" s="18"/>
      <c r="J178" s="18"/>
      <c r="K178" s="74" t="str" cm="1">
        <f t="array" ref="K178">IF(ISBLANK(J178), IF(ISBLANK(I178), "N/A", _xlfn.IFS(L178="AS", I178+15, L178="NCR", I178+30, L178="submitted", I178+30, TRUE, "N/A")), _xlfn.IFS(L178="AS", J178+15, L178="NCR", J178+30, L178="submitted", J178+30, TRUE, "N/A"))</f>
        <v>N/A</v>
      </c>
      <c r="L178" s="9"/>
      <c r="M178" s="317"/>
      <c r="N178" s="802"/>
      <c r="O178" s="803"/>
      <c r="P178" s="803"/>
      <c r="Q178" s="804"/>
    </row>
    <row r="179" spans="2:17" s="5" customFormat="1" ht="15" customHeight="1">
      <c r="B179" s="4"/>
      <c r="C179" s="825" t="s">
        <v>2256</v>
      </c>
      <c r="D179" s="827" t="s">
        <v>2257</v>
      </c>
      <c r="E179" s="34"/>
      <c r="F179" s="34"/>
      <c r="G179" s="4" t="s">
        <v>229</v>
      </c>
      <c r="H179" s="17" t="s">
        <v>2258</v>
      </c>
      <c r="I179" s="18"/>
      <c r="J179" s="18"/>
      <c r="K179" s="74" t="str" cm="1">
        <f t="array" ref="K179">IF(ISBLANK(J179), IF(ISBLANK(I179), "N/A", _xlfn.IFS(L179="AS", I179+15, L179="NCR", I179+30, L179="submitted", I179+30, TRUE, "N/A")), _xlfn.IFS(L179="AS", J179+15, L179="NCR", J179+30, L179="submitted", J179+30, TRUE, "N/A"))</f>
        <v>N/A</v>
      </c>
      <c r="L179" s="4"/>
      <c r="M179" s="317"/>
      <c r="N179" s="802"/>
      <c r="O179" s="803"/>
      <c r="P179" s="803"/>
      <c r="Q179" s="804"/>
    </row>
    <row r="180" spans="2:17" s="5" customFormat="1" ht="15" customHeight="1">
      <c r="B180" s="4"/>
      <c r="C180" s="829"/>
      <c r="D180" s="830"/>
      <c r="E180" s="35"/>
      <c r="F180" s="35"/>
      <c r="G180" s="4" t="s">
        <v>336</v>
      </c>
      <c r="H180" s="17" t="s">
        <v>235</v>
      </c>
      <c r="I180" s="18"/>
      <c r="J180" s="18"/>
      <c r="K180" s="74" t="str" cm="1">
        <f t="array" ref="K180">IF(ISBLANK(J180), IF(ISBLANK(I180), "N/A", _xlfn.IFS(L180="AS", I180+15, L180="NCR", I180+30, L180="submitted", I180+30, TRUE, "N/A")), _xlfn.IFS(L180="AS", J180+15, L180="NCR", J180+30, L180="submitted", J180+30, TRUE, "N/A"))</f>
        <v>N/A</v>
      </c>
      <c r="L180" s="4"/>
      <c r="M180" s="317"/>
      <c r="N180" s="802"/>
      <c r="O180" s="803"/>
      <c r="P180" s="803"/>
      <c r="Q180" s="804"/>
    </row>
    <row r="181" spans="2:17" s="5" customFormat="1" ht="15" customHeight="1">
      <c r="B181" s="4"/>
      <c r="C181" s="829"/>
      <c r="D181" s="830"/>
      <c r="E181" s="35"/>
      <c r="F181" s="35"/>
      <c r="G181" s="4" t="s">
        <v>337</v>
      </c>
      <c r="H181" s="17" t="s">
        <v>282</v>
      </c>
      <c r="I181" s="18"/>
      <c r="J181" s="18"/>
      <c r="K181" s="74" t="str" cm="1">
        <f t="array" ref="K181">IF(ISBLANK(J181), IF(ISBLANK(I181), "N/A", _xlfn.IFS(L181="AS", I181+15, L181="NCR", I181+30, L181="submitted", I181+30, TRUE, "N/A")), _xlfn.IFS(L181="AS", J181+15, L181="NCR", J181+30, L181="submitted", J181+30, TRUE, "N/A"))</f>
        <v>N/A</v>
      </c>
      <c r="L181" s="4"/>
      <c r="M181" s="317"/>
      <c r="N181" s="802"/>
      <c r="O181" s="803"/>
      <c r="P181" s="803"/>
      <c r="Q181" s="804"/>
    </row>
    <row r="182" spans="2:17" s="5" customFormat="1" ht="67.5">
      <c r="B182" s="4"/>
      <c r="C182" s="829"/>
      <c r="D182" s="830"/>
      <c r="E182" s="35"/>
      <c r="F182" s="35"/>
      <c r="G182" s="4" t="s">
        <v>2089</v>
      </c>
      <c r="H182" s="3" t="s">
        <v>2207</v>
      </c>
      <c r="I182" s="18"/>
      <c r="J182" s="18"/>
      <c r="K182" s="74" t="str" cm="1">
        <f t="array" ref="K182">IF(ISBLANK(J182), IF(ISBLANK(I182), "N/A", _xlfn.IFS(L182="AS", I182+15, L182="NCR", I182+30, L182="submitted", I182+30, TRUE, "N/A")), _xlfn.IFS(L182="AS", J182+15, L182="NCR", J182+30, L182="submitted", J182+30, TRUE, "N/A"))</f>
        <v>N/A</v>
      </c>
      <c r="L182" s="4"/>
      <c r="M182" s="317"/>
      <c r="N182" s="802"/>
      <c r="O182" s="803"/>
      <c r="P182" s="803"/>
      <c r="Q182" s="804"/>
    </row>
    <row r="183" spans="2:17" s="5" customFormat="1" ht="40.5" customHeight="1">
      <c r="B183" s="4"/>
      <c r="C183" s="829"/>
      <c r="D183" s="830"/>
      <c r="E183" s="35"/>
      <c r="F183" s="35"/>
      <c r="G183" s="4" t="s">
        <v>1779</v>
      </c>
      <c r="H183" s="3" t="s">
        <v>2208</v>
      </c>
      <c r="I183" s="18"/>
      <c r="J183" s="18"/>
      <c r="K183" s="74" t="str" cm="1">
        <f t="array" ref="K183">IF(ISBLANK(J183), IF(ISBLANK(I183), "N/A", _xlfn.IFS(L183="AS", I183+15, L183="NCR", I183+30, L183="submitted", I183+30, TRUE, "N/A")), _xlfn.IFS(L183="AS", J183+15, L183="NCR", J183+30, L183="submitted", J183+30, TRUE, "N/A"))</f>
        <v>N/A</v>
      </c>
      <c r="L183" s="4"/>
      <c r="M183" s="317"/>
      <c r="N183" s="802"/>
      <c r="O183" s="803"/>
      <c r="P183" s="803"/>
      <c r="Q183" s="804"/>
    </row>
    <row r="184" spans="2:17" s="5" customFormat="1" ht="15" customHeight="1">
      <c r="B184" s="4"/>
      <c r="C184" s="826"/>
      <c r="D184" s="828"/>
      <c r="E184" s="36"/>
      <c r="F184" s="36"/>
      <c r="G184" s="4" t="s">
        <v>405</v>
      </c>
      <c r="H184" s="3" t="s">
        <v>380</v>
      </c>
      <c r="I184" s="18"/>
      <c r="J184" s="18"/>
      <c r="K184" s="74" t="str" cm="1">
        <f t="array" ref="K184">IF(ISBLANK(J184), IF(ISBLANK(I184), "N/A", _xlfn.IFS(L184="AS", I184+15, L184="NCR", I184+30, L184="submitted", I184+30, TRUE, "N/A")), _xlfn.IFS(L184="AS", J184+15, L184="NCR", J184+30, L184="submitted", J184+30, TRUE, "N/A"))</f>
        <v>N/A</v>
      </c>
      <c r="L184" s="4"/>
      <c r="M184" s="317"/>
      <c r="N184" s="802"/>
      <c r="O184" s="803"/>
      <c r="P184" s="803"/>
      <c r="Q184" s="804"/>
    </row>
    <row r="185" spans="2:17" s="1" customFormat="1" ht="15" customHeight="1">
      <c r="B185" s="9"/>
      <c r="C185" s="821" t="s">
        <v>2259</v>
      </c>
      <c r="D185" s="823" t="s">
        <v>2260</v>
      </c>
      <c r="E185" s="37"/>
      <c r="F185" s="37"/>
      <c r="G185" s="9" t="s">
        <v>336</v>
      </c>
      <c r="H185" s="13" t="s">
        <v>235</v>
      </c>
      <c r="I185" s="18"/>
      <c r="J185" s="18"/>
      <c r="K185" s="74" t="str" cm="1">
        <f t="array" ref="K185">IF(ISBLANK(J185), IF(ISBLANK(I185), "N/A", _xlfn.IFS(L185="AS", I185+15, L185="NCR", I185+30, L185="submitted", I185+30, TRUE, "N/A")), _xlfn.IFS(L185="AS", J185+15, L185="NCR", J185+30, L185="submitted", J185+30, TRUE, "N/A"))</f>
        <v>N/A</v>
      </c>
      <c r="L185" s="9"/>
      <c r="M185" s="317"/>
      <c r="N185" s="802"/>
      <c r="O185" s="803"/>
      <c r="P185" s="803"/>
      <c r="Q185" s="804"/>
    </row>
    <row r="186" spans="2:17" s="1" customFormat="1" ht="15" customHeight="1">
      <c r="B186" s="9"/>
      <c r="C186" s="822"/>
      <c r="D186" s="824"/>
      <c r="E186" s="39"/>
      <c r="F186" s="39"/>
      <c r="G186" s="9" t="s">
        <v>337</v>
      </c>
      <c r="H186" s="13" t="s">
        <v>328</v>
      </c>
      <c r="I186" s="18"/>
      <c r="J186" s="18"/>
      <c r="K186" s="74" t="str" cm="1">
        <f t="array" ref="K186">IF(ISBLANK(J186), IF(ISBLANK(I186), "N/A", _xlfn.IFS(L186="AS", I186+15, L186="NCR", I186+30, L186="submitted", I186+30, TRUE, "N/A")), _xlfn.IFS(L186="AS", J186+15, L186="NCR", J186+30, L186="submitted", J186+30, TRUE, "N/A"))</f>
        <v>N/A</v>
      </c>
      <c r="L186" s="9"/>
      <c r="M186" s="317"/>
      <c r="N186" s="802"/>
      <c r="O186" s="803"/>
      <c r="P186" s="803"/>
      <c r="Q186" s="804"/>
    </row>
    <row r="187" spans="2:17" s="1" customFormat="1" ht="40.5" customHeight="1">
      <c r="B187" s="9"/>
      <c r="C187" s="822"/>
      <c r="D187" s="824"/>
      <c r="E187" s="39"/>
      <c r="F187" s="39"/>
      <c r="G187" s="9" t="s">
        <v>338</v>
      </c>
      <c r="H187" s="7" t="s">
        <v>2190</v>
      </c>
      <c r="I187" s="18"/>
      <c r="J187" s="18"/>
      <c r="K187" s="74" t="str" cm="1">
        <f t="array" ref="K187">IF(ISBLANK(J187), IF(ISBLANK(I187), "N/A", _xlfn.IFS(L187="AS", I187+15, L187="NCR", I187+30, L187="submitted", I187+30, TRUE, "N/A")), _xlfn.IFS(L187="AS", J187+15, L187="NCR", J187+30, L187="submitted", J187+30, TRUE, "N/A"))</f>
        <v>N/A</v>
      </c>
      <c r="L187" s="9"/>
      <c r="M187" s="317"/>
      <c r="N187" s="802"/>
      <c r="O187" s="803"/>
      <c r="P187" s="803"/>
      <c r="Q187" s="804"/>
    </row>
    <row r="188" spans="2:17" s="1" customFormat="1" ht="15" customHeight="1">
      <c r="B188" s="9"/>
      <c r="C188" s="822"/>
      <c r="D188" s="824"/>
      <c r="E188" s="39"/>
      <c r="F188" s="39"/>
      <c r="G188" s="9" t="s">
        <v>405</v>
      </c>
      <c r="H188" s="13" t="s">
        <v>2127</v>
      </c>
      <c r="I188" s="18"/>
      <c r="J188" s="18"/>
      <c r="K188" s="74" t="str" cm="1">
        <f t="array" ref="K188">IF(ISBLANK(J188), IF(ISBLANK(I188), "N/A", _xlfn.IFS(L188="AS", I188+15, L188="NCR", I188+30, L188="submitted", I188+30, TRUE, "N/A")), _xlfn.IFS(L188="AS", J188+15, L188="NCR", J188+30, L188="submitted", J188+30, TRUE, "N/A"))</f>
        <v>N/A</v>
      </c>
      <c r="L188" s="9"/>
      <c r="M188" s="317"/>
      <c r="N188" s="802"/>
      <c r="O188" s="803"/>
      <c r="P188" s="803"/>
      <c r="Q188" s="804"/>
    </row>
    <row r="189" spans="2:17" s="1" customFormat="1" ht="15" customHeight="1">
      <c r="B189" s="9"/>
      <c r="C189" s="822"/>
      <c r="D189" s="824"/>
      <c r="E189" s="39"/>
      <c r="F189" s="39"/>
      <c r="G189" s="9" t="s">
        <v>2195</v>
      </c>
      <c r="H189" s="13" t="s">
        <v>422</v>
      </c>
      <c r="I189" s="18"/>
      <c r="J189" s="18"/>
      <c r="K189" s="74" t="str" cm="1">
        <f t="array" ref="K189">IF(ISBLANK(J189), IF(ISBLANK(I189), "N/A", _xlfn.IFS(L189="AS", I189+15, L189="NCR", I189+30, L189="submitted", I189+30, TRUE, "N/A")), _xlfn.IFS(L189="AS", J189+15, L189="NCR", J189+30, L189="submitted", J189+30, TRUE, "N/A"))</f>
        <v>N/A</v>
      </c>
      <c r="L189" s="9"/>
      <c r="M189" s="317"/>
      <c r="N189" s="802"/>
      <c r="O189" s="803"/>
      <c r="P189" s="803"/>
      <c r="Q189" s="804"/>
    </row>
    <row r="190" spans="2:17" s="1" customFormat="1" ht="15" customHeight="1">
      <c r="B190" s="9"/>
      <c r="C190" s="822"/>
      <c r="D190" s="824"/>
      <c r="E190" s="39"/>
      <c r="F190" s="39"/>
      <c r="G190" s="9" t="s">
        <v>2196</v>
      </c>
      <c r="H190" s="13" t="s">
        <v>424</v>
      </c>
      <c r="I190" s="18"/>
      <c r="J190" s="18"/>
      <c r="K190" s="74" t="str" cm="1">
        <f t="array" ref="K190">IF(ISBLANK(J190), IF(ISBLANK(I190), "N/A", _xlfn.IFS(L190="AS", I190+15, L190="NCR", I190+30, L190="submitted", I190+30, TRUE, "N/A")), _xlfn.IFS(L190="AS", J190+15, L190="NCR", J190+30, L190="submitted", J190+30, TRUE, "N/A"))</f>
        <v>N/A</v>
      </c>
      <c r="L190" s="9"/>
      <c r="M190" s="317"/>
      <c r="N190" s="802"/>
      <c r="O190" s="803"/>
      <c r="P190" s="803"/>
      <c r="Q190" s="804"/>
    </row>
    <row r="191" spans="2:17" s="1" customFormat="1" ht="15" customHeight="1">
      <c r="B191" s="9"/>
      <c r="C191" s="822"/>
      <c r="D191" s="824"/>
      <c r="E191" s="39"/>
      <c r="F191" s="39"/>
      <c r="G191" s="9" t="s">
        <v>2197</v>
      </c>
      <c r="H191" s="13" t="s">
        <v>426</v>
      </c>
      <c r="I191" s="18"/>
      <c r="J191" s="18"/>
      <c r="K191" s="74" t="str" cm="1">
        <f t="array" ref="K191">IF(ISBLANK(J191), IF(ISBLANK(I191), "N/A", _xlfn.IFS(L191="AS", I191+15, L191="NCR", I191+30, L191="submitted", I191+30, TRUE, "N/A")), _xlfn.IFS(L191="AS", J191+15, L191="NCR", J191+30, L191="submitted", J191+30, TRUE, "N/A"))</f>
        <v>N/A</v>
      </c>
      <c r="L191" s="9"/>
      <c r="M191" s="317"/>
      <c r="N191" s="802"/>
      <c r="O191" s="803"/>
      <c r="P191" s="803"/>
      <c r="Q191" s="804"/>
    </row>
    <row r="192" spans="2:17" s="1" customFormat="1" ht="15" customHeight="1">
      <c r="B192" s="9"/>
      <c r="C192" s="822"/>
      <c r="D192" s="824"/>
      <c r="E192" s="39"/>
      <c r="F192" s="39"/>
      <c r="G192" s="9" t="s">
        <v>2198</v>
      </c>
      <c r="H192" s="13" t="s">
        <v>2261</v>
      </c>
      <c r="I192" s="18"/>
      <c r="J192" s="18"/>
      <c r="K192" s="74" t="str" cm="1">
        <f t="array" ref="K192">IF(ISBLANK(J192), IF(ISBLANK(I192), "N/A", _xlfn.IFS(L192="AS", I192+15, L192="NCR", I192+30, L192="submitted", I192+30, TRUE, "N/A")), _xlfn.IFS(L192="AS", J192+15, L192="NCR", J192+30, L192="submitted", J192+30, TRUE, "N/A"))</f>
        <v>N/A</v>
      </c>
      <c r="L192" s="9"/>
      <c r="M192" s="317"/>
      <c r="N192" s="802"/>
      <c r="O192" s="803"/>
      <c r="P192" s="803"/>
      <c r="Q192" s="804"/>
    </row>
    <row r="193" spans="2:17" s="1" customFormat="1" ht="15" customHeight="1">
      <c r="B193" s="9"/>
      <c r="C193" s="822"/>
      <c r="D193" s="824"/>
      <c r="E193" s="39"/>
      <c r="F193" s="39"/>
      <c r="G193" s="9" t="s">
        <v>2200</v>
      </c>
      <c r="H193" s="13" t="s">
        <v>430</v>
      </c>
      <c r="I193" s="18"/>
      <c r="J193" s="18"/>
      <c r="K193" s="74" t="str" cm="1">
        <f t="array" ref="K193">IF(ISBLANK(J193), IF(ISBLANK(I193), "N/A", _xlfn.IFS(L193="AS", I193+15, L193="NCR", I193+30, L193="submitted", I193+30, TRUE, "N/A")), _xlfn.IFS(L193="AS", J193+15, L193="NCR", J193+30, L193="submitted", J193+30, TRUE, "N/A"))</f>
        <v>N/A</v>
      </c>
      <c r="L193" s="9"/>
      <c r="M193" s="317"/>
      <c r="N193" s="802"/>
      <c r="O193" s="803"/>
      <c r="P193" s="803"/>
      <c r="Q193" s="804"/>
    </row>
    <row r="194" spans="2:17" s="1" customFormat="1" ht="15" customHeight="1">
      <c r="B194" s="9"/>
      <c r="C194" s="822"/>
      <c r="D194" s="824"/>
      <c r="E194" s="39"/>
      <c r="F194" s="39"/>
      <c r="G194" s="9" t="s">
        <v>2201</v>
      </c>
      <c r="H194" s="13" t="s">
        <v>432</v>
      </c>
      <c r="I194" s="18"/>
      <c r="J194" s="18"/>
      <c r="K194" s="74" t="str" cm="1">
        <f t="array" ref="K194">IF(ISBLANK(J194), IF(ISBLANK(I194), "N/A", _xlfn.IFS(L194="AS", I194+15, L194="NCR", I194+30, L194="submitted", I194+30, TRUE, "N/A")), _xlfn.IFS(L194="AS", J194+15, L194="NCR", J194+30, L194="submitted", J194+30, TRUE, "N/A"))</f>
        <v>N/A</v>
      </c>
      <c r="L194" s="9"/>
      <c r="M194" s="317"/>
      <c r="N194" s="802"/>
      <c r="O194" s="803"/>
      <c r="P194" s="803"/>
      <c r="Q194" s="804"/>
    </row>
    <row r="195" spans="2:17" s="1" customFormat="1" ht="27" customHeight="1">
      <c r="B195" s="9"/>
      <c r="C195" s="822"/>
      <c r="D195" s="824"/>
      <c r="E195" s="39"/>
      <c r="F195" s="39"/>
      <c r="G195" s="9" t="s">
        <v>746</v>
      </c>
      <c r="H195" s="7" t="s">
        <v>2262</v>
      </c>
      <c r="I195" s="18"/>
      <c r="J195" s="18"/>
      <c r="K195" s="74" t="str" cm="1">
        <f t="array" ref="K195">IF(ISBLANK(J195), IF(ISBLANK(I195), "N/A", _xlfn.IFS(L195="AS", I195+15, L195="NCR", I195+30, L195="submitted", I195+30, TRUE, "N/A")), _xlfn.IFS(L195="AS", J195+15, L195="NCR", J195+30, L195="submitted", J195+30, TRUE, "N/A"))</f>
        <v>N/A</v>
      </c>
      <c r="L195" s="9"/>
      <c r="M195" s="317"/>
      <c r="N195" s="802"/>
      <c r="O195" s="803"/>
      <c r="P195" s="803"/>
      <c r="Q195" s="804"/>
    </row>
    <row r="196" spans="2:17" s="1" customFormat="1" ht="27" customHeight="1">
      <c r="B196" s="9"/>
      <c r="C196" s="822"/>
      <c r="D196" s="824"/>
      <c r="E196" s="39"/>
      <c r="F196" s="39"/>
      <c r="G196" s="9" t="s">
        <v>892</v>
      </c>
      <c r="H196" s="7" t="s">
        <v>2263</v>
      </c>
      <c r="I196" s="18"/>
      <c r="J196" s="18"/>
      <c r="K196" s="74" t="str" cm="1">
        <f t="array" ref="K196">IF(ISBLANK(J196), IF(ISBLANK(I196), "N/A", _xlfn.IFS(L196="AS", I196+15, L196="NCR", I196+30, L196="submitted", I196+30, TRUE, "N/A")), _xlfn.IFS(L196="AS", J196+15, L196="NCR", J196+30, L196="submitted", J196+30, TRUE, "N/A"))</f>
        <v>N/A</v>
      </c>
      <c r="L196" s="9"/>
      <c r="M196" s="317"/>
      <c r="N196" s="802"/>
      <c r="O196" s="803"/>
      <c r="P196" s="803"/>
      <c r="Q196" s="804"/>
    </row>
    <row r="197" spans="2:17" s="1" customFormat="1" ht="15" customHeight="1">
      <c r="B197" s="9"/>
      <c r="C197" s="807"/>
      <c r="D197" s="809"/>
      <c r="E197" s="46"/>
      <c r="F197" s="46"/>
      <c r="G197" s="9" t="s">
        <v>441</v>
      </c>
      <c r="H197" s="13" t="s">
        <v>380</v>
      </c>
      <c r="I197" s="18"/>
      <c r="J197" s="18"/>
      <c r="K197" s="74" t="str" cm="1">
        <f t="array" ref="K197">IF(ISBLANK(J197), IF(ISBLANK(I197), "N/A", _xlfn.IFS(L197="AS", I197+15, L197="NCR", I197+30, L197="submitted", I197+30, TRUE, "N/A")), _xlfn.IFS(L197="AS", J197+15, L197="NCR", J197+30, L197="submitted", J197+30, TRUE, "N/A"))</f>
        <v>N/A</v>
      </c>
      <c r="L197" s="9"/>
      <c r="M197" s="317"/>
      <c r="N197" s="802"/>
      <c r="O197" s="803"/>
      <c r="P197" s="803"/>
      <c r="Q197" s="804"/>
    </row>
    <row r="198" spans="2:17" s="5" customFormat="1" ht="15" customHeight="1">
      <c r="B198" s="4"/>
      <c r="C198" s="922" t="s">
        <v>2264</v>
      </c>
      <c r="D198" s="827" t="s">
        <v>2265</v>
      </c>
      <c r="E198" s="34"/>
      <c r="F198" s="34"/>
      <c r="G198" s="4" t="s">
        <v>336</v>
      </c>
      <c r="H198" s="17" t="s">
        <v>235</v>
      </c>
      <c r="I198" s="18"/>
      <c r="J198" s="18"/>
      <c r="K198" s="74" t="str" cm="1">
        <f t="array" ref="K198">IF(ISBLANK(J198), IF(ISBLANK(I198), "N/A", _xlfn.IFS(L198="AS", I198+15, L198="NCR", I198+30, L198="submitted", I198+30, TRUE, "N/A")), _xlfn.IFS(L198="AS", J198+15, L198="NCR", J198+30, L198="submitted", J198+30, TRUE, "N/A"))</f>
        <v>N/A</v>
      </c>
      <c r="L198" s="4"/>
      <c r="M198" s="317"/>
      <c r="N198" s="802"/>
      <c r="O198" s="803"/>
      <c r="P198" s="803"/>
      <c r="Q198" s="804"/>
    </row>
    <row r="199" spans="2:17" s="5" customFormat="1" ht="15" customHeight="1">
      <c r="B199" s="4"/>
      <c r="C199" s="923"/>
      <c r="D199" s="830"/>
      <c r="E199" s="35"/>
      <c r="F199" s="35"/>
      <c r="G199" s="4" t="s">
        <v>337</v>
      </c>
      <c r="H199" s="17" t="s">
        <v>282</v>
      </c>
      <c r="I199" s="18"/>
      <c r="J199" s="18"/>
      <c r="K199" s="74" t="str" cm="1">
        <f t="array" ref="K199">IF(ISBLANK(J199), IF(ISBLANK(I199), "N/A", _xlfn.IFS(L199="AS", I199+15, L199="NCR", I199+30, L199="submitted", I199+30, TRUE, "N/A")), _xlfn.IFS(L199="AS", J199+15, L199="NCR", J199+30, L199="submitted", J199+30, TRUE, "N/A"))</f>
        <v>N/A</v>
      </c>
      <c r="L199" s="4"/>
      <c r="M199" s="317"/>
      <c r="N199" s="802"/>
      <c r="O199" s="803"/>
      <c r="P199" s="803"/>
      <c r="Q199" s="804"/>
    </row>
    <row r="200" spans="2:17" s="5" customFormat="1" ht="40.5" customHeight="1">
      <c r="B200" s="4"/>
      <c r="C200" s="923"/>
      <c r="D200" s="830"/>
      <c r="E200" s="35"/>
      <c r="F200" s="35"/>
      <c r="G200" s="4" t="s">
        <v>338</v>
      </c>
      <c r="H200" s="3" t="s">
        <v>2231</v>
      </c>
      <c r="I200" s="18"/>
      <c r="J200" s="18"/>
      <c r="K200" s="74" t="str" cm="1">
        <f t="array" ref="K200">IF(ISBLANK(J200), IF(ISBLANK(I200), "N/A", _xlfn.IFS(L200="AS", I200+15, L200="NCR", I200+30, L200="submitted", I200+30, TRUE, "N/A")), _xlfn.IFS(L200="AS", J200+15, L200="NCR", J200+30, L200="submitted", J200+30, TRUE, "N/A"))</f>
        <v>N/A</v>
      </c>
      <c r="L200" s="4"/>
      <c r="M200" s="317"/>
      <c r="N200" s="802"/>
      <c r="O200" s="803"/>
      <c r="P200" s="803"/>
      <c r="Q200" s="804"/>
    </row>
    <row r="201" spans="2:17" s="5" customFormat="1" ht="15" customHeight="1">
      <c r="B201" s="4"/>
      <c r="C201" s="923"/>
      <c r="D201" s="830"/>
      <c r="E201" s="35"/>
      <c r="F201" s="35"/>
      <c r="G201" s="4" t="s">
        <v>405</v>
      </c>
      <c r="H201" s="17" t="s">
        <v>2127</v>
      </c>
      <c r="I201" s="18"/>
      <c r="J201" s="18"/>
      <c r="K201" s="74" t="str" cm="1">
        <f t="array" ref="K201">IF(ISBLANK(J201), IF(ISBLANK(I201), "N/A", _xlfn.IFS(L201="AS", I201+15, L201="NCR", I201+30, L201="submitted", I201+30, TRUE, "N/A")), _xlfn.IFS(L201="AS", J201+15, L201="NCR", J201+30, L201="submitted", J201+30, TRUE, "N/A"))</f>
        <v>N/A</v>
      </c>
      <c r="L201" s="4"/>
      <c r="M201" s="317"/>
      <c r="N201" s="802"/>
      <c r="O201" s="803"/>
      <c r="P201" s="803"/>
      <c r="Q201" s="804"/>
    </row>
    <row r="202" spans="2:17" s="5" customFormat="1" ht="15" customHeight="1">
      <c r="B202" s="4"/>
      <c r="C202" s="923"/>
      <c r="D202" s="830"/>
      <c r="E202" s="35"/>
      <c r="F202" s="35"/>
      <c r="G202" s="4" t="s">
        <v>2195</v>
      </c>
      <c r="H202" s="17" t="s">
        <v>2232</v>
      </c>
      <c r="I202" s="18"/>
      <c r="J202" s="18"/>
      <c r="K202" s="74" t="str" cm="1">
        <f t="array" ref="K202">IF(ISBLANK(J202), IF(ISBLANK(I202), "N/A", _xlfn.IFS(L202="AS", I202+15, L202="NCR", I202+30, L202="submitted", I202+30, TRUE, "N/A")), _xlfn.IFS(L202="AS", J202+15, L202="NCR", J202+30, L202="submitted", J202+30, TRUE, "N/A"))</f>
        <v>N/A</v>
      </c>
      <c r="L202" s="4"/>
      <c r="M202" s="317"/>
      <c r="N202" s="802"/>
      <c r="O202" s="803"/>
      <c r="P202" s="803"/>
      <c r="Q202" s="804"/>
    </row>
    <row r="203" spans="2:17" s="5" customFormat="1" ht="15" customHeight="1">
      <c r="B203" s="4"/>
      <c r="C203" s="923"/>
      <c r="D203" s="830"/>
      <c r="E203" s="35"/>
      <c r="F203" s="35"/>
      <c r="G203" s="4" t="s">
        <v>2196</v>
      </c>
      <c r="H203" s="17" t="s">
        <v>2180</v>
      </c>
      <c r="I203" s="18"/>
      <c r="J203" s="18"/>
      <c r="K203" s="74" t="str" cm="1">
        <f t="array" ref="K203">IF(ISBLANK(J203), IF(ISBLANK(I203), "N/A", _xlfn.IFS(L203="AS", I203+15, L203="NCR", I203+30, L203="submitted", I203+30, TRUE, "N/A")), _xlfn.IFS(L203="AS", J203+15, L203="NCR", J203+30, L203="submitted", J203+30, TRUE, "N/A"))</f>
        <v>N/A</v>
      </c>
      <c r="L203" s="4"/>
      <c r="M203" s="317"/>
      <c r="N203" s="802"/>
      <c r="O203" s="803"/>
      <c r="P203" s="803"/>
      <c r="Q203" s="804"/>
    </row>
    <row r="204" spans="2:17" s="5" customFormat="1" ht="15" customHeight="1">
      <c r="B204" s="4"/>
      <c r="C204" s="923"/>
      <c r="D204" s="830"/>
      <c r="E204" s="35"/>
      <c r="F204" s="35"/>
      <c r="G204" s="4" t="s">
        <v>2197</v>
      </c>
      <c r="H204" s="17" t="s">
        <v>426</v>
      </c>
      <c r="I204" s="18"/>
      <c r="J204" s="18"/>
      <c r="K204" s="74" t="str" cm="1">
        <f t="array" ref="K204">IF(ISBLANK(J204), IF(ISBLANK(I204), "N/A", _xlfn.IFS(L204="AS", I204+15, L204="NCR", I204+30, L204="submitted", I204+30, TRUE, "N/A")), _xlfn.IFS(L204="AS", J204+15, L204="NCR", J204+30, L204="submitted", J204+30, TRUE, "N/A"))</f>
        <v>N/A</v>
      </c>
      <c r="L204" s="4"/>
      <c r="M204" s="317"/>
      <c r="N204" s="802"/>
      <c r="O204" s="803"/>
      <c r="P204" s="803"/>
      <c r="Q204" s="804"/>
    </row>
    <row r="205" spans="2:17" s="5" customFormat="1" ht="15" customHeight="1">
      <c r="B205" s="4"/>
      <c r="C205" s="923"/>
      <c r="D205" s="830"/>
      <c r="E205" s="35"/>
      <c r="F205" s="35"/>
      <c r="G205" s="4" t="s">
        <v>2198</v>
      </c>
      <c r="H205" s="17" t="s">
        <v>2199</v>
      </c>
      <c r="I205" s="18"/>
      <c r="J205" s="18"/>
      <c r="K205" s="74" t="str" cm="1">
        <f t="array" ref="K205">IF(ISBLANK(J205), IF(ISBLANK(I205), "N/A", _xlfn.IFS(L205="AS", I205+15, L205="NCR", I205+30, L205="submitted", I205+30, TRUE, "N/A")), _xlfn.IFS(L205="AS", J205+15, L205="NCR", J205+30, L205="submitted", J205+30, TRUE, "N/A"))</f>
        <v>N/A</v>
      </c>
      <c r="L205" s="4"/>
      <c r="M205" s="317"/>
      <c r="N205" s="802"/>
      <c r="O205" s="803"/>
      <c r="P205" s="803"/>
      <c r="Q205" s="804"/>
    </row>
    <row r="206" spans="2:17" s="5" customFormat="1" ht="15" customHeight="1">
      <c r="B206" s="4"/>
      <c r="C206" s="923"/>
      <c r="D206" s="830"/>
      <c r="E206" s="35"/>
      <c r="F206" s="35"/>
      <c r="G206" s="4" t="s">
        <v>2200</v>
      </c>
      <c r="H206" s="17" t="s">
        <v>2233</v>
      </c>
      <c r="I206" s="18"/>
      <c r="J206" s="18"/>
      <c r="K206" s="74" t="str" cm="1">
        <f t="array" ref="K206">IF(ISBLANK(J206), IF(ISBLANK(I206), "N/A", _xlfn.IFS(L206="AS", I206+15, L206="NCR", I206+30, L206="submitted", I206+30, TRUE, "N/A")), _xlfn.IFS(L206="AS", J206+15, L206="NCR", J206+30, L206="submitted", J206+30, TRUE, "N/A"))</f>
        <v>N/A</v>
      </c>
      <c r="L206" s="4"/>
      <c r="M206" s="317"/>
      <c r="N206" s="802"/>
      <c r="O206" s="803"/>
      <c r="P206" s="803"/>
      <c r="Q206" s="804"/>
    </row>
    <row r="207" spans="2:17" s="5" customFormat="1" ht="15" customHeight="1">
      <c r="B207" s="4"/>
      <c r="C207" s="923"/>
      <c r="D207" s="830"/>
      <c r="E207" s="35"/>
      <c r="F207" s="35"/>
      <c r="G207" s="4" t="s">
        <v>2201</v>
      </c>
      <c r="H207" s="17" t="s">
        <v>2202</v>
      </c>
      <c r="I207" s="18"/>
      <c r="J207" s="18"/>
      <c r="K207" s="74" t="str" cm="1">
        <f t="array" ref="K207">IF(ISBLANK(J207), IF(ISBLANK(I207), "N/A", _xlfn.IFS(L207="AS", I207+15, L207="NCR", I207+30, L207="submitted", I207+30, TRUE, "N/A")), _xlfn.IFS(L207="AS", J207+15, L207="NCR", J207+30, L207="submitted", J207+30, TRUE, "N/A"))</f>
        <v>N/A</v>
      </c>
      <c r="L207" s="4"/>
      <c r="M207" s="317"/>
      <c r="N207" s="796" t="s">
        <v>133</v>
      </c>
      <c r="O207" s="797"/>
      <c r="P207" s="797"/>
      <c r="Q207" s="798"/>
    </row>
    <row r="208" spans="2:17" s="5" customFormat="1" ht="15" customHeight="1">
      <c r="B208" s="4"/>
      <c r="C208" s="923"/>
      <c r="D208" s="830"/>
      <c r="E208" s="35"/>
      <c r="F208" s="35"/>
      <c r="G208" s="4" t="s">
        <v>408</v>
      </c>
      <c r="H208" s="17" t="s">
        <v>2266</v>
      </c>
      <c r="I208" s="18"/>
      <c r="J208" s="18"/>
      <c r="K208" s="74" t="str" cm="1">
        <f t="array" ref="K208">IF(ISBLANK(J208), IF(ISBLANK(I208), "N/A", _xlfn.IFS(L208="AS", I208+15, L208="NCR", I208+30, L208="submitted", I208+30, TRUE, "N/A")), _xlfn.IFS(L208="AS", J208+15, L208="NCR", J208+30, L208="submitted", J208+30, TRUE, "N/A"))</f>
        <v>N/A</v>
      </c>
      <c r="L208" s="4"/>
      <c r="M208" s="317"/>
      <c r="N208" s="799"/>
      <c r="O208" s="800"/>
      <c r="P208" s="800"/>
      <c r="Q208" s="801"/>
    </row>
    <row r="209" spans="2:17" s="5" customFormat="1" ht="15" customHeight="1">
      <c r="B209" s="4"/>
      <c r="C209" s="924"/>
      <c r="D209" s="828"/>
      <c r="E209" s="36"/>
      <c r="F209" s="36"/>
      <c r="G209" s="4" t="s">
        <v>441</v>
      </c>
      <c r="H209" s="17" t="s">
        <v>353</v>
      </c>
      <c r="I209" s="18"/>
      <c r="J209" s="18"/>
      <c r="K209" s="74" t="str" cm="1">
        <f t="array" ref="K209">IF(ISBLANK(J209), IF(ISBLANK(I209), "N/A", _xlfn.IFS(L209="AS", I209+15, L209="NCR", I209+30, L209="submitted", I209+30, TRUE, "N/A")), _xlfn.IFS(L209="AS", J209+15, L209="NCR", J209+30, L209="submitted", J209+30, TRUE, "N/A"))</f>
        <v>N/A</v>
      </c>
      <c r="L209" s="4"/>
      <c r="M209" s="317"/>
      <c r="N209" s="799"/>
      <c r="O209" s="800"/>
      <c r="P209" s="800"/>
      <c r="Q209" s="801"/>
    </row>
    <row r="210" spans="2:17" s="1" customFormat="1" ht="15" customHeight="1">
      <c r="B210" s="9"/>
      <c r="C210" s="821" t="s">
        <v>2267</v>
      </c>
      <c r="D210" s="823" t="s">
        <v>2268</v>
      </c>
      <c r="E210" s="37"/>
      <c r="F210" s="37"/>
      <c r="G210" s="9" t="s">
        <v>336</v>
      </c>
      <c r="H210" s="13" t="s">
        <v>235</v>
      </c>
      <c r="I210" s="18"/>
      <c r="J210" s="18"/>
      <c r="K210" s="74" t="str" cm="1">
        <f t="array" ref="K210">IF(ISBLANK(J210), IF(ISBLANK(I210), "N/A", _xlfn.IFS(L210="AS", I210+15, L210="NCR", I210+30, L210="submitted", I210+30, TRUE, "N/A")), _xlfn.IFS(L210="AS", J210+15, L210="NCR", J210+30, L210="submitted", J210+30, TRUE, "N/A"))</f>
        <v>N/A</v>
      </c>
      <c r="L210" s="9"/>
      <c r="M210" s="317"/>
      <c r="N210" s="799"/>
      <c r="O210" s="800"/>
      <c r="P210" s="800"/>
      <c r="Q210" s="801"/>
    </row>
    <row r="211" spans="2:17" s="1" customFormat="1" ht="15" customHeight="1">
      <c r="B211" s="9"/>
      <c r="C211" s="822"/>
      <c r="D211" s="824"/>
      <c r="E211" s="39"/>
      <c r="F211" s="39"/>
      <c r="G211" s="9" t="s">
        <v>337</v>
      </c>
      <c r="H211" s="13" t="s">
        <v>328</v>
      </c>
      <c r="I211" s="18"/>
      <c r="J211" s="18"/>
      <c r="K211" s="74" t="str" cm="1">
        <f t="array" ref="K211">IF(ISBLANK(J211), IF(ISBLANK(I211), "N/A", _xlfn.IFS(L211="AS", I211+15, L211="NCR", I211+30, L211="submitted", I211+30, TRUE, "N/A")), _xlfn.IFS(L211="AS", J211+15, L211="NCR", J211+30, L211="submitted", J211+30, TRUE, "N/A"))</f>
        <v>N/A</v>
      </c>
      <c r="L211" s="9"/>
      <c r="M211" s="317"/>
      <c r="N211" s="799"/>
      <c r="O211" s="800"/>
      <c r="P211" s="800"/>
      <c r="Q211" s="801"/>
    </row>
    <row r="212" spans="2:17" s="1" customFormat="1" ht="40.5" customHeight="1">
      <c r="B212" s="9"/>
      <c r="C212" s="822"/>
      <c r="D212" s="824"/>
      <c r="E212" s="39"/>
      <c r="F212" s="39"/>
      <c r="G212" s="9" t="s">
        <v>338</v>
      </c>
      <c r="H212" s="7" t="s">
        <v>2190</v>
      </c>
      <c r="I212" s="18"/>
      <c r="J212" s="18"/>
      <c r="K212" s="74" t="str" cm="1">
        <f t="array" ref="K212">IF(ISBLANK(J212), IF(ISBLANK(I212), "N/A", _xlfn.IFS(L212="AS", I212+15, L212="NCR", I212+30, L212="submitted", I212+30, TRUE, "N/A")), _xlfn.IFS(L212="AS", J212+15, L212="NCR", J212+30, L212="submitted", J212+30, TRUE, "N/A"))</f>
        <v>N/A</v>
      </c>
      <c r="L212" s="9"/>
      <c r="M212" s="317"/>
      <c r="N212" s="799"/>
      <c r="O212" s="800"/>
      <c r="P212" s="800"/>
      <c r="Q212" s="801"/>
    </row>
    <row r="213" spans="2:17" s="1" customFormat="1" ht="15" customHeight="1">
      <c r="B213" s="9"/>
      <c r="C213" s="822"/>
      <c r="D213" s="824"/>
      <c r="E213" s="39"/>
      <c r="F213" s="39"/>
      <c r="G213" s="9" t="s">
        <v>405</v>
      </c>
      <c r="H213" s="13" t="s">
        <v>2127</v>
      </c>
      <c r="I213" s="18"/>
      <c r="J213" s="18"/>
      <c r="K213" s="74" t="str" cm="1">
        <f t="array" ref="K213">IF(ISBLANK(J213), IF(ISBLANK(I213), "N/A", _xlfn.IFS(L213="AS", I213+15, L213="NCR", I213+30, L213="submitted", I213+30, TRUE, "N/A")), _xlfn.IFS(L213="AS", J213+15, L213="NCR", J213+30, L213="submitted", J213+30, TRUE, "N/A"))</f>
        <v>N/A</v>
      </c>
      <c r="L213" s="9"/>
      <c r="M213" s="317"/>
      <c r="N213" s="799"/>
      <c r="O213" s="800"/>
      <c r="P213" s="800"/>
      <c r="Q213" s="801"/>
    </row>
    <row r="214" spans="2:17" s="1" customFormat="1" ht="15" customHeight="1">
      <c r="B214" s="9"/>
      <c r="C214" s="822"/>
      <c r="D214" s="824"/>
      <c r="E214" s="39"/>
      <c r="F214" s="39"/>
      <c r="G214" s="9" t="s">
        <v>2195</v>
      </c>
      <c r="H214" s="13" t="s">
        <v>2232</v>
      </c>
      <c r="I214" s="18"/>
      <c r="J214" s="18"/>
      <c r="K214" s="74" t="str" cm="1">
        <f t="array" ref="K214">IF(ISBLANK(J214), IF(ISBLANK(I214), "N/A", _xlfn.IFS(L214="AS", I214+15, L214="NCR", I214+30, L214="submitted", I214+30, TRUE, "N/A")), _xlfn.IFS(L214="AS", J214+15, L214="NCR", J214+30, L214="submitted", J214+30, TRUE, "N/A"))</f>
        <v>N/A</v>
      </c>
      <c r="L214" s="9"/>
      <c r="M214" s="317"/>
      <c r="N214" s="799"/>
      <c r="O214" s="800"/>
      <c r="P214" s="800"/>
      <c r="Q214" s="801"/>
    </row>
    <row r="215" spans="2:17" s="1" customFormat="1" ht="15" customHeight="1">
      <c r="B215" s="9"/>
      <c r="C215" s="822"/>
      <c r="D215" s="824"/>
      <c r="E215" s="39"/>
      <c r="F215" s="39"/>
      <c r="G215" s="9" t="s">
        <v>2196</v>
      </c>
      <c r="H215" s="13" t="s">
        <v>2180</v>
      </c>
      <c r="I215" s="18"/>
      <c r="J215" s="18"/>
      <c r="K215" s="74" t="str" cm="1">
        <f t="array" ref="K215">IF(ISBLANK(J215), IF(ISBLANK(I215), "N/A", _xlfn.IFS(L215="AS", I215+15, L215="NCR", I215+30, L215="submitted", I215+30, TRUE, "N/A")), _xlfn.IFS(L215="AS", J215+15, L215="NCR", J215+30, L215="submitted", J215+30, TRUE, "N/A"))</f>
        <v>N/A</v>
      </c>
      <c r="L215" s="9"/>
      <c r="M215" s="317"/>
      <c r="N215" s="747" t="s">
        <v>148</v>
      </c>
      <c r="O215" s="748"/>
      <c r="P215" s="748"/>
      <c r="Q215" s="749"/>
    </row>
    <row r="216" spans="2:17" s="1" customFormat="1" ht="15" customHeight="1">
      <c r="B216" s="9"/>
      <c r="C216" s="822"/>
      <c r="D216" s="824"/>
      <c r="E216" s="39"/>
      <c r="F216" s="39"/>
      <c r="G216" s="9" t="s">
        <v>2197</v>
      </c>
      <c r="H216" s="13" t="s">
        <v>426</v>
      </c>
      <c r="I216" s="18"/>
      <c r="J216" s="18"/>
      <c r="K216" s="74" t="str" cm="1">
        <f t="array" ref="K216">IF(ISBLANK(J216), IF(ISBLANK(I216), "N/A", _xlfn.IFS(L216="AS", I216+15, L216="NCR", I216+30, L216="submitted", I216+30, TRUE, "N/A")), _xlfn.IFS(L216="AS", J216+15, L216="NCR", J216+30, L216="submitted", J216+30, TRUE, "N/A"))</f>
        <v>N/A</v>
      </c>
      <c r="L216" s="9"/>
      <c r="M216" s="317"/>
      <c r="N216" s="747"/>
      <c r="O216" s="748"/>
      <c r="P216" s="748"/>
      <c r="Q216" s="749"/>
    </row>
    <row r="217" spans="2:17" s="1" customFormat="1" ht="15" customHeight="1">
      <c r="B217" s="9"/>
      <c r="C217" s="822"/>
      <c r="D217" s="824"/>
      <c r="E217" s="39"/>
      <c r="F217" s="39"/>
      <c r="G217" s="9" t="s">
        <v>2198</v>
      </c>
      <c r="H217" s="13" t="s">
        <v>2199</v>
      </c>
      <c r="I217" s="18"/>
      <c r="J217" s="18"/>
      <c r="K217" s="74" t="str" cm="1">
        <f t="array" ref="K217">IF(ISBLANK(J217), IF(ISBLANK(I217), "N/A", _xlfn.IFS(L217="AS", I217+15, L217="NCR", I217+30, L217="submitted", I217+30, TRUE, "N/A")), _xlfn.IFS(L217="AS", J217+15, L217="NCR", J217+30, L217="submitted", J217+30, TRUE, "N/A"))</f>
        <v>N/A</v>
      </c>
      <c r="L217" s="9"/>
      <c r="M217" s="317"/>
      <c r="N217" s="747"/>
      <c r="O217" s="748"/>
      <c r="P217" s="748"/>
      <c r="Q217" s="749"/>
    </row>
    <row r="218" spans="2:17" s="1" customFormat="1" ht="15" customHeight="1">
      <c r="B218" s="9"/>
      <c r="C218" s="822"/>
      <c r="D218" s="824"/>
      <c r="E218" s="39"/>
      <c r="F218" s="39"/>
      <c r="G218" s="9" t="s">
        <v>2200</v>
      </c>
      <c r="H218" s="13" t="s">
        <v>2233</v>
      </c>
      <c r="I218" s="18"/>
      <c r="J218" s="18"/>
      <c r="K218" s="74" t="str" cm="1">
        <f t="array" ref="K218">IF(ISBLANK(J218), IF(ISBLANK(I218), "N/A", _xlfn.IFS(L218="AS", I218+15, L218="NCR", I218+30, L218="submitted", I218+30, TRUE, "N/A")), _xlfn.IFS(L218="AS", J218+15, L218="NCR", J218+30, L218="submitted", J218+30, TRUE, "N/A"))</f>
        <v>N/A</v>
      </c>
      <c r="L218" s="9"/>
      <c r="M218" s="317"/>
      <c r="N218" s="747"/>
      <c r="O218" s="748"/>
      <c r="P218" s="748"/>
      <c r="Q218" s="749"/>
    </row>
    <row r="219" spans="2:17" s="1" customFormat="1" ht="15" customHeight="1">
      <c r="B219" s="9"/>
      <c r="C219" s="822"/>
      <c r="D219" s="824"/>
      <c r="E219" s="39"/>
      <c r="F219" s="39"/>
      <c r="G219" s="9" t="s">
        <v>2201</v>
      </c>
      <c r="H219" s="13" t="s">
        <v>2202</v>
      </c>
      <c r="I219" s="18"/>
      <c r="J219" s="18"/>
      <c r="K219" s="74" t="str" cm="1">
        <f t="array" ref="K219">IF(ISBLANK(J219), IF(ISBLANK(I219), "N/A", _xlfn.IFS(L219="AS", I219+15, L219="NCR", I219+30, L219="submitted", I219+30, TRUE, "N/A")), _xlfn.IFS(L219="AS", J219+15, L219="NCR", J219+30, L219="submitted", J219+30, TRUE, "N/A"))</f>
        <v>N/A</v>
      </c>
      <c r="L219" s="9"/>
      <c r="M219" s="317"/>
      <c r="N219" s="747"/>
      <c r="O219" s="748"/>
      <c r="P219" s="748"/>
      <c r="Q219" s="749"/>
    </row>
    <row r="220" spans="2:17" s="1" customFormat="1" ht="15" customHeight="1">
      <c r="B220" s="9"/>
      <c r="C220" s="807"/>
      <c r="D220" s="809"/>
      <c r="E220" s="46"/>
      <c r="F220" s="46"/>
      <c r="G220" s="9" t="s">
        <v>408</v>
      </c>
      <c r="H220" s="13" t="s">
        <v>380</v>
      </c>
      <c r="I220" s="18"/>
      <c r="J220" s="18"/>
      <c r="K220" s="74" t="str" cm="1">
        <f t="array" ref="K220">IF(ISBLANK(J220), IF(ISBLANK(I220), "N/A", _xlfn.IFS(L220="AS", I220+15, L220="NCR", I220+30, L220="submitted", I220+30, TRUE, "N/A")), _xlfn.IFS(L220="AS", J220+15, L220="NCR", J220+30, L220="submitted", J220+30, TRUE, "N/A"))</f>
        <v>N/A</v>
      </c>
      <c r="L220" s="9"/>
      <c r="M220" s="318"/>
      <c r="N220" s="747"/>
      <c r="O220" s="748"/>
      <c r="P220" s="748"/>
      <c r="Q220" s="749"/>
    </row>
    <row r="221" spans="2:17" s="5" customFormat="1" ht="15" customHeight="1">
      <c r="B221" s="4"/>
      <c r="C221" s="825" t="s">
        <v>2269</v>
      </c>
      <c r="D221" s="827" t="s">
        <v>2270</v>
      </c>
      <c r="E221" s="34"/>
      <c r="F221" s="34"/>
      <c r="G221" s="4" t="s">
        <v>336</v>
      </c>
      <c r="H221" s="17" t="s">
        <v>235</v>
      </c>
      <c r="I221" s="18"/>
      <c r="J221" s="18"/>
      <c r="K221" s="74" t="str" cm="1">
        <f t="array" ref="K221">IF(ISBLANK(J221), IF(ISBLANK(I221), "N/A", _xlfn.IFS(L221="AS", I221+15, L221="NCR", I221+30, L221="submitted", I221+30, TRUE, "N/A")), _xlfn.IFS(L221="AS", J221+15, L221="NCR", J221+30, L221="submitted", J221+30, TRUE, "N/A"))</f>
        <v>N/A</v>
      </c>
      <c r="L221" s="4"/>
      <c r="M221" s="317"/>
      <c r="N221" s="747"/>
      <c r="O221" s="748"/>
      <c r="P221" s="748"/>
      <c r="Q221" s="749"/>
    </row>
    <row r="222" spans="2:17" s="5" customFormat="1" ht="15" customHeight="1">
      <c r="B222" s="4"/>
      <c r="C222" s="829"/>
      <c r="D222" s="830"/>
      <c r="E222" s="35"/>
      <c r="F222" s="35"/>
      <c r="G222" s="4" t="s">
        <v>337</v>
      </c>
      <c r="H222" s="17" t="s">
        <v>282</v>
      </c>
      <c r="I222" s="18"/>
      <c r="J222" s="18"/>
      <c r="K222" s="74" t="str" cm="1">
        <f t="array" ref="K222">IF(ISBLANK(J222), IF(ISBLANK(I222), "N/A", _xlfn.IFS(L222="AS", I222+15, L222="NCR", I222+30, L222="submitted", I222+30, TRUE, "N/A")), _xlfn.IFS(L222="AS", J222+15, L222="NCR", J222+30, L222="submitted", J222+30, TRUE, "N/A"))</f>
        <v>N/A</v>
      </c>
      <c r="L222" s="4"/>
      <c r="M222" s="317"/>
      <c r="N222" s="747"/>
      <c r="O222" s="748"/>
      <c r="P222" s="748"/>
      <c r="Q222" s="749"/>
    </row>
    <row r="223" spans="2:17" s="5" customFormat="1" ht="53.25">
      <c r="B223" s="4"/>
      <c r="C223" s="829"/>
      <c r="D223" s="830"/>
      <c r="E223" s="35"/>
      <c r="F223" s="35"/>
      <c r="G223" s="4" t="s">
        <v>2089</v>
      </c>
      <c r="H223" s="3" t="s">
        <v>2226</v>
      </c>
      <c r="I223" s="18"/>
      <c r="J223" s="18"/>
      <c r="K223" s="74" t="str" cm="1">
        <f t="array" ref="K223">IF(ISBLANK(J223), IF(ISBLANK(I223), "N/A", _xlfn.IFS(L223="AS", I223+15, L223="NCR", I223+30, L223="submitted", I223+30, TRUE, "N/A")), _xlfn.IFS(L223="AS", J223+15, L223="NCR", J223+30, L223="submitted", J223+30, TRUE, "N/A"))</f>
        <v>N/A</v>
      </c>
      <c r="L223" s="4"/>
      <c r="M223" s="317"/>
      <c r="N223" s="747"/>
      <c r="O223" s="748"/>
      <c r="P223" s="748"/>
      <c r="Q223" s="749"/>
    </row>
    <row r="224" spans="2:17" s="5" customFormat="1" ht="15" customHeight="1">
      <c r="B224" s="4"/>
      <c r="C224" s="829"/>
      <c r="D224" s="830"/>
      <c r="E224" s="35"/>
      <c r="F224" s="35"/>
      <c r="G224" s="4" t="s">
        <v>405</v>
      </c>
      <c r="H224" s="17" t="s">
        <v>2127</v>
      </c>
      <c r="I224" s="18"/>
      <c r="J224" s="18"/>
      <c r="K224" s="74" t="str" cm="1">
        <f t="array" ref="K224">IF(ISBLANK(J224), IF(ISBLANK(I224), "N/A", _xlfn.IFS(L224="AS", I224+15, L224="NCR", I224+30, L224="submitted", I224+30, TRUE, "N/A")), _xlfn.IFS(L224="AS", J224+15, L224="NCR", J224+30, L224="submitted", J224+30, TRUE, "N/A"))</f>
        <v>N/A</v>
      </c>
      <c r="L224" s="4"/>
      <c r="M224" s="317"/>
      <c r="N224" s="747"/>
      <c r="O224" s="748"/>
      <c r="P224" s="748"/>
      <c r="Q224" s="749"/>
    </row>
    <row r="225" spans="2:17" s="5" customFormat="1" ht="40.5" customHeight="1">
      <c r="B225" s="4"/>
      <c r="C225" s="829"/>
      <c r="D225" s="830"/>
      <c r="E225" s="35"/>
      <c r="F225" s="35"/>
      <c r="G225" s="4" t="s">
        <v>346</v>
      </c>
      <c r="H225" s="3" t="s">
        <v>2209</v>
      </c>
      <c r="I225" s="18"/>
      <c r="J225" s="18"/>
      <c r="K225" s="74" t="str" cm="1">
        <f t="array" ref="K225">IF(ISBLANK(J225), IF(ISBLANK(I225), "N/A", _xlfn.IFS(L225="AS", I225+15, L225="NCR", I225+30, L225="submitted", I225+30, TRUE, "N/A")), _xlfn.IFS(L225="AS", J225+15, L225="NCR", J225+30, L225="submitted", J225+30, TRUE, "N/A"))</f>
        <v>N/A</v>
      </c>
      <c r="L225" s="4"/>
      <c r="M225" s="317"/>
      <c r="N225" s="747"/>
      <c r="O225" s="748"/>
      <c r="P225" s="748"/>
      <c r="Q225" s="749"/>
    </row>
    <row r="226" spans="2:17" s="5" customFormat="1" ht="40.5" customHeight="1">
      <c r="B226" s="4"/>
      <c r="C226" s="829"/>
      <c r="D226" s="830"/>
      <c r="E226" s="35"/>
      <c r="F226" s="35"/>
      <c r="G226" s="4" t="s">
        <v>745</v>
      </c>
      <c r="H226" s="3" t="s">
        <v>2209</v>
      </c>
      <c r="I226" s="18"/>
      <c r="J226" s="18"/>
      <c r="K226" s="74" t="str" cm="1">
        <f t="array" ref="K226">IF(ISBLANK(J226), IF(ISBLANK(I226), "N/A", _xlfn.IFS(L226="AS", I226+15, L226="NCR", I226+30, L226="submitted", I226+30, TRUE, "N/A")), _xlfn.IFS(L226="AS", J226+15, L226="NCR", J226+30, L226="submitted", J226+30, TRUE, "N/A"))</f>
        <v>N/A</v>
      </c>
      <c r="L226" s="4"/>
      <c r="M226" s="317"/>
      <c r="N226" s="747"/>
      <c r="O226" s="748"/>
      <c r="P226" s="748"/>
      <c r="Q226" s="749"/>
    </row>
    <row r="227" spans="2:17" s="5" customFormat="1" ht="15" customHeight="1">
      <c r="B227" s="4"/>
      <c r="C227" s="829"/>
      <c r="D227" s="830"/>
      <c r="E227" s="35"/>
      <c r="F227" s="35"/>
      <c r="G227" s="4" t="s">
        <v>408</v>
      </c>
      <c r="H227" s="17" t="s">
        <v>380</v>
      </c>
      <c r="I227" s="18"/>
      <c r="J227" s="18"/>
      <c r="K227" s="74" t="str" cm="1">
        <f t="array" ref="K227">IF(ISBLANK(J227), IF(ISBLANK(I227), "N/A", _xlfn.IFS(L227="AS", I227+15, L227="NCR", I227+30, L227="submitted", I227+30, TRUE, "N/A")), _xlfn.IFS(L227="AS", J227+15, L227="NCR", J227+30, L227="submitted", J227+30, TRUE, "N/A"))</f>
        <v>N/A</v>
      </c>
      <c r="L227" s="4"/>
      <c r="M227" s="317"/>
      <c r="N227" s="747"/>
      <c r="O227" s="748"/>
      <c r="P227" s="748"/>
      <c r="Q227" s="749"/>
    </row>
    <row r="228" spans="2:17" s="5" customFormat="1" ht="15" customHeight="1">
      <c r="B228" s="4"/>
      <c r="C228" s="829"/>
      <c r="D228" s="830"/>
      <c r="E228" s="35"/>
      <c r="F228" s="35"/>
      <c r="G228" s="4" t="s">
        <v>441</v>
      </c>
      <c r="H228" s="17" t="s">
        <v>2211</v>
      </c>
      <c r="I228" s="18"/>
      <c r="J228" s="18"/>
      <c r="K228" s="74" t="str" cm="1">
        <f t="array" ref="K228">IF(ISBLANK(J228), IF(ISBLANK(I228), "N/A", _xlfn.IFS(L228="AS", I228+15, L228="NCR", I228+30, L228="submitted", I228+30, TRUE, "N/A")), _xlfn.IFS(L228="AS", J228+15, L228="NCR", J228+30, L228="submitted", J228+30, TRUE, "N/A"))</f>
        <v>N/A</v>
      </c>
      <c r="L228" s="4"/>
      <c r="M228" s="317"/>
      <c r="N228" s="747"/>
      <c r="O228" s="748"/>
      <c r="P228" s="748"/>
      <c r="Q228" s="749"/>
    </row>
    <row r="229" spans="2:17" s="5" customFormat="1" ht="15" customHeight="1">
      <c r="B229" s="4"/>
      <c r="C229" s="829"/>
      <c r="D229" s="830"/>
      <c r="E229" s="35"/>
      <c r="F229" s="35"/>
      <c r="G229" s="4" t="s">
        <v>443</v>
      </c>
      <c r="H229" s="17" t="s">
        <v>2144</v>
      </c>
      <c r="I229" s="18"/>
      <c r="J229" s="18"/>
      <c r="K229" s="74" t="str" cm="1">
        <f t="array" ref="K229">IF(ISBLANK(J229), IF(ISBLANK(I229), "N/A", _xlfn.IFS(L229="AS", I229+15, L229="NCR", I229+30, L229="submitted", I229+30, TRUE, "N/A")), _xlfn.IFS(L229="AS", J229+15, L229="NCR", J229+30, L229="submitted", J229+30, TRUE, "N/A"))</f>
        <v>N/A</v>
      </c>
      <c r="L229" s="4"/>
    </row>
    <row r="230" spans="2:17" s="5" customFormat="1" ht="15" customHeight="1">
      <c r="B230" s="4"/>
      <c r="C230" s="826"/>
      <c r="D230" s="828"/>
      <c r="E230" s="36"/>
      <c r="F230" s="36"/>
      <c r="G230" s="4" t="s">
        <v>445</v>
      </c>
      <c r="H230" s="17" t="s">
        <v>353</v>
      </c>
      <c r="I230" s="18"/>
      <c r="J230" s="18"/>
      <c r="K230" s="74" t="str" cm="1">
        <f t="array" ref="K230">IF(ISBLANK(J230), IF(ISBLANK(I230), "N/A", _xlfn.IFS(L230="AS", I230+15, L230="NCR", I230+30, L230="submitted", I230+30, TRUE, "N/A")), _xlfn.IFS(L230="AS", J230+15, L230="NCR", J230+30, L230="submitted", J230+30, TRUE, "N/A"))</f>
        <v>N/A</v>
      </c>
      <c r="L230" s="4"/>
    </row>
    <row r="231" spans="2:17" s="1" customFormat="1" ht="15" customHeight="1">
      <c r="B231" s="9"/>
      <c r="C231" s="821" t="s">
        <v>2271</v>
      </c>
      <c r="D231" s="823" t="s">
        <v>2272</v>
      </c>
      <c r="E231" s="37"/>
      <c r="F231" s="37"/>
      <c r="G231" s="9" t="s">
        <v>336</v>
      </c>
      <c r="H231" s="13" t="s">
        <v>235</v>
      </c>
      <c r="I231" s="18"/>
      <c r="J231" s="18"/>
      <c r="K231" s="74" t="str" cm="1">
        <f t="array" ref="K231">IF(ISBLANK(J231), IF(ISBLANK(I231), "N/A", _xlfn.IFS(L231="AS", I231+15, L231="NCR", I231+30, L231="submitted", I231+30, TRUE, "N/A")), _xlfn.IFS(L231="AS", J231+15, L231="NCR", J231+30, L231="submitted", J231+30, TRUE, "N/A"))</f>
        <v>N/A</v>
      </c>
      <c r="L231" s="9"/>
    </row>
    <row r="232" spans="2:17" s="1" customFormat="1" ht="15" customHeight="1">
      <c r="B232" s="9"/>
      <c r="C232" s="822"/>
      <c r="D232" s="824"/>
      <c r="E232" s="39"/>
      <c r="F232" s="39"/>
      <c r="G232" s="9" t="s">
        <v>337</v>
      </c>
      <c r="H232" s="13" t="s">
        <v>282</v>
      </c>
      <c r="I232" s="18"/>
      <c r="J232" s="18"/>
      <c r="K232" s="74" t="str" cm="1">
        <f t="array" ref="K232">IF(ISBLANK(J232), IF(ISBLANK(I232), "N/A", _xlfn.IFS(L232="AS", I232+15, L232="NCR", I232+30, L232="submitted", I232+30, TRUE, "N/A")), _xlfn.IFS(L232="AS", J232+15, L232="NCR", J232+30, L232="submitted", J232+30, TRUE, "N/A"))</f>
        <v>N/A</v>
      </c>
      <c r="L232" s="9"/>
    </row>
    <row r="233" spans="2:17" s="1" customFormat="1" ht="53.25">
      <c r="B233" s="9"/>
      <c r="C233" s="822"/>
      <c r="D233" s="824"/>
      <c r="E233" s="39"/>
      <c r="F233" s="39"/>
      <c r="G233" s="9" t="s">
        <v>2089</v>
      </c>
      <c r="H233" s="7" t="s">
        <v>2226</v>
      </c>
      <c r="I233" s="18"/>
      <c r="J233" s="18"/>
      <c r="K233" s="74" t="str" cm="1">
        <f t="array" ref="K233">IF(ISBLANK(J233), IF(ISBLANK(I233), "N/A", _xlfn.IFS(L233="AS", I233+15, L233="NCR", I233+30, L233="submitted", I233+30, TRUE, "N/A")), _xlfn.IFS(L233="AS", J233+15, L233="NCR", J233+30, L233="submitted", J233+30, TRUE, "N/A"))</f>
        <v>N/A</v>
      </c>
      <c r="L233" s="9"/>
    </row>
    <row r="234" spans="2:17" s="1" customFormat="1" ht="15" customHeight="1">
      <c r="B234" s="9"/>
      <c r="C234" s="822"/>
      <c r="D234" s="824"/>
      <c r="E234" s="39"/>
      <c r="F234" s="39"/>
      <c r="G234" s="9" t="s">
        <v>405</v>
      </c>
      <c r="H234" s="13" t="s">
        <v>2127</v>
      </c>
      <c r="I234" s="18"/>
      <c r="J234" s="18"/>
      <c r="K234" s="74" t="str" cm="1">
        <f t="array" ref="K234">IF(ISBLANK(J234), IF(ISBLANK(I234), "N/A", _xlfn.IFS(L234="AS", I234+15, L234="NCR", I234+30, L234="submitted", I234+30, TRUE, "N/A")), _xlfn.IFS(L234="AS", J234+15, L234="NCR", J234+30, L234="submitted", J234+30, TRUE, "N/A"))</f>
        <v>N/A</v>
      </c>
      <c r="L234" s="9"/>
    </row>
    <row r="235" spans="2:17" s="1" customFormat="1" ht="27" customHeight="1">
      <c r="B235" s="9"/>
      <c r="C235" s="822"/>
      <c r="D235" s="824"/>
      <c r="E235" s="39"/>
      <c r="F235" s="39"/>
      <c r="G235" s="9" t="s">
        <v>406</v>
      </c>
      <c r="H235" s="7" t="s">
        <v>2172</v>
      </c>
      <c r="I235" s="18"/>
      <c r="J235" s="18"/>
      <c r="K235" s="74" t="str" cm="1">
        <f t="array" ref="K235">IF(ISBLANK(J235), IF(ISBLANK(I235), "N/A", _xlfn.IFS(L235="AS", I235+15, L235="NCR", I235+30, L235="submitted", I235+30, TRUE, "N/A")), _xlfn.IFS(L235="AS", J235+15, L235="NCR", J235+30, L235="submitted", J235+30, TRUE, "N/A"))</f>
        <v>N/A</v>
      </c>
      <c r="L235" s="9"/>
    </row>
    <row r="236" spans="2:17" s="1" customFormat="1" ht="15" customHeight="1">
      <c r="B236" s="9"/>
      <c r="C236" s="822"/>
      <c r="D236" s="824"/>
      <c r="E236" s="39"/>
      <c r="F236" s="39"/>
      <c r="G236" s="9" t="s">
        <v>408</v>
      </c>
      <c r="H236" s="13" t="s">
        <v>2273</v>
      </c>
      <c r="I236" s="18"/>
      <c r="J236" s="18"/>
      <c r="K236" s="74" t="str" cm="1">
        <f t="array" ref="K236">IF(ISBLANK(J236), IF(ISBLANK(I236), "N/A", _xlfn.IFS(L236="AS", I236+15, L236="NCR", I236+30, L236="submitted", I236+30, TRUE, "N/A")), _xlfn.IFS(L236="AS", J236+15, L236="NCR", J236+30, L236="submitted", J236+30, TRUE, "N/A"))</f>
        <v>N/A</v>
      </c>
      <c r="L236" s="9"/>
    </row>
    <row r="237" spans="2:17" s="1" customFormat="1" ht="15" customHeight="1">
      <c r="B237" s="9"/>
      <c r="C237" s="807"/>
      <c r="D237" s="809"/>
      <c r="E237" s="46"/>
      <c r="F237" s="46"/>
      <c r="G237" s="9" t="s">
        <v>441</v>
      </c>
      <c r="H237" s="13" t="s">
        <v>353</v>
      </c>
      <c r="I237" s="18"/>
      <c r="J237" s="18"/>
      <c r="K237" s="74" t="str" cm="1">
        <f t="array" ref="K237">IF(ISBLANK(J237), IF(ISBLANK(I237), "N/A", _xlfn.IFS(L237="AS", I237+15, L237="NCR", I237+30, L237="submitted", I237+30, TRUE, "N/A")), _xlfn.IFS(L237="AS", J237+15, L237="NCR", J237+30, L237="submitted", J237+30, TRUE, "N/A"))</f>
        <v>N/A</v>
      </c>
      <c r="L237" s="9"/>
    </row>
    <row r="238" spans="2:17" s="5" customFormat="1" ht="15" customHeight="1">
      <c r="B238" s="4"/>
      <c r="C238" s="825" t="s">
        <v>2274</v>
      </c>
      <c r="D238" s="827" t="s">
        <v>2275</v>
      </c>
      <c r="E238" s="34"/>
      <c r="F238" s="34"/>
      <c r="G238" s="4" t="s">
        <v>336</v>
      </c>
      <c r="H238" s="17" t="s">
        <v>235</v>
      </c>
      <c r="I238" s="18"/>
      <c r="J238" s="18"/>
      <c r="K238" s="74" t="str" cm="1">
        <f t="array" ref="K238">IF(ISBLANK(J238), IF(ISBLANK(I238), "N/A", _xlfn.IFS(L238="AS", I238+15, L238="NCR", I238+30, L238="submitted", I238+30, TRUE, "N/A")), _xlfn.IFS(L238="AS", J238+15, L238="NCR", J238+30, L238="submitted", J238+30, TRUE, "N/A"))</f>
        <v>N/A</v>
      </c>
      <c r="L238" s="4"/>
    </row>
    <row r="239" spans="2:17" s="5" customFormat="1" ht="15" customHeight="1">
      <c r="B239" s="4"/>
      <c r="C239" s="829"/>
      <c r="D239" s="830"/>
      <c r="E239" s="35"/>
      <c r="F239" s="35"/>
      <c r="G239" s="4" t="s">
        <v>337</v>
      </c>
      <c r="H239" s="17" t="s">
        <v>328</v>
      </c>
      <c r="I239" s="18"/>
      <c r="J239" s="18"/>
      <c r="K239" s="74" t="str" cm="1">
        <f t="array" ref="K239">IF(ISBLANK(J239), IF(ISBLANK(I239), "N/A", _xlfn.IFS(L239="AS", I239+15, L239="NCR", I239+30, L239="submitted", I239+30, TRUE, "N/A")), _xlfn.IFS(L239="AS", J239+15, L239="NCR", J239+30, L239="submitted", J239+30, TRUE, "N/A"))</f>
        <v>N/A</v>
      </c>
      <c r="L239" s="4"/>
    </row>
    <row r="240" spans="2:17" s="5" customFormat="1" ht="15" customHeight="1">
      <c r="B240" s="4"/>
      <c r="C240" s="829"/>
      <c r="D240" s="830"/>
      <c r="E240" s="35"/>
      <c r="F240" s="35"/>
      <c r="G240" s="4" t="s">
        <v>404</v>
      </c>
      <c r="H240" s="17" t="s">
        <v>353</v>
      </c>
      <c r="I240" s="18"/>
      <c r="J240" s="18"/>
      <c r="K240" s="74" t="str" cm="1">
        <f t="array" ref="K240">IF(ISBLANK(J240), IF(ISBLANK(I240), "N/A", _xlfn.IFS(L240="AS", I240+15, L240="NCR", I240+30, L240="submitted", I240+30, TRUE, "N/A")), _xlfn.IFS(L240="AS", J240+15, L240="NCR", J240+30, L240="submitted", J240+30, TRUE, "N/A"))</f>
        <v>N/A</v>
      </c>
      <c r="L240" s="4"/>
    </row>
    <row r="241" spans="2:12" s="5" customFormat="1" ht="40.5" customHeight="1">
      <c r="B241" s="4"/>
      <c r="C241" s="829"/>
      <c r="D241" s="830"/>
      <c r="E241" s="35"/>
      <c r="F241" s="35"/>
      <c r="G241" s="4" t="s">
        <v>340</v>
      </c>
      <c r="H241" s="3" t="s">
        <v>2190</v>
      </c>
      <c r="I241" s="18"/>
      <c r="J241" s="18"/>
      <c r="K241" s="74" t="str" cm="1">
        <f t="array" ref="K241">IF(ISBLANK(J241), IF(ISBLANK(I241), "N/A", _xlfn.IFS(L241="AS", I241+15, L241="NCR", I241+30, L241="submitted", I241+30, TRUE, "N/A")), _xlfn.IFS(L241="AS", J241+15, L241="NCR", J241+30, L241="submitted", J241+30, TRUE, "N/A"))</f>
        <v>N/A</v>
      </c>
      <c r="L241" s="4"/>
    </row>
    <row r="242" spans="2:12" s="5" customFormat="1" ht="15" customHeight="1">
      <c r="B242" s="4"/>
      <c r="C242" s="829"/>
      <c r="D242" s="830"/>
      <c r="E242" s="35"/>
      <c r="F242" s="35"/>
      <c r="G242" s="4" t="s">
        <v>406</v>
      </c>
      <c r="H242" s="17" t="s">
        <v>2127</v>
      </c>
      <c r="I242" s="18"/>
      <c r="J242" s="18"/>
      <c r="K242" s="74" t="str" cm="1">
        <f t="array" ref="K242">IF(ISBLANK(J242), IF(ISBLANK(I242), "N/A", _xlfn.IFS(L242="AS", I242+15, L242="NCR", I242+30, L242="submitted", I242+30, TRUE, "N/A")), _xlfn.IFS(L242="AS", J242+15, L242="NCR", J242+30, L242="submitted", J242+30, TRUE, "N/A"))</f>
        <v>N/A</v>
      </c>
      <c r="L242" s="4"/>
    </row>
    <row r="243" spans="2:12" s="5" customFormat="1" ht="15" customHeight="1">
      <c r="B243" s="4"/>
      <c r="C243" s="829"/>
      <c r="D243" s="830"/>
      <c r="E243" s="35"/>
      <c r="F243" s="35"/>
      <c r="G243" s="4" t="s">
        <v>746</v>
      </c>
      <c r="H243" s="17" t="s">
        <v>2215</v>
      </c>
      <c r="I243" s="18"/>
      <c r="J243" s="18"/>
      <c r="K243" s="74" t="str" cm="1">
        <f t="array" ref="K243">IF(ISBLANK(J243), IF(ISBLANK(I243), "N/A", _xlfn.IFS(L243="AS", I243+15, L243="NCR", I243+30, L243="submitted", I243+30, TRUE, "N/A")), _xlfn.IFS(L243="AS", J243+15, L243="NCR", J243+30, L243="submitted", J243+30, TRUE, "N/A"))</f>
        <v>N/A</v>
      </c>
      <c r="L243" s="4"/>
    </row>
    <row r="244" spans="2:12" s="5" customFormat="1" ht="27" customHeight="1">
      <c r="B244" s="4"/>
      <c r="C244" s="829"/>
      <c r="D244" s="830"/>
      <c r="E244" s="35"/>
      <c r="F244" s="35"/>
      <c r="G244" s="4" t="s">
        <v>892</v>
      </c>
      <c r="H244" s="3" t="s">
        <v>2191</v>
      </c>
      <c r="I244" s="18"/>
      <c r="J244" s="18"/>
      <c r="K244" s="74" t="str" cm="1">
        <f t="array" ref="K244">IF(ISBLANK(J244), IF(ISBLANK(I244), "N/A", _xlfn.IFS(L244="AS", I244+15, L244="NCR", I244+30, L244="submitted", I244+30, TRUE, "N/A")), _xlfn.IFS(L244="AS", J244+15, L244="NCR", J244+30, L244="submitted", J244+30, TRUE, "N/A"))</f>
        <v>N/A</v>
      </c>
      <c r="L244" s="4"/>
    </row>
    <row r="245" spans="2:12" s="5" customFormat="1" ht="15" customHeight="1">
      <c r="B245" s="4"/>
      <c r="C245" s="829"/>
      <c r="D245" s="830"/>
      <c r="E245" s="35"/>
      <c r="F245" s="35"/>
      <c r="G245" s="4" t="s">
        <v>1077</v>
      </c>
      <c r="H245" s="17" t="s">
        <v>2219</v>
      </c>
      <c r="I245" s="18"/>
      <c r="J245" s="18"/>
      <c r="K245" s="74" t="str" cm="1">
        <f t="array" ref="K245">IF(ISBLANK(J245), IF(ISBLANK(I245), "N/A", _xlfn.IFS(L245="AS", I245+15, L245="NCR", I245+30, L245="submitted", I245+30, TRUE, "N/A")), _xlfn.IFS(L245="AS", J245+15, L245="NCR", J245+30, L245="submitted", J245+30, TRUE, "N/A"))</f>
        <v>N/A</v>
      </c>
      <c r="L245" s="4"/>
    </row>
    <row r="246" spans="2:12" s="5" customFormat="1" ht="15" customHeight="1">
      <c r="B246" s="4"/>
      <c r="C246" s="826"/>
      <c r="D246" s="828"/>
      <c r="E246" s="36"/>
      <c r="F246" s="36"/>
      <c r="G246" s="4" t="s">
        <v>441</v>
      </c>
      <c r="H246" s="17" t="s">
        <v>2273</v>
      </c>
      <c r="I246" s="18"/>
      <c r="J246" s="18"/>
      <c r="K246" s="74" t="str" cm="1">
        <f t="array" ref="K246">IF(ISBLANK(J246), IF(ISBLANK(I246), "N/A", _xlfn.IFS(L246="AS", I246+15, L246="NCR", I246+30, L246="submitted", I246+30, TRUE, "N/A")), _xlfn.IFS(L246="AS", J246+15, L246="NCR", J246+30, L246="submitted", J246+30, TRUE, "N/A"))</f>
        <v>N/A</v>
      </c>
      <c r="L246" s="4"/>
    </row>
    <row r="247" spans="2:12" s="1" customFormat="1" ht="15" customHeight="1">
      <c r="B247" s="9"/>
      <c r="C247" s="821" t="s">
        <v>2276</v>
      </c>
      <c r="D247" s="823" t="s">
        <v>2277</v>
      </c>
      <c r="E247" s="37"/>
      <c r="F247" s="37"/>
      <c r="G247" s="9" t="s">
        <v>336</v>
      </c>
      <c r="H247" s="13" t="s">
        <v>235</v>
      </c>
      <c r="I247" s="18"/>
      <c r="J247" s="18"/>
      <c r="K247" s="74" t="str" cm="1">
        <f t="array" ref="K247">IF(ISBLANK(J247), IF(ISBLANK(I247), "N/A", _xlfn.IFS(L247="AS", I247+15, L247="NCR", I247+30, L247="submitted", I247+30, TRUE, "N/A")), _xlfn.IFS(L247="AS", J247+15, L247="NCR", J247+30, L247="submitted", J247+30, TRUE, "N/A"))</f>
        <v>N/A</v>
      </c>
      <c r="L247" s="9"/>
    </row>
    <row r="248" spans="2:12" s="1" customFormat="1" ht="15" customHeight="1">
      <c r="B248" s="9"/>
      <c r="C248" s="822"/>
      <c r="D248" s="824"/>
      <c r="E248" s="39"/>
      <c r="F248" s="39"/>
      <c r="G248" s="9" t="s">
        <v>337</v>
      </c>
      <c r="H248" s="13" t="s">
        <v>282</v>
      </c>
      <c r="I248" s="18"/>
      <c r="J248" s="18"/>
      <c r="K248" s="74" t="str" cm="1">
        <f t="array" ref="K248">IF(ISBLANK(J248), IF(ISBLANK(I248), "N/A", _xlfn.IFS(L248="AS", I248+15, L248="NCR", I248+30, L248="submitted", I248+30, TRUE, "N/A")), _xlfn.IFS(L248="AS", J248+15, L248="NCR", J248+30, L248="submitted", J248+30, TRUE, "N/A"))</f>
        <v>N/A</v>
      </c>
      <c r="L248" s="9"/>
    </row>
    <row r="249" spans="2:12" s="1" customFormat="1" ht="40.5" customHeight="1">
      <c r="B249" s="9"/>
      <c r="C249" s="822"/>
      <c r="D249" s="824"/>
      <c r="E249" s="39"/>
      <c r="F249" s="39"/>
      <c r="G249" s="9" t="s">
        <v>338</v>
      </c>
      <c r="H249" s="7" t="s">
        <v>2231</v>
      </c>
      <c r="I249" s="18"/>
      <c r="J249" s="18"/>
      <c r="K249" s="74" t="str" cm="1">
        <f t="array" ref="K249">IF(ISBLANK(J249), IF(ISBLANK(I249), "N/A", _xlfn.IFS(L249="AS", I249+15, L249="NCR", I249+30, L249="submitted", I249+30, TRUE, "N/A")), _xlfn.IFS(L249="AS", J249+15, L249="NCR", J249+30, L249="submitted", J249+30, TRUE, "N/A"))</f>
        <v>N/A</v>
      </c>
      <c r="L249" s="9"/>
    </row>
    <row r="250" spans="2:12" s="1" customFormat="1" ht="15" customHeight="1">
      <c r="B250" s="9"/>
      <c r="C250" s="822"/>
      <c r="D250" s="824"/>
      <c r="E250" s="39"/>
      <c r="F250" s="39"/>
      <c r="G250" s="9" t="s">
        <v>405</v>
      </c>
      <c r="H250" s="13" t="s">
        <v>2127</v>
      </c>
      <c r="I250" s="18"/>
      <c r="J250" s="18"/>
      <c r="K250" s="74" t="str" cm="1">
        <f t="array" ref="K250">IF(ISBLANK(J250), IF(ISBLANK(I250), "N/A", _xlfn.IFS(L250="AS", I250+15, L250="NCR", I250+30, L250="submitted", I250+30, TRUE, "N/A")), _xlfn.IFS(L250="AS", J250+15, L250="NCR", J250+30, L250="submitted", J250+30, TRUE, "N/A"))</f>
        <v>N/A</v>
      </c>
      <c r="L250" s="9"/>
    </row>
    <row r="251" spans="2:12" s="1" customFormat="1" ht="40.5" customHeight="1">
      <c r="B251" s="9"/>
      <c r="C251" s="822"/>
      <c r="D251" s="824"/>
      <c r="E251" s="39"/>
      <c r="F251" s="39"/>
      <c r="G251" s="9" t="s">
        <v>346</v>
      </c>
      <c r="H251" s="7" t="s">
        <v>2209</v>
      </c>
      <c r="I251" s="18"/>
      <c r="J251" s="18"/>
      <c r="K251" s="74" t="str" cm="1">
        <f t="array" ref="K251">IF(ISBLANK(J251), IF(ISBLANK(I251), "N/A", _xlfn.IFS(L251="AS", I251+15, L251="NCR", I251+30, L251="submitted", I251+30, TRUE, "N/A")), _xlfn.IFS(L251="AS", J251+15, L251="NCR", J251+30, L251="submitted", J251+30, TRUE, "N/A"))</f>
        <v>N/A</v>
      </c>
      <c r="L251" s="9"/>
    </row>
    <row r="252" spans="2:12" s="1" customFormat="1" ht="27" customHeight="1">
      <c r="B252" s="9"/>
      <c r="C252" s="822"/>
      <c r="D252" s="824"/>
      <c r="E252" s="39"/>
      <c r="F252" s="39"/>
      <c r="G252" s="9" t="s">
        <v>745</v>
      </c>
      <c r="H252" s="7" t="s">
        <v>2210</v>
      </c>
      <c r="I252" s="18"/>
      <c r="J252" s="18"/>
      <c r="K252" s="74" t="str" cm="1">
        <f t="array" ref="K252">IF(ISBLANK(J252), IF(ISBLANK(I252), "N/A", _xlfn.IFS(L252="AS", I252+15, L252="NCR", I252+30, L252="submitted", I252+30, TRUE, "N/A")), _xlfn.IFS(L252="AS", J252+15, L252="NCR", J252+30, L252="submitted", J252+30, TRUE, "N/A"))</f>
        <v>N/A</v>
      </c>
      <c r="L252" s="9"/>
    </row>
    <row r="253" spans="2:12" s="1" customFormat="1" ht="15" customHeight="1">
      <c r="B253" s="9"/>
      <c r="C253" s="822"/>
      <c r="D253" s="824"/>
      <c r="E253" s="39"/>
      <c r="F253" s="39"/>
      <c r="G253" s="9" t="s">
        <v>408</v>
      </c>
      <c r="H253" s="13" t="s">
        <v>380</v>
      </c>
      <c r="I253" s="18"/>
      <c r="J253" s="18"/>
      <c r="K253" s="74" t="str" cm="1">
        <f t="array" ref="K253">IF(ISBLANK(J253), IF(ISBLANK(I253), "N/A", _xlfn.IFS(L253="AS", I253+15, L253="NCR", I253+30, L253="submitted", I253+30, TRUE, "N/A")), _xlfn.IFS(L253="AS", J253+15, L253="NCR", J253+30, L253="submitted", J253+30, TRUE, "N/A"))</f>
        <v>N/A</v>
      </c>
      <c r="L253" s="9"/>
    </row>
    <row r="254" spans="2:12" s="1" customFormat="1" ht="15" customHeight="1">
      <c r="B254" s="9"/>
      <c r="C254" s="822"/>
      <c r="D254" s="824"/>
      <c r="E254" s="39"/>
      <c r="F254" s="39"/>
      <c r="G254" s="9" t="s">
        <v>441</v>
      </c>
      <c r="H254" s="13" t="s">
        <v>353</v>
      </c>
      <c r="I254" s="18"/>
      <c r="J254" s="18"/>
      <c r="K254" s="74" t="str" cm="1">
        <f t="array" ref="K254">IF(ISBLANK(J254), IF(ISBLANK(I254), "N/A", _xlfn.IFS(L254="AS", I254+15, L254="NCR", I254+30, L254="submitted", I254+30, TRUE, "N/A")), _xlfn.IFS(L254="AS", J254+15, L254="NCR", J254+30, L254="submitted", J254+30, TRUE, "N/A"))</f>
        <v>N/A</v>
      </c>
      <c r="L254" s="9"/>
    </row>
    <row r="255" spans="2:12" s="1" customFormat="1" ht="15" customHeight="1">
      <c r="B255" s="9"/>
      <c r="C255" s="822"/>
      <c r="D255" s="824"/>
      <c r="E255" s="39"/>
      <c r="F255" s="39"/>
      <c r="G255" s="9" t="s">
        <v>2278</v>
      </c>
      <c r="H255" s="13" t="s">
        <v>2232</v>
      </c>
      <c r="I255" s="18"/>
      <c r="J255" s="18"/>
      <c r="K255" s="74" t="str" cm="1">
        <f t="array" ref="K255">IF(ISBLANK(J255), IF(ISBLANK(I255), "N/A", _xlfn.IFS(L255="AS", I255+15, L255="NCR", I255+30, L255="submitted", I255+30, TRUE, "N/A")), _xlfn.IFS(L255="AS", J255+15, L255="NCR", J255+30, L255="submitted", J255+30, TRUE, "N/A"))</f>
        <v>N/A</v>
      </c>
      <c r="L255" s="9"/>
    </row>
    <row r="256" spans="2:12" s="1" customFormat="1" ht="15" customHeight="1">
      <c r="B256" s="9"/>
      <c r="C256" s="822"/>
      <c r="D256" s="824"/>
      <c r="E256" s="39"/>
      <c r="F256" s="39"/>
      <c r="G256" s="9" t="s">
        <v>2279</v>
      </c>
      <c r="H256" s="13" t="s">
        <v>2180</v>
      </c>
      <c r="I256" s="18"/>
      <c r="J256" s="18"/>
      <c r="K256" s="74" t="str" cm="1">
        <f t="array" ref="K256">IF(ISBLANK(J256), IF(ISBLANK(I256), "N/A", _xlfn.IFS(L256="AS", I256+15, L256="NCR", I256+30, L256="submitted", I256+30, TRUE, "N/A")), _xlfn.IFS(L256="AS", J256+15, L256="NCR", J256+30, L256="submitted", J256+30, TRUE, "N/A"))</f>
        <v>N/A</v>
      </c>
      <c r="L256" s="9"/>
    </row>
    <row r="257" spans="2:12" s="1" customFormat="1" ht="15" customHeight="1">
      <c r="B257" s="9"/>
      <c r="C257" s="822"/>
      <c r="D257" s="824"/>
      <c r="E257" s="39"/>
      <c r="F257" s="39"/>
      <c r="G257" s="9" t="s">
        <v>2280</v>
      </c>
      <c r="H257" s="13" t="s">
        <v>426</v>
      </c>
      <c r="I257" s="18"/>
      <c r="J257" s="18"/>
      <c r="K257" s="74" t="str" cm="1">
        <f t="array" ref="K257">IF(ISBLANK(J257), IF(ISBLANK(I257), "N/A", _xlfn.IFS(L257="AS", I257+15, L257="NCR", I257+30, L257="submitted", I257+30, TRUE, "N/A")), _xlfn.IFS(L257="AS", J257+15, L257="NCR", J257+30, L257="submitted", J257+30, TRUE, "N/A"))</f>
        <v>N/A</v>
      </c>
      <c r="L257" s="9"/>
    </row>
    <row r="258" spans="2:12" s="1" customFormat="1" ht="15" customHeight="1">
      <c r="B258" s="9"/>
      <c r="C258" s="822"/>
      <c r="D258" s="824"/>
      <c r="E258" s="39"/>
      <c r="F258" s="39"/>
      <c r="G258" s="9" t="s">
        <v>2281</v>
      </c>
      <c r="H258" s="13" t="s">
        <v>2199</v>
      </c>
      <c r="I258" s="18"/>
      <c r="J258" s="18"/>
      <c r="K258" s="74" t="str" cm="1">
        <f t="array" ref="K258">IF(ISBLANK(J258), IF(ISBLANK(I258), "N/A", _xlfn.IFS(L258="AS", I258+15, L258="NCR", I258+30, L258="submitted", I258+30, TRUE, "N/A")), _xlfn.IFS(L258="AS", J258+15, L258="NCR", J258+30, L258="submitted", J258+30, TRUE, "N/A"))</f>
        <v>N/A</v>
      </c>
      <c r="L258" s="9"/>
    </row>
    <row r="259" spans="2:12" s="1" customFormat="1" ht="15" customHeight="1">
      <c r="B259" s="9"/>
      <c r="C259" s="807"/>
      <c r="D259" s="809"/>
      <c r="E259" s="46"/>
      <c r="F259" s="46"/>
      <c r="G259" s="9" t="s">
        <v>2282</v>
      </c>
      <c r="H259" s="13" t="s">
        <v>2202</v>
      </c>
      <c r="I259" s="18"/>
      <c r="J259" s="18"/>
      <c r="K259" s="74" t="str" cm="1">
        <f t="array" ref="K259">IF(ISBLANK(J259), IF(ISBLANK(I259), "N/A", _xlfn.IFS(L259="AS", I259+15, L259="NCR", I259+30, L259="submitted", I259+30, TRUE, "N/A")), _xlfn.IFS(L259="AS", J259+15, L259="NCR", J259+30, L259="submitted", J259+30, TRUE, "N/A"))</f>
        <v>N/A</v>
      </c>
      <c r="L259" s="9"/>
    </row>
    <row r="260" spans="2:12" s="5" customFormat="1" ht="15" customHeight="1">
      <c r="B260" s="4"/>
      <c r="C260" s="825" t="s">
        <v>2283</v>
      </c>
      <c r="D260" s="827" t="s">
        <v>2284</v>
      </c>
      <c r="E260" s="34"/>
      <c r="F260" s="34"/>
      <c r="G260" s="4" t="s">
        <v>336</v>
      </c>
      <c r="H260" s="17" t="s">
        <v>235</v>
      </c>
      <c r="I260" s="18"/>
      <c r="J260" s="18"/>
      <c r="K260" s="74" t="str" cm="1">
        <f t="array" ref="K260">IF(ISBLANK(J260), IF(ISBLANK(I260), "N/A", _xlfn.IFS(L260="AS", I260+15, L260="NCR", I260+30, L260="submitted", I260+30, TRUE, "N/A")), _xlfn.IFS(L260="AS", J260+15, L260="NCR", J260+30, L260="submitted", J260+30, TRUE, "N/A"))</f>
        <v>N/A</v>
      </c>
      <c r="L260" s="4"/>
    </row>
    <row r="261" spans="2:12" s="5" customFormat="1" ht="40.5" customHeight="1">
      <c r="B261" s="4"/>
      <c r="C261" s="829"/>
      <c r="D261" s="830"/>
      <c r="E261" s="35"/>
      <c r="F261" s="35"/>
      <c r="G261" s="4" t="s">
        <v>240</v>
      </c>
      <c r="H261" s="3" t="s">
        <v>2285</v>
      </c>
      <c r="I261" s="18"/>
      <c r="J261" s="18"/>
      <c r="K261" s="74" t="str" cm="1">
        <f t="array" ref="K261">IF(ISBLANK(J261), IF(ISBLANK(I261), "N/A", _xlfn.IFS(L261="AS", I261+15, L261="NCR", I261+30, L261="submitted", I261+30, TRUE, "N/A")), _xlfn.IFS(L261="AS", J261+15, L261="NCR", J261+30, L261="submitted", J261+30, TRUE, "N/A"))</f>
        <v>N/A</v>
      </c>
      <c r="L261" s="4"/>
    </row>
    <row r="262" spans="2:12" s="5" customFormat="1" ht="15" customHeight="1">
      <c r="B262" s="4"/>
      <c r="C262" s="826"/>
      <c r="D262" s="828"/>
      <c r="E262" s="36"/>
      <c r="F262" s="36"/>
      <c r="G262" s="4" t="s">
        <v>404</v>
      </c>
      <c r="H262" s="17" t="s">
        <v>2125</v>
      </c>
      <c r="I262" s="18"/>
      <c r="J262" s="18"/>
      <c r="K262" s="74" t="str" cm="1">
        <f t="array" ref="K262">IF(ISBLANK(J262), IF(ISBLANK(I262), "N/A", _xlfn.IFS(L262="AS", I262+15, L262="NCR", I262+30, L262="submitted", I262+30, TRUE, "N/A")), _xlfn.IFS(L262="AS", J262+15, L262="NCR", J262+30, L262="submitted", J262+30, TRUE, "N/A"))</f>
        <v>N/A</v>
      </c>
      <c r="L262" s="4"/>
    </row>
    <row r="263" spans="2:12" s="1" customFormat="1" ht="15" customHeight="1">
      <c r="B263" s="9"/>
      <c r="C263" s="821" t="s">
        <v>2286</v>
      </c>
      <c r="D263" s="823" t="s">
        <v>2287</v>
      </c>
      <c r="E263" s="37"/>
      <c r="F263" s="37"/>
      <c r="G263" s="9" t="s">
        <v>281</v>
      </c>
      <c r="H263" s="13" t="s">
        <v>235</v>
      </c>
      <c r="I263" s="18"/>
      <c r="J263" s="18"/>
      <c r="K263" s="74" t="str" cm="1">
        <f t="array" ref="K263">IF(ISBLANK(J263), IF(ISBLANK(I263), "N/A", _xlfn.IFS(L263="AS", I263+15, L263="NCR", I263+30, L263="submitted", I263+30, TRUE, "N/A")), _xlfn.IFS(L263="AS", J263+15, L263="NCR", J263+30, L263="submitted", J263+30, TRUE, "N/A"))</f>
        <v>N/A</v>
      </c>
      <c r="L263" s="9"/>
    </row>
    <row r="264" spans="2:12" s="1" customFormat="1" ht="15" customHeight="1">
      <c r="B264" s="9"/>
      <c r="C264" s="822"/>
      <c r="D264" s="824"/>
      <c r="E264" s="39"/>
      <c r="F264" s="39"/>
      <c r="G264" s="9" t="s">
        <v>269</v>
      </c>
      <c r="H264" s="13" t="s">
        <v>282</v>
      </c>
      <c r="I264" s="18"/>
      <c r="J264" s="18"/>
      <c r="K264" s="74" t="str" cm="1">
        <f t="array" ref="K264">IF(ISBLANK(J264), IF(ISBLANK(I264), "N/A", _xlfn.IFS(L264="AS", I264+15, L264="NCR", I264+30, L264="submitted", I264+30, TRUE, "N/A")), _xlfn.IFS(L264="AS", J264+15, L264="NCR", J264+30, L264="submitted", J264+30, TRUE, "N/A"))</f>
        <v>N/A</v>
      </c>
      <c r="L264" s="9"/>
    </row>
    <row r="265" spans="2:12" s="1" customFormat="1" ht="15" customHeight="1">
      <c r="B265" s="9"/>
      <c r="C265" s="822"/>
      <c r="D265" s="824"/>
      <c r="E265" s="39"/>
      <c r="F265" s="39"/>
      <c r="G265" s="9" t="s">
        <v>259</v>
      </c>
      <c r="H265" s="13" t="s">
        <v>490</v>
      </c>
      <c r="I265" s="18"/>
      <c r="J265" s="18"/>
      <c r="K265" s="74" t="str" cm="1">
        <f t="array" ref="K265">IF(ISBLANK(J265), IF(ISBLANK(I265), "N/A", _xlfn.IFS(L265="AS", I265+15, L265="NCR", I265+30, L265="submitted", I265+30, TRUE, "N/A")), _xlfn.IFS(L265="AS", J265+15, L265="NCR", J265+30, L265="submitted", J265+30, TRUE, "N/A"))</f>
        <v>N/A</v>
      </c>
      <c r="L265" s="9"/>
    </row>
    <row r="266" spans="2:12" s="1" customFormat="1" ht="15" customHeight="1">
      <c r="B266" s="9"/>
      <c r="C266" s="807"/>
      <c r="D266" s="809"/>
      <c r="E266" s="46"/>
      <c r="F266" s="46"/>
      <c r="G266" s="9" t="s">
        <v>352</v>
      </c>
      <c r="H266" s="13" t="s">
        <v>2144</v>
      </c>
      <c r="I266" s="18"/>
      <c r="J266" s="18"/>
      <c r="K266" s="74" t="str" cm="1">
        <f t="array" ref="K266">IF(ISBLANK(J266), IF(ISBLANK(I266), "N/A", _xlfn.IFS(L266="AS", I266+15, L266="NCR", I266+30, L266="submitted", I266+30, TRUE, "N/A")), _xlfn.IFS(L266="AS", J266+15, L266="NCR", J266+30, L266="submitted", J266+30, TRUE, "N/A"))</f>
        <v>N/A</v>
      </c>
      <c r="L266" s="9"/>
    </row>
    <row r="267" spans="2:12" s="5" customFormat="1" ht="15" customHeight="1">
      <c r="B267" s="4"/>
      <c r="C267" s="825" t="s">
        <v>2288</v>
      </c>
      <c r="D267" s="827" t="s">
        <v>2289</v>
      </c>
      <c r="E267" s="34"/>
      <c r="F267" s="34"/>
      <c r="G267" s="4" t="s">
        <v>336</v>
      </c>
      <c r="H267" s="17" t="s">
        <v>235</v>
      </c>
      <c r="I267" s="18"/>
      <c r="J267" s="18"/>
      <c r="K267" s="74" t="str" cm="1">
        <f t="array" ref="K267">IF(ISBLANK(J267), IF(ISBLANK(I267), "N/A", _xlfn.IFS(L267="AS", I267+15, L267="NCR", I267+30, L267="submitted", I267+30, TRUE, "N/A")), _xlfn.IFS(L267="AS", J267+15, L267="NCR", J267+30, L267="submitted", J267+30, TRUE, "N/A"))</f>
        <v>N/A</v>
      </c>
      <c r="L267" s="4"/>
    </row>
    <row r="268" spans="2:12" s="5" customFormat="1" ht="15" customHeight="1">
      <c r="B268" s="4"/>
      <c r="C268" s="829"/>
      <c r="D268" s="830"/>
      <c r="E268" s="35"/>
      <c r="F268" s="35"/>
      <c r="G268" s="4" t="s">
        <v>240</v>
      </c>
      <c r="H268" s="17" t="s">
        <v>2290</v>
      </c>
      <c r="I268" s="18"/>
      <c r="J268" s="18"/>
      <c r="K268" s="74" t="str" cm="1">
        <f t="array" ref="K268">IF(ISBLANK(J268), IF(ISBLANK(I268), "N/A", _xlfn.IFS(L268="AS", I268+15, L268="NCR", I268+30, L268="submitted", I268+30, TRUE, "N/A")), _xlfn.IFS(L268="AS", J268+15, L268="NCR", J268+30, L268="submitted", J268+30, TRUE, "N/A"))</f>
        <v>N/A</v>
      </c>
      <c r="L268" s="4"/>
    </row>
    <row r="269" spans="2:12" s="5" customFormat="1" ht="53.25">
      <c r="B269" s="4"/>
      <c r="C269" s="829"/>
      <c r="D269" s="830"/>
      <c r="E269" s="35"/>
      <c r="F269" s="35"/>
      <c r="G269" s="4" t="s">
        <v>242</v>
      </c>
      <c r="H269" s="3" t="s">
        <v>2291</v>
      </c>
      <c r="I269" s="18"/>
      <c r="J269" s="18"/>
      <c r="K269" s="74" t="str" cm="1">
        <f t="array" ref="K269">IF(ISBLANK(J269), IF(ISBLANK(I269), "N/A", _xlfn.IFS(L269="AS", I269+15, L269="NCR", I269+30, L269="submitted", I269+30, TRUE, "N/A")), _xlfn.IFS(L269="AS", J269+15, L269="NCR", J269+30, L269="submitted", J269+30, TRUE, "N/A"))</f>
        <v>N/A</v>
      </c>
      <c r="L269" s="4"/>
    </row>
    <row r="270" spans="2:12" s="5" customFormat="1" ht="27" customHeight="1">
      <c r="B270" s="4"/>
      <c r="C270" s="829"/>
      <c r="D270" s="830"/>
      <c r="E270" s="35"/>
      <c r="F270" s="35"/>
      <c r="G270" s="4" t="s">
        <v>1232</v>
      </c>
      <c r="H270" s="3" t="s">
        <v>2292</v>
      </c>
      <c r="I270" s="18"/>
      <c r="J270" s="18"/>
      <c r="K270" s="74" t="str" cm="1">
        <f t="array" ref="K270">IF(ISBLANK(J270), IF(ISBLANK(I270), "N/A", _xlfn.IFS(L270="AS", I270+15, L270="NCR", I270+30, L270="submitted", I270+30, TRUE, "N/A")), _xlfn.IFS(L270="AS", J270+15, L270="NCR", J270+30, L270="submitted", J270+30, TRUE, "N/A"))</f>
        <v>N/A</v>
      </c>
      <c r="L270" s="4"/>
    </row>
    <row r="271" spans="2:12" s="5" customFormat="1" ht="27" customHeight="1">
      <c r="B271" s="4"/>
      <c r="C271" s="829"/>
      <c r="D271" s="830"/>
      <c r="E271" s="35"/>
      <c r="F271" s="35"/>
      <c r="G271" s="4" t="s">
        <v>1234</v>
      </c>
      <c r="H271" s="3" t="s">
        <v>2293</v>
      </c>
      <c r="I271" s="18"/>
      <c r="J271" s="18"/>
      <c r="K271" s="74" t="str" cm="1">
        <f t="array" ref="K271">IF(ISBLANK(J271), IF(ISBLANK(I271), "N/A", _xlfn.IFS(L271="AS", I271+15, L271="NCR", I271+30, L271="submitted", I271+30, TRUE, "N/A")), _xlfn.IFS(L271="AS", J271+15, L271="NCR", J271+30, L271="submitted", J271+30, TRUE, "N/A"))</f>
        <v>N/A</v>
      </c>
      <c r="L271" s="4"/>
    </row>
    <row r="272" spans="2:12" s="5" customFormat="1" ht="15" customHeight="1">
      <c r="B272" s="4"/>
      <c r="C272" s="829"/>
      <c r="D272" s="830"/>
      <c r="E272" s="35"/>
      <c r="F272" s="35"/>
      <c r="G272" s="4" t="s">
        <v>1236</v>
      </c>
      <c r="H272" s="17" t="s">
        <v>2294</v>
      </c>
      <c r="I272" s="18"/>
      <c r="J272" s="18"/>
      <c r="K272" s="74" t="str" cm="1">
        <f t="array" ref="K272">IF(ISBLANK(J272), IF(ISBLANK(I272), "N/A", _xlfn.IFS(L272="AS", I272+15, L272="NCR", I272+30, L272="submitted", I272+30, TRUE, "N/A")), _xlfn.IFS(L272="AS", J272+15, L272="NCR", J272+30, L272="submitted", J272+30, TRUE, "N/A"))</f>
        <v>N/A</v>
      </c>
      <c r="L272" s="4"/>
    </row>
    <row r="273" spans="2:14" s="5" customFormat="1" ht="27" customHeight="1">
      <c r="B273" s="4"/>
      <c r="C273" s="829"/>
      <c r="D273" s="830"/>
      <c r="E273" s="35"/>
      <c r="F273" s="35"/>
      <c r="G273" s="4" t="s">
        <v>1238</v>
      </c>
      <c r="H273" s="3" t="s">
        <v>2295</v>
      </c>
      <c r="I273" s="18"/>
      <c r="J273" s="18"/>
      <c r="K273" s="74" t="str" cm="1">
        <f t="array" ref="K273">IF(ISBLANK(J273), IF(ISBLANK(I273), "N/A", _xlfn.IFS(L273="AS", I273+15, L273="NCR", I273+30, L273="submitted", I273+30, TRUE, "N/A")), _xlfn.IFS(L273="AS", J273+15, L273="NCR", J273+30, L273="submitted", J273+30, TRUE, "N/A"))</f>
        <v>N/A</v>
      </c>
      <c r="L273" s="4"/>
    </row>
    <row r="274" spans="2:14" s="5" customFormat="1" ht="27" customHeight="1">
      <c r="B274" s="4"/>
      <c r="C274" s="829"/>
      <c r="D274" s="830"/>
      <c r="E274" s="35"/>
      <c r="F274" s="35"/>
      <c r="G274" s="4" t="s">
        <v>404</v>
      </c>
      <c r="H274" s="3" t="s">
        <v>2296</v>
      </c>
      <c r="I274" s="18"/>
      <c r="J274" s="18"/>
      <c r="K274" s="74" t="str" cm="1">
        <f t="array" ref="K274">IF(ISBLANK(J274), IF(ISBLANK(I274), "N/A", _xlfn.IFS(L274="AS", I274+15, L274="NCR", I274+30, L274="submitted", I274+30, TRUE, "N/A")), _xlfn.IFS(L274="AS", J274+15, L274="NCR", J274+30, L274="submitted", J274+30, TRUE, "N/A"))</f>
        <v>N/A</v>
      </c>
      <c r="L274" s="4"/>
    </row>
    <row r="275" spans="2:14" s="5" customFormat="1" ht="15" customHeight="1">
      <c r="B275" s="4"/>
      <c r="C275" s="829"/>
      <c r="D275" s="830"/>
      <c r="E275" s="35"/>
      <c r="F275" s="35"/>
      <c r="G275" s="4" t="s">
        <v>405</v>
      </c>
      <c r="H275" s="17" t="s">
        <v>2297</v>
      </c>
      <c r="I275" s="18"/>
      <c r="J275" s="18"/>
      <c r="K275" s="74" t="str" cm="1">
        <f t="array" ref="K275">IF(ISBLANK(J275), IF(ISBLANK(I275), "N/A", _xlfn.IFS(L275="AS", I275+15, L275="NCR", I275+30, L275="submitted", I275+30, TRUE, "N/A")), _xlfn.IFS(L275="AS", J275+15, L275="NCR", J275+30, L275="submitted", J275+30, TRUE, "N/A"))</f>
        <v>N/A</v>
      </c>
      <c r="L275" s="4"/>
    </row>
    <row r="276" spans="2:14" s="5" customFormat="1" ht="15" customHeight="1">
      <c r="B276" s="4"/>
      <c r="C276" s="826"/>
      <c r="D276" s="828"/>
      <c r="E276" s="36"/>
      <c r="F276" s="36"/>
      <c r="G276" s="4" t="s">
        <v>406</v>
      </c>
      <c r="H276" s="17" t="s">
        <v>2298</v>
      </c>
      <c r="I276" s="18"/>
      <c r="J276" s="18"/>
      <c r="K276" s="74" t="str" cm="1">
        <f t="array" ref="K276">IF(ISBLANK(J276), IF(ISBLANK(I276), "N/A", _xlfn.IFS(L276="AS", I276+15, L276="NCR", I276+30, L276="submitted", I276+30, TRUE, "N/A")), _xlfn.IFS(L276="AS", J276+15, L276="NCR", J276+30, L276="submitted", J276+30, TRUE, "N/A"))</f>
        <v>N/A</v>
      </c>
      <c r="L276" s="4"/>
    </row>
    <row r="277" spans="2:14" s="1" customFormat="1" ht="15" customHeight="1">
      <c r="B277" s="9"/>
      <c r="C277" s="821" t="s">
        <v>2299</v>
      </c>
      <c r="D277" s="823" t="s">
        <v>2300</v>
      </c>
      <c r="E277" s="37"/>
      <c r="F277" s="37"/>
      <c r="G277" s="9" t="s">
        <v>281</v>
      </c>
      <c r="H277" s="13" t="s">
        <v>2301</v>
      </c>
      <c r="I277" s="18"/>
      <c r="J277" s="18"/>
      <c r="K277" s="74" t="str" cm="1">
        <f t="array" ref="K277">IF(ISBLANK(J277), IF(ISBLANK(I277), "N/A", _xlfn.IFS(L277="AS", I277+15, L277="NCR", I277+30, L277="submitted", I277+30, TRUE, "N/A")), _xlfn.IFS(L277="AS", J277+15, L277="NCR", J277+30, L277="submitted", J277+30, TRUE, "N/A"))</f>
        <v>N/A</v>
      </c>
      <c r="L277" s="9"/>
      <c r="M277" s="317"/>
      <c r="N277" s="747"/>
    </row>
    <row r="278" spans="2:14" s="1" customFormat="1" ht="15" customHeight="1">
      <c r="B278" s="38"/>
      <c r="C278" s="822"/>
      <c r="D278" s="824"/>
      <c r="E278" s="39"/>
      <c r="F278" s="39"/>
      <c r="G278" s="38" t="s">
        <v>269</v>
      </c>
      <c r="H278" s="37" t="s">
        <v>2302</v>
      </c>
      <c r="I278" s="18"/>
      <c r="J278" s="18"/>
      <c r="K278" s="74" t="str" cm="1">
        <f t="array" ref="K278">IF(ISBLANK(J278), IF(ISBLANK(I278), "N/A", _xlfn.IFS(L278="AS", I278+15, L278="NCR", I278+30, L278="submitted", I278+30, TRUE, "N/A")), _xlfn.IFS(L278="AS", J278+15, L278="NCR", J278+30, L278="submitted", J278+30, TRUE, "N/A"))</f>
        <v>N/A</v>
      </c>
      <c r="L278" s="38"/>
      <c r="M278" s="317"/>
      <c r="N278" s="747"/>
    </row>
    <row r="279" spans="2:14" s="1" customFormat="1" ht="15" customHeight="1">
      <c r="B279" s="38"/>
      <c r="C279" s="822"/>
      <c r="D279" s="824"/>
      <c r="E279" s="39"/>
      <c r="F279" s="39"/>
      <c r="G279" s="38" t="s">
        <v>259</v>
      </c>
      <c r="H279" s="37" t="s">
        <v>2303</v>
      </c>
      <c r="I279" s="18"/>
      <c r="J279" s="18"/>
      <c r="K279" s="74" t="str" cm="1">
        <f t="array" ref="K279">IF(ISBLANK(J279), IF(ISBLANK(I279), "N/A", _xlfn.IFS(L279="AS", I279+15, L279="NCR", I279+30, L279="submitted", I279+30, TRUE, "N/A")), _xlfn.IFS(L279="AS", J279+15, L279="NCR", J279+30, L279="submitted", J279+30, TRUE, "N/A"))</f>
        <v>N/A</v>
      </c>
      <c r="L279" s="38"/>
      <c r="M279" s="317"/>
      <c r="N279" s="747"/>
    </row>
    <row r="280" spans="2:14" s="1" customFormat="1" ht="15" customHeight="1">
      <c r="B280" s="38"/>
      <c r="C280" s="822"/>
      <c r="D280" s="824"/>
      <c r="E280" s="39"/>
      <c r="F280" s="39"/>
      <c r="G280" s="38" t="s">
        <v>352</v>
      </c>
      <c r="H280" s="37" t="s">
        <v>2304</v>
      </c>
      <c r="I280" s="18"/>
      <c r="J280" s="18"/>
      <c r="K280" s="74" t="str" cm="1">
        <f t="array" ref="K280">IF(ISBLANK(J280), IF(ISBLANK(I280), "N/A", _xlfn.IFS(L280="AS", I280+15, L280="NCR", I280+30, L280="submitted", I280+30, TRUE, "N/A")), _xlfn.IFS(L280="AS", J280+15, L280="NCR", J280+30, L280="submitted", J280+30, TRUE, "N/A"))</f>
        <v>N/A</v>
      </c>
      <c r="L280" s="38"/>
      <c r="M280" s="317"/>
      <c r="N280" s="747"/>
    </row>
    <row r="281" spans="2:14" s="1" customFormat="1" ht="15" customHeight="1">
      <c r="B281" s="38"/>
      <c r="C281" s="822"/>
      <c r="D281" s="824"/>
      <c r="E281" s="39"/>
      <c r="F281" s="39"/>
      <c r="G281" s="38" t="s">
        <v>354</v>
      </c>
      <c r="H281" s="37" t="s">
        <v>2305</v>
      </c>
      <c r="I281" s="18"/>
      <c r="J281" s="18"/>
      <c r="K281" s="74" t="str" cm="1">
        <f t="array" ref="K281">IF(ISBLANK(J281), IF(ISBLANK(I281), "N/A", _xlfn.IFS(L281="AS", I281+15, L281="NCR", I281+30, L281="submitted", I281+30, TRUE, "N/A")), _xlfn.IFS(L281="AS", J281+15, L281="NCR", J281+30, L281="submitted", J281+30, TRUE, "N/A"))</f>
        <v>N/A</v>
      </c>
      <c r="L281" s="38"/>
      <c r="M281" s="317"/>
      <c r="N281" s="747"/>
    </row>
    <row r="282" spans="2:14" s="1" customFormat="1" ht="27" customHeight="1">
      <c r="B282" s="38"/>
      <c r="C282" s="807"/>
      <c r="D282" s="809"/>
      <c r="E282" s="39"/>
      <c r="F282" s="39"/>
      <c r="G282" s="38" t="s">
        <v>596</v>
      </c>
      <c r="H282" s="40" t="s">
        <v>2306</v>
      </c>
      <c r="I282" s="18"/>
      <c r="J282" s="18"/>
      <c r="K282" s="74" t="str" cm="1">
        <f t="array" ref="K282">IF(ISBLANK(J282), IF(ISBLANK(I282), "N/A", _xlfn.IFS(L282="AS", I282+15, L282="NCR", I282+30, L282="submitted", I282+30, TRUE, "N/A")), _xlfn.IFS(L282="AS", J282+15, L282="NCR", J282+30, L282="submitted", J282+30, TRUE, "N/A"))</f>
        <v>N/A</v>
      </c>
      <c r="L282" s="38"/>
      <c r="M282" s="317"/>
      <c r="N282" s="747"/>
    </row>
    <row r="283" spans="2:14" s="5" customFormat="1" ht="15" customHeight="1">
      <c r="B283" s="19"/>
      <c r="C283" s="111" t="s">
        <v>2307</v>
      </c>
      <c r="D283" s="35" t="s">
        <v>2308</v>
      </c>
      <c r="E283" s="35"/>
      <c r="F283" s="35"/>
      <c r="G283" s="19" t="s">
        <v>145</v>
      </c>
      <c r="H283" s="53"/>
      <c r="I283" s="18"/>
      <c r="J283" s="18"/>
      <c r="K283" s="74" t="str" cm="1">
        <f t="array" ref="K283">IF(ISBLANK(J283), IF(ISBLANK(I283), "N/A", _xlfn.IFS(L283="AS", I283+15, L283="NCR", I283+30, L283="submitted", I283+30, TRUE, "N/A")), _xlfn.IFS(L283="AS", J283+15, L283="NCR", J283+30, L283="submitted", J283+30, TRUE, "N/A"))</f>
        <v>N/A</v>
      </c>
      <c r="L283" s="19"/>
      <c r="M283" s="317"/>
      <c r="N283" s="747"/>
    </row>
    <row r="284" spans="2:14" s="5" customFormat="1" ht="15" customHeight="1">
      <c r="B284" s="19"/>
      <c r="C284" s="825" t="s">
        <v>2309</v>
      </c>
      <c r="D284" s="827" t="s">
        <v>2310</v>
      </c>
      <c r="E284" s="34"/>
      <c r="F284" s="34"/>
      <c r="G284" s="19" t="s">
        <v>2311</v>
      </c>
      <c r="H284" s="53" t="s">
        <v>2312</v>
      </c>
      <c r="I284" s="18"/>
      <c r="J284" s="18"/>
      <c r="K284" s="74" t="str" cm="1">
        <f t="array" ref="K284">IF(ISBLANK(J284), IF(ISBLANK(I284), "N/A", _xlfn.IFS(L284="AS", I284+15, L284="NCR", I284+30, L284="submitted", I284+30, TRUE, "N/A")), _xlfn.IFS(L284="AS", J284+15, L284="NCR", J284+30, L284="submitted", J284+30, TRUE, "N/A"))</f>
        <v>N/A</v>
      </c>
      <c r="L284" s="19"/>
      <c r="M284" s="317"/>
      <c r="N284" s="747"/>
    </row>
    <row r="285" spans="2:14" s="5" customFormat="1" ht="15" customHeight="1">
      <c r="B285" s="19"/>
      <c r="C285" s="829"/>
      <c r="D285" s="830"/>
      <c r="E285" s="35"/>
      <c r="F285" s="35"/>
      <c r="G285" s="19" t="s">
        <v>2313</v>
      </c>
      <c r="H285" s="53" t="s">
        <v>2314</v>
      </c>
      <c r="I285" s="18"/>
      <c r="J285" s="18"/>
      <c r="K285" s="74" t="str" cm="1">
        <f t="array" ref="K285">IF(ISBLANK(J285), IF(ISBLANK(I285), "N/A", _xlfn.IFS(L285="AS", I285+15, L285="NCR", I285+30, L285="submitted", I285+30, TRUE, "N/A")), _xlfn.IFS(L285="AS", J285+15, L285="NCR", J285+30, L285="submitted", J285+30, TRUE, "N/A"))</f>
        <v>N/A</v>
      </c>
      <c r="L285" s="19"/>
      <c r="M285" s="317"/>
      <c r="N285" s="747"/>
    </row>
    <row r="286" spans="2:14" s="5" customFormat="1" ht="15" customHeight="1">
      <c r="B286" s="19"/>
      <c r="C286" s="819" t="s">
        <v>2315</v>
      </c>
      <c r="D286" s="827" t="s">
        <v>2316</v>
      </c>
      <c r="E286" s="34"/>
      <c r="F286" s="34"/>
      <c r="G286" s="19" t="s">
        <v>2311</v>
      </c>
      <c r="H286" s="53" t="s">
        <v>2312</v>
      </c>
      <c r="I286" s="18"/>
      <c r="J286" s="18"/>
      <c r="K286" s="74" t="str" cm="1">
        <f t="array" ref="K286">IF(ISBLANK(J286), IF(ISBLANK(I286), "N/A", _xlfn.IFS(L286="AS", I286+15, L286="NCR", I286+30, L286="submitted", I286+30, TRUE, "N/A")), _xlfn.IFS(L286="AS", J286+15, L286="NCR", J286+30, L286="submitted", J286+30, TRUE, "N/A"))</f>
        <v>N/A</v>
      </c>
      <c r="L286" s="19"/>
      <c r="M286" s="317"/>
      <c r="N286" s="747"/>
    </row>
    <row r="287" spans="2:14" s="5" customFormat="1" ht="15" customHeight="1">
      <c r="B287" s="19"/>
      <c r="C287" s="819"/>
      <c r="D287" s="830"/>
      <c r="E287" s="35"/>
      <c r="F287" s="35"/>
      <c r="G287" s="19" t="s">
        <v>2313</v>
      </c>
      <c r="H287" s="53" t="s">
        <v>2314</v>
      </c>
      <c r="I287" s="18"/>
      <c r="J287" s="18"/>
      <c r="K287" s="74" t="str" cm="1">
        <f t="array" ref="K287">IF(ISBLANK(J287), IF(ISBLANK(I287), "N/A", _xlfn.IFS(L287="AS", I287+15, L287="NCR", I287+30, L287="submitted", I287+30, TRUE, "N/A")), _xlfn.IFS(L287="AS", J287+15, L287="NCR", J287+30, L287="submitted", J287+30, TRUE, "N/A"))</f>
        <v>N/A</v>
      </c>
      <c r="L287" s="19"/>
      <c r="M287" s="317"/>
      <c r="N287" s="747"/>
    </row>
    <row r="288" spans="2:14" s="5" customFormat="1" ht="15" customHeight="1">
      <c r="B288" s="19"/>
      <c r="C288" s="819" t="s">
        <v>2317</v>
      </c>
      <c r="D288" s="827" t="s">
        <v>2318</v>
      </c>
      <c r="E288" s="34"/>
      <c r="F288" s="34"/>
      <c r="G288" s="19" t="s">
        <v>2311</v>
      </c>
      <c r="H288" s="53" t="s">
        <v>2312</v>
      </c>
      <c r="I288" s="18"/>
      <c r="J288" s="18"/>
      <c r="K288" s="74" t="str" cm="1">
        <f t="array" ref="K288">IF(ISBLANK(J288), IF(ISBLANK(I288), "N/A", _xlfn.IFS(L288="AS", I288+15, L288="NCR", I288+30, L288="submitted", I288+30, TRUE, "N/A")), _xlfn.IFS(L288="AS", J288+15, L288="NCR", J288+30, L288="submitted", J288+30, TRUE, "N/A"))</f>
        <v>N/A</v>
      </c>
      <c r="L288" s="19"/>
      <c r="M288" s="317"/>
      <c r="N288" s="747"/>
    </row>
    <row r="289" spans="2:14" s="5" customFormat="1" ht="15" customHeight="1">
      <c r="B289" s="19"/>
      <c r="C289" s="819"/>
      <c r="D289" s="830"/>
      <c r="E289" s="35"/>
      <c r="F289" s="35"/>
      <c r="G289" s="19" t="s">
        <v>2313</v>
      </c>
      <c r="H289" s="53" t="s">
        <v>2314</v>
      </c>
      <c r="I289" s="18"/>
      <c r="J289" s="18"/>
      <c r="K289" s="74" t="str" cm="1">
        <f t="array" ref="K289">IF(ISBLANK(J289), IF(ISBLANK(I289), "N/A", _xlfn.IFS(L289="AS", I289+15, L289="NCR", I289+30, L289="submitted", I289+30, TRUE, "N/A")), _xlfn.IFS(L289="AS", J289+15, L289="NCR", J289+30, L289="submitted", J289+30, TRUE, "N/A"))</f>
        <v>N/A</v>
      </c>
      <c r="L289" s="19"/>
      <c r="M289" s="317"/>
      <c r="N289" s="747"/>
    </row>
    <row r="290" spans="2:14" s="5" customFormat="1" ht="15" customHeight="1">
      <c r="B290" s="19"/>
      <c r="C290" s="819" t="s">
        <v>2319</v>
      </c>
      <c r="D290" s="827" t="s">
        <v>2320</v>
      </c>
      <c r="E290" s="34"/>
      <c r="F290" s="34"/>
      <c r="G290" s="19" t="s">
        <v>2311</v>
      </c>
      <c r="H290" s="53" t="s">
        <v>2312</v>
      </c>
      <c r="I290" s="18"/>
      <c r="J290" s="18"/>
      <c r="K290" s="74" t="str" cm="1">
        <f t="array" ref="K290">IF(ISBLANK(J290), IF(ISBLANK(I290), "N/A", _xlfn.IFS(L290="AS", I290+15, L290="NCR", I290+30, L290="submitted", I290+30, TRUE, "N/A")), _xlfn.IFS(L290="AS", J290+15, L290="NCR", J290+30, L290="submitted", J290+30, TRUE, "N/A"))</f>
        <v>N/A</v>
      </c>
      <c r="L290" s="19"/>
      <c r="M290" s="317"/>
      <c r="N290" s="747"/>
    </row>
    <row r="291" spans="2:14" s="5" customFormat="1" ht="15" customHeight="1">
      <c r="B291" s="19"/>
      <c r="C291" s="819"/>
      <c r="D291" s="830"/>
      <c r="E291" s="35"/>
      <c r="F291" s="35"/>
      <c r="G291" s="19" t="s">
        <v>2313</v>
      </c>
      <c r="H291" s="53" t="s">
        <v>2314</v>
      </c>
      <c r="I291" s="18"/>
      <c r="J291" s="18"/>
      <c r="K291" s="74" t="str" cm="1">
        <f t="array" ref="K291">IF(ISBLANK(J291), IF(ISBLANK(I291), "N/A", _xlfn.IFS(L291="AS", I291+15, L291="NCR", I291+30, L291="submitted", I291+30, TRUE, "N/A")), _xlfn.IFS(L291="AS", J291+15, L291="NCR", J291+30, L291="submitted", J291+30, TRUE, "N/A"))</f>
        <v>N/A</v>
      </c>
      <c r="L291" s="19"/>
      <c r="M291" s="317"/>
      <c r="N291" s="747"/>
    </row>
    <row r="292" spans="2:14" s="5" customFormat="1" ht="15" customHeight="1">
      <c r="B292" s="19"/>
      <c r="C292" s="819" t="s">
        <v>2321</v>
      </c>
      <c r="D292" s="827" t="s">
        <v>2322</v>
      </c>
      <c r="E292" s="34"/>
      <c r="F292" s="34"/>
      <c r="G292" s="19" t="s">
        <v>2311</v>
      </c>
      <c r="H292" s="53" t="s">
        <v>2312</v>
      </c>
      <c r="I292" s="18"/>
      <c r="J292" s="18"/>
      <c r="K292" s="74" t="str" cm="1">
        <f t="array" ref="K292">IF(ISBLANK(J292), IF(ISBLANK(I292), "N/A", _xlfn.IFS(L292="AS", I292+15, L292="NCR", I292+30, L292="submitted", I292+30, TRUE, "N/A")), _xlfn.IFS(L292="AS", J292+15, L292="NCR", J292+30, L292="submitted", J292+30, TRUE, "N/A"))</f>
        <v>N/A</v>
      </c>
      <c r="L292" s="19"/>
      <c r="M292" s="317"/>
      <c r="N292" s="745" t="s">
        <v>133</v>
      </c>
    </row>
    <row r="293" spans="2:14" s="5" customFormat="1" ht="15" customHeight="1">
      <c r="B293" s="19"/>
      <c r="C293" s="819"/>
      <c r="D293" s="830"/>
      <c r="E293" s="35"/>
      <c r="F293" s="35"/>
      <c r="G293" s="19" t="s">
        <v>2313</v>
      </c>
      <c r="H293" s="53" t="s">
        <v>2314</v>
      </c>
      <c r="I293" s="18"/>
      <c r="J293" s="18"/>
      <c r="K293" s="74" t="str" cm="1">
        <f t="array" ref="K293">IF(ISBLANK(J293), IF(ISBLANK(I293), "N/A", _xlfn.IFS(L293="AS", I293+15, L293="NCR", I293+30, L293="submitted", I293+30, TRUE, "N/A")), _xlfn.IFS(L293="AS", J293+15, L293="NCR", J293+30, L293="submitted", J293+30, TRUE, "N/A"))</f>
        <v>N/A</v>
      </c>
      <c r="L293" s="19"/>
      <c r="M293" s="317"/>
      <c r="N293" s="746"/>
    </row>
    <row r="294" spans="2:14" s="5" customFormat="1" ht="15" customHeight="1">
      <c r="B294" s="19"/>
      <c r="C294" s="819" t="s">
        <v>2323</v>
      </c>
      <c r="D294" s="827" t="s">
        <v>2324</v>
      </c>
      <c r="E294" s="34"/>
      <c r="F294" s="34"/>
      <c r="G294" s="19" t="s">
        <v>2311</v>
      </c>
      <c r="H294" s="53" t="s">
        <v>2312</v>
      </c>
      <c r="I294" s="18"/>
      <c r="J294" s="18"/>
      <c r="K294" s="74" t="str" cm="1">
        <f t="array" ref="K294">IF(ISBLANK(J294), IF(ISBLANK(I294), "N/A", _xlfn.IFS(L294="AS", I294+15, L294="NCR", I294+30, L294="submitted", I294+30, TRUE, "N/A")), _xlfn.IFS(L294="AS", J294+15, L294="NCR", J294+30, L294="submitted", J294+30, TRUE, "N/A"))</f>
        <v>N/A</v>
      </c>
      <c r="L294" s="19"/>
      <c r="M294" s="317"/>
      <c r="N294" s="746"/>
    </row>
    <row r="295" spans="2:14" s="5" customFormat="1" ht="15" customHeight="1">
      <c r="B295" s="19"/>
      <c r="C295" s="819"/>
      <c r="D295" s="830"/>
      <c r="E295" s="35"/>
      <c r="F295" s="35"/>
      <c r="G295" s="19" t="s">
        <v>2313</v>
      </c>
      <c r="H295" s="53" t="s">
        <v>2314</v>
      </c>
      <c r="I295" s="18"/>
      <c r="J295" s="18"/>
      <c r="K295" s="74" t="str" cm="1">
        <f t="array" ref="K295">IF(ISBLANK(J295), IF(ISBLANK(I295), "N/A", _xlfn.IFS(L295="AS", I295+15, L295="NCR", I295+30, L295="submitted", I295+30, TRUE, "N/A")), _xlfn.IFS(L295="AS", J295+15, L295="NCR", J295+30, L295="submitted", J295+30, TRUE, "N/A"))</f>
        <v>N/A</v>
      </c>
      <c r="L295" s="19"/>
      <c r="M295" s="317"/>
      <c r="N295" s="746"/>
    </row>
    <row r="296" spans="2:14" s="5" customFormat="1" ht="15" customHeight="1">
      <c r="B296" s="19"/>
      <c r="C296" s="819" t="s">
        <v>2325</v>
      </c>
      <c r="D296" s="827" t="s">
        <v>2326</v>
      </c>
      <c r="E296" s="34"/>
      <c r="F296" s="34"/>
      <c r="G296" s="19" t="s">
        <v>2311</v>
      </c>
      <c r="H296" s="53" t="s">
        <v>2312</v>
      </c>
      <c r="I296" s="18"/>
      <c r="J296" s="18"/>
      <c r="K296" s="74" t="str" cm="1">
        <f t="array" ref="K296">IF(ISBLANK(J296), IF(ISBLANK(I296), "N/A", _xlfn.IFS(L296="AS", I296+15, L296="NCR", I296+30, L296="submitted", I296+30, TRUE, "N/A")), _xlfn.IFS(L296="AS", J296+15, L296="NCR", J296+30, L296="submitted", J296+30, TRUE, "N/A"))</f>
        <v>N/A</v>
      </c>
      <c r="L296" s="19"/>
      <c r="M296" s="317"/>
      <c r="N296" s="746"/>
    </row>
    <row r="297" spans="2:14" s="5" customFormat="1" ht="15" customHeight="1">
      <c r="B297" s="19"/>
      <c r="C297" s="819"/>
      <c r="D297" s="830"/>
      <c r="E297" s="35"/>
      <c r="F297" s="35"/>
      <c r="G297" s="19" t="s">
        <v>2313</v>
      </c>
      <c r="H297" s="53" t="s">
        <v>2314</v>
      </c>
      <c r="I297" s="18"/>
      <c r="J297" s="18"/>
      <c r="K297" s="74" t="str" cm="1">
        <f t="array" ref="K297">IF(ISBLANK(J297), IF(ISBLANK(I297), "N/A", _xlfn.IFS(L297="AS", I297+15, L297="NCR", I297+30, L297="submitted", I297+30, TRUE, "N/A")), _xlfn.IFS(L297="AS", J297+15, L297="NCR", J297+30, L297="submitted", J297+30, TRUE, "N/A"))</f>
        <v>N/A</v>
      </c>
      <c r="L297" s="19"/>
      <c r="M297" s="317"/>
      <c r="N297" s="746"/>
    </row>
    <row r="298" spans="2:14" s="5" customFormat="1" ht="15" customHeight="1">
      <c r="B298" s="19"/>
      <c r="C298" s="819" t="s">
        <v>2327</v>
      </c>
      <c r="D298" s="827" t="s">
        <v>2328</v>
      </c>
      <c r="E298" s="34"/>
      <c r="F298" s="34"/>
      <c r="G298" s="19" t="s">
        <v>2311</v>
      </c>
      <c r="H298" s="53" t="s">
        <v>2312</v>
      </c>
      <c r="I298" s="18"/>
      <c r="J298" s="18"/>
      <c r="K298" s="74" t="str" cm="1">
        <f t="array" ref="K298">IF(ISBLANK(J298), IF(ISBLANK(I298), "N/A", _xlfn.IFS(L298="AS", I298+15, L298="NCR", I298+30, L298="submitted", I298+30, TRUE, "N/A")), _xlfn.IFS(L298="AS", J298+15, L298="NCR", J298+30, L298="submitted", J298+30, TRUE, "N/A"))</f>
        <v>N/A</v>
      </c>
      <c r="L298" s="19"/>
      <c r="M298" s="317"/>
      <c r="N298" s="746"/>
    </row>
    <row r="299" spans="2:14" s="5" customFormat="1" ht="15" customHeight="1">
      <c r="B299" s="19"/>
      <c r="C299" s="819"/>
      <c r="D299" s="830"/>
      <c r="E299" s="35"/>
      <c r="F299" s="35"/>
      <c r="G299" s="19" t="s">
        <v>2313</v>
      </c>
      <c r="H299" s="53" t="s">
        <v>2314</v>
      </c>
      <c r="I299" s="18"/>
      <c r="J299" s="18"/>
      <c r="K299" s="74" t="str" cm="1">
        <f t="array" ref="K299">IF(ISBLANK(J299), IF(ISBLANK(I299), "N/A", _xlfn.IFS(L299="AS", I299+15, L299="NCR", I299+30, L299="submitted", I299+30, TRUE, "N/A")), _xlfn.IFS(L299="AS", J299+15, L299="NCR", J299+30, L299="submitted", J299+30, TRUE, "N/A"))</f>
        <v>N/A</v>
      </c>
      <c r="L299" s="19"/>
      <c r="M299" s="317"/>
      <c r="N299" s="746"/>
    </row>
    <row r="300" spans="2:14" s="5" customFormat="1" ht="15" customHeight="1">
      <c r="B300" s="19"/>
      <c r="C300" s="819" t="s">
        <v>2329</v>
      </c>
      <c r="D300" s="827" t="s">
        <v>2330</v>
      </c>
      <c r="E300" s="34"/>
      <c r="F300" s="34"/>
      <c r="G300" s="19" t="s">
        <v>2311</v>
      </c>
      <c r="H300" s="53" t="s">
        <v>2312</v>
      </c>
      <c r="I300" s="18"/>
      <c r="J300" s="18"/>
      <c r="K300" s="74" t="str" cm="1">
        <f t="array" ref="K300">IF(ISBLANK(J300), IF(ISBLANK(I300), "N/A", _xlfn.IFS(L300="AS", I300+15, L300="NCR", I300+30, L300="submitted", I300+30, TRUE, "N/A")), _xlfn.IFS(L300="AS", J300+15, L300="NCR", J300+30, L300="submitted", J300+30, TRUE, "N/A"))</f>
        <v>N/A</v>
      </c>
      <c r="L300" s="19"/>
      <c r="M300" s="317"/>
      <c r="N300" s="747" t="s">
        <v>148</v>
      </c>
    </row>
    <row r="301" spans="2:14" s="5" customFormat="1" ht="15" customHeight="1">
      <c r="B301" s="19"/>
      <c r="C301" s="819"/>
      <c r="D301" s="830"/>
      <c r="E301" s="35"/>
      <c r="F301" s="35"/>
      <c r="G301" s="19" t="s">
        <v>2313</v>
      </c>
      <c r="H301" s="53" t="s">
        <v>2314</v>
      </c>
      <c r="I301" s="18"/>
      <c r="J301" s="18"/>
      <c r="K301" s="74" t="str" cm="1">
        <f t="array" ref="K301">IF(ISBLANK(J301), IF(ISBLANK(I301), "N/A", _xlfn.IFS(L301="AS", I301+15, L301="NCR", I301+30, L301="submitted", I301+30, TRUE, "N/A")), _xlfn.IFS(L301="AS", J301+15, L301="NCR", J301+30, L301="submitted", J301+30, TRUE, "N/A"))</f>
        <v>N/A</v>
      </c>
      <c r="L301" s="19"/>
      <c r="M301" s="317"/>
      <c r="N301" s="747"/>
    </row>
    <row r="302" spans="2:14" s="5" customFormat="1" ht="15" customHeight="1">
      <c r="B302" s="19"/>
      <c r="C302" s="819" t="s">
        <v>2331</v>
      </c>
      <c r="D302" s="827" t="s">
        <v>2332</v>
      </c>
      <c r="E302" s="34"/>
      <c r="F302" s="34"/>
      <c r="G302" s="19" t="s">
        <v>2311</v>
      </c>
      <c r="H302" s="53" t="s">
        <v>2312</v>
      </c>
      <c r="I302" s="18"/>
      <c r="J302" s="18"/>
      <c r="K302" s="74" t="str" cm="1">
        <f t="array" ref="K302">IF(ISBLANK(J302), IF(ISBLANK(I302), "N/A", _xlfn.IFS(L302="AS", I302+15, L302="NCR", I302+30, L302="submitted", I302+30, TRUE, "N/A")), _xlfn.IFS(L302="AS", J302+15, L302="NCR", J302+30, L302="submitted", J302+30, TRUE, "N/A"))</f>
        <v>N/A</v>
      </c>
      <c r="L302" s="19"/>
      <c r="M302" s="317"/>
      <c r="N302" s="747"/>
    </row>
    <row r="303" spans="2:14" s="5" customFormat="1" ht="15" customHeight="1">
      <c r="B303" s="19"/>
      <c r="C303" s="819"/>
      <c r="D303" s="830"/>
      <c r="E303" s="35"/>
      <c r="F303" s="35"/>
      <c r="G303" s="19" t="s">
        <v>2313</v>
      </c>
      <c r="H303" s="53" t="s">
        <v>2314</v>
      </c>
      <c r="I303" s="18"/>
      <c r="J303" s="18"/>
      <c r="K303" s="74" t="str" cm="1">
        <f t="array" ref="K303">IF(ISBLANK(J303), IF(ISBLANK(I303), "N/A", _xlfn.IFS(L303="AS", I303+15, L303="NCR", I303+30, L303="submitted", I303+30, TRUE, "N/A")), _xlfn.IFS(L303="AS", J303+15, L303="NCR", J303+30, L303="submitted", J303+30, TRUE, "N/A"))</f>
        <v>N/A</v>
      </c>
      <c r="L303" s="19"/>
      <c r="M303" s="317"/>
      <c r="N303" s="747"/>
    </row>
    <row r="304" spans="2:14" s="5" customFormat="1" ht="15" customHeight="1">
      <c r="B304" s="19"/>
      <c r="C304" s="819" t="s">
        <v>2333</v>
      </c>
      <c r="D304" s="827" t="s">
        <v>2334</v>
      </c>
      <c r="E304" s="34"/>
      <c r="F304" s="34"/>
      <c r="G304" s="19" t="s">
        <v>2311</v>
      </c>
      <c r="H304" s="53" t="s">
        <v>2312</v>
      </c>
      <c r="I304" s="18"/>
      <c r="J304" s="18"/>
      <c r="K304" s="74" t="str" cm="1">
        <f t="array" ref="K304">IF(ISBLANK(J304), IF(ISBLANK(I304), "N/A", _xlfn.IFS(L304="AS", I304+15, L304="NCR", I304+30, L304="submitted", I304+30, TRUE, "N/A")), _xlfn.IFS(L304="AS", J304+15, L304="NCR", J304+30, L304="submitted", J304+30, TRUE, "N/A"))</f>
        <v>N/A</v>
      </c>
      <c r="L304" s="19"/>
      <c r="M304" s="317"/>
      <c r="N304" s="747"/>
    </row>
    <row r="305" spans="2:14" s="5" customFormat="1" ht="15" customHeight="1">
      <c r="B305" s="19"/>
      <c r="C305" s="819"/>
      <c r="D305" s="830"/>
      <c r="E305" s="35"/>
      <c r="F305" s="35"/>
      <c r="G305" s="19" t="s">
        <v>2313</v>
      </c>
      <c r="H305" s="53" t="s">
        <v>2314</v>
      </c>
      <c r="I305" s="18"/>
      <c r="J305" s="18"/>
      <c r="K305" s="74" t="str" cm="1">
        <f t="array" ref="K305">IF(ISBLANK(J305), IF(ISBLANK(I305), "N/A", _xlfn.IFS(L305="AS", I305+15, L305="NCR", I305+30, L305="submitted", I305+30, TRUE, "N/A")), _xlfn.IFS(L305="AS", J305+15, L305="NCR", J305+30, L305="submitted", J305+30, TRUE, "N/A"))</f>
        <v>N/A</v>
      </c>
      <c r="L305" s="19"/>
      <c r="M305" s="318"/>
      <c r="N305" s="747"/>
    </row>
    <row r="306" spans="2:14" s="5" customFormat="1" ht="15" customHeight="1">
      <c r="B306" s="19"/>
      <c r="C306" s="819" t="s">
        <v>2335</v>
      </c>
      <c r="D306" s="827" t="s">
        <v>2336</v>
      </c>
      <c r="E306" s="34"/>
      <c r="F306" s="34"/>
      <c r="G306" s="19" t="s">
        <v>2311</v>
      </c>
      <c r="H306" s="53" t="s">
        <v>2312</v>
      </c>
      <c r="I306" s="18"/>
      <c r="J306" s="18"/>
      <c r="K306" s="74" t="str" cm="1">
        <f t="array" ref="K306">IF(ISBLANK(J306), IF(ISBLANK(I306), "N/A", _xlfn.IFS(L306="AS", I306+15, L306="NCR", I306+30, L306="submitted", I306+30, TRUE, "N/A")), _xlfn.IFS(L306="AS", J306+15, L306="NCR", J306+30, L306="submitted", J306+30, TRUE, "N/A"))</f>
        <v>N/A</v>
      </c>
      <c r="L306" s="19"/>
      <c r="M306" s="317"/>
      <c r="N306" s="747"/>
    </row>
    <row r="307" spans="2:14" s="5" customFormat="1" ht="15" customHeight="1">
      <c r="B307" s="19"/>
      <c r="C307" s="819"/>
      <c r="D307" s="830"/>
      <c r="E307" s="35"/>
      <c r="F307" s="35"/>
      <c r="G307" s="19" t="s">
        <v>2313</v>
      </c>
      <c r="H307" s="53" t="s">
        <v>2314</v>
      </c>
      <c r="I307" s="18"/>
      <c r="J307" s="18"/>
      <c r="K307" s="74" t="str" cm="1">
        <f t="array" ref="K307">IF(ISBLANK(J307), IF(ISBLANK(I307), "N/A", _xlfn.IFS(L307="AS", I307+15, L307="NCR", I307+30, L307="submitted", I307+30, TRUE, "N/A")), _xlfn.IFS(L307="AS", J307+15, L307="NCR", J307+30, L307="submitted", J307+30, TRUE, "N/A"))</f>
        <v>N/A</v>
      </c>
      <c r="L307" s="19"/>
      <c r="M307" s="317"/>
      <c r="N307" s="747"/>
    </row>
    <row r="308" spans="2:14" s="5" customFormat="1" ht="15" customHeight="1">
      <c r="B308" s="19"/>
      <c r="C308" s="819" t="s">
        <v>2337</v>
      </c>
      <c r="D308" s="827" t="s">
        <v>2338</v>
      </c>
      <c r="E308" s="34"/>
      <c r="F308" s="34"/>
      <c r="G308" s="19" t="s">
        <v>2311</v>
      </c>
      <c r="H308" s="53" t="s">
        <v>2312</v>
      </c>
      <c r="I308" s="18"/>
      <c r="J308" s="18"/>
      <c r="K308" s="74" t="str" cm="1">
        <f t="array" ref="K308">IF(ISBLANK(J308), IF(ISBLANK(I308), "N/A", _xlfn.IFS(L308="AS", I308+15, L308="NCR", I308+30, L308="submitted", I308+30, TRUE, "N/A")), _xlfn.IFS(L308="AS", J308+15, L308="NCR", J308+30, L308="submitted", J308+30, TRUE, "N/A"))</f>
        <v>N/A</v>
      </c>
      <c r="L308" s="19"/>
      <c r="M308" s="317"/>
      <c r="N308" s="747"/>
    </row>
    <row r="309" spans="2:14" s="5" customFormat="1" ht="15" customHeight="1">
      <c r="B309" s="19"/>
      <c r="C309" s="819"/>
      <c r="D309" s="830"/>
      <c r="E309" s="35"/>
      <c r="F309" s="35"/>
      <c r="G309" s="19" t="s">
        <v>2313</v>
      </c>
      <c r="H309" s="53" t="s">
        <v>2314</v>
      </c>
      <c r="I309" s="18"/>
      <c r="J309" s="18"/>
      <c r="K309" s="74" t="str" cm="1">
        <f t="array" ref="K309">IF(ISBLANK(J309), IF(ISBLANK(I309), "N/A", _xlfn.IFS(L309="AS", I309+15, L309="NCR", I309+30, L309="submitted", I309+30, TRUE, "N/A")), _xlfn.IFS(L309="AS", J309+15, L309="NCR", J309+30, L309="submitted", J309+30, TRUE, "N/A"))</f>
        <v>N/A</v>
      </c>
      <c r="L309" s="19"/>
    </row>
    <row r="310" spans="2:14" s="5" customFormat="1" ht="15" customHeight="1">
      <c r="B310" s="19"/>
      <c r="C310" s="819" t="s">
        <v>2339</v>
      </c>
      <c r="D310" s="827" t="s">
        <v>2340</v>
      </c>
      <c r="E310" s="34"/>
      <c r="F310" s="34"/>
      <c r="G310" s="19" t="s">
        <v>2311</v>
      </c>
      <c r="H310" s="53" t="s">
        <v>2312</v>
      </c>
      <c r="I310" s="18"/>
      <c r="J310" s="18"/>
      <c r="K310" s="74" t="str" cm="1">
        <f t="array" ref="K310">IF(ISBLANK(J310), IF(ISBLANK(I310), "N/A", _xlfn.IFS(L310="AS", I310+15, L310="NCR", I310+30, L310="submitted", I310+30, TRUE, "N/A")), _xlfn.IFS(L310="AS", J310+15, L310="NCR", J310+30, L310="submitted", J310+30, TRUE, "N/A"))</f>
        <v>N/A</v>
      </c>
      <c r="L310" s="19"/>
    </row>
    <row r="311" spans="2:14" s="5" customFormat="1" ht="15" customHeight="1">
      <c r="B311" s="19"/>
      <c r="C311" s="819"/>
      <c r="D311" s="830"/>
      <c r="E311" s="35"/>
      <c r="F311" s="35"/>
      <c r="G311" s="19" t="s">
        <v>2313</v>
      </c>
      <c r="H311" s="53" t="s">
        <v>2314</v>
      </c>
      <c r="I311" s="18"/>
      <c r="J311" s="18"/>
      <c r="K311" s="74" t="str" cm="1">
        <f t="array" ref="K311">IF(ISBLANK(J311), IF(ISBLANK(I311), "N/A", _xlfn.IFS(L311="AS", I311+15, L311="NCR", I311+30, L311="submitted", I311+30, TRUE, "N/A")), _xlfn.IFS(L311="AS", J311+15, L311="NCR", J311+30, L311="submitted", J311+30, TRUE, "N/A"))</f>
        <v>N/A</v>
      </c>
      <c r="L311" s="19"/>
    </row>
    <row r="312" spans="2:14" s="5" customFormat="1" ht="15" customHeight="1">
      <c r="B312" s="19"/>
      <c r="C312" s="829" t="s">
        <v>2341</v>
      </c>
      <c r="D312" s="827" t="s">
        <v>2342</v>
      </c>
      <c r="E312" s="34"/>
      <c r="F312" s="34"/>
      <c r="G312" s="19" t="s">
        <v>2311</v>
      </c>
      <c r="H312" s="53" t="s">
        <v>2312</v>
      </c>
      <c r="I312" s="18"/>
      <c r="J312" s="18"/>
      <c r="K312" s="74" t="str" cm="1">
        <f t="array" ref="K312">IF(ISBLANK(J312), IF(ISBLANK(I312), "N/A", _xlfn.IFS(L312="AS", I312+15, L312="NCR", I312+30, L312="submitted", I312+30, TRUE, "N/A")), _xlfn.IFS(L312="AS", J312+15, L312="NCR", J312+30, L312="submitted", J312+30, TRUE, "N/A"))</f>
        <v>N/A</v>
      </c>
      <c r="L312" s="53"/>
    </row>
    <row r="313" spans="2:14" s="45" customFormat="1" ht="15.75" customHeight="1">
      <c r="B313" s="42"/>
      <c r="C313" s="868"/>
      <c r="D313" s="869"/>
      <c r="E313" s="49"/>
      <c r="F313" s="49"/>
      <c r="G313" s="42" t="s">
        <v>2313</v>
      </c>
      <c r="H313" s="61" t="s">
        <v>2314</v>
      </c>
      <c r="I313" s="18"/>
      <c r="J313" s="18"/>
      <c r="K313" s="74" t="str" cm="1">
        <f t="array" ref="K313">IF(ISBLANK(J313), IF(ISBLANK(I313), "N/A", _xlfn.IFS(L313="AS", I313+15, L313="NCR", I313+30, L313="submitted", I313+30, TRUE, "N/A")), _xlfn.IFS(L313="AS", J313+15, L313="NCR", J313+30, L313="submitted", J313+30, TRUE, "N/A"))</f>
        <v>N/A</v>
      </c>
      <c r="L313" s="61"/>
    </row>
  </sheetData>
  <mergeCells count="82">
    <mergeCell ref="N3:Q6"/>
    <mergeCell ref="N7:Q39"/>
    <mergeCell ref="N40:Q47"/>
    <mergeCell ref="N48:Q123"/>
    <mergeCell ref="N124:Q131"/>
    <mergeCell ref="B1:H1"/>
    <mergeCell ref="C99:C110"/>
    <mergeCell ref="D99:D110"/>
    <mergeCell ref="C170:C172"/>
    <mergeCell ref="D170:D172"/>
    <mergeCell ref="C161:C165"/>
    <mergeCell ref="D161:D165"/>
    <mergeCell ref="C111:C122"/>
    <mergeCell ref="D111:D122"/>
    <mergeCell ref="C123:C136"/>
    <mergeCell ref="D123:D136"/>
    <mergeCell ref="C137:C141"/>
    <mergeCell ref="D137:D141"/>
    <mergeCell ref="C142:C155"/>
    <mergeCell ref="D142:D155"/>
    <mergeCell ref="C156:C160"/>
    <mergeCell ref="D177:D178"/>
    <mergeCell ref="C179:C184"/>
    <mergeCell ref="D179:D184"/>
    <mergeCell ref="C185:C197"/>
    <mergeCell ref="D185:D197"/>
    <mergeCell ref="D156:D160"/>
    <mergeCell ref="C238:C246"/>
    <mergeCell ref="D238:D246"/>
    <mergeCell ref="C247:C259"/>
    <mergeCell ref="D247:D259"/>
    <mergeCell ref="C198:C209"/>
    <mergeCell ref="D198:D209"/>
    <mergeCell ref="C210:C220"/>
    <mergeCell ref="D210:D220"/>
    <mergeCell ref="C221:C230"/>
    <mergeCell ref="D221:D230"/>
    <mergeCell ref="C173:C176"/>
    <mergeCell ref="D173:D176"/>
    <mergeCell ref="C231:C237"/>
    <mergeCell ref="D231:D237"/>
    <mergeCell ref="C177:C178"/>
    <mergeCell ref="C298:C299"/>
    <mergeCell ref="D298:D299"/>
    <mergeCell ref="C260:C262"/>
    <mergeCell ref="D260:D262"/>
    <mergeCell ref="C263:C266"/>
    <mergeCell ref="D263:D266"/>
    <mergeCell ref="C267:C276"/>
    <mergeCell ref="D267:D276"/>
    <mergeCell ref="C277:C282"/>
    <mergeCell ref="D277:D282"/>
    <mergeCell ref="C284:C285"/>
    <mergeCell ref="D284:D285"/>
    <mergeCell ref="C286:C287"/>
    <mergeCell ref="D286:D287"/>
    <mergeCell ref="C304:C305"/>
    <mergeCell ref="D304:D305"/>
    <mergeCell ref="C312:C313"/>
    <mergeCell ref="D312:D313"/>
    <mergeCell ref="C306:C307"/>
    <mergeCell ref="D306:D307"/>
    <mergeCell ref="C308:C309"/>
    <mergeCell ref="D308:D309"/>
    <mergeCell ref="C310:C311"/>
    <mergeCell ref="D310:D311"/>
    <mergeCell ref="N132:Q206"/>
    <mergeCell ref="N207:Q214"/>
    <mergeCell ref="C300:C301"/>
    <mergeCell ref="D300:D301"/>
    <mergeCell ref="C302:C303"/>
    <mergeCell ref="D302:D303"/>
    <mergeCell ref="C288:C289"/>
    <mergeCell ref="D288:D289"/>
    <mergeCell ref="C290:C291"/>
    <mergeCell ref="D290:D291"/>
    <mergeCell ref="C292:C293"/>
    <mergeCell ref="D292:D293"/>
    <mergeCell ref="C294:C295"/>
    <mergeCell ref="D294:D295"/>
    <mergeCell ref="C296:C297"/>
    <mergeCell ref="D296:D297"/>
  </mergeCells>
  <conditionalFormatting sqref="B3:L9004">
    <cfRule type="expression" dxfId="15" priority="5">
      <formula>OR(INDEX($L:$L,ROW())="NCR",INDEX($L:$L,ROW())="NR",INDEX($L:$L,ROW())="AS")</formula>
    </cfRule>
  </conditionalFormatting>
  <conditionalFormatting sqref="B3:L9004">
    <cfRule type="expression" dxfId="14" priority="4">
      <formula>OR(INDEX($L:$L,ROW())="AC",INDEX($L:$L,ROW())="AN",INDEX($L:$L,ROW())="RC",INDEX($L:$L,ROW())="RA")</formula>
    </cfRule>
  </conditionalFormatting>
  <conditionalFormatting sqref="B3:L9004">
    <cfRule type="expression" dxfId="13" priority="3">
      <formula>OR(INDEX($L:$L,ROW())="Submitted",INDEX($L:$L,ROW())="REV")</formula>
    </cfRule>
  </conditionalFormatting>
  <conditionalFormatting sqref="B3:L9004">
    <cfRule type="expression" dxfId="12"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Q296"/>
  <sheetViews>
    <sheetView workbookViewId="0">
      <pane ySplit="2" topLeftCell="A73" activePane="bottomLeft" state="frozen"/>
      <selection pane="bottomLeft" activeCell="L82" sqref="L82"/>
    </sheetView>
  </sheetViews>
  <sheetFormatPr defaultRowHeight="15"/>
  <cols>
    <col min="2" max="2" width="10.7109375" bestFit="1" customWidth="1"/>
    <col min="4" max="4" width="68.5703125" bestFit="1" customWidth="1"/>
    <col min="5" max="5" width="18.7109375" bestFit="1" customWidth="1"/>
    <col min="7" max="7" width="12.140625" bestFit="1" customWidth="1"/>
    <col min="8" max="8" width="59.5703125" bestFit="1" customWidth="1"/>
    <col min="9" max="9" width="10.7109375" style="508" customWidth="1"/>
    <col min="10" max="10" width="10.42578125" style="508" bestFit="1" customWidth="1"/>
    <col min="11" max="11" width="10.140625" style="508" bestFit="1" customWidth="1"/>
    <col min="13" max="13" width="1.7109375" customWidth="1"/>
    <col min="18" max="18" width="1.28515625" customWidth="1"/>
  </cols>
  <sheetData>
    <row r="1" spans="1:17" ht="32.450000000000003" customHeight="1">
      <c r="B1" s="805" t="s">
        <v>2083</v>
      </c>
      <c r="C1" s="806"/>
      <c r="D1" s="806"/>
      <c r="E1" s="806"/>
      <c r="F1" s="806"/>
      <c r="G1" s="806"/>
      <c r="M1" s="317"/>
      <c r="N1" s="314"/>
      <c r="O1" s="315"/>
      <c r="P1" s="315"/>
      <c r="Q1" s="316"/>
    </row>
    <row r="2" spans="1:17" ht="40.5">
      <c r="A2" s="282" t="s">
        <v>284</v>
      </c>
      <c r="B2" s="282" t="s">
        <v>113</v>
      </c>
      <c r="C2" s="283" t="s">
        <v>114</v>
      </c>
      <c r="D2" s="283" t="s">
        <v>115</v>
      </c>
      <c r="E2" s="579" t="s">
        <v>116</v>
      </c>
      <c r="F2" s="579" t="s">
        <v>117</v>
      </c>
      <c r="G2" s="284" t="s">
        <v>118</v>
      </c>
      <c r="H2" s="282" t="s">
        <v>119</v>
      </c>
      <c r="I2" s="499" t="s">
        <v>120</v>
      </c>
      <c r="J2" s="499" t="s">
        <v>121</v>
      </c>
      <c r="K2" s="499" t="s">
        <v>122</v>
      </c>
      <c r="L2" s="291" t="s">
        <v>123</v>
      </c>
      <c r="M2" s="319"/>
      <c r="N2" s="311" t="s">
        <v>124</v>
      </c>
      <c r="O2" s="293" t="s">
        <v>125</v>
      </c>
      <c r="P2" s="294" t="s">
        <v>126</v>
      </c>
      <c r="Q2" s="295" t="s">
        <v>127</v>
      </c>
    </row>
    <row r="3" spans="1:17" s="1" customFormat="1" ht="26.25" customHeight="1">
      <c r="B3" s="21"/>
      <c r="C3" s="822" t="s">
        <v>2343</v>
      </c>
      <c r="D3" s="933" t="s">
        <v>2344</v>
      </c>
      <c r="E3" s="159"/>
      <c r="F3" s="140"/>
      <c r="G3" s="566" t="s">
        <v>868</v>
      </c>
      <c r="H3" s="46" t="s">
        <v>2345</v>
      </c>
      <c r="I3" s="287"/>
      <c r="J3" s="287"/>
      <c r="K3" s="51" t="str" cm="1">
        <f t="array" ref="K3">IF(ISBLANK(J3), IF(ISBLANK(I3), "N/A", _xlfn.IFS(L3="AS", I3+15, L3="NCR", I3+30, L3="submitted", I3+30, TRUE, "N/A")), _xlfn.IFS(L3="AS", J3+15, L3="NCR", J3+30, L3="submitted", J3+30, TRUE, "N/A"))</f>
        <v>N/A</v>
      </c>
      <c r="L3" s="51"/>
      <c r="M3" s="317"/>
      <c r="N3" s="796" t="s">
        <v>133</v>
      </c>
      <c r="O3" s="797"/>
      <c r="P3" s="797"/>
      <c r="Q3" s="798"/>
    </row>
    <row r="4" spans="1:17" s="1" customFormat="1" ht="15" customHeight="1">
      <c r="B4" s="21"/>
      <c r="C4" s="822"/>
      <c r="D4" s="933"/>
      <c r="E4" s="159"/>
      <c r="F4" s="140"/>
      <c r="G4" s="566" t="s">
        <v>870</v>
      </c>
      <c r="H4" s="46" t="s">
        <v>2346</v>
      </c>
      <c r="I4" s="123"/>
      <c r="J4" s="123"/>
      <c r="K4" s="51" t="str" cm="1">
        <f t="array" ref="K4">IF(ISBLANK(J4), IF(ISBLANK(I4), "N/A", _xlfn.IFS(L4="AS", I4+15, L4="NCR", I4+30, L4="submitted", I4+30, TRUE, "N/A")), _xlfn.IFS(L4="AS", J4+15, L4="NCR", J4+30, L4="submitted", J4+30, TRUE, "N/A"))</f>
        <v>N/A</v>
      </c>
      <c r="L4" s="51"/>
      <c r="M4" s="317"/>
      <c r="N4" s="799"/>
      <c r="O4" s="800"/>
      <c r="P4" s="800"/>
      <c r="Q4" s="801"/>
    </row>
    <row r="5" spans="1:17" s="1" customFormat="1" ht="15" customHeight="1">
      <c r="B5" s="21"/>
      <c r="C5" s="822"/>
      <c r="D5" s="933"/>
      <c r="E5" s="159"/>
      <c r="F5" s="140"/>
      <c r="G5" s="566" t="s">
        <v>872</v>
      </c>
      <c r="H5" s="46" t="s">
        <v>2347</v>
      </c>
      <c r="I5" s="123"/>
      <c r="J5" s="123"/>
      <c r="K5" s="51" t="str" cm="1">
        <f t="array" ref="K5">IF(ISBLANK(J5), IF(ISBLANK(I5), "N/A", _xlfn.IFS(L5="AS", I5+15, L5="NCR", I5+30, L5="submitted", I5+30, TRUE, "N/A")), _xlfn.IFS(L5="AS", J5+15, L5="NCR", J5+30, L5="submitted", J5+30, TRUE, "N/A"))</f>
        <v>N/A</v>
      </c>
      <c r="L5" s="51"/>
      <c r="M5" s="317"/>
      <c r="N5" s="799"/>
      <c r="O5" s="800"/>
      <c r="P5" s="800"/>
      <c r="Q5" s="801"/>
    </row>
    <row r="6" spans="1:17" s="1" customFormat="1" ht="15" customHeight="1">
      <c r="B6" s="21"/>
      <c r="C6" s="822"/>
      <c r="D6" s="933"/>
      <c r="E6" s="159"/>
      <c r="F6" s="140"/>
      <c r="G6" s="566" t="s">
        <v>874</v>
      </c>
      <c r="H6" s="46" t="s">
        <v>2348</v>
      </c>
      <c r="I6" s="123"/>
      <c r="J6" s="123"/>
      <c r="K6" s="51" t="str" cm="1">
        <f t="array" ref="K6">IF(ISBLANK(J6), IF(ISBLANK(I6), "N/A", _xlfn.IFS(L6="AS", I6+15, L6="NCR", I6+30, L6="submitted", I6+30, TRUE, "N/A")), _xlfn.IFS(L6="AS", J6+15, L6="NCR", J6+30, L6="submitted", J6+30, TRUE, "N/A"))</f>
        <v>N/A</v>
      </c>
      <c r="L6" s="51"/>
      <c r="M6" s="317"/>
      <c r="N6" s="799"/>
      <c r="O6" s="800"/>
      <c r="P6" s="800"/>
      <c r="Q6" s="801"/>
    </row>
    <row r="7" spans="1:17" s="1" customFormat="1" ht="15" customHeight="1">
      <c r="B7" s="21"/>
      <c r="C7" s="822"/>
      <c r="D7" s="933"/>
      <c r="E7" s="159"/>
      <c r="F7" s="140"/>
      <c r="G7" s="566" t="s">
        <v>1351</v>
      </c>
      <c r="H7" s="46" t="s">
        <v>2349</v>
      </c>
      <c r="I7" s="123"/>
      <c r="J7" s="123"/>
      <c r="K7" s="51" t="str" cm="1">
        <f t="array" ref="K7">IF(ISBLANK(J7), IF(ISBLANK(I7), "N/A", _xlfn.IFS(L7="AS", I7+15, L7="NCR", I7+30, L7="submitted", I7+30, TRUE, "N/A")), _xlfn.IFS(L7="AS", J7+15, L7="NCR", J7+30, L7="submitted", J7+30, TRUE, "N/A"))</f>
        <v>N/A</v>
      </c>
      <c r="L7" s="51"/>
      <c r="M7" s="317"/>
      <c r="N7" s="802" t="s">
        <v>148</v>
      </c>
      <c r="O7" s="803"/>
      <c r="P7" s="803"/>
      <c r="Q7" s="804"/>
    </row>
    <row r="8" spans="1:17" s="1" customFormat="1" ht="15" customHeight="1">
      <c r="B8" s="21"/>
      <c r="C8" s="822"/>
      <c r="D8" s="933"/>
      <c r="E8" s="159"/>
      <c r="F8" s="140"/>
      <c r="G8" s="566" t="s">
        <v>1353</v>
      </c>
      <c r="H8" s="46" t="s">
        <v>2350</v>
      </c>
      <c r="I8" s="123"/>
      <c r="J8" s="123"/>
      <c r="K8" s="51" t="str" cm="1">
        <f t="array" ref="K8">IF(ISBLANK(J8), IF(ISBLANK(I8), "N/A", _xlfn.IFS(L8="AS", I8+15, L8="NCR", I8+30, L8="submitted", I8+30, TRUE, "N/A")), _xlfn.IFS(L8="AS", J8+15, L8="NCR", J8+30, L8="submitted", J8+30, TRUE, "N/A"))</f>
        <v>N/A</v>
      </c>
      <c r="L8" s="51"/>
      <c r="M8" s="317"/>
      <c r="N8" s="802"/>
      <c r="O8" s="803"/>
      <c r="P8" s="803"/>
      <c r="Q8" s="804"/>
    </row>
    <row r="9" spans="1:17" s="1" customFormat="1" ht="15" customHeight="1">
      <c r="B9" s="21"/>
      <c r="C9" s="822"/>
      <c r="D9" s="933"/>
      <c r="E9" s="159"/>
      <c r="F9" s="140"/>
      <c r="G9" s="566" t="s">
        <v>1355</v>
      </c>
      <c r="H9" s="46" t="s">
        <v>2351</v>
      </c>
      <c r="I9" s="123"/>
      <c r="J9" s="123"/>
      <c r="K9" s="51" t="str" cm="1">
        <f t="array" ref="K9">IF(ISBLANK(J9), IF(ISBLANK(I9), "N/A", _xlfn.IFS(L9="AS", I9+15, L9="NCR", I9+30, L9="submitted", I9+30, TRUE, "N/A")), _xlfn.IFS(L9="AS", J9+15, L9="NCR", J9+30, L9="submitted", J9+30, TRUE, "N/A"))</f>
        <v>N/A</v>
      </c>
      <c r="L9" s="51"/>
      <c r="M9" s="317"/>
      <c r="N9" s="802"/>
      <c r="O9" s="803"/>
      <c r="P9" s="803"/>
      <c r="Q9" s="804"/>
    </row>
    <row r="10" spans="1:17" s="1" customFormat="1" ht="15" customHeight="1">
      <c r="B10" s="21"/>
      <c r="C10" s="822"/>
      <c r="D10" s="933"/>
      <c r="E10" s="159"/>
      <c r="F10" s="140"/>
      <c r="G10" s="566" t="s">
        <v>1357</v>
      </c>
      <c r="H10" s="46" t="s">
        <v>235</v>
      </c>
      <c r="I10" s="123"/>
      <c r="J10" s="123"/>
      <c r="K10" s="51" t="str" cm="1">
        <f t="array" ref="K10">IF(ISBLANK(J10), IF(ISBLANK(I10), "N/A", _xlfn.IFS(L10="AS", I10+15, L10="NCR", I10+30, L10="submitted", I10+30, TRUE, "N/A")), _xlfn.IFS(L10="AS", J10+15, L10="NCR", J10+30, L10="submitted", J10+30, TRUE, "N/A"))</f>
        <v>N/A</v>
      </c>
      <c r="L10" s="51"/>
      <c r="M10" s="317"/>
      <c r="N10" s="802"/>
      <c r="O10" s="803"/>
      <c r="P10" s="803"/>
      <c r="Q10" s="804"/>
    </row>
    <row r="11" spans="1:17" s="1" customFormat="1" ht="15" customHeight="1">
      <c r="B11" s="21"/>
      <c r="C11" s="822"/>
      <c r="D11" s="933"/>
      <c r="E11" s="159"/>
      <c r="F11" s="140"/>
      <c r="G11" s="566" t="s">
        <v>2352</v>
      </c>
      <c r="H11" s="46" t="s">
        <v>2353</v>
      </c>
      <c r="I11" s="123"/>
      <c r="J11" s="123"/>
      <c r="K11" s="51" t="str" cm="1">
        <f t="array" ref="K11">IF(ISBLANK(J11), IF(ISBLANK(I11), "N/A", _xlfn.IFS(L11="AS", I11+15, L11="NCR", I11+30, L11="submitted", I11+30, TRUE, "N/A")), _xlfn.IFS(L11="AS", J11+15, L11="NCR", J11+30, L11="submitted", J11+30, TRUE, "N/A"))</f>
        <v>N/A</v>
      </c>
      <c r="L11" s="51"/>
      <c r="M11" s="317"/>
      <c r="N11" s="802"/>
      <c r="O11" s="803"/>
      <c r="P11" s="803"/>
      <c r="Q11" s="804"/>
    </row>
    <row r="12" spans="1:17" s="1" customFormat="1" ht="15" customHeight="1">
      <c r="B12" s="21"/>
      <c r="C12" s="822"/>
      <c r="D12" s="933"/>
      <c r="E12" s="159"/>
      <c r="F12" s="140"/>
      <c r="G12" s="566" t="s">
        <v>2354</v>
      </c>
      <c r="H12" s="46" t="s">
        <v>2355</v>
      </c>
      <c r="I12" s="123"/>
      <c r="J12" s="123"/>
      <c r="K12" s="51" t="str" cm="1">
        <f t="array" ref="K12">IF(ISBLANK(J12), IF(ISBLANK(I12), "N/A", _xlfn.IFS(L12="AS", I12+15, L12="NCR", I12+30, L12="submitted", I12+30, TRUE, "N/A")), _xlfn.IFS(L12="AS", J12+15, L12="NCR", J12+30, L12="submitted", J12+30, TRUE, "N/A"))</f>
        <v>N/A</v>
      </c>
      <c r="L12" s="51"/>
      <c r="M12" s="318"/>
      <c r="N12" s="802"/>
      <c r="O12" s="803"/>
      <c r="P12" s="803"/>
      <c r="Q12" s="804"/>
    </row>
    <row r="13" spans="1:17" s="1" customFormat="1" ht="15" customHeight="1">
      <c r="B13" s="21"/>
      <c r="C13" s="822"/>
      <c r="D13" s="933"/>
      <c r="E13" s="159"/>
      <c r="F13" s="140"/>
      <c r="G13" s="566" t="s">
        <v>2356</v>
      </c>
      <c r="H13" s="46" t="s">
        <v>2357</v>
      </c>
      <c r="I13" s="123"/>
      <c r="J13" s="123"/>
      <c r="K13" s="51" t="str" cm="1">
        <f t="array" ref="K13">IF(ISBLANK(J13), IF(ISBLANK(I13), "N/A", _xlfn.IFS(L13="AS", I13+15, L13="NCR", I13+30, L13="submitted", I13+30, TRUE, "N/A")), _xlfn.IFS(L13="AS", J13+15, L13="NCR", J13+30, L13="submitted", J13+30, TRUE, "N/A"))</f>
        <v>N/A</v>
      </c>
      <c r="L13" s="51"/>
      <c r="M13" s="317"/>
      <c r="N13" s="802"/>
      <c r="O13" s="803"/>
      <c r="P13" s="803"/>
      <c r="Q13" s="804"/>
    </row>
    <row r="14" spans="1:17" s="1" customFormat="1" ht="15" customHeight="1">
      <c r="B14" s="21"/>
      <c r="C14" s="822"/>
      <c r="D14" s="933"/>
      <c r="E14" s="159"/>
      <c r="F14" s="140"/>
      <c r="G14" s="566" t="s">
        <v>2358</v>
      </c>
      <c r="H14" s="46" t="s">
        <v>2359</v>
      </c>
      <c r="I14" s="123"/>
      <c r="J14" s="123"/>
      <c r="K14" s="51" t="str" cm="1">
        <f t="array" ref="K14">IF(ISBLANK(J14), IF(ISBLANK(I14), "N/A", _xlfn.IFS(L14="AS", I14+15, L14="NCR", I14+30, L14="submitted", I14+30, TRUE, "N/A")), _xlfn.IFS(L14="AS", J14+15, L14="NCR", J14+30, L14="submitted", J14+30, TRUE, "N/A"))</f>
        <v>N/A</v>
      </c>
      <c r="L14" s="51"/>
      <c r="M14" s="317"/>
      <c r="N14" s="802"/>
      <c r="O14" s="803"/>
      <c r="P14" s="803"/>
      <c r="Q14" s="804"/>
    </row>
    <row r="15" spans="1:17" s="1" customFormat="1" ht="15" customHeight="1">
      <c r="B15" s="21"/>
      <c r="C15" s="822"/>
      <c r="D15" s="933"/>
      <c r="E15" s="159"/>
      <c r="F15" s="140"/>
      <c r="G15" s="566" t="s">
        <v>2360</v>
      </c>
      <c r="H15" s="46" t="s">
        <v>2361</v>
      </c>
      <c r="I15" s="123"/>
      <c r="J15" s="123"/>
      <c r="K15" s="51" t="str" cm="1">
        <f t="array" ref="K15">IF(ISBLANK(J15), IF(ISBLANK(I15), "N/A", _xlfn.IFS(L15="AS", I15+15, L15="NCR", I15+30, L15="submitted", I15+30, TRUE, "N/A")), _xlfn.IFS(L15="AS", J15+15, L15="NCR", J15+30, L15="submitted", J15+30, TRUE, "N/A"))</f>
        <v>N/A</v>
      </c>
      <c r="L15" s="51"/>
      <c r="M15" s="317"/>
      <c r="N15" s="802"/>
      <c r="O15" s="803"/>
      <c r="P15" s="803"/>
      <c r="Q15" s="804"/>
    </row>
    <row r="16" spans="1:17" s="1" customFormat="1" ht="15" customHeight="1">
      <c r="B16" s="21"/>
      <c r="C16" s="822"/>
      <c r="D16" s="933"/>
      <c r="E16" s="159"/>
      <c r="F16" s="140"/>
      <c r="G16" s="566" t="s">
        <v>2362</v>
      </c>
      <c r="H16" s="46" t="s">
        <v>2363</v>
      </c>
      <c r="I16" s="123"/>
      <c r="J16" s="123"/>
      <c r="K16" s="51" t="str" cm="1">
        <f t="array" ref="K16">IF(ISBLANK(J16), IF(ISBLANK(I16), "N/A", _xlfn.IFS(L16="AS", I16+15, L16="NCR", I16+30, L16="submitted", I16+30, TRUE, "N/A")), _xlfn.IFS(L16="AS", J16+15, L16="NCR", J16+30, L16="submitted", J16+30, TRUE, "N/A"))</f>
        <v>N/A</v>
      </c>
      <c r="L16" s="51"/>
      <c r="M16" s="317"/>
      <c r="N16" s="802"/>
      <c r="O16" s="803"/>
      <c r="P16" s="803"/>
      <c r="Q16" s="804"/>
    </row>
    <row r="17" spans="2:17" s="1" customFormat="1" ht="15" customHeight="1">
      <c r="B17" s="21"/>
      <c r="C17" s="807"/>
      <c r="D17" s="934"/>
      <c r="E17" s="159"/>
      <c r="F17" s="140"/>
      <c r="G17" s="566" t="s">
        <v>2364</v>
      </c>
      <c r="H17" s="46" t="s">
        <v>2365</v>
      </c>
      <c r="I17" s="123"/>
      <c r="J17" s="123"/>
      <c r="K17" s="51" t="str" cm="1">
        <f t="array" ref="K17">IF(ISBLANK(J17), IF(ISBLANK(I17), "N/A", _xlfn.IFS(L17="AS", I17+15, L17="NCR", I17+30, L17="submitted", I17+30, TRUE, "N/A")), _xlfn.IFS(L17="AS", J17+15, L17="NCR", J17+30, L17="submitted", J17+30, TRUE, "N/A"))</f>
        <v>N/A</v>
      </c>
      <c r="L17" s="51"/>
      <c r="M17" s="317"/>
      <c r="N17" s="802"/>
      <c r="O17" s="803"/>
      <c r="P17" s="803"/>
      <c r="Q17" s="804"/>
    </row>
    <row r="18" spans="2:17" s="5" customFormat="1" ht="40.5" customHeight="1">
      <c r="B18" s="4"/>
      <c r="C18" s="15" t="s">
        <v>2366</v>
      </c>
      <c r="D18" s="132" t="s">
        <v>2367</v>
      </c>
      <c r="E18" s="143"/>
      <c r="F18" s="126"/>
      <c r="G18" s="145" t="s">
        <v>212</v>
      </c>
      <c r="H18" s="3" t="s">
        <v>2368</v>
      </c>
      <c r="I18" s="123"/>
      <c r="J18" s="123"/>
      <c r="K18" s="51" t="str" cm="1">
        <f t="array" ref="K18">IF(ISBLANK(J18), IF(ISBLANK(I18), "N/A", _xlfn.IFS(L18="AS", I18+15, L18="NCR", I18+30, L18="submitted", I18+30, TRUE, "N/A")), _xlfn.IFS(L18="AS", J18+15, L18="NCR", J18+30, L18="submitted", J18+30, TRUE, "N/A"))</f>
        <v>N/A</v>
      </c>
      <c r="L18" s="18"/>
      <c r="M18" s="317"/>
      <c r="N18" s="802"/>
      <c r="O18" s="803"/>
      <c r="P18" s="803"/>
      <c r="Q18" s="804"/>
    </row>
    <row r="19" spans="2:17" s="1" customFormat="1" ht="81">
      <c r="B19" s="9"/>
      <c r="C19" s="821" t="s">
        <v>2369</v>
      </c>
      <c r="D19" s="925" t="s">
        <v>2370</v>
      </c>
      <c r="E19" s="142"/>
      <c r="F19" s="140"/>
      <c r="G19" s="141" t="s">
        <v>212</v>
      </c>
      <c r="H19" s="7" t="s">
        <v>2371</v>
      </c>
      <c r="I19" s="123"/>
      <c r="J19" s="123"/>
      <c r="K19" s="51" t="str" cm="1">
        <f t="array" ref="K19">IF(ISBLANK(J19), IF(ISBLANK(I19), "N/A", _xlfn.IFS(L19="AS", I19+15, L19="NCR", I19+30, L19="submitted", I19+30, TRUE, "N/A")), _xlfn.IFS(L19="AS", J19+15, L19="NCR", J19+30, L19="submitted", J19+30, TRUE, "N/A"))</f>
        <v>N/A</v>
      </c>
      <c r="L19" s="14"/>
      <c r="M19" s="317"/>
      <c r="N19" s="802"/>
      <c r="O19" s="803"/>
      <c r="P19" s="803"/>
      <c r="Q19" s="804"/>
    </row>
    <row r="20" spans="2:17" s="1" customFormat="1" ht="15" customHeight="1">
      <c r="B20" s="9"/>
      <c r="C20" s="807"/>
      <c r="D20" s="927"/>
      <c r="E20" s="142"/>
      <c r="F20" s="140"/>
      <c r="G20" s="141" t="s">
        <v>336</v>
      </c>
      <c r="H20" s="13" t="s">
        <v>2372</v>
      </c>
      <c r="I20" s="123"/>
      <c r="J20" s="123"/>
      <c r="K20" s="51" t="str" cm="1">
        <f t="array" ref="K20">IF(ISBLANK(J20), IF(ISBLANK(I20), "N/A", _xlfn.IFS(L20="AS", I20+15, L20="NCR", I20+30, L20="submitted", I20+30, TRUE, "N/A")), _xlfn.IFS(L20="AS", J20+15, L20="NCR", J20+30, L20="submitted", J20+30, TRUE, "N/A"))</f>
        <v>N/A</v>
      </c>
      <c r="L20" s="14"/>
      <c r="M20" s="317"/>
      <c r="N20" s="802"/>
      <c r="O20" s="803"/>
      <c r="P20" s="803"/>
      <c r="Q20" s="804"/>
    </row>
    <row r="21" spans="2:17" s="5" customFormat="1" ht="81">
      <c r="B21" s="4"/>
      <c r="C21" s="825" t="s">
        <v>2373</v>
      </c>
      <c r="D21" s="929" t="s">
        <v>2374</v>
      </c>
      <c r="E21" s="157"/>
      <c r="F21" s="126"/>
      <c r="G21" s="145" t="s">
        <v>212</v>
      </c>
      <c r="H21" s="3" t="s">
        <v>2371</v>
      </c>
      <c r="I21" s="123"/>
      <c r="J21" s="123"/>
      <c r="K21" s="51" t="str" cm="1">
        <f t="array" ref="K21">IF(ISBLANK(J21), IF(ISBLANK(I21), "N/A", _xlfn.IFS(L21="AS", I21+15, L21="NCR", I21+30, L21="submitted", I21+30, TRUE, "N/A")), _xlfn.IFS(L21="AS", J21+15, L21="NCR", J21+30, L21="submitted", J21+30, TRUE, "N/A"))</f>
        <v>N/A</v>
      </c>
      <c r="L21" s="18"/>
      <c r="M21" s="317"/>
      <c r="N21" s="802"/>
      <c r="O21" s="803"/>
      <c r="P21" s="803"/>
      <c r="Q21" s="804"/>
    </row>
    <row r="22" spans="2:17" s="5" customFormat="1" ht="15" customHeight="1">
      <c r="B22" s="4"/>
      <c r="C22" s="826"/>
      <c r="D22" s="931"/>
      <c r="E22" s="157"/>
      <c r="F22" s="126"/>
      <c r="G22" s="145" t="s">
        <v>336</v>
      </c>
      <c r="H22" s="17" t="s">
        <v>2375</v>
      </c>
      <c r="I22" s="123"/>
      <c r="J22" s="123"/>
      <c r="K22" s="51" t="str" cm="1">
        <f t="array" ref="K22">IF(ISBLANK(J22), IF(ISBLANK(I22), "N/A", _xlfn.IFS(L22="AS", I22+15, L22="NCR", I22+30, L22="submitted", I22+30, TRUE, "N/A")), _xlfn.IFS(L22="AS", J22+15, L22="NCR", J22+30, L22="submitted", J22+30, TRUE, "N/A"))</f>
        <v>N/A</v>
      </c>
      <c r="L22" s="18"/>
      <c r="M22" s="317"/>
      <c r="N22" s="802"/>
      <c r="O22" s="803"/>
      <c r="P22" s="803"/>
      <c r="Q22" s="804"/>
    </row>
    <row r="23" spans="2:17" s="1" customFormat="1" ht="81">
      <c r="B23" s="9"/>
      <c r="C23" s="821" t="s">
        <v>2376</v>
      </c>
      <c r="D23" s="932" t="s">
        <v>2377</v>
      </c>
      <c r="E23" s="159"/>
      <c r="F23" s="140"/>
      <c r="G23" s="141" t="s">
        <v>212</v>
      </c>
      <c r="H23" s="7" t="s">
        <v>2371</v>
      </c>
      <c r="I23" s="123"/>
      <c r="J23" s="123"/>
      <c r="K23" s="51" t="str" cm="1">
        <f t="array" ref="K23">IF(ISBLANK(J23), IF(ISBLANK(I23), "N/A", _xlfn.IFS(L23="AS", I23+15, L23="NCR", I23+30, L23="submitted", I23+30, TRUE, "N/A")), _xlfn.IFS(L23="AS", J23+15, L23="NCR", J23+30, L23="submitted", J23+30, TRUE, "N/A"))</f>
        <v>N/A</v>
      </c>
      <c r="L23" s="14"/>
      <c r="M23" s="317"/>
      <c r="N23" s="802"/>
      <c r="O23" s="803"/>
      <c r="P23" s="803"/>
      <c r="Q23" s="804"/>
    </row>
    <row r="24" spans="2:17" s="1" customFormat="1" ht="15" customHeight="1">
      <c r="B24" s="9"/>
      <c r="C24" s="807"/>
      <c r="D24" s="934"/>
      <c r="E24" s="159"/>
      <c r="F24" s="140"/>
      <c r="G24" s="141" t="s">
        <v>336</v>
      </c>
      <c r="H24" s="13" t="s">
        <v>2375</v>
      </c>
      <c r="I24" s="123"/>
      <c r="J24" s="123"/>
      <c r="K24" s="51" t="str" cm="1">
        <f t="array" ref="K24">IF(ISBLANK(J24), IF(ISBLANK(I24), "N/A", _xlfn.IFS(L24="AS", I24+15, L24="NCR", I24+30, L24="submitted", I24+30, TRUE, "N/A")), _xlfn.IFS(L24="AS", J24+15, L24="NCR", J24+30, L24="submitted", J24+30, TRUE, "N/A"))</f>
        <v>N/A</v>
      </c>
      <c r="L24" s="14"/>
      <c r="M24" s="317"/>
      <c r="N24" s="802"/>
      <c r="O24" s="803"/>
      <c r="P24" s="803"/>
      <c r="Q24" s="804"/>
    </row>
    <row r="25" spans="2:17" s="5" customFormat="1" ht="81">
      <c r="B25" s="4"/>
      <c r="C25" s="825" t="s">
        <v>2378</v>
      </c>
      <c r="D25" s="876" t="s">
        <v>2379</v>
      </c>
      <c r="E25" s="143"/>
      <c r="F25" s="126"/>
      <c r="G25" s="145" t="s">
        <v>212</v>
      </c>
      <c r="H25" s="3" t="s">
        <v>2371</v>
      </c>
      <c r="I25" s="123"/>
      <c r="J25" s="123"/>
      <c r="K25" s="51" t="str" cm="1">
        <f t="array" ref="K25">IF(ISBLANK(J25), IF(ISBLANK(I25), "N/A", _xlfn.IFS(L25="AS", I25+15, L25="NCR", I25+30, L25="submitted", I25+30, TRUE, "N/A")), _xlfn.IFS(L25="AS", J25+15, L25="NCR", J25+30, L25="submitted", J25+30, TRUE, "N/A"))</f>
        <v>N/A</v>
      </c>
      <c r="L25" s="18"/>
      <c r="M25" s="317"/>
      <c r="N25" s="802"/>
      <c r="O25" s="803"/>
      <c r="P25" s="803"/>
      <c r="Q25" s="804"/>
    </row>
    <row r="26" spans="2:17" s="5" customFormat="1" ht="15" customHeight="1">
      <c r="B26" s="4"/>
      <c r="C26" s="826"/>
      <c r="D26" s="878"/>
      <c r="E26" s="143"/>
      <c r="F26" s="126"/>
      <c r="G26" s="145" t="s">
        <v>336</v>
      </c>
      <c r="H26" s="17" t="s">
        <v>2375</v>
      </c>
      <c r="I26" s="123"/>
      <c r="J26" s="123"/>
      <c r="K26" s="51" t="str" cm="1">
        <f t="array" ref="K26">IF(ISBLANK(J26), IF(ISBLANK(I26), "N/A", _xlfn.IFS(L26="AS", I26+15, L26="NCR", I26+30, L26="submitted", I26+30, TRUE, "N/A")), _xlfn.IFS(L26="AS", J26+15, L26="NCR", J26+30, L26="submitted", J26+30, TRUE, "N/A"))</f>
        <v>N/A</v>
      </c>
      <c r="L26" s="18"/>
      <c r="M26" s="317"/>
      <c r="N26" s="802"/>
      <c r="O26" s="803"/>
      <c r="P26" s="803"/>
      <c r="Q26" s="804"/>
    </row>
    <row r="27" spans="2:17" s="1" customFormat="1" ht="121.5">
      <c r="B27" s="9"/>
      <c r="C27" s="821" t="s">
        <v>2380</v>
      </c>
      <c r="D27" s="925" t="s">
        <v>2381</v>
      </c>
      <c r="E27" s="142"/>
      <c r="F27" s="140"/>
      <c r="G27" s="141" t="s">
        <v>212</v>
      </c>
      <c r="H27" s="7" t="s">
        <v>2382</v>
      </c>
      <c r="I27" s="123"/>
      <c r="J27" s="123"/>
      <c r="K27" s="51" t="str" cm="1">
        <f t="array" ref="K27">IF(ISBLANK(J27), IF(ISBLANK(I27), "N/A", _xlfn.IFS(L27="AS", I27+15, L27="NCR", I27+30, L27="submitted", I27+30, TRUE, "N/A")), _xlfn.IFS(L27="AS", J27+15, L27="NCR", J27+30, L27="submitted", J27+30, TRUE, "N/A"))</f>
        <v>N/A</v>
      </c>
      <c r="L27" s="14"/>
      <c r="M27" s="317"/>
      <c r="N27" s="802"/>
      <c r="O27" s="803"/>
      <c r="P27" s="803"/>
      <c r="Q27" s="804"/>
    </row>
    <row r="28" spans="2:17" s="1" customFormat="1" ht="15" customHeight="1">
      <c r="B28" s="9"/>
      <c r="C28" s="807"/>
      <c r="D28" s="927"/>
      <c r="E28" s="142"/>
      <c r="F28" s="140"/>
      <c r="G28" s="141" t="s">
        <v>336</v>
      </c>
      <c r="H28" s="13" t="s">
        <v>2375</v>
      </c>
      <c r="I28" s="123"/>
      <c r="J28" s="123"/>
      <c r="K28" s="51" t="str" cm="1">
        <f t="array" ref="K28">IF(ISBLANK(J28), IF(ISBLANK(I28), "N/A", _xlfn.IFS(L28="AS", I28+15, L28="NCR", I28+30, L28="submitted", I28+30, TRUE, "N/A")), _xlfn.IFS(L28="AS", J28+15, L28="NCR", J28+30, L28="submitted", J28+30, TRUE, "N/A"))</f>
        <v>N/A</v>
      </c>
      <c r="L28" s="14"/>
      <c r="M28" s="317"/>
      <c r="N28" s="802"/>
      <c r="O28" s="803"/>
      <c r="P28" s="803"/>
      <c r="Q28" s="804"/>
    </row>
    <row r="29" spans="2:17" s="5" customFormat="1" ht="81">
      <c r="B29" s="4"/>
      <c r="C29" s="825" t="s">
        <v>2383</v>
      </c>
      <c r="D29" s="876" t="s">
        <v>2384</v>
      </c>
      <c r="E29" s="143"/>
      <c r="F29" s="126"/>
      <c r="G29" s="145" t="s">
        <v>212</v>
      </c>
      <c r="H29" s="3" t="s">
        <v>2371</v>
      </c>
      <c r="I29" s="123"/>
      <c r="J29" s="123"/>
      <c r="K29" s="51" t="str" cm="1">
        <f t="array" ref="K29">IF(ISBLANK(J29), IF(ISBLANK(I29), "N/A", _xlfn.IFS(L29="AS", I29+15, L29="NCR", I29+30, L29="submitted", I29+30, TRUE, "N/A")), _xlfn.IFS(L29="AS", J29+15, L29="NCR", J29+30, L29="submitted", J29+30, TRUE, "N/A"))</f>
        <v>N/A</v>
      </c>
      <c r="L29" s="18"/>
      <c r="M29" s="317"/>
      <c r="N29" s="802"/>
      <c r="O29" s="803"/>
      <c r="P29" s="803"/>
      <c r="Q29" s="804"/>
    </row>
    <row r="30" spans="2:17" s="5" customFormat="1" ht="15" customHeight="1">
      <c r="B30" s="4"/>
      <c r="C30" s="826"/>
      <c r="D30" s="878"/>
      <c r="E30" s="143"/>
      <c r="F30" s="126"/>
      <c r="G30" s="145" t="s">
        <v>336</v>
      </c>
      <c r="H30" s="17" t="s">
        <v>2372</v>
      </c>
      <c r="I30" s="123"/>
      <c r="J30" s="123"/>
      <c r="K30" s="51" t="str" cm="1">
        <f t="array" ref="K30">IF(ISBLANK(J30), IF(ISBLANK(I30), "N/A", _xlfn.IFS(L30="AS", I30+15, L30="NCR", I30+30, L30="submitted", I30+30, TRUE, "N/A")), _xlfn.IFS(L30="AS", J30+15, L30="NCR", J30+30, L30="submitted", J30+30, TRUE, "N/A"))</f>
        <v>N/A</v>
      </c>
      <c r="L30" s="18"/>
      <c r="M30" s="317"/>
      <c r="N30" s="802"/>
      <c r="O30" s="803"/>
      <c r="P30" s="803"/>
      <c r="Q30" s="804"/>
    </row>
    <row r="31" spans="2:17" s="1" customFormat="1" ht="81">
      <c r="B31" s="9"/>
      <c r="C31" s="821" t="s">
        <v>2385</v>
      </c>
      <c r="D31" s="932" t="s">
        <v>2386</v>
      </c>
      <c r="E31" s="159"/>
      <c r="F31" s="140"/>
      <c r="G31" s="141" t="s">
        <v>212</v>
      </c>
      <c r="H31" s="7" t="s">
        <v>2371</v>
      </c>
      <c r="I31" s="123"/>
      <c r="J31" s="123"/>
      <c r="K31" s="51" t="str" cm="1">
        <f t="array" ref="K31">IF(ISBLANK(J31), IF(ISBLANK(I31), "N/A", _xlfn.IFS(L31="AS", I31+15, L31="NCR", I31+30, L31="submitted", I31+30, TRUE, "N/A")), _xlfn.IFS(L31="AS", J31+15, L31="NCR", J31+30, L31="submitted", J31+30, TRUE, "N/A"))</f>
        <v>N/A</v>
      </c>
      <c r="L31" s="14"/>
      <c r="M31" s="317"/>
      <c r="N31" s="802"/>
      <c r="O31" s="803"/>
      <c r="P31" s="803"/>
      <c r="Q31" s="804"/>
    </row>
    <row r="32" spans="2:17" s="1" customFormat="1" ht="15" customHeight="1">
      <c r="B32" s="9"/>
      <c r="C32" s="807"/>
      <c r="D32" s="934"/>
      <c r="E32" s="159"/>
      <c r="F32" s="140"/>
      <c r="G32" s="141" t="s">
        <v>336</v>
      </c>
      <c r="H32" s="13" t="s">
        <v>2375</v>
      </c>
      <c r="I32" s="123"/>
      <c r="J32" s="123"/>
      <c r="K32" s="51" t="str" cm="1">
        <f t="array" ref="K32">IF(ISBLANK(J32), IF(ISBLANK(I32), "N/A", _xlfn.IFS(L32="AS", I32+15, L32="NCR", I32+30, L32="submitted", I32+30, TRUE, "N/A")), _xlfn.IFS(L32="AS", J32+15, L32="NCR", J32+30, L32="submitted", J32+30, TRUE, "N/A"))</f>
        <v>N/A</v>
      </c>
      <c r="L32" s="14"/>
      <c r="M32" s="317"/>
      <c r="N32" s="802"/>
      <c r="O32" s="803"/>
      <c r="P32" s="803"/>
      <c r="Q32" s="804"/>
    </row>
    <row r="33" spans="2:17" s="5" customFormat="1" ht="81">
      <c r="B33" s="4"/>
      <c r="C33" s="825" t="s">
        <v>2387</v>
      </c>
      <c r="D33" s="876" t="s">
        <v>2388</v>
      </c>
      <c r="E33" s="143"/>
      <c r="F33" s="126"/>
      <c r="G33" s="145" t="s">
        <v>212</v>
      </c>
      <c r="H33" s="3" t="s">
        <v>2371</v>
      </c>
      <c r="I33" s="123"/>
      <c r="J33" s="123"/>
      <c r="K33" s="51" t="str" cm="1">
        <f t="array" ref="K33">IF(ISBLANK(J33), IF(ISBLANK(I33), "N/A", _xlfn.IFS(L33="AS", I33+15, L33="NCR", I33+30, L33="submitted", I33+30, TRUE, "N/A")), _xlfn.IFS(L33="AS", J33+15, L33="NCR", J33+30, L33="submitted", J33+30, TRUE, "N/A"))</f>
        <v>N/A</v>
      </c>
      <c r="L33" s="18"/>
      <c r="M33" s="317"/>
      <c r="N33" s="802"/>
      <c r="O33" s="803"/>
      <c r="P33" s="803"/>
      <c r="Q33" s="804"/>
    </row>
    <row r="34" spans="2:17" s="5" customFormat="1" ht="15" customHeight="1">
      <c r="B34" s="4"/>
      <c r="C34" s="826"/>
      <c r="D34" s="878"/>
      <c r="E34" s="143"/>
      <c r="F34" s="126"/>
      <c r="G34" s="145" t="s">
        <v>336</v>
      </c>
      <c r="H34" s="17" t="s">
        <v>2372</v>
      </c>
      <c r="I34" s="123"/>
      <c r="J34" s="123"/>
      <c r="K34" s="51" t="str" cm="1">
        <f t="array" ref="K34">IF(ISBLANK(J34), IF(ISBLANK(I34), "N/A", _xlfn.IFS(L34="AS", I34+15, L34="NCR", I34+30, L34="submitted", I34+30, TRUE, "N/A")), _xlfn.IFS(L34="AS", J34+15, L34="NCR", J34+30, L34="submitted", J34+30, TRUE, "N/A"))</f>
        <v>N/A</v>
      </c>
      <c r="L34" s="18"/>
      <c r="M34" s="317"/>
      <c r="N34" s="802"/>
      <c r="O34" s="803"/>
      <c r="P34" s="803"/>
      <c r="Q34" s="804"/>
    </row>
    <row r="35" spans="2:17" s="1" customFormat="1" ht="81">
      <c r="B35" s="9"/>
      <c r="C35" s="821" t="s">
        <v>2389</v>
      </c>
      <c r="D35" s="925" t="s">
        <v>2390</v>
      </c>
      <c r="E35" s="142"/>
      <c r="F35" s="140"/>
      <c r="G35" s="141" t="s">
        <v>212</v>
      </c>
      <c r="H35" s="7" t="s">
        <v>2371</v>
      </c>
      <c r="I35" s="123"/>
      <c r="J35" s="123"/>
      <c r="K35" s="51" t="str" cm="1">
        <f t="array" ref="K35">IF(ISBLANK(J35), IF(ISBLANK(I35), "N/A", _xlfn.IFS(L35="AS", I35+15, L35="NCR", I35+30, L35="submitted", I35+30, TRUE, "N/A")), _xlfn.IFS(L35="AS", J35+15, L35="NCR", J35+30, L35="submitted", J35+30, TRUE, "N/A"))</f>
        <v>N/A</v>
      </c>
      <c r="L35" s="14"/>
      <c r="M35" s="317"/>
      <c r="N35" s="802"/>
      <c r="O35" s="803"/>
      <c r="P35" s="803"/>
      <c r="Q35" s="804"/>
    </row>
    <row r="36" spans="2:17" s="1" customFormat="1" ht="15" customHeight="1">
      <c r="B36" s="9"/>
      <c r="C36" s="807"/>
      <c r="D36" s="927"/>
      <c r="E36" s="142"/>
      <c r="F36" s="140"/>
      <c r="G36" s="141" t="s">
        <v>336</v>
      </c>
      <c r="H36" s="13" t="s">
        <v>2375</v>
      </c>
      <c r="I36" s="123"/>
      <c r="J36" s="123"/>
      <c r="K36" s="51" t="str" cm="1">
        <f t="array" ref="K36">IF(ISBLANK(J36), IF(ISBLANK(I36), "N/A", _xlfn.IFS(L36="AS", I36+15, L36="NCR", I36+30, L36="submitted", I36+30, TRUE, "N/A")), _xlfn.IFS(L36="AS", J36+15, L36="NCR", J36+30, L36="submitted", J36+30, TRUE, "N/A"))</f>
        <v>N/A</v>
      </c>
      <c r="L36" s="14"/>
      <c r="M36" s="317"/>
      <c r="N36" s="802"/>
      <c r="O36" s="803"/>
      <c r="P36" s="803"/>
      <c r="Q36" s="804"/>
    </row>
    <row r="37" spans="2:17" s="5" customFormat="1" ht="81">
      <c r="B37" s="4"/>
      <c r="C37" s="825" t="s">
        <v>2391</v>
      </c>
      <c r="D37" s="876" t="s">
        <v>2392</v>
      </c>
      <c r="E37" s="143"/>
      <c r="F37" s="126"/>
      <c r="G37" s="145" t="s">
        <v>212</v>
      </c>
      <c r="H37" s="3" t="s">
        <v>2371</v>
      </c>
      <c r="I37" s="123"/>
      <c r="J37" s="123"/>
      <c r="K37" s="51" t="str" cm="1">
        <f t="array" ref="K37">IF(ISBLANK(J37), IF(ISBLANK(I37), "N/A", _xlfn.IFS(L37="AS", I37+15, L37="NCR", I37+30, L37="submitted", I37+30, TRUE, "N/A")), _xlfn.IFS(L37="AS", J37+15, L37="NCR", J37+30, L37="submitted", J37+30, TRUE, "N/A"))</f>
        <v>N/A</v>
      </c>
      <c r="L37" s="18"/>
      <c r="M37" s="317"/>
      <c r="N37" s="802"/>
      <c r="O37" s="803"/>
      <c r="P37" s="803"/>
      <c r="Q37" s="804"/>
    </row>
    <row r="38" spans="2:17" s="5" customFormat="1" ht="15" customHeight="1">
      <c r="B38" s="4"/>
      <c r="C38" s="826"/>
      <c r="D38" s="878"/>
      <c r="E38" s="143"/>
      <c r="F38" s="126"/>
      <c r="G38" s="145" t="s">
        <v>336</v>
      </c>
      <c r="H38" s="17" t="s">
        <v>2372</v>
      </c>
      <c r="I38" s="123"/>
      <c r="J38" s="123"/>
      <c r="K38" s="51" t="str" cm="1">
        <f t="array" ref="K38">IF(ISBLANK(J38), IF(ISBLANK(I38), "N/A", _xlfn.IFS(L38="AS", I38+15, L38="NCR", I38+30, L38="submitted", I38+30, TRUE, "N/A")), _xlfn.IFS(L38="AS", J38+15, L38="NCR", J38+30, L38="submitted", J38+30, TRUE, "N/A"))</f>
        <v>N/A</v>
      </c>
      <c r="L38" s="18"/>
      <c r="M38" s="317"/>
      <c r="N38" s="802"/>
      <c r="O38" s="803"/>
      <c r="P38" s="803"/>
      <c r="Q38" s="804"/>
    </row>
    <row r="39" spans="2:17" s="1" customFormat="1" ht="81">
      <c r="B39" s="9"/>
      <c r="C39" s="821" t="s">
        <v>2393</v>
      </c>
      <c r="D39" s="932" t="s">
        <v>2394</v>
      </c>
      <c r="E39" s="159"/>
      <c r="F39" s="140"/>
      <c r="G39" s="141" t="s">
        <v>212</v>
      </c>
      <c r="H39" s="7" t="s">
        <v>2371</v>
      </c>
      <c r="I39" s="123"/>
      <c r="J39" s="123"/>
      <c r="K39" s="51" t="str" cm="1">
        <f t="array" ref="K39">IF(ISBLANK(J39), IF(ISBLANK(I39), "N/A", _xlfn.IFS(L39="AS", I39+15, L39="NCR", I39+30, L39="submitted", I39+30, TRUE, "N/A")), _xlfn.IFS(L39="AS", J39+15, L39="NCR", J39+30, L39="submitted", J39+30, TRUE, "N/A"))</f>
        <v>N/A</v>
      </c>
      <c r="L39" s="14"/>
      <c r="M39" s="317"/>
      <c r="N39" s="811"/>
      <c r="O39" s="812"/>
      <c r="P39" s="812"/>
      <c r="Q39" s="813"/>
    </row>
    <row r="40" spans="2:17" s="1" customFormat="1" ht="15" customHeight="1">
      <c r="B40" s="9"/>
      <c r="C40" s="807"/>
      <c r="D40" s="934"/>
      <c r="E40" s="159"/>
      <c r="F40" s="140"/>
      <c r="G40" s="141" t="s">
        <v>336</v>
      </c>
      <c r="H40" s="13" t="s">
        <v>2372</v>
      </c>
      <c r="I40" s="123"/>
      <c r="J40" s="123"/>
      <c r="K40" s="51" t="str" cm="1">
        <f t="array" ref="K40">IF(ISBLANK(J40), IF(ISBLANK(I40), "N/A", _xlfn.IFS(L40="AS", I40+15, L40="NCR", I40+30, L40="submitted", I40+30, TRUE, "N/A")), _xlfn.IFS(L40="AS", J40+15, L40="NCR", J40+30, L40="submitted", J40+30, TRUE, "N/A"))</f>
        <v>N/A</v>
      </c>
      <c r="L40" s="14"/>
      <c r="M40" s="317"/>
      <c r="N40" s="796" t="s">
        <v>133</v>
      </c>
      <c r="O40" s="797"/>
      <c r="P40" s="797"/>
      <c r="Q40" s="798"/>
    </row>
    <row r="41" spans="2:17" s="5" customFormat="1" ht="81">
      <c r="B41" s="4"/>
      <c r="C41" s="825" t="s">
        <v>2395</v>
      </c>
      <c r="D41" s="876" t="s">
        <v>2396</v>
      </c>
      <c r="E41" s="143"/>
      <c r="F41" s="126"/>
      <c r="G41" s="145" t="s">
        <v>212</v>
      </c>
      <c r="H41" s="3" t="s">
        <v>2397</v>
      </c>
      <c r="I41" s="123"/>
      <c r="J41" s="123"/>
      <c r="K41" s="51" t="str" cm="1">
        <f t="array" ref="K41">IF(ISBLANK(J41), IF(ISBLANK(I41), "N/A", _xlfn.IFS(L41="AS", I41+15, L41="NCR", I41+30, L41="submitted", I41+30, TRUE, "N/A")), _xlfn.IFS(L41="AS", J41+15, L41="NCR", J41+30, L41="submitted", J41+30, TRUE, "N/A"))</f>
        <v>N/A</v>
      </c>
      <c r="L41" s="18"/>
      <c r="M41" s="317"/>
      <c r="N41" s="799"/>
      <c r="O41" s="800"/>
      <c r="P41" s="800"/>
      <c r="Q41" s="801"/>
    </row>
    <row r="42" spans="2:17" s="5" customFormat="1" ht="15" customHeight="1">
      <c r="B42" s="4"/>
      <c r="C42" s="826"/>
      <c r="D42" s="878"/>
      <c r="E42" s="143"/>
      <c r="F42" s="126"/>
      <c r="G42" s="145" t="s">
        <v>336</v>
      </c>
      <c r="H42" s="17" t="s">
        <v>2375</v>
      </c>
      <c r="I42" s="123"/>
      <c r="J42" s="123"/>
      <c r="K42" s="51" t="str" cm="1">
        <f t="array" ref="K42">IF(ISBLANK(J42), IF(ISBLANK(I42), "N/A", _xlfn.IFS(L42="AS", I42+15, L42="NCR", I42+30, L42="submitted", I42+30, TRUE, "N/A")), _xlfn.IFS(L42="AS", J42+15, L42="NCR", J42+30, L42="submitted", J42+30, TRUE, "N/A"))</f>
        <v>N/A</v>
      </c>
      <c r="L42" s="18"/>
      <c r="M42" s="317"/>
      <c r="N42" s="799"/>
      <c r="O42" s="800"/>
      <c r="P42" s="800"/>
      <c r="Q42" s="801"/>
    </row>
    <row r="43" spans="2:17" s="1" customFormat="1" ht="81">
      <c r="B43" s="9"/>
      <c r="C43" s="821" t="s">
        <v>2398</v>
      </c>
      <c r="D43" s="925" t="s">
        <v>2399</v>
      </c>
      <c r="E43" s="142"/>
      <c r="F43" s="140"/>
      <c r="G43" s="141" t="s">
        <v>212</v>
      </c>
      <c r="H43" s="7" t="s">
        <v>2371</v>
      </c>
      <c r="I43" s="123"/>
      <c r="J43" s="123"/>
      <c r="K43" s="51" t="str" cm="1">
        <f t="array" ref="K43">IF(ISBLANK(J43), IF(ISBLANK(I43), "N/A", _xlfn.IFS(L43="AS", I43+15, L43="NCR", I43+30, L43="submitted", I43+30, TRUE, "N/A")), _xlfn.IFS(L43="AS", J43+15, L43="NCR", J43+30, L43="submitted", J43+30, TRUE, "N/A"))</f>
        <v>N/A</v>
      </c>
      <c r="L43" s="14"/>
      <c r="M43" s="317"/>
      <c r="N43" s="799"/>
      <c r="O43" s="800"/>
      <c r="P43" s="800"/>
      <c r="Q43" s="801"/>
    </row>
    <row r="44" spans="2:17" s="1" customFormat="1" ht="15" customHeight="1">
      <c r="B44" s="9"/>
      <c r="C44" s="807"/>
      <c r="D44" s="927"/>
      <c r="E44" s="142"/>
      <c r="F44" s="140"/>
      <c r="G44" s="141" t="s">
        <v>336</v>
      </c>
      <c r="H44" s="13" t="s">
        <v>2372</v>
      </c>
      <c r="I44" s="123"/>
      <c r="J44" s="123"/>
      <c r="K44" s="51" t="str" cm="1">
        <f t="array" ref="K44">IF(ISBLANK(J44), IF(ISBLANK(I44), "N/A", _xlfn.IFS(L44="AS", I44+15, L44="NCR", I44+30, L44="submitted", I44+30, TRUE, "N/A")), _xlfn.IFS(L44="AS", J44+15, L44="NCR", J44+30, L44="submitted", J44+30, TRUE, "N/A"))</f>
        <v>N/A</v>
      </c>
      <c r="L44" s="14"/>
      <c r="M44" s="317"/>
      <c r="N44" s="799"/>
      <c r="O44" s="800"/>
      <c r="P44" s="800"/>
      <c r="Q44" s="801"/>
    </row>
    <row r="45" spans="2:17" s="5" customFormat="1" ht="81">
      <c r="B45" s="4"/>
      <c r="C45" s="825" t="s">
        <v>2400</v>
      </c>
      <c r="D45" s="876" t="s">
        <v>2401</v>
      </c>
      <c r="E45" s="143"/>
      <c r="F45" s="126"/>
      <c r="G45" s="145" t="s">
        <v>212</v>
      </c>
      <c r="H45" s="3" t="s">
        <v>2371</v>
      </c>
      <c r="I45" s="123"/>
      <c r="J45" s="123"/>
      <c r="K45" s="51" t="str" cm="1">
        <f t="array" ref="K45">IF(ISBLANK(J45), IF(ISBLANK(I45), "N/A", _xlfn.IFS(L45="AS", I45+15, L45="NCR", I45+30, L45="submitted", I45+30, TRUE, "N/A")), _xlfn.IFS(L45="AS", J45+15, L45="NCR", J45+30, L45="submitted", J45+30, TRUE, "N/A"))</f>
        <v>N/A</v>
      </c>
      <c r="L45" s="18"/>
      <c r="M45" s="317"/>
      <c r="N45" s="799"/>
      <c r="O45" s="800"/>
      <c r="P45" s="800"/>
      <c r="Q45" s="801"/>
    </row>
    <row r="46" spans="2:17" s="5" customFormat="1" ht="15" customHeight="1">
      <c r="B46" s="4"/>
      <c r="C46" s="826"/>
      <c r="D46" s="878"/>
      <c r="E46" s="143"/>
      <c r="F46" s="126"/>
      <c r="G46" s="145" t="s">
        <v>336</v>
      </c>
      <c r="H46" s="17" t="s">
        <v>2375</v>
      </c>
      <c r="I46" s="123"/>
      <c r="J46" s="123"/>
      <c r="K46" s="51" t="str" cm="1">
        <f t="array" ref="K46">IF(ISBLANK(J46), IF(ISBLANK(I46), "N/A", _xlfn.IFS(L46="AS", I46+15, L46="NCR", I46+30, L46="submitted", I46+30, TRUE, "N/A")), _xlfn.IFS(L46="AS", J46+15, L46="NCR", J46+30, L46="submitted", J46+30, TRUE, "N/A"))</f>
        <v>N/A</v>
      </c>
      <c r="L46" s="18"/>
      <c r="M46" s="317"/>
      <c r="N46" s="799"/>
      <c r="O46" s="800"/>
      <c r="P46" s="800"/>
      <c r="Q46" s="801"/>
    </row>
    <row r="47" spans="2:17" s="1" customFormat="1" ht="81">
      <c r="B47" s="9"/>
      <c r="C47" s="821" t="s">
        <v>2402</v>
      </c>
      <c r="D47" s="925" t="s">
        <v>2403</v>
      </c>
      <c r="E47" s="142"/>
      <c r="F47" s="140"/>
      <c r="G47" s="141" t="s">
        <v>212</v>
      </c>
      <c r="H47" s="7" t="s">
        <v>2371</v>
      </c>
      <c r="I47" s="123"/>
      <c r="J47" s="123"/>
      <c r="K47" s="51" t="str" cm="1">
        <f t="array" ref="K47">IF(ISBLANK(J47), IF(ISBLANK(I47), "N/A", _xlfn.IFS(L47="AS", I47+15, L47="NCR", I47+30, L47="submitted", I47+30, TRUE, "N/A")), _xlfn.IFS(L47="AS", J47+15, L47="NCR", J47+30, L47="submitted", J47+30, TRUE, "N/A"))</f>
        <v>N/A</v>
      </c>
      <c r="L47" s="14"/>
      <c r="M47" s="317"/>
      <c r="N47" s="799"/>
      <c r="O47" s="800"/>
      <c r="P47" s="800"/>
      <c r="Q47" s="801"/>
    </row>
    <row r="48" spans="2:17" s="1" customFormat="1" ht="15" customHeight="1">
      <c r="B48" s="9"/>
      <c r="C48" s="807"/>
      <c r="D48" s="927"/>
      <c r="E48" s="142"/>
      <c r="F48" s="140"/>
      <c r="G48" s="141" t="s">
        <v>336</v>
      </c>
      <c r="H48" s="13" t="s">
        <v>2375</v>
      </c>
      <c r="I48" s="123"/>
      <c r="J48" s="123"/>
      <c r="K48" s="51" t="str" cm="1">
        <f t="array" ref="K48">IF(ISBLANK(J48), IF(ISBLANK(I48), "N/A", _xlfn.IFS(L48="AS", I48+15, L48="NCR", I48+30, L48="submitted", I48+30, TRUE, "N/A")), _xlfn.IFS(L48="AS", J48+15, L48="NCR", J48+30, L48="submitted", J48+30, TRUE, "N/A"))</f>
        <v>N/A</v>
      </c>
      <c r="L48" s="14"/>
      <c r="M48" s="317"/>
      <c r="N48" s="802" t="s">
        <v>148</v>
      </c>
      <c r="O48" s="803"/>
      <c r="P48" s="803"/>
      <c r="Q48" s="804"/>
    </row>
    <row r="49" spans="2:17" s="5" customFormat="1" ht="81">
      <c r="B49" s="4"/>
      <c r="C49" s="825" t="s">
        <v>2404</v>
      </c>
      <c r="D49" s="876" t="s">
        <v>2405</v>
      </c>
      <c r="E49" s="143"/>
      <c r="F49" s="126"/>
      <c r="G49" s="145" t="s">
        <v>212</v>
      </c>
      <c r="H49" s="3" t="s">
        <v>2371</v>
      </c>
      <c r="I49" s="123"/>
      <c r="J49" s="123"/>
      <c r="K49" s="51" t="str" cm="1">
        <f t="array" ref="K49">IF(ISBLANK(J49), IF(ISBLANK(I49), "N/A", _xlfn.IFS(L49="AS", I49+15, L49="NCR", I49+30, L49="submitted", I49+30, TRUE, "N/A")), _xlfn.IFS(L49="AS", J49+15, L49="NCR", J49+30, L49="submitted", J49+30, TRUE, "N/A"))</f>
        <v>N/A</v>
      </c>
      <c r="L49" s="18"/>
      <c r="M49" s="317"/>
      <c r="N49" s="802"/>
      <c r="O49" s="803"/>
      <c r="P49" s="803"/>
      <c r="Q49" s="804"/>
    </row>
    <row r="50" spans="2:17" s="5" customFormat="1" ht="15" customHeight="1">
      <c r="B50" s="4"/>
      <c r="C50" s="826"/>
      <c r="D50" s="878"/>
      <c r="E50" s="143"/>
      <c r="F50" s="126"/>
      <c r="G50" s="145" t="s">
        <v>336</v>
      </c>
      <c r="H50" s="17" t="s">
        <v>2375</v>
      </c>
      <c r="I50" s="123"/>
      <c r="J50" s="123"/>
      <c r="K50" s="51" t="str" cm="1">
        <f t="array" ref="K50">IF(ISBLANK(J50), IF(ISBLANK(I50), "N/A", _xlfn.IFS(L50="AS", I50+15, L50="NCR", I50+30, L50="submitted", I50+30, TRUE, "N/A")), _xlfn.IFS(L50="AS", J50+15, L50="NCR", J50+30, L50="submitted", J50+30, TRUE, "N/A"))</f>
        <v>N/A</v>
      </c>
      <c r="L50" s="18"/>
      <c r="M50" s="317"/>
      <c r="N50" s="802"/>
      <c r="O50" s="803"/>
      <c r="P50" s="803"/>
      <c r="Q50" s="804"/>
    </row>
    <row r="51" spans="2:17" s="1" customFormat="1" ht="40.5" customHeight="1">
      <c r="B51" s="9"/>
      <c r="C51" s="821" t="s">
        <v>2406</v>
      </c>
      <c r="D51" s="925" t="s">
        <v>2407</v>
      </c>
      <c r="E51" s="142"/>
      <c r="F51" s="140"/>
      <c r="G51" s="141" t="s">
        <v>212</v>
      </c>
      <c r="H51" s="7" t="s">
        <v>2408</v>
      </c>
      <c r="I51" s="123"/>
      <c r="J51" s="123"/>
      <c r="K51" s="51" t="str" cm="1">
        <f t="array" ref="K51">IF(ISBLANK(J51), IF(ISBLANK(I51), "N/A", _xlfn.IFS(L51="AS", I51+15, L51="NCR", I51+30, L51="submitted", I51+30, TRUE, "N/A")), _xlfn.IFS(L51="AS", J51+15, L51="NCR", J51+30, L51="submitted", J51+30, TRUE, "N/A"))</f>
        <v>N/A</v>
      </c>
      <c r="L51" s="14"/>
      <c r="M51" s="317"/>
      <c r="N51" s="802"/>
      <c r="O51" s="803"/>
      <c r="P51" s="803"/>
      <c r="Q51" s="804"/>
    </row>
    <row r="52" spans="2:17" s="1" customFormat="1" ht="15" customHeight="1">
      <c r="B52" s="9"/>
      <c r="C52" s="807"/>
      <c r="D52" s="927"/>
      <c r="E52" s="142"/>
      <c r="F52" s="140"/>
      <c r="G52" s="141" t="s">
        <v>336</v>
      </c>
      <c r="H52" s="13" t="s">
        <v>2375</v>
      </c>
      <c r="I52" s="123"/>
      <c r="J52" s="123"/>
      <c r="K52" s="51" t="str" cm="1">
        <f t="array" ref="K52">IF(ISBLANK(J52), IF(ISBLANK(I52), "N/A", _xlfn.IFS(L52="AS", I52+15, L52="NCR", I52+30, L52="submitted", I52+30, TRUE, "N/A")), _xlfn.IFS(L52="AS", J52+15, L52="NCR", J52+30, L52="submitted", J52+30, TRUE, "N/A"))</f>
        <v>N/A</v>
      </c>
      <c r="L52" s="14"/>
      <c r="M52" s="317"/>
      <c r="N52" s="802"/>
      <c r="O52" s="803"/>
      <c r="P52" s="803"/>
      <c r="Q52" s="804"/>
    </row>
    <row r="53" spans="2:17" s="5" customFormat="1" ht="81">
      <c r="B53" s="4"/>
      <c r="C53" s="825" t="s">
        <v>2409</v>
      </c>
      <c r="D53" s="876" t="s">
        <v>2410</v>
      </c>
      <c r="E53" s="143"/>
      <c r="F53" s="126"/>
      <c r="G53" s="145" t="s">
        <v>212</v>
      </c>
      <c r="H53" s="3" t="s">
        <v>2371</v>
      </c>
      <c r="I53" s="123"/>
      <c r="J53" s="123"/>
      <c r="K53" s="51" t="str" cm="1">
        <f t="array" ref="K53">IF(ISBLANK(J53), IF(ISBLANK(I53), "N/A", _xlfn.IFS(L53="AS", I53+15, L53="NCR", I53+30, L53="submitted", I53+30, TRUE, "N/A")), _xlfn.IFS(L53="AS", J53+15, L53="NCR", J53+30, L53="submitted", J53+30, TRUE, "N/A"))</f>
        <v>N/A</v>
      </c>
      <c r="L53" s="18"/>
      <c r="M53" s="318"/>
      <c r="N53" s="802"/>
      <c r="O53" s="803"/>
      <c r="P53" s="803"/>
      <c r="Q53" s="804"/>
    </row>
    <row r="54" spans="2:17" s="5" customFormat="1" ht="15" customHeight="1">
      <c r="B54" s="4"/>
      <c r="C54" s="826"/>
      <c r="D54" s="878"/>
      <c r="E54" s="143"/>
      <c r="F54" s="126"/>
      <c r="G54" s="145" t="s">
        <v>336</v>
      </c>
      <c r="H54" s="17" t="s">
        <v>2375</v>
      </c>
      <c r="I54" s="123"/>
      <c r="J54" s="123"/>
      <c r="K54" s="51" t="str" cm="1">
        <f t="array" ref="K54">IF(ISBLANK(J54), IF(ISBLANK(I54), "N/A", _xlfn.IFS(L54="AS", I54+15, L54="NCR", I54+30, L54="submitted", I54+30, TRUE, "N/A")), _xlfn.IFS(L54="AS", J54+15, L54="NCR", J54+30, L54="submitted", J54+30, TRUE, "N/A"))</f>
        <v>N/A</v>
      </c>
      <c r="L54" s="18"/>
      <c r="M54" s="317"/>
      <c r="N54" s="802"/>
      <c r="O54" s="803"/>
      <c r="P54" s="803"/>
      <c r="Q54" s="804"/>
    </row>
    <row r="55" spans="2:17" s="1" customFormat="1" ht="81">
      <c r="B55" s="9"/>
      <c r="C55" s="821" t="s">
        <v>2411</v>
      </c>
      <c r="D55" s="925" t="s">
        <v>2412</v>
      </c>
      <c r="E55" s="142"/>
      <c r="F55" s="140"/>
      <c r="G55" s="141" t="s">
        <v>212</v>
      </c>
      <c r="H55" s="7" t="s">
        <v>2371</v>
      </c>
      <c r="I55" s="123"/>
      <c r="J55" s="123"/>
      <c r="K55" s="51" t="str" cm="1">
        <f t="array" ref="K55">IF(ISBLANK(J55), IF(ISBLANK(I55), "N/A", _xlfn.IFS(L55="AS", I55+15, L55="NCR", I55+30, L55="submitted", I55+30, TRUE, "N/A")), _xlfn.IFS(L55="AS", J55+15, L55="NCR", J55+30, L55="submitted", J55+30, TRUE, "N/A"))</f>
        <v>N/A</v>
      </c>
      <c r="L55" s="14"/>
      <c r="M55" s="317"/>
      <c r="N55" s="802"/>
      <c r="O55" s="803"/>
      <c r="P55" s="803"/>
      <c r="Q55" s="804"/>
    </row>
    <row r="56" spans="2:17" s="1" customFormat="1" ht="15" customHeight="1">
      <c r="B56" s="9"/>
      <c r="C56" s="807"/>
      <c r="D56" s="927"/>
      <c r="E56" s="142"/>
      <c r="F56" s="140"/>
      <c r="G56" s="141" t="s">
        <v>336</v>
      </c>
      <c r="H56" s="13" t="s">
        <v>2375</v>
      </c>
      <c r="I56" s="123"/>
      <c r="J56" s="123"/>
      <c r="K56" s="51" t="str" cm="1">
        <f t="array" ref="K56">IF(ISBLANK(J56), IF(ISBLANK(I56), "N/A", _xlfn.IFS(L56="AS", I56+15, L56="NCR", I56+30, L56="submitted", I56+30, TRUE, "N/A")), _xlfn.IFS(L56="AS", J56+15, L56="NCR", J56+30, L56="submitted", J56+30, TRUE, "N/A"))</f>
        <v>N/A</v>
      </c>
      <c r="L56" s="14"/>
      <c r="M56" s="317"/>
      <c r="N56" s="802"/>
      <c r="O56" s="803"/>
      <c r="P56" s="803"/>
      <c r="Q56" s="804"/>
    </row>
    <row r="57" spans="2:17" s="5" customFormat="1" ht="81">
      <c r="B57" s="4"/>
      <c r="C57" s="825" t="s">
        <v>2413</v>
      </c>
      <c r="D57" s="876" t="s">
        <v>2414</v>
      </c>
      <c r="E57" s="143"/>
      <c r="F57" s="126"/>
      <c r="G57" s="145" t="s">
        <v>212</v>
      </c>
      <c r="H57" s="3" t="s">
        <v>2371</v>
      </c>
      <c r="I57" s="123"/>
      <c r="J57" s="123"/>
      <c r="K57" s="51" t="str" cm="1">
        <f t="array" ref="K57">IF(ISBLANK(J57), IF(ISBLANK(I57), "N/A", _xlfn.IFS(L57="AS", I57+15, L57="NCR", I57+30, L57="submitted", I57+30, TRUE, "N/A")), _xlfn.IFS(L57="AS", J57+15, L57="NCR", J57+30, L57="submitted", J57+30, TRUE, "N/A"))</f>
        <v>N/A</v>
      </c>
      <c r="L57" s="18"/>
      <c r="M57" s="317"/>
      <c r="N57" s="802"/>
      <c r="O57" s="803"/>
      <c r="P57" s="803"/>
      <c r="Q57" s="804"/>
    </row>
    <row r="58" spans="2:17" s="5" customFormat="1" ht="15" customHeight="1">
      <c r="B58" s="4"/>
      <c r="C58" s="826"/>
      <c r="D58" s="878"/>
      <c r="E58" s="143"/>
      <c r="F58" s="126"/>
      <c r="G58" s="145" t="s">
        <v>336</v>
      </c>
      <c r="H58" s="17" t="s">
        <v>2375</v>
      </c>
      <c r="I58" s="123"/>
      <c r="J58" s="123"/>
      <c r="K58" s="51" t="str" cm="1">
        <f t="array" ref="K58">IF(ISBLANK(J58), IF(ISBLANK(I58), "N/A", _xlfn.IFS(L58="AS", I58+15, L58="NCR", I58+30, L58="submitted", I58+30, TRUE, "N/A")), _xlfn.IFS(L58="AS", J58+15, L58="NCR", J58+30, L58="submitted", J58+30, TRUE, "N/A"))</f>
        <v>N/A</v>
      </c>
      <c r="L58" s="18"/>
      <c r="M58" s="317"/>
      <c r="N58" s="802"/>
      <c r="O58" s="803"/>
      <c r="P58" s="803"/>
      <c r="Q58" s="804"/>
    </row>
    <row r="59" spans="2:17" s="1" customFormat="1" ht="81">
      <c r="B59" s="9"/>
      <c r="C59" s="821" t="s">
        <v>2415</v>
      </c>
      <c r="D59" s="932" t="s">
        <v>2416</v>
      </c>
      <c r="E59" s="159"/>
      <c r="F59" s="140"/>
      <c r="G59" s="141" t="s">
        <v>212</v>
      </c>
      <c r="H59" s="7" t="s">
        <v>2371</v>
      </c>
      <c r="I59" s="123"/>
      <c r="J59" s="123"/>
      <c r="K59" s="51" t="str" cm="1">
        <f t="array" ref="K59">IF(ISBLANK(J59), IF(ISBLANK(I59), "N/A", _xlfn.IFS(L59="AS", I59+15, L59="NCR", I59+30, L59="submitted", I59+30, TRUE, "N/A")), _xlfn.IFS(L59="AS", J59+15, L59="NCR", J59+30, L59="submitted", J59+30, TRUE, "N/A"))</f>
        <v>N/A</v>
      </c>
      <c r="L59" s="14"/>
      <c r="M59" s="317"/>
      <c r="N59" s="802"/>
      <c r="O59" s="803"/>
      <c r="P59" s="803"/>
      <c r="Q59" s="804"/>
    </row>
    <row r="60" spans="2:17" s="1" customFormat="1" ht="15" customHeight="1">
      <c r="B60" s="9"/>
      <c r="C60" s="807"/>
      <c r="D60" s="934"/>
      <c r="E60" s="159"/>
      <c r="F60" s="140"/>
      <c r="G60" s="141" t="s">
        <v>336</v>
      </c>
      <c r="H60" s="13" t="s">
        <v>2375</v>
      </c>
      <c r="I60" s="123"/>
      <c r="J60" s="123"/>
      <c r="K60" s="51" t="str" cm="1">
        <f t="array" ref="K60">IF(ISBLANK(J60), IF(ISBLANK(I60), "N/A", _xlfn.IFS(L60="AS", I60+15, L60="NCR", I60+30, L60="submitted", I60+30, TRUE, "N/A")), _xlfn.IFS(L60="AS", J60+15, L60="NCR", J60+30, L60="submitted", J60+30, TRUE, "N/A"))</f>
        <v>N/A</v>
      </c>
      <c r="L60" s="14"/>
      <c r="M60" s="317"/>
      <c r="N60" s="802"/>
      <c r="O60" s="803"/>
      <c r="P60" s="803"/>
      <c r="Q60" s="804"/>
    </row>
    <row r="61" spans="2:17" s="5" customFormat="1" ht="25.5" customHeight="1">
      <c r="B61" s="4"/>
      <c r="C61" s="825" t="s">
        <v>2417</v>
      </c>
      <c r="D61" s="929" t="s">
        <v>2418</v>
      </c>
      <c r="E61" s="157"/>
      <c r="F61" s="126"/>
      <c r="G61" s="145" t="s">
        <v>212</v>
      </c>
      <c r="H61" s="3" t="s">
        <v>2371</v>
      </c>
      <c r="I61" s="123"/>
      <c r="J61" s="123"/>
      <c r="K61" s="51" t="str" cm="1">
        <f t="array" ref="K61">IF(ISBLANK(J61), IF(ISBLANK(I61), "N/A", _xlfn.IFS(L61="AS", I61+15, L61="NCR", I61+30, L61="submitted", I61+30, TRUE, "N/A")), _xlfn.IFS(L61="AS", J61+15, L61="NCR", J61+30, L61="submitted", J61+30, TRUE, "N/A"))</f>
        <v>N/A</v>
      </c>
      <c r="L61" s="18"/>
      <c r="M61" s="317"/>
      <c r="N61" s="802"/>
      <c r="O61" s="803"/>
      <c r="P61" s="803"/>
      <c r="Q61" s="804"/>
    </row>
    <row r="62" spans="2:17" s="5" customFormat="1" ht="15" customHeight="1">
      <c r="B62" s="4"/>
      <c r="C62" s="826"/>
      <c r="D62" s="931"/>
      <c r="E62" s="157"/>
      <c r="F62" s="126"/>
      <c r="G62" s="145" t="s">
        <v>336</v>
      </c>
      <c r="H62" s="17" t="s">
        <v>2375</v>
      </c>
      <c r="I62" s="123"/>
      <c r="J62" s="123"/>
      <c r="K62" s="51" t="str" cm="1">
        <f t="array" ref="K62">IF(ISBLANK(J62), IF(ISBLANK(I62), "N/A", _xlfn.IFS(L62="AS", I62+15, L62="NCR", I62+30, L62="submitted", I62+30, TRUE, "N/A")), _xlfn.IFS(L62="AS", J62+15, L62="NCR", J62+30, L62="submitted", J62+30, TRUE, "N/A"))</f>
        <v>N/A</v>
      </c>
      <c r="L62" s="18"/>
      <c r="M62" s="317"/>
      <c r="N62" s="802"/>
      <c r="O62" s="803"/>
      <c r="P62" s="803"/>
      <c r="Q62" s="804"/>
    </row>
    <row r="63" spans="2:17" s="1" customFormat="1" ht="121.5">
      <c r="B63" s="9"/>
      <c r="C63" s="821" t="s">
        <v>2419</v>
      </c>
      <c r="D63" s="925" t="s">
        <v>2420</v>
      </c>
      <c r="E63" s="142"/>
      <c r="F63" s="140"/>
      <c r="G63" s="141" t="s">
        <v>212</v>
      </c>
      <c r="H63" s="7" t="s">
        <v>2421</v>
      </c>
      <c r="I63" s="123"/>
      <c r="J63" s="123"/>
      <c r="K63" s="51" t="str" cm="1">
        <f t="array" ref="K63">IF(ISBLANK(J63), IF(ISBLANK(I63), "N/A", _xlfn.IFS(L63="AS", I63+15, L63="NCR", I63+30, L63="submitted", I63+30, TRUE, "N/A")), _xlfn.IFS(L63="AS", J63+15, L63="NCR", J63+30, L63="submitted", J63+30, TRUE, "N/A"))</f>
        <v>N/A</v>
      </c>
      <c r="L63" s="14"/>
      <c r="M63" s="317"/>
      <c r="N63" s="802"/>
      <c r="O63" s="803"/>
      <c r="P63" s="803"/>
      <c r="Q63" s="804"/>
    </row>
    <row r="64" spans="2:17" s="1" customFormat="1" ht="15" customHeight="1">
      <c r="B64" s="9"/>
      <c r="C64" s="807"/>
      <c r="D64" s="927"/>
      <c r="E64" s="142"/>
      <c r="F64" s="140"/>
      <c r="G64" s="141" t="s">
        <v>336</v>
      </c>
      <c r="H64" s="13" t="s">
        <v>2375</v>
      </c>
      <c r="I64" s="123"/>
      <c r="J64" s="123"/>
      <c r="K64" s="51" t="str" cm="1">
        <f t="array" ref="K64">IF(ISBLANK(J64), IF(ISBLANK(I64), "N/A", _xlfn.IFS(L64="AS", I64+15, L64="NCR", I64+30, L64="submitted", I64+30, TRUE, "N/A")), _xlfn.IFS(L64="AS", J64+15, L64="NCR", J64+30, L64="submitted", J64+30, TRUE, "N/A"))</f>
        <v>N/A</v>
      </c>
      <c r="L64" s="14"/>
      <c r="M64" s="317"/>
      <c r="N64" s="802"/>
      <c r="O64" s="803"/>
      <c r="P64" s="803"/>
      <c r="Q64" s="804"/>
    </row>
    <row r="65" spans="2:17" s="5" customFormat="1" ht="53.25">
      <c r="B65" s="4"/>
      <c r="C65" s="825" t="s">
        <v>2422</v>
      </c>
      <c r="D65" s="876" t="s">
        <v>2423</v>
      </c>
      <c r="E65" s="143"/>
      <c r="F65" s="126"/>
      <c r="G65" s="145" t="s">
        <v>212</v>
      </c>
      <c r="H65" s="3" t="s">
        <v>2424</v>
      </c>
      <c r="I65" s="123"/>
      <c r="J65" s="123"/>
      <c r="K65" s="51" t="str" cm="1">
        <f t="array" ref="K65">IF(ISBLANK(J65), IF(ISBLANK(I65), "N/A", _xlfn.IFS(L65="AS", I65+15, L65="NCR", I65+30, L65="submitted", I65+30, TRUE, "N/A")), _xlfn.IFS(L65="AS", J65+15, L65="NCR", J65+30, L65="submitted", J65+30, TRUE, "N/A"))</f>
        <v>N/A</v>
      </c>
      <c r="L65" s="18"/>
      <c r="M65" s="317"/>
      <c r="N65" s="802"/>
      <c r="O65" s="803"/>
      <c r="P65" s="803"/>
      <c r="Q65" s="804"/>
    </row>
    <row r="66" spans="2:17" s="5" customFormat="1" ht="27" customHeight="1">
      <c r="B66" s="4"/>
      <c r="C66" s="826"/>
      <c r="D66" s="878"/>
      <c r="E66" s="143"/>
      <c r="F66" s="126"/>
      <c r="G66" s="145" t="s">
        <v>336</v>
      </c>
      <c r="H66" s="3" t="s">
        <v>2425</v>
      </c>
      <c r="I66" s="123"/>
      <c r="J66" s="123"/>
      <c r="K66" s="51" t="str" cm="1">
        <f t="array" ref="K66">IF(ISBLANK(J66), IF(ISBLANK(I66), "N/A", _xlfn.IFS(L66="AS", I66+15, L66="NCR", I66+30, L66="submitted", I66+30, TRUE, "N/A")), _xlfn.IFS(L66="AS", J66+15, L66="NCR", J66+30, L66="submitted", J66+30, TRUE, "N/A"))</f>
        <v>N/A</v>
      </c>
      <c r="L66" s="18"/>
      <c r="M66" s="317"/>
      <c r="N66" s="802"/>
      <c r="O66" s="803"/>
      <c r="P66" s="803"/>
      <c r="Q66" s="804"/>
    </row>
    <row r="67" spans="2:17" s="1" customFormat="1" ht="53.25">
      <c r="B67" s="9"/>
      <c r="C67" s="821" t="s">
        <v>2426</v>
      </c>
      <c r="D67" s="925" t="s">
        <v>2427</v>
      </c>
      <c r="E67" s="142"/>
      <c r="F67" s="140"/>
      <c r="G67" s="141" t="s">
        <v>208</v>
      </c>
      <c r="H67" s="7" t="s">
        <v>2424</v>
      </c>
      <c r="I67" s="123"/>
      <c r="J67" s="123"/>
      <c r="K67" s="51" t="str" cm="1">
        <f t="array" ref="K67">IF(ISBLANK(J67), IF(ISBLANK(I67), "N/A", _xlfn.IFS(L67="AS", I67+15, L67="NCR", I67+30, L67="submitted", I67+30, TRUE, "N/A")), _xlfn.IFS(L67="AS", J67+15, L67="NCR", J67+30, L67="submitted", J67+30, TRUE, "N/A"))</f>
        <v>N/A</v>
      </c>
      <c r="L67" s="14"/>
      <c r="M67" s="317"/>
      <c r="N67" s="802"/>
      <c r="O67" s="803"/>
      <c r="P67" s="803"/>
      <c r="Q67" s="804"/>
    </row>
    <row r="68" spans="2:17" s="1" customFormat="1" ht="27" customHeight="1">
      <c r="B68" s="9"/>
      <c r="C68" s="822"/>
      <c r="D68" s="926"/>
      <c r="E68" s="142"/>
      <c r="F68" s="140"/>
      <c r="G68" s="141" t="s">
        <v>281</v>
      </c>
      <c r="H68" s="7" t="s">
        <v>2425</v>
      </c>
      <c r="I68" s="123"/>
      <c r="J68" s="123"/>
      <c r="K68" s="51" t="str" cm="1">
        <f t="array" ref="K68">IF(ISBLANK(J68), IF(ISBLANK(I68), "N/A", _xlfn.IFS(L68="AS", I68+15, L68="NCR", I68+30, L68="submitted", I68+30, TRUE, "N/A")), _xlfn.IFS(L68="AS", J68+15, L68="NCR", J68+30, L68="submitted", J68+30, TRUE, "N/A"))</f>
        <v>N/A</v>
      </c>
      <c r="L68" s="14"/>
      <c r="M68" s="317"/>
      <c r="N68" s="802"/>
      <c r="O68" s="803"/>
      <c r="P68" s="803"/>
      <c r="Q68" s="804"/>
    </row>
    <row r="69" spans="2:17" s="1" customFormat="1" ht="53.25">
      <c r="B69" s="9"/>
      <c r="C69" s="822"/>
      <c r="D69" s="926"/>
      <c r="E69" s="142"/>
      <c r="F69" s="140"/>
      <c r="G69" s="141" t="s">
        <v>329</v>
      </c>
      <c r="H69" s="7" t="s">
        <v>2209</v>
      </c>
      <c r="I69" s="123"/>
      <c r="J69" s="123"/>
      <c r="K69" s="51" t="str" cm="1">
        <f t="array" ref="K69">IF(ISBLANK(J69), IF(ISBLANK(I69), "N/A", _xlfn.IFS(L69="AS", I69+15, L69="NCR", I69+30, L69="submitted", I69+30, TRUE, "N/A")), _xlfn.IFS(L69="AS", J69+15, L69="NCR", J69+30, L69="submitted", J69+30, TRUE, "N/A"))</f>
        <v>N/A</v>
      </c>
      <c r="L69" s="14"/>
      <c r="M69" s="317"/>
      <c r="N69" s="802"/>
      <c r="O69" s="803"/>
      <c r="P69" s="803"/>
      <c r="Q69" s="804"/>
    </row>
    <row r="70" spans="2:17" s="1" customFormat="1" ht="40.5" customHeight="1">
      <c r="B70" s="9"/>
      <c r="C70" s="807"/>
      <c r="D70" s="927"/>
      <c r="E70" s="142"/>
      <c r="F70" s="140"/>
      <c r="G70" s="141" t="s">
        <v>601</v>
      </c>
      <c r="H70" s="7" t="s">
        <v>2210</v>
      </c>
      <c r="I70" s="123"/>
      <c r="J70" s="123"/>
      <c r="K70" s="51" t="str" cm="1">
        <f t="array" ref="K70">IF(ISBLANK(J70), IF(ISBLANK(I70), "N/A", _xlfn.IFS(L70="AS", I70+15, L70="NCR", I70+30, L70="submitted", I70+30, TRUE, "N/A")), _xlfn.IFS(L70="AS", J70+15, L70="NCR", J70+30, L70="submitted", J70+30, TRUE, "N/A"))</f>
        <v>N/A</v>
      </c>
      <c r="L70" s="14"/>
      <c r="M70" s="317"/>
      <c r="N70" s="802"/>
      <c r="O70" s="803"/>
      <c r="P70" s="803"/>
      <c r="Q70" s="804"/>
    </row>
    <row r="71" spans="2:17" s="5" customFormat="1" ht="53.25">
      <c r="B71" s="4"/>
      <c r="C71" s="825" t="s">
        <v>2428</v>
      </c>
      <c r="D71" s="876" t="s">
        <v>2429</v>
      </c>
      <c r="E71" s="143"/>
      <c r="F71" s="126"/>
      <c r="G71" s="145" t="s">
        <v>208</v>
      </c>
      <c r="H71" s="3" t="s">
        <v>2424</v>
      </c>
      <c r="I71" s="123"/>
      <c r="J71" s="123"/>
      <c r="K71" s="51" t="str" cm="1">
        <f t="array" ref="K71">IF(ISBLANK(J71), IF(ISBLANK(I71), "N/A", _xlfn.IFS(L71="AS", I71+15, L71="NCR", I71+30, L71="submitted", I71+30, TRUE, "N/A")), _xlfn.IFS(L71="AS", J71+15, L71="NCR", J71+30, L71="submitted", J71+30, TRUE, "N/A"))</f>
        <v>N/A</v>
      </c>
      <c r="L71" s="18"/>
      <c r="M71" s="317"/>
      <c r="N71" s="802"/>
      <c r="O71" s="803"/>
      <c r="P71" s="803"/>
      <c r="Q71" s="804"/>
    </row>
    <row r="72" spans="2:17" s="5" customFormat="1" ht="53.25">
      <c r="B72" s="4"/>
      <c r="C72" s="829"/>
      <c r="D72" s="877"/>
      <c r="E72" s="143"/>
      <c r="F72" s="126"/>
      <c r="G72" s="145" t="s">
        <v>222</v>
      </c>
      <c r="H72" s="3" t="s">
        <v>2209</v>
      </c>
      <c r="I72" s="123"/>
      <c r="J72" s="123"/>
      <c r="K72" s="51" t="str" cm="1">
        <f t="array" ref="K72">IF(ISBLANK(J72), IF(ISBLANK(I72), "N/A", _xlfn.IFS(L72="AS", I72+15, L72="NCR", I72+30, L72="submitted", I72+30, TRUE, "N/A")), _xlfn.IFS(L72="AS", J72+15, L72="NCR", J72+30, L72="submitted", J72+30, TRUE, "N/A"))</f>
        <v>N/A</v>
      </c>
      <c r="L72" s="18"/>
      <c r="M72" s="317"/>
      <c r="N72" s="802"/>
      <c r="O72" s="803"/>
      <c r="P72" s="803"/>
      <c r="Q72" s="804"/>
    </row>
    <row r="73" spans="2:17" s="5" customFormat="1" ht="40.5" customHeight="1">
      <c r="B73" s="4"/>
      <c r="C73" s="826"/>
      <c r="D73" s="878"/>
      <c r="E73" s="143"/>
      <c r="F73" s="126"/>
      <c r="G73" s="145" t="s">
        <v>543</v>
      </c>
      <c r="H73" s="3" t="s">
        <v>2430</v>
      </c>
      <c r="I73" s="123"/>
      <c r="J73" s="123"/>
      <c r="K73" s="51" t="str" cm="1">
        <f t="array" ref="K73">IF(ISBLANK(J73), IF(ISBLANK(I73), "N/A", _xlfn.IFS(L73="AS", I73+15, L73="NCR", I73+30, L73="submitted", I73+30, TRUE, "N/A")), _xlfn.IFS(L73="AS", J73+15, L73="NCR", J73+30, L73="submitted", J73+30, TRUE, "N/A"))</f>
        <v>N/A</v>
      </c>
      <c r="L73" s="18"/>
      <c r="M73" s="317"/>
      <c r="N73" s="802"/>
      <c r="O73" s="803"/>
      <c r="P73" s="803"/>
      <c r="Q73" s="804"/>
    </row>
    <row r="74" spans="2:17" s="1" customFormat="1" ht="53.25">
      <c r="B74" s="9"/>
      <c r="C74" s="821" t="s">
        <v>2431</v>
      </c>
      <c r="D74" s="925" t="s">
        <v>2432</v>
      </c>
      <c r="E74" s="142"/>
      <c r="F74" s="140"/>
      <c r="G74" s="141" t="s">
        <v>208</v>
      </c>
      <c r="H74" s="7" t="s">
        <v>2424</v>
      </c>
      <c r="I74" s="123"/>
      <c r="J74" s="123"/>
      <c r="K74" s="51" t="str" cm="1">
        <f t="array" ref="K74">IF(ISBLANK(J74), IF(ISBLANK(I74), "N/A", _xlfn.IFS(L74="AS", I74+15, L74="NCR", I74+30, L74="submitted", I74+30, TRUE, "N/A")), _xlfn.IFS(L74="AS", J74+15, L74="NCR", J74+30, L74="submitted", J74+30, TRUE, "N/A"))</f>
        <v>N/A</v>
      </c>
      <c r="L74" s="14"/>
      <c r="M74" s="317"/>
      <c r="N74" s="802"/>
      <c r="O74" s="803"/>
      <c r="P74" s="803"/>
      <c r="Q74" s="804"/>
    </row>
    <row r="75" spans="2:17" s="1" customFormat="1" ht="27" customHeight="1">
      <c r="B75" s="9"/>
      <c r="C75" s="807"/>
      <c r="D75" s="927"/>
      <c r="E75" s="142"/>
      <c r="F75" s="140"/>
      <c r="G75" s="141" t="s">
        <v>281</v>
      </c>
      <c r="H75" s="7" t="s">
        <v>2425</v>
      </c>
      <c r="I75" s="123"/>
      <c r="J75" s="123"/>
      <c r="K75" s="51" t="str" cm="1">
        <f t="array" ref="K75">IF(ISBLANK(J75), IF(ISBLANK(I75), "N/A", _xlfn.IFS(L75="AS", I75+15, L75="NCR", I75+30, L75="submitted", I75+30, TRUE, "N/A")), _xlfn.IFS(L75="AS", J75+15, L75="NCR", J75+30, L75="submitted", J75+30, TRUE, "N/A"))</f>
        <v>N/A</v>
      </c>
      <c r="L75" s="14"/>
      <c r="M75" s="317"/>
      <c r="N75" s="802"/>
      <c r="O75" s="803"/>
      <c r="P75" s="803"/>
      <c r="Q75" s="804"/>
    </row>
    <row r="76" spans="2:17" s="5" customFormat="1" ht="53.25">
      <c r="B76" s="4"/>
      <c r="C76" s="54" t="s">
        <v>2433</v>
      </c>
      <c r="D76" s="345" t="s">
        <v>2434</v>
      </c>
      <c r="E76" s="143"/>
      <c r="F76" s="126"/>
      <c r="G76" s="145" t="s">
        <v>208</v>
      </c>
      <c r="H76" s="3" t="s">
        <v>2424</v>
      </c>
      <c r="I76" s="123"/>
      <c r="J76" s="123"/>
      <c r="K76" s="51" t="str" cm="1">
        <f t="array" ref="K76">IF(ISBLANK(J76), IF(ISBLANK(I76), "N/A", _xlfn.IFS(L76="AS", I76+15, L76="NCR", I76+30, L76="submitted", I76+30, TRUE, "N/A")), _xlfn.IFS(L76="AS", J76+15, L76="NCR", J76+30, L76="submitted", J76+30, TRUE, "N/A"))</f>
        <v>N/A</v>
      </c>
      <c r="L76" s="18"/>
      <c r="M76" s="317"/>
      <c r="N76" s="802"/>
      <c r="O76" s="803"/>
      <c r="P76" s="803"/>
      <c r="Q76" s="804"/>
    </row>
    <row r="77" spans="2:17" s="5" customFormat="1" ht="15" customHeight="1">
      <c r="B77" s="4"/>
      <c r="C77" s="54" t="s">
        <v>2433</v>
      </c>
      <c r="D77" s="345" t="s">
        <v>2434</v>
      </c>
      <c r="E77" s="143"/>
      <c r="F77" s="126"/>
      <c r="G77" s="145"/>
      <c r="H77" s="3"/>
      <c r="I77" s="123"/>
      <c r="J77" s="123"/>
      <c r="K77" s="51" t="str" cm="1">
        <f t="array" ref="K77">IF(ISBLANK(J77), IF(ISBLANK(I77), "N/A", _xlfn.IFS(L77="AS", I77+15, L77="NCR", I77+30, L77="submitted", I77+30, TRUE, "N/A")), _xlfn.IFS(L77="AS", J77+15, L77="NCR", J77+30, L77="submitted", J77+30, TRUE, "N/A"))</f>
        <v>N/A</v>
      </c>
      <c r="L77" s="18"/>
      <c r="M77" s="317"/>
      <c r="N77" s="802"/>
      <c r="O77" s="803"/>
      <c r="P77" s="803"/>
      <c r="Q77" s="804"/>
    </row>
    <row r="78" spans="2:17" s="525" customFormat="1" ht="27" customHeight="1">
      <c r="B78" s="523" t="s">
        <v>2435</v>
      </c>
      <c r="C78" s="530" t="s">
        <v>2433</v>
      </c>
      <c r="D78" s="657" t="s">
        <v>2434</v>
      </c>
      <c r="E78" s="526" t="s">
        <v>2436</v>
      </c>
      <c r="F78" s="655" t="s">
        <v>2437</v>
      </c>
      <c r="G78" s="527" t="s">
        <v>222</v>
      </c>
      <c r="H78" s="540" t="s">
        <v>2438</v>
      </c>
      <c r="I78" s="656">
        <v>45918</v>
      </c>
      <c r="J78" s="656">
        <v>45939</v>
      </c>
      <c r="K78" s="51" cm="1">
        <f t="array" ref="K78">IF(ISBLANK(J78), IF(ISBLANK(I78), "N/A", _xlfn.IFS(L78="AS", I78+15, L78="NCR", I78+30, L78="submitted", I78+30, TRUE, "N/A")), _xlfn.IFS(L78="AS", J78+15, L78="NCR", J78+30, L78="submitted", J78+30, TRUE, "N/A"))</f>
        <v>45969</v>
      </c>
      <c r="L78" s="533" t="s">
        <v>157</v>
      </c>
      <c r="M78" s="317"/>
      <c r="N78" s="802"/>
      <c r="O78" s="803"/>
      <c r="P78" s="803"/>
      <c r="Q78" s="804"/>
    </row>
    <row r="79" spans="2:17" s="525" customFormat="1" ht="15" customHeight="1">
      <c r="B79" s="523" t="s">
        <v>2435</v>
      </c>
      <c r="C79" s="530" t="s">
        <v>2433</v>
      </c>
      <c r="D79" s="657" t="s">
        <v>2434</v>
      </c>
      <c r="E79" s="526" t="s">
        <v>2436</v>
      </c>
      <c r="F79" s="655" t="s">
        <v>2437</v>
      </c>
      <c r="G79" s="527" t="s">
        <v>543</v>
      </c>
      <c r="H79" s="532" t="s">
        <v>2439</v>
      </c>
      <c r="I79" s="656">
        <v>45918</v>
      </c>
      <c r="J79" s="656">
        <v>45939</v>
      </c>
      <c r="K79" s="51" cm="1">
        <f t="array" ref="K79">IF(ISBLANK(J79), IF(ISBLANK(I79), "N/A", _xlfn.IFS(L79="AS", I79+15, L79="NCR", I79+30, L79="submitted", I79+30, TRUE, "N/A")), _xlfn.IFS(L79="AS", J79+15, L79="NCR", J79+30, L79="submitted", J79+30, TRUE, "N/A"))</f>
        <v>45969</v>
      </c>
      <c r="L79" s="533" t="s">
        <v>157</v>
      </c>
      <c r="M79" s="317"/>
      <c r="N79" s="802"/>
      <c r="O79" s="803"/>
      <c r="P79" s="803"/>
      <c r="Q79" s="804"/>
    </row>
    <row r="80" spans="2:17" s="5" customFormat="1" ht="53.25">
      <c r="B80" s="4"/>
      <c r="C80" s="54" t="s">
        <v>2433</v>
      </c>
      <c r="D80" s="345" t="s">
        <v>2434</v>
      </c>
      <c r="E80" s="143"/>
      <c r="F80" s="126"/>
      <c r="G80" s="145" t="s">
        <v>2440</v>
      </c>
      <c r="H80" s="3" t="s">
        <v>2209</v>
      </c>
      <c r="I80" s="123"/>
      <c r="J80" s="123"/>
      <c r="K80" s="51" t="str" cm="1">
        <f t="array" ref="K80">IF(ISBLANK(J80), IF(ISBLANK(I80), "N/A", _xlfn.IFS(L80="AS", I80+15, L80="NCR", I80+30, L80="submitted", I80+30, TRUE, "N/A")), _xlfn.IFS(L80="AS", J80+15, L80="NCR", J80+30, L80="submitted", J80+30, TRUE, "N/A"))</f>
        <v>N/A</v>
      </c>
      <c r="L80" s="18"/>
      <c r="M80" s="317"/>
      <c r="N80" s="802"/>
      <c r="O80" s="803"/>
      <c r="P80" s="803"/>
      <c r="Q80" s="804"/>
    </row>
    <row r="81" spans="2:17" s="5" customFormat="1" ht="40.5" customHeight="1">
      <c r="B81" s="4" t="s">
        <v>2435</v>
      </c>
      <c r="C81" s="54" t="s">
        <v>2433</v>
      </c>
      <c r="D81" s="345" t="s">
        <v>2434</v>
      </c>
      <c r="E81" s="143"/>
      <c r="F81" s="126"/>
      <c r="G81" s="145" t="s">
        <v>601</v>
      </c>
      <c r="H81" s="3" t="s">
        <v>2210</v>
      </c>
      <c r="I81" s="656">
        <v>45918</v>
      </c>
      <c r="J81" s="656">
        <v>45939</v>
      </c>
      <c r="K81" s="51" cm="1">
        <f t="array" ref="K81">IF(ISBLANK(J81), IF(ISBLANK(I81), "N/A", _xlfn.IFS(L81="AS", I81+15, L81="NCR", I81+30, L81="submitted", I81+30, TRUE, "N/A")), _xlfn.IFS(L81="AS", J81+15, L81="NCR", J81+30, L81="submitted", J81+30, TRUE, "N/A"))</f>
        <v>45969</v>
      </c>
      <c r="L81" s="533" t="s">
        <v>157</v>
      </c>
      <c r="M81" s="317"/>
      <c r="N81" s="802"/>
      <c r="O81" s="803"/>
      <c r="P81" s="803"/>
      <c r="Q81" s="804"/>
    </row>
    <row r="82" spans="2:17" s="1" customFormat="1" ht="53.25">
      <c r="B82" s="9"/>
      <c r="C82" s="821" t="s">
        <v>2441</v>
      </c>
      <c r="D82" s="925" t="s">
        <v>2442</v>
      </c>
      <c r="E82" s="142"/>
      <c r="F82" s="140"/>
      <c r="G82" s="141" t="s">
        <v>208</v>
      </c>
      <c r="H82" s="7" t="s">
        <v>2443</v>
      </c>
      <c r="I82" s="123"/>
      <c r="J82" s="123"/>
      <c r="K82" s="51" t="str" cm="1">
        <f t="array" ref="K82">IF(ISBLANK(J82), IF(ISBLANK(I82), "N/A", _xlfn.IFS(L82="AS", I82+15, L82="NCR", I82+30, L82="submitted", I82+30, TRUE, "N/A")), _xlfn.IFS(L82="AS", J82+15, L82="NCR", J82+30, L82="submitted", J82+30, TRUE, "N/A"))</f>
        <v>N/A</v>
      </c>
      <c r="L82" s="14"/>
      <c r="M82" s="317"/>
      <c r="N82" s="802"/>
      <c r="O82" s="803"/>
      <c r="P82" s="803"/>
      <c r="Q82" s="804"/>
    </row>
    <row r="83" spans="2:17" s="1" customFormat="1" ht="15" customHeight="1">
      <c r="B83" s="9"/>
      <c r="C83" s="822"/>
      <c r="D83" s="926"/>
      <c r="E83" s="142"/>
      <c r="F83" s="140"/>
      <c r="G83" s="141" t="s">
        <v>281</v>
      </c>
      <c r="H83" s="13" t="s">
        <v>2444</v>
      </c>
      <c r="I83" s="123"/>
      <c r="J83" s="123"/>
      <c r="K83" s="51" t="str" cm="1">
        <f t="array" ref="K83">IF(ISBLANK(J83), IF(ISBLANK(I83), "N/A", _xlfn.IFS(L83="AS", I83+15, L83="NCR", I83+30, L83="submitted", I83+30, TRUE, "N/A")), _xlfn.IFS(L83="AS", J83+15, L83="NCR", J83+30, L83="submitted", J83+30, TRUE, "N/A"))</f>
        <v>N/A</v>
      </c>
      <c r="L83" s="14"/>
      <c r="M83" s="317"/>
      <c r="N83" s="802"/>
      <c r="O83" s="803"/>
      <c r="P83" s="803"/>
      <c r="Q83" s="804"/>
    </row>
    <row r="84" spans="2:17" s="1" customFormat="1" ht="27" customHeight="1">
      <c r="B84" s="9"/>
      <c r="C84" s="822"/>
      <c r="D84" s="926"/>
      <c r="E84" s="142"/>
      <c r="F84" s="140"/>
      <c r="G84" s="141" t="s">
        <v>269</v>
      </c>
      <c r="H84" s="7" t="s">
        <v>2425</v>
      </c>
      <c r="I84" s="123"/>
      <c r="J84" s="123"/>
      <c r="K84" s="51" t="str" cm="1">
        <f t="array" ref="K84">IF(ISBLANK(J84), IF(ISBLANK(I84), "N/A", _xlfn.IFS(L84="AS", I84+15, L84="NCR", I84+30, L84="submitted", I84+30, TRUE, "N/A")), _xlfn.IFS(L84="AS", J84+15, L84="NCR", J84+30, L84="submitted", J84+30, TRUE, "N/A"))</f>
        <v>N/A</v>
      </c>
      <c r="L84" s="14"/>
      <c r="M84" s="317"/>
      <c r="N84" s="802"/>
      <c r="O84" s="803"/>
      <c r="P84" s="803"/>
      <c r="Q84" s="804"/>
    </row>
    <row r="85" spans="2:17" s="1" customFormat="1" ht="53.25">
      <c r="B85" s="9"/>
      <c r="C85" s="822"/>
      <c r="D85" s="926"/>
      <c r="E85" s="142"/>
      <c r="F85" s="140"/>
      <c r="G85" s="141" t="s">
        <v>372</v>
      </c>
      <c r="H85" s="7" t="s">
        <v>2209</v>
      </c>
      <c r="I85" s="123"/>
      <c r="J85" s="123"/>
      <c r="K85" s="51" t="str" cm="1">
        <f t="array" ref="K85">IF(ISBLANK(J85), IF(ISBLANK(I85), "N/A", _xlfn.IFS(L85="AS", I85+15, L85="NCR", I85+30, L85="submitted", I85+30, TRUE, "N/A")), _xlfn.IFS(L85="AS", J85+15, L85="NCR", J85+30, L85="submitted", J85+30, TRUE, "N/A"))</f>
        <v>N/A</v>
      </c>
      <c r="L85" s="14"/>
      <c r="M85" s="317"/>
      <c r="N85" s="802"/>
      <c r="O85" s="803"/>
      <c r="P85" s="803"/>
      <c r="Q85" s="804"/>
    </row>
    <row r="86" spans="2:17" s="1" customFormat="1" ht="40.5">
      <c r="B86" s="9"/>
      <c r="C86" s="807"/>
      <c r="D86" s="927"/>
      <c r="E86" s="142"/>
      <c r="F86" s="140"/>
      <c r="G86" s="141" t="s">
        <v>374</v>
      </c>
      <c r="H86" s="7" t="s">
        <v>2210</v>
      </c>
      <c r="I86" s="123"/>
      <c r="J86" s="123"/>
      <c r="K86" s="51" t="str" cm="1">
        <f t="array" ref="K86">IF(ISBLANK(J86), IF(ISBLANK(I86), "N/A", _xlfn.IFS(L86="AS", I86+15, L86="NCR", I86+30, L86="submitted", I86+30, TRUE, "N/A")), _xlfn.IFS(L86="AS", J86+15, L86="NCR", J86+30, L86="submitted", J86+30, TRUE, "N/A"))</f>
        <v>N/A</v>
      </c>
      <c r="L86" s="14"/>
      <c r="M86" s="317"/>
      <c r="N86" s="802"/>
      <c r="O86" s="803"/>
      <c r="P86" s="803"/>
      <c r="Q86" s="804"/>
    </row>
    <row r="87" spans="2:17" s="5" customFormat="1" ht="53.25">
      <c r="B87" s="4"/>
      <c r="C87" s="825" t="s">
        <v>2445</v>
      </c>
      <c r="D87" s="929" t="s">
        <v>2446</v>
      </c>
      <c r="E87" s="157"/>
      <c r="F87" s="126"/>
      <c r="G87" s="145" t="s">
        <v>212</v>
      </c>
      <c r="H87" s="3" t="s">
        <v>2424</v>
      </c>
      <c r="I87" s="123"/>
      <c r="J87" s="123"/>
      <c r="K87" s="51" t="str" cm="1">
        <f t="array" ref="K87">IF(ISBLANK(J87), IF(ISBLANK(I87), "N/A", _xlfn.IFS(L87="AS", I87+15, L87="NCR", I87+30, L87="submitted", I87+30, TRUE, "N/A")), _xlfn.IFS(L87="AS", J87+15, L87="NCR", J87+30, L87="submitted", J87+30, TRUE, "N/A"))</f>
        <v>N/A</v>
      </c>
      <c r="L87" s="18"/>
      <c r="M87" s="317"/>
      <c r="N87" s="802"/>
      <c r="O87" s="803"/>
      <c r="P87" s="803"/>
      <c r="Q87" s="804"/>
    </row>
    <row r="88" spans="2:17" s="5" customFormat="1" ht="27" customHeight="1">
      <c r="B88" s="4"/>
      <c r="C88" s="826"/>
      <c r="D88" s="931"/>
      <c r="E88" s="157"/>
      <c r="F88" s="126"/>
      <c r="G88" s="145" t="s">
        <v>336</v>
      </c>
      <c r="H88" s="3" t="s">
        <v>2425</v>
      </c>
      <c r="I88" s="123"/>
      <c r="J88" s="123"/>
      <c r="K88" s="51" t="str" cm="1">
        <f t="array" ref="K88">IF(ISBLANK(J88), IF(ISBLANK(I88), "N/A", _xlfn.IFS(L88="AS", I88+15, L88="NCR", I88+30, L88="submitted", I88+30, TRUE, "N/A")), _xlfn.IFS(L88="AS", J88+15, L88="NCR", J88+30, L88="submitted", J88+30, TRUE, "N/A"))</f>
        <v>N/A</v>
      </c>
      <c r="L88" s="18"/>
      <c r="M88" s="317"/>
      <c r="N88" s="802"/>
      <c r="O88" s="803"/>
      <c r="P88" s="803"/>
      <c r="Q88" s="804"/>
    </row>
    <row r="89" spans="2:17" s="1" customFormat="1" ht="40.5">
      <c r="B89" s="9"/>
      <c r="C89" s="11" t="s">
        <v>2447</v>
      </c>
      <c r="D89" s="164" t="s">
        <v>2448</v>
      </c>
      <c r="E89" s="159"/>
      <c r="F89" s="140"/>
      <c r="G89" s="141" t="s">
        <v>208</v>
      </c>
      <c r="H89" s="7" t="s">
        <v>2449</v>
      </c>
      <c r="I89" s="123"/>
      <c r="J89" s="123"/>
      <c r="K89" s="51" t="str" cm="1">
        <f t="array" ref="K89">IF(ISBLANK(J89), IF(ISBLANK(I89), "N/A", _xlfn.IFS(L89="AS", I89+15, L89="NCR", I89+30, L89="submitted", I89+30, TRUE, "N/A")), _xlfn.IFS(L89="AS", J89+15, L89="NCR", J89+30, L89="submitted", J89+30, TRUE, "N/A"))</f>
        <v>N/A</v>
      </c>
      <c r="L89" s="14"/>
      <c r="M89" s="317"/>
      <c r="N89" s="802"/>
      <c r="O89" s="803"/>
      <c r="P89" s="803"/>
      <c r="Q89" s="804"/>
    </row>
    <row r="90" spans="2:17" s="5" customFormat="1" ht="53.25">
      <c r="B90" s="4"/>
      <c r="C90" s="825" t="s">
        <v>2450</v>
      </c>
      <c r="D90" s="929" t="s">
        <v>2451</v>
      </c>
      <c r="E90" s="157"/>
      <c r="F90" s="126"/>
      <c r="G90" s="145" t="s">
        <v>212</v>
      </c>
      <c r="H90" s="3" t="s">
        <v>2424</v>
      </c>
      <c r="I90" s="123"/>
      <c r="J90" s="123"/>
      <c r="K90" s="51" t="str" cm="1">
        <f t="array" ref="K90">IF(ISBLANK(J90), IF(ISBLANK(I90), "N/A", _xlfn.IFS(L90="AS", I90+15, L90="NCR", I90+30, L90="submitted", I90+30, TRUE, "N/A")), _xlfn.IFS(L90="AS", J90+15, L90="NCR", J90+30, L90="submitted", J90+30, TRUE, "N/A"))</f>
        <v>N/A</v>
      </c>
      <c r="L90" s="18"/>
      <c r="M90" s="317"/>
      <c r="N90" s="802"/>
      <c r="O90" s="803"/>
      <c r="P90" s="803"/>
      <c r="Q90" s="804"/>
    </row>
    <row r="91" spans="2:17" s="5" customFormat="1" ht="15" customHeight="1">
      <c r="B91" s="4"/>
      <c r="C91" s="826"/>
      <c r="D91" s="931"/>
      <c r="E91" s="157"/>
      <c r="F91" s="126"/>
      <c r="G91" s="145" t="s">
        <v>336</v>
      </c>
      <c r="H91" s="17" t="s">
        <v>235</v>
      </c>
      <c r="I91" s="123"/>
      <c r="J91" s="123"/>
      <c r="K91" s="51" t="str" cm="1">
        <f t="array" ref="K91">IF(ISBLANK(J91), IF(ISBLANK(I91), "N/A", _xlfn.IFS(L91="AS", I91+15, L91="NCR", I91+30, L91="submitted", I91+30, TRUE, "N/A")), _xlfn.IFS(L91="AS", J91+15, L91="NCR", J91+30, L91="submitted", J91+30, TRUE, "N/A"))</f>
        <v>N/A</v>
      </c>
      <c r="L91" s="18"/>
      <c r="M91" s="317"/>
      <c r="N91" s="802"/>
      <c r="O91" s="803"/>
      <c r="P91" s="803"/>
      <c r="Q91" s="804"/>
    </row>
    <row r="92" spans="2:17" s="1" customFormat="1" ht="53.25" customHeight="1">
      <c r="B92" s="9"/>
      <c r="C92" s="821" t="s">
        <v>2452</v>
      </c>
      <c r="D92" s="925" t="s">
        <v>2453</v>
      </c>
      <c r="E92" s="142"/>
      <c r="F92" s="140"/>
      <c r="G92" s="141" t="s">
        <v>212</v>
      </c>
      <c r="H92" s="7" t="s">
        <v>2424</v>
      </c>
      <c r="I92" s="123"/>
      <c r="J92" s="123"/>
      <c r="K92" s="51" t="str" cm="1">
        <f t="array" ref="K92">IF(ISBLANK(J92), IF(ISBLANK(I92), "N/A", _xlfn.IFS(L92="AS", I92+15, L92="NCR", I92+30, L92="submitted", I92+30, TRUE, "N/A")), _xlfn.IFS(L92="AS", J92+15, L92="NCR", J92+30, L92="submitted", J92+30, TRUE, "N/A"))</f>
        <v>N/A</v>
      </c>
      <c r="L92" s="14"/>
      <c r="M92" s="317"/>
      <c r="N92" s="802"/>
      <c r="O92" s="803"/>
      <c r="P92" s="803"/>
      <c r="Q92" s="804"/>
    </row>
    <row r="93" spans="2:17" s="1" customFormat="1" ht="15" customHeight="1">
      <c r="B93" s="9"/>
      <c r="C93" s="822"/>
      <c r="D93" s="926"/>
      <c r="E93" s="142"/>
      <c r="F93" s="140"/>
      <c r="G93" s="141" t="s">
        <v>234</v>
      </c>
      <c r="H93" s="13" t="s">
        <v>235</v>
      </c>
      <c r="I93" s="123"/>
      <c r="J93" s="123"/>
      <c r="K93" s="51" t="str" cm="1">
        <f t="array" ref="K93">IF(ISBLANK(J93), IF(ISBLANK(I93), "N/A", _xlfn.IFS(L93="AS", I93+15, L93="NCR", I93+30, L93="submitted", I93+30, TRUE, "N/A")), _xlfn.IFS(L93="AS", J93+15, L93="NCR", J93+30, L93="submitted", J93+30, TRUE, "N/A"))</f>
        <v>N/A</v>
      </c>
      <c r="L93" s="14"/>
      <c r="M93" s="317"/>
      <c r="N93" s="802"/>
      <c r="O93" s="803"/>
      <c r="P93" s="803"/>
      <c r="Q93" s="804"/>
    </row>
    <row r="94" spans="2:17" s="1" customFormat="1" ht="15" customHeight="1">
      <c r="B94" s="9"/>
      <c r="C94" s="807"/>
      <c r="D94" s="927"/>
      <c r="E94" s="142"/>
      <c r="F94" s="140"/>
      <c r="G94" s="141" t="s">
        <v>236</v>
      </c>
      <c r="H94" s="13" t="s">
        <v>282</v>
      </c>
      <c r="I94" s="123"/>
      <c r="J94" s="123"/>
      <c r="K94" s="51" t="str" cm="1">
        <f t="array" ref="K94">IF(ISBLANK(J94), IF(ISBLANK(I94), "N/A", _xlfn.IFS(L94="AS", I94+15, L94="NCR", I94+30, L94="submitted", I94+30, TRUE, "N/A")), _xlfn.IFS(L94="AS", J94+15, L94="NCR", J94+30, L94="submitted", J94+30, TRUE, "N/A"))</f>
        <v>N/A</v>
      </c>
      <c r="L94" s="14"/>
      <c r="M94" s="317"/>
      <c r="N94" s="802"/>
      <c r="O94" s="803"/>
      <c r="P94" s="803"/>
      <c r="Q94" s="804"/>
    </row>
    <row r="95" spans="2:17" s="5" customFormat="1" ht="53.25">
      <c r="B95" s="4"/>
      <c r="C95" s="825" t="s">
        <v>2454</v>
      </c>
      <c r="D95" s="876" t="s">
        <v>2455</v>
      </c>
      <c r="E95" s="143"/>
      <c r="F95" s="126"/>
      <c r="G95" s="145" t="s">
        <v>208</v>
      </c>
      <c r="H95" s="3" t="s">
        <v>2424</v>
      </c>
      <c r="I95" s="123"/>
      <c r="J95" s="123"/>
      <c r="K95" s="51" t="str" cm="1">
        <f t="array" ref="K95">IF(ISBLANK(J95), IF(ISBLANK(I95), "N/A", _xlfn.IFS(L95="AS", I95+15, L95="NCR", I95+30, L95="submitted", I95+30, TRUE, "N/A")), _xlfn.IFS(L95="AS", J95+15, L95="NCR", J95+30, L95="submitted", J95+30, TRUE, "N/A"))</f>
        <v>N/A</v>
      </c>
      <c r="L95" s="18"/>
      <c r="M95" s="317"/>
      <c r="N95" s="802"/>
      <c r="O95" s="803"/>
      <c r="P95" s="803"/>
      <c r="Q95" s="804"/>
    </row>
    <row r="96" spans="2:17" s="5" customFormat="1" ht="15" customHeight="1">
      <c r="B96" s="4"/>
      <c r="C96" s="826"/>
      <c r="D96" s="878"/>
      <c r="E96" s="143"/>
      <c r="F96" s="126"/>
      <c r="G96" s="145" t="s">
        <v>281</v>
      </c>
      <c r="H96" s="17" t="s">
        <v>235</v>
      </c>
      <c r="I96" s="123"/>
      <c r="J96" s="123"/>
      <c r="K96" s="51" t="str" cm="1">
        <f t="array" ref="K96">IF(ISBLANK(J96), IF(ISBLANK(I96), "N/A", _xlfn.IFS(L96="AS", I96+15, L96="NCR", I96+30, L96="submitted", I96+30, TRUE, "N/A")), _xlfn.IFS(L96="AS", J96+15, L96="NCR", J96+30, L96="submitted", J96+30, TRUE, "N/A"))</f>
        <v>N/A</v>
      </c>
      <c r="L96" s="18"/>
      <c r="M96" s="317"/>
      <c r="N96" s="802"/>
      <c r="O96" s="803"/>
      <c r="P96" s="803"/>
      <c r="Q96" s="804"/>
    </row>
    <row r="97" spans="2:17" s="1" customFormat="1" ht="53.25">
      <c r="B97" s="9"/>
      <c r="C97" s="821" t="s">
        <v>2456</v>
      </c>
      <c r="D97" s="925" t="s">
        <v>2457</v>
      </c>
      <c r="E97" s="142"/>
      <c r="F97" s="140"/>
      <c r="G97" s="141" t="s">
        <v>208</v>
      </c>
      <c r="H97" s="7" t="s">
        <v>2424</v>
      </c>
      <c r="I97" s="123"/>
      <c r="J97" s="123"/>
      <c r="K97" s="51" t="str" cm="1">
        <f t="array" ref="K97">IF(ISBLANK(J97), IF(ISBLANK(I97), "N/A", _xlfn.IFS(L97="AS", I97+15, L97="NCR", I97+30, L97="submitted", I97+30, TRUE, "N/A")), _xlfn.IFS(L97="AS", J97+15, L97="NCR", J97+30, L97="submitted", J97+30, TRUE, "N/A"))</f>
        <v>N/A</v>
      </c>
      <c r="L97" s="14"/>
      <c r="M97" s="317"/>
      <c r="N97" s="802"/>
      <c r="O97" s="803"/>
      <c r="P97" s="803"/>
      <c r="Q97" s="804"/>
    </row>
    <row r="98" spans="2:17" s="1" customFormat="1" ht="15" customHeight="1">
      <c r="B98" s="9"/>
      <c r="C98" s="807"/>
      <c r="D98" s="927"/>
      <c r="E98" s="142"/>
      <c r="F98" s="140"/>
      <c r="G98" s="141" t="s">
        <v>281</v>
      </c>
      <c r="H98" s="13" t="s">
        <v>235</v>
      </c>
      <c r="I98" s="123"/>
      <c r="J98" s="123"/>
      <c r="K98" s="51" t="str" cm="1">
        <f t="array" ref="K98">IF(ISBLANK(J98), IF(ISBLANK(I98), "N/A", _xlfn.IFS(L98="AS", I98+15, L98="NCR", I98+30, L98="submitted", I98+30, TRUE, "N/A")), _xlfn.IFS(L98="AS", J98+15, L98="NCR", J98+30, L98="submitted", J98+30, TRUE, "N/A"))</f>
        <v>N/A</v>
      </c>
      <c r="L98" s="14"/>
      <c r="M98" s="317"/>
      <c r="N98" s="802"/>
      <c r="O98" s="803"/>
      <c r="P98" s="803"/>
      <c r="Q98" s="804"/>
    </row>
    <row r="99" spans="2:17" s="5" customFormat="1" ht="53.25">
      <c r="B99" s="4"/>
      <c r="C99" s="825" t="s">
        <v>2458</v>
      </c>
      <c r="D99" s="876" t="s">
        <v>2459</v>
      </c>
      <c r="E99" s="143"/>
      <c r="F99" s="126"/>
      <c r="G99" s="145" t="s">
        <v>208</v>
      </c>
      <c r="H99" s="3" t="s">
        <v>2424</v>
      </c>
      <c r="I99" s="123"/>
      <c r="J99" s="123"/>
      <c r="K99" s="51" t="str" cm="1">
        <f t="array" ref="K99">IF(ISBLANK(J99), IF(ISBLANK(I99), "N/A", _xlfn.IFS(L99="AS", I99+15, L99="NCR", I99+30, L99="submitted", I99+30, TRUE, "N/A")), _xlfn.IFS(L99="AS", J99+15, L99="NCR", J99+30, L99="submitted", J99+30, TRUE, "N/A"))</f>
        <v>N/A</v>
      </c>
      <c r="L99" s="18"/>
      <c r="M99" s="317"/>
      <c r="N99" s="802"/>
      <c r="O99" s="803"/>
      <c r="P99" s="803"/>
      <c r="Q99" s="804"/>
    </row>
    <row r="100" spans="2:17" s="5" customFormat="1" ht="27" customHeight="1">
      <c r="B100" s="4"/>
      <c r="C100" s="826"/>
      <c r="D100" s="878"/>
      <c r="E100" s="143"/>
      <c r="F100" s="126"/>
      <c r="G100" s="145" t="s">
        <v>281</v>
      </c>
      <c r="H100" s="3" t="s">
        <v>2425</v>
      </c>
      <c r="I100" s="123"/>
      <c r="J100" s="123"/>
      <c r="K100" s="51" t="str" cm="1">
        <f t="array" ref="K100">IF(ISBLANK(J100), IF(ISBLANK(I100), "N/A", _xlfn.IFS(L100="AS", I100+15, L100="NCR", I100+30, L100="submitted", I100+30, TRUE, "N/A")), _xlfn.IFS(L100="AS", J100+15, L100="NCR", J100+30, L100="submitted", J100+30, TRUE, "N/A"))</f>
        <v>N/A</v>
      </c>
      <c r="L100" s="18"/>
      <c r="M100" s="317"/>
      <c r="N100" s="802"/>
      <c r="O100" s="803"/>
      <c r="P100" s="803"/>
      <c r="Q100" s="804"/>
    </row>
    <row r="101" spans="2:17" s="1" customFormat="1" ht="53.25">
      <c r="B101" s="9"/>
      <c r="C101" s="821" t="s">
        <v>2460</v>
      </c>
      <c r="D101" s="925" t="s">
        <v>2461</v>
      </c>
      <c r="E101" s="142"/>
      <c r="F101" s="140"/>
      <c r="G101" s="141" t="s">
        <v>212</v>
      </c>
      <c r="H101" s="7" t="s">
        <v>2462</v>
      </c>
      <c r="I101" s="123"/>
      <c r="J101" s="123"/>
      <c r="K101" s="51" t="str" cm="1">
        <f t="array" ref="K101">IF(ISBLANK(J101), IF(ISBLANK(I101), "N/A", _xlfn.IFS(L101="AS", I101+15, L101="NCR", I101+30, L101="submitted", I101+30, TRUE, "N/A")), _xlfn.IFS(L101="AS", J101+15, L101="NCR", J101+30, L101="submitted", J101+30, TRUE, "N/A"))</f>
        <v>N/A</v>
      </c>
      <c r="L101" s="14"/>
      <c r="M101" s="317"/>
      <c r="N101" s="802"/>
      <c r="O101" s="803"/>
      <c r="P101" s="803"/>
      <c r="Q101" s="804"/>
    </row>
    <row r="102" spans="2:17" s="1" customFormat="1" ht="27" customHeight="1">
      <c r="B102" s="9"/>
      <c r="C102" s="807"/>
      <c r="D102" s="927"/>
      <c r="E102" s="142"/>
      <c r="F102" s="140"/>
      <c r="G102" s="141" t="s">
        <v>336</v>
      </c>
      <c r="H102" s="7" t="s">
        <v>2425</v>
      </c>
      <c r="I102" s="123"/>
      <c r="J102" s="123"/>
      <c r="K102" s="51" t="str" cm="1">
        <f t="array" ref="K102">IF(ISBLANK(J102), IF(ISBLANK(I102), "N/A", _xlfn.IFS(L102="AS", I102+15, L102="NCR", I102+30, L102="submitted", I102+30, TRUE, "N/A")), _xlfn.IFS(L102="AS", J102+15, L102="NCR", J102+30, L102="submitted", J102+30, TRUE, "N/A"))</f>
        <v>N/A</v>
      </c>
      <c r="L102" s="14"/>
      <c r="M102" s="317"/>
      <c r="N102" s="802"/>
      <c r="O102" s="803"/>
      <c r="P102" s="803"/>
      <c r="Q102" s="804"/>
    </row>
    <row r="103" spans="2:17" s="5" customFormat="1" ht="53.25">
      <c r="B103" s="4"/>
      <c r="C103" s="825" t="s">
        <v>2463</v>
      </c>
      <c r="D103" s="876" t="s">
        <v>2464</v>
      </c>
      <c r="E103" s="143"/>
      <c r="F103" s="126"/>
      <c r="G103" s="145" t="s">
        <v>212</v>
      </c>
      <c r="H103" s="3" t="s">
        <v>2424</v>
      </c>
      <c r="I103" s="123"/>
      <c r="J103" s="123"/>
      <c r="K103" s="51" t="str" cm="1">
        <f t="array" ref="K103">IF(ISBLANK(J103), IF(ISBLANK(I103), "N/A", _xlfn.IFS(L103="AS", I103+15, L103="NCR", I103+30, L103="submitted", I103+30, TRUE, "N/A")), _xlfn.IFS(L103="AS", J103+15, L103="NCR", J103+30, L103="submitted", J103+30, TRUE, "N/A"))</f>
        <v>N/A</v>
      </c>
      <c r="L103" s="18"/>
      <c r="M103" s="317"/>
      <c r="N103" s="802"/>
      <c r="O103" s="803"/>
      <c r="P103" s="803"/>
      <c r="Q103" s="804"/>
    </row>
    <row r="104" spans="2:17" s="5" customFormat="1" ht="27" customHeight="1">
      <c r="B104" s="4"/>
      <c r="C104" s="826"/>
      <c r="D104" s="878"/>
      <c r="E104" s="143"/>
      <c r="F104" s="126"/>
      <c r="G104" s="145" t="s">
        <v>336</v>
      </c>
      <c r="H104" s="3" t="s">
        <v>2465</v>
      </c>
      <c r="I104" s="123"/>
      <c r="J104" s="123"/>
      <c r="K104" s="51" t="str" cm="1">
        <f t="array" ref="K104">IF(ISBLANK(J104), IF(ISBLANK(I104), "N/A", _xlfn.IFS(L104="AS", I104+15, L104="NCR", I104+30, L104="submitted", I104+30, TRUE, "N/A")), _xlfn.IFS(L104="AS", J104+15, L104="NCR", J104+30, L104="submitted", J104+30, TRUE, "N/A"))</f>
        <v>N/A</v>
      </c>
      <c r="L104" s="18"/>
      <c r="M104" s="317"/>
      <c r="N104" s="802"/>
      <c r="O104" s="803"/>
      <c r="P104" s="803"/>
      <c r="Q104" s="804"/>
    </row>
    <row r="105" spans="2:17" s="1" customFormat="1" ht="53.25">
      <c r="B105" s="9"/>
      <c r="C105" s="821" t="s">
        <v>2466</v>
      </c>
      <c r="D105" s="925" t="s">
        <v>2467</v>
      </c>
      <c r="E105" s="142"/>
      <c r="F105" s="140"/>
      <c r="G105" s="141" t="s">
        <v>212</v>
      </c>
      <c r="H105" s="7" t="s">
        <v>2424</v>
      </c>
      <c r="I105" s="123"/>
      <c r="J105" s="123"/>
      <c r="K105" s="51" t="str" cm="1">
        <f t="array" ref="K105">IF(ISBLANK(J105), IF(ISBLANK(I105), "N/A", _xlfn.IFS(L105="AS", I105+15, L105="NCR", I105+30, L105="submitted", I105+30, TRUE, "N/A")), _xlfn.IFS(L105="AS", J105+15, L105="NCR", J105+30, L105="submitted", J105+30, TRUE, "N/A"))</f>
        <v>N/A</v>
      </c>
      <c r="L105" s="14"/>
      <c r="M105" s="317"/>
      <c r="N105" s="802"/>
      <c r="O105" s="803"/>
      <c r="P105" s="803"/>
      <c r="Q105" s="804"/>
    </row>
    <row r="106" spans="2:17" s="1" customFormat="1" ht="27" customHeight="1">
      <c r="B106" s="9"/>
      <c r="C106" s="807"/>
      <c r="D106" s="927"/>
      <c r="E106" s="142"/>
      <c r="F106" s="140"/>
      <c r="G106" s="141" t="s">
        <v>336</v>
      </c>
      <c r="H106" s="7" t="s">
        <v>2425</v>
      </c>
      <c r="I106" s="123"/>
      <c r="J106" s="123"/>
      <c r="K106" s="51" t="str" cm="1">
        <f t="array" ref="K106">IF(ISBLANK(J106), IF(ISBLANK(I106), "N/A", _xlfn.IFS(L106="AS", I106+15, L106="NCR", I106+30, L106="submitted", I106+30, TRUE, "N/A")), _xlfn.IFS(L106="AS", J106+15, L106="NCR", J106+30, L106="submitted", J106+30, TRUE, "N/A"))</f>
        <v>N/A</v>
      </c>
      <c r="L106" s="14"/>
      <c r="M106" s="317"/>
      <c r="N106" s="802"/>
      <c r="O106" s="803"/>
      <c r="P106" s="803"/>
      <c r="Q106" s="804"/>
    </row>
    <row r="107" spans="2:17" s="5" customFormat="1" ht="53.25">
      <c r="B107" s="4"/>
      <c r="C107" s="825" t="s">
        <v>2468</v>
      </c>
      <c r="D107" s="876" t="s">
        <v>2469</v>
      </c>
      <c r="E107" s="143"/>
      <c r="F107" s="126"/>
      <c r="G107" s="145" t="s">
        <v>208</v>
      </c>
      <c r="H107" s="3" t="s">
        <v>2470</v>
      </c>
      <c r="I107" s="123"/>
      <c r="J107" s="123"/>
      <c r="K107" s="51" t="str" cm="1">
        <f t="array" ref="K107">IF(ISBLANK(J107), IF(ISBLANK(I107), "N/A", _xlfn.IFS(L107="AS", I107+15, L107="NCR", I107+30, L107="submitted", I107+30, TRUE, "N/A")), _xlfn.IFS(L107="AS", J107+15, L107="NCR", J107+30, L107="submitted", J107+30, TRUE, "N/A"))</f>
        <v>N/A</v>
      </c>
      <c r="L107" s="18"/>
      <c r="M107" s="317"/>
      <c r="N107" s="802"/>
      <c r="O107" s="803"/>
      <c r="P107" s="803"/>
      <c r="Q107" s="804"/>
    </row>
    <row r="108" spans="2:17" s="5" customFormat="1" ht="27" customHeight="1">
      <c r="B108" s="4"/>
      <c r="C108" s="829"/>
      <c r="D108" s="877"/>
      <c r="E108" s="143"/>
      <c r="F108" s="126"/>
      <c r="G108" s="145" t="s">
        <v>281</v>
      </c>
      <c r="H108" s="3" t="s">
        <v>2471</v>
      </c>
      <c r="I108" s="123"/>
      <c r="J108" s="123"/>
      <c r="K108" s="51" t="str" cm="1">
        <f t="array" ref="K108">IF(ISBLANK(J108), IF(ISBLANK(I108), "N/A", _xlfn.IFS(L108="AS", I108+15, L108="NCR", I108+30, L108="submitted", I108+30, TRUE, "N/A")), _xlfn.IFS(L108="AS", J108+15, L108="NCR", J108+30, L108="submitted", J108+30, TRUE, "N/A"))</f>
        <v>N/A</v>
      </c>
      <c r="L108" s="18"/>
      <c r="M108" s="317"/>
      <c r="N108" s="802"/>
      <c r="O108" s="803"/>
      <c r="P108" s="803"/>
      <c r="Q108" s="804"/>
    </row>
    <row r="109" spans="2:17" s="5" customFormat="1" ht="53.25">
      <c r="B109" s="4"/>
      <c r="C109" s="829"/>
      <c r="D109" s="877"/>
      <c r="E109" s="143"/>
      <c r="F109" s="126"/>
      <c r="G109" s="145" t="s">
        <v>329</v>
      </c>
      <c r="H109" s="3" t="s">
        <v>2472</v>
      </c>
      <c r="I109" s="123"/>
      <c r="J109" s="123"/>
      <c r="K109" s="51" t="str" cm="1">
        <f t="array" ref="K109">IF(ISBLANK(J109), IF(ISBLANK(I109), "N/A", _xlfn.IFS(L109="AS", I109+15, L109="NCR", I109+30, L109="submitted", I109+30, TRUE, "N/A")), _xlfn.IFS(L109="AS", J109+15, L109="NCR", J109+30, L109="submitted", J109+30, TRUE, "N/A"))</f>
        <v>N/A</v>
      </c>
      <c r="L109" s="18"/>
      <c r="M109" s="317"/>
      <c r="N109" s="802"/>
      <c r="O109" s="803"/>
      <c r="P109" s="803"/>
      <c r="Q109" s="804"/>
    </row>
    <row r="110" spans="2:17" s="5" customFormat="1" ht="40.5" customHeight="1">
      <c r="B110" s="4"/>
      <c r="C110" s="826"/>
      <c r="D110" s="878"/>
      <c r="E110" s="143"/>
      <c r="F110" s="126"/>
      <c r="G110" s="145" t="s">
        <v>601</v>
      </c>
      <c r="H110" s="3" t="s">
        <v>2473</v>
      </c>
      <c r="I110" s="123"/>
      <c r="J110" s="123"/>
      <c r="K110" s="51" t="str" cm="1">
        <f t="array" ref="K110">IF(ISBLANK(J110), IF(ISBLANK(I110), "N/A", _xlfn.IFS(L110="AS", I110+15, L110="NCR", I110+30, L110="submitted", I110+30, TRUE, "N/A")), _xlfn.IFS(L110="AS", J110+15, L110="NCR", J110+30, L110="submitted", J110+30, TRUE, "N/A"))</f>
        <v>N/A</v>
      </c>
      <c r="L110" s="18"/>
      <c r="M110" s="317"/>
      <c r="N110" s="802"/>
      <c r="O110" s="803"/>
      <c r="P110" s="803"/>
      <c r="Q110" s="804"/>
    </row>
    <row r="111" spans="2:17" s="1" customFormat="1" ht="53.25">
      <c r="B111" s="9"/>
      <c r="C111" s="821" t="s">
        <v>2474</v>
      </c>
      <c r="D111" s="925" t="s">
        <v>2475</v>
      </c>
      <c r="E111" s="142"/>
      <c r="F111" s="140"/>
      <c r="G111" s="141" t="s">
        <v>208</v>
      </c>
      <c r="H111" s="7" t="s">
        <v>2424</v>
      </c>
      <c r="I111" s="123"/>
      <c r="J111" s="123"/>
      <c r="K111" s="51" t="str" cm="1">
        <f t="array" ref="K111">IF(ISBLANK(J111), IF(ISBLANK(I111), "N/A", _xlfn.IFS(L111="AS", I111+15, L111="NCR", I111+30, L111="submitted", I111+30, TRUE, "N/A")), _xlfn.IFS(L111="AS", J111+15, L111="NCR", J111+30, L111="submitted", J111+30, TRUE, "N/A"))</f>
        <v>N/A</v>
      </c>
      <c r="L111" s="14"/>
      <c r="M111" s="317"/>
      <c r="N111" s="802"/>
      <c r="O111" s="803"/>
      <c r="P111" s="803"/>
      <c r="Q111" s="804"/>
    </row>
    <row r="112" spans="2:17" s="1" customFormat="1" ht="27" customHeight="1">
      <c r="B112" s="9"/>
      <c r="C112" s="822"/>
      <c r="D112" s="926"/>
      <c r="E112" s="142"/>
      <c r="F112" s="140"/>
      <c r="G112" s="141" t="s">
        <v>281</v>
      </c>
      <c r="H112" s="7" t="s">
        <v>2425</v>
      </c>
      <c r="I112" s="123"/>
      <c r="J112" s="123"/>
      <c r="K112" s="51" t="str" cm="1">
        <f t="array" ref="K112">IF(ISBLANK(J112), IF(ISBLANK(I112), "N/A", _xlfn.IFS(L112="AS", I112+15, L112="NCR", I112+30, L112="submitted", I112+30, TRUE, "N/A")), _xlfn.IFS(L112="AS", J112+15, L112="NCR", J112+30, L112="submitted", J112+30, TRUE, "N/A"))</f>
        <v>N/A</v>
      </c>
      <c r="L112" s="14"/>
      <c r="M112" s="317"/>
      <c r="N112" s="802"/>
      <c r="O112" s="803"/>
      <c r="P112" s="803"/>
      <c r="Q112" s="804"/>
    </row>
    <row r="113" spans="2:17" s="1" customFormat="1" ht="53.25">
      <c r="B113" s="9"/>
      <c r="C113" s="822"/>
      <c r="D113" s="926"/>
      <c r="E113" s="142"/>
      <c r="F113" s="140"/>
      <c r="G113" s="141" t="s">
        <v>329</v>
      </c>
      <c r="H113" s="7" t="s">
        <v>2209</v>
      </c>
      <c r="I113" s="123"/>
      <c r="J113" s="123"/>
      <c r="K113" s="51" t="str" cm="1">
        <f t="array" ref="K113">IF(ISBLANK(J113), IF(ISBLANK(I113), "N/A", _xlfn.IFS(L113="AS", I113+15, L113="NCR", I113+30, L113="submitted", I113+30, TRUE, "N/A")), _xlfn.IFS(L113="AS", J113+15, L113="NCR", J113+30, L113="submitted", J113+30, TRUE, "N/A"))</f>
        <v>N/A</v>
      </c>
      <c r="L113" s="14"/>
      <c r="M113" s="317"/>
      <c r="N113" s="802"/>
      <c r="O113" s="803"/>
      <c r="P113" s="803"/>
      <c r="Q113" s="804"/>
    </row>
    <row r="114" spans="2:17" s="1" customFormat="1" ht="40.5" customHeight="1">
      <c r="B114" s="9"/>
      <c r="C114" s="807"/>
      <c r="D114" s="927"/>
      <c r="E114" s="142"/>
      <c r="F114" s="140"/>
      <c r="G114" s="141" t="s">
        <v>601</v>
      </c>
      <c r="H114" s="7" t="s">
        <v>2210</v>
      </c>
      <c r="I114" s="123"/>
      <c r="J114" s="123"/>
      <c r="K114" s="51" t="str" cm="1">
        <f t="array" ref="K114">IF(ISBLANK(J114), IF(ISBLANK(I114), "N/A", _xlfn.IFS(L114="AS", I114+15, L114="NCR", I114+30, L114="submitted", I114+30, TRUE, "N/A")), _xlfn.IFS(L114="AS", J114+15, L114="NCR", J114+30, L114="submitted", J114+30, TRUE, "N/A"))</f>
        <v>N/A</v>
      </c>
      <c r="L114" s="14"/>
      <c r="M114" s="317"/>
      <c r="N114" s="802"/>
      <c r="O114" s="803"/>
      <c r="P114" s="803"/>
      <c r="Q114" s="804"/>
    </row>
    <row r="115" spans="2:17" s="5" customFormat="1" ht="53.25">
      <c r="B115" s="4"/>
      <c r="C115" s="825" t="s">
        <v>2476</v>
      </c>
      <c r="D115" s="876" t="s">
        <v>2477</v>
      </c>
      <c r="E115" s="143"/>
      <c r="F115" s="126"/>
      <c r="G115" s="145" t="s">
        <v>208</v>
      </c>
      <c r="H115" s="3" t="s">
        <v>2470</v>
      </c>
      <c r="I115" s="123"/>
      <c r="J115" s="123"/>
      <c r="K115" s="51" t="str" cm="1">
        <f t="array" ref="K115">IF(ISBLANK(J115), IF(ISBLANK(I115), "N/A", _xlfn.IFS(L115="AS", I115+15, L115="NCR", I115+30, L115="submitted", I115+30, TRUE, "N/A")), _xlfn.IFS(L115="AS", J115+15, L115="NCR", J115+30, L115="submitted", J115+30, TRUE, "N/A"))</f>
        <v>N/A</v>
      </c>
      <c r="L115" s="18"/>
      <c r="M115" s="317"/>
      <c r="N115" s="802"/>
      <c r="O115" s="803"/>
      <c r="P115" s="803"/>
      <c r="Q115" s="804"/>
    </row>
    <row r="116" spans="2:17" s="5" customFormat="1" ht="27" customHeight="1">
      <c r="B116" s="4"/>
      <c r="C116" s="829"/>
      <c r="D116" s="877"/>
      <c r="E116" s="143"/>
      <c r="F116" s="126"/>
      <c r="G116" s="145" t="s">
        <v>281</v>
      </c>
      <c r="H116" s="3" t="s">
        <v>2471</v>
      </c>
      <c r="I116" s="123"/>
      <c r="J116" s="123"/>
      <c r="K116" s="51" t="str" cm="1">
        <f t="array" ref="K116">IF(ISBLANK(J116), IF(ISBLANK(I116), "N/A", _xlfn.IFS(L116="AS", I116+15, L116="NCR", I116+30, L116="submitted", I116+30, TRUE, "N/A")), _xlfn.IFS(L116="AS", J116+15, L116="NCR", J116+30, L116="submitted", J116+30, TRUE, "N/A"))</f>
        <v>N/A</v>
      </c>
      <c r="L116" s="18"/>
      <c r="M116" s="317"/>
      <c r="N116" s="802"/>
      <c r="O116" s="803"/>
      <c r="P116" s="803"/>
      <c r="Q116" s="804"/>
    </row>
    <row r="117" spans="2:17" s="5" customFormat="1" ht="53.25">
      <c r="B117" s="4"/>
      <c r="C117" s="829"/>
      <c r="D117" s="877"/>
      <c r="E117" s="143"/>
      <c r="F117" s="126"/>
      <c r="G117" s="145" t="s">
        <v>329</v>
      </c>
      <c r="H117" s="3" t="s">
        <v>2472</v>
      </c>
      <c r="I117" s="123"/>
      <c r="J117" s="123"/>
      <c r="K117" s="51" t="str" cm="1">
        <f t="array" ref="K117">IF(ISBLANK(J117), IF(ISBLANK(I117), "N/A", _xlfn.IFS(L117="AS", I117+15, L117="NCR", I117+30, L117="submitted", I117+30, TRUE, "N/A")), _xlfn.IFS(L117="AS", J117+15, L117="NCR", J117+30, L117="submitted", J117+30, TRUE, "N/A"))</f>
        <v>N/A</v>
      </c>
      <c r="L117" s="18"/>
      <c r="M117" s="317"/>
      <c r="N117" s="802"/>
      <c r="O117" s="803"/>
      <c r="P117" s="803"/>
      <c r="Q117" s="804"/>
    </row>
    <row r="118" spans="2:17" s="5" customFormat="1" ht="40.5" customHeight="1">
      <c r="B118" s="4"/>
      <c r="C118" s="826"/>
      <c r="D118" s="878"/>
      <c r="E118" s="143"/>
      <c r="F118" s="126"/>
      <c r="G118" s="145" t="s">
        <v>601</v>
      </c>
      <c r="H118" s="3" t="s">
        <v>2473</v>
      </c>
      <c r="I118" s="123"/>
      <c r="J118" s="123"/>
      <c r="K118" s="51" t="str" cm="1">
        <f t="array" ref="K118">IF(ISBLANK(J118), IF(ISBLANK(I118), "N/A", _xlfn.IFS(L118="AS", I118+15, L118="NCR", I118+30, L118="submitted", I118+30, TRUE, "N/A")), _xlfn.IFS(L118="AS", J118+15, L118="NCR", J118+30, L118="submitted", J118+30, TRUE, "N/A"))</f>
        <v>N/A</v>
      </c>
      <c r="L118" s="18"/>
      <c r="M118" s="317"/>
      <c r="N118" s="802"/>
      <c r="O118" s="803"/>
      <c r="P118" s="803"/>
      <c r="Q118" s="804"/>
    </row>
    <row r="119" spans="2:17" s="1" customFormat="1" ht="53.25">
      <c r="B119" s="9"/>
      <c r="C119" s="821" t="s">
        <v>2478</v>
      </c>
      <c r="D119" s="925" t="s">
        <v>2479</v>
      </c>
      <c r="E119" s="142"/>
      <c r="F119" s="140"/>
      <c r="G119" s="141" t="s">
        <v>208</v>
      </c>
      <c r="H119" s="7" t="s">
        <v>2424</v>
      </c>
      <c r="I119" s="123"/>
      <c r="J119" s="123"/>
      <c r="K119" s="51" t="str" cm="1">
        <f t="array" ref="K119">IF(ISBLANK(J119), IF(ISBLANK(I119), "N/A", _xlfn.IFS(L119="AS", I119+15, L119="NCR", I119+30, L119="submitted", I119+30, TRUE, "N/A")), _xlfn.IFS(L119="AS", J119+15, L119="NCR", J119+30, L119="submitted", J119+30, TRUE, "N/A"))</f>
        <v>N/A</v>
      </c>
      <c r="L119" s="14"/>
      <c r="M119" s="317"/>
      <c r="N119" s="802"/>
      <c r="O119" s="803"/>
      <c r="P119" s="803"/>
      <c r="Q119" s="804"/>
    </row>
    <row r="120" spans="2:17" s="1" customFormat="1" ht="27" customHeight="1">
      <c r="B120" s="9"/>
      <c r="C120" s="807"/>
      <c r="D120" s="927"/>
      <c r="E120" s="142"/>
      <c r="F120" s="140"/>
      <c r="G120" s="141" t="s">
        <v>281</v>
      </c>
      <c r="H120" s="7" t="s">
        <v>2465</v>
      </c>
      <c r="I120" s="123"/>
      <c r="J120" s="123"/>
      <c r="K120" s="51" t="str" cm="1">
        <f t="array" ref="K120">IF(ISBLANK(J120), IF(ISBLANK(I120), "N/A", _xlfn.IFS(L120="AS", I120+15, L120="NCR", I120+30, L120="submitted", I120+30, TRUE, "N/A")), _xlfn.IFS(L120="AS", J120+15, L120="NCR", J120+30, L120="submitted", J120+30, TRUE, "N/A"))</f>
        <v>N/A</v>
      </c>
      <c r="L120" s="14"/>
      <c r="M120" s="317"/>
      <c r="N120" s="796" t="s">
        <v>133</v>
      </c>
      <c r="O120" s="797"/>
      <c r="P120" s="797"/>
      <c r="Q120" s="798"/>
    </row>
    <row r="121" spans="2:17" s="5" customFormat="1" ht="53.25">
      <c r="B121" s="4"/>
      <c r="C121" s="922" t="s">
        <v>2480</v>
      </c>
      <c r="D121" s="929" t="s">
        <v>2481</v>
      </c>
      <c r="E121" s="157"/>
      <c r="F121" s="126"/>
      <c r="G121" s="145" t="s">
        <v>208</v>
      </c>
      <c r="H121" s="3" t="s">
        <v>2470</v>
      </c>
      <c r="I121" s="123"/>
      <c r="J121" s="123"/>
      <c r="K121" s="51" t="str" cm="1">
        <f t="array" ref="K121">IF(ISBLANK(J121), IF(ISBLANK(I121), "N/A", _xlfn.IFS(L121="AS", I121+15, L121="NCR", I121+30, L121="submitted", I121+30, TRUE, "N/A")), _xlfn.IFS(L121="AS", J121+15, L121="NCR", J121+30, L121="submitted", J121+30, TRUE, "N/A"))</f>
        <v>N/A</v>
      </c>
      <c r="L121" s="18"/>
      <c r="M121" s="317"/>
      <c r="N121" s="799"/>
      <c r="O121" s="800"/>
      <c r="P121" s="800"/>
      <c r="Q121" s="801"/>
    </row>
    <row r="122" spans="2:17" s="5" customFormat="1" ht="27" customHeight="1">
      <c r="B122" s="4"/>
      <c r="C122" s="829"/>
      <c r="D122" s="877"/>
      <c r="E122" s="143"/>
      <c r="F122" s="126"/>
      <c r="G122" s="145" t="s">
        <v>281</v>
      </c>
      <c r="H122" s="3" t="s">
        <v>2425</v>
      </c>
      <c r="I122" s="123"/>
      <c r="J122" s="123"/>
      <c r="K122" s="51" t="str" cm="1">
        <f t="array" ref="K122">IF(ISBLANK(J122), IF(ISBLANK(I122), "N/A", _xlfn.IFS(L122="AS", I122+15, L122="NCR", I122+30, L122="submitted", I122+30, TRUE, "N/A")), _xlfn.IFS(L122="AS", J122+15, L122="NCR", J122+30, L122="submitted", J122+30, TRUE, "N/A"))</f>
        <v>N/A</v>
      </c>
      <c r="L122" s="18"/>
      <c r="M122" s="317"/>
      <c r="N122" s="799"/>
      <c r="O122" s="800"/>
      <c r="P122" s="800"/>
      <c r="Q122" s="801"/>
    </row>
    <row r="123" spans="2:17" s="5" customFormat="1" ht="53.25">
      <c r="B123" s="4"/>
      <c r="C123" s="829"/>
      <c r="D123" s="877"/>
      <c r="E123" s="143"/>
      <c r="F123" s="126"/>
      <c r="G123" s="145" t="s">
        <v>329</v>
      </c>
      <c r="H123" s="3" t="s">
        <v>2482</v>
      </c>
      <c r="I123" s="123"/>
      <c r="J123" s="123"/>
      <c r="K123" s="51" t="str" cm="1">
        <f t="array" ref="K123">IF(ISBLANK(J123), IF(ISBLANK(I123), "N/A", _xlfn.IFS(L123="AS", I123+15, L123="NCR", I123+30, L123="submitted", I123+30, TRUE, "N/A")), _xlfn.IFS(L123="AS", J123+15, L123="NCR", J123+30, L123="submitted", J123+30, TRUE, "N/A"))</f>
        <v>N/A</v>
      </c>
      <c r="L123" s="18"/>
      <c r="M123" s="317"/>
      <c r="N123" s="799"/>
      <c r="O123" s="800"/>
      <c r="P123" s="800"/>
      <c r="Q123" s="801"/>
    </row>
    <row r="124" spans="2:17" s="5" customFormat="1" ht="40.5" customHeight="1">
      <c r="B124" s="4"/>
      <c r="C124" s="826"/>
      <c r="D124" s="878"/>
      <c r="E124" s="143"/>
      <c r="F124" s="126"/>
      <c r="G124" s="145" t="s">
        <v>601</v>
      </c>
      <c r="H124" s="3" t="s">
        <v>2483</v>
      </c>
      <c r="I124" s="123"/>
      <c r="J124" s="123"/>
      <c r="K124" s="51" t="str" cm="1">
        <f t="array" ref="K124">IF(ISBLANK(J124), IF(ISBLANK(I124), "N/A", _xlfn.IFS(L124="AS", I124+15, L124="NCR", I124+30, L124="submitted", I124+30, TRUE, "N/A")), _xlfn.IFS(L124="AS", J124+15, L124="NCR", J124+30, L124="submitted", J124+30, TRUE, "N/A"))</f>
        <v>N/A</v>
      </c>
      <c r="L124" s="18"/>
      <c r="M124" s="317"/>
      <c r="N124" s="799"/>
      <c r="O124" s="800"/>
      <c r="P124" s="800"/>
      <c r="Q124" s="801"/>
    </row>
    <row r="125" spans="2:17" s="1" customFormat="1" ht="53.25">
      <c r="B125" s="9"/>
      <c r="C125" s="821" t="s">
        <v>2484</v>
      </c>
      <c r="D125" s="932" t="s">
        <v>2485</v>
      </c>
      <c r="E125" s="159"/>
      <c r="F125" s="140"/>
      <c r="G125" s="141" t="s">
        <v>212</v>
      </c>
      <c r="H125" s="7" t="s">
        <v>2486</v>
      </c>
      <c r="I125" s="123"/>
      <c r="J125" s="123"/>
      <c r="K125" s="51" t="str" cm="1">
        <f t="array" ref="K125">IF(ISBLANK(J125), IF(ISBLANK(I125), "N/A", _xlfn.IFS(L125="AS", I125+15, L125="NCR", I125+30, L125="submitted", I125+30, TRUE, "N/A")), _xlfn.IFS(L125="AS", J125+15, L125="NCR", J125+30, L125="submitted", J125+30, TRUE, "N/A"))</f>
        <v>N/A</v>
      </c>
      <c r="L125" s="14"/>
      <c r="M125" s="317"/>
      <c r="N125" s="799"/>
      <c r="O125" s="800"/>
      <c r="P125" s="800"/>
      <c r="Q125" s="801"/>
    </row>
    <row r="126" spans="2:17" s="1" customFormat="1" ht="40.5" customHeight="1">
      <c r="B126" s="9"/>
      <c r="C126" s="822"/>
      <c r="D126" s="933"/>
      <c r="E126" s="159"/>
      <c r="F126" s="140"/>
      <c r="G126" s="141" t="s">
        <v>234</v>
      </c>
      <c r="H126" s="7" t="s">
        <v>2487</v>
      </c>
      <c r="I126" s="123"/>
      <c r="J126" s="123"/>
      <c r="K126" s="51" t="str" cm="1">
        <f t="array" ref="K126">IF(ISBLANK(J126), IF(ISBLANK(I126), "N/A", _xlfn.IFS(L126="AS", I126+15, L126="NCR", I126+30, L126="submitted", I126+30, TRUE, "N/A")), _xlfn.IFS(L126="AS", J126+15, L126="NCR", J126+30, L126="submitted", J126+30, TRUE, "N/A"))</f>
        <v>N/A</v>
      </c>
      <c r="L126" s="14"/>
      <c r="M126" s="317"/>
      <c r="N126" s="799"/>
      <c r="O126" s="800"/>
      <c r="P126" s="800"/>
      <c r="Q126" s="801"/>
    </row>
    <row r="127" spans="2:17" s="1" customFormat="1" ht="40.5" customHeight="1">
      <c r="B127" s="9"/>
      <c r="C127" s="822"/>
      <c r="D127" s="933"/>
      <c r="E127" s="159"/>
      <c r="F127" s="140"/>
      <c r="G127" s="141" t="s">
        <v>236</v>
      </c>
      <c r="H127" s="7" t="s">
        <v>2488</v>
      </c>
      <c r="I127" s="123"/>
      <c r="J127" s="123"/>
      <c r="K127" s="51" t="str" cm="1">
        <f t="array" ref="K127">IF(ISBLANK(J127), IF(ISBLANK(I127), "N/A", _xlfn.IFS(L127="AS", I127+15, L127="NCR", I127+30, L127="submitted", I127+30, TRUE, "N/A")), _xlfn.IFS(L127="AS", J127+15, L127="NCR", J127+30, L127="submitted", J127+30, TRUE, "N/A"))</f>
        <v>N/A</v>
      </c>
      <c r="L127" s="14"/>
      <c r="M127" s="317"/>
      <c r="N127" s="799"/>
      <c r="O127" s="800"/>
      <c r="P127" s="800"/>
      <c r="Q127" s="801"/>
    </row>
    <row r="128" spans="2:17" s="1" customFormat="1" ht="40.5" customHeight="1">
      <c r="B128" s="9"/>
      <c r="C128" s="822"/>
      <c r="D128" s="933"/>
      <c r="E128" s="159"/>
      <c r="F128" s="140"/>
      <c r="G128" s="141" t="s">
        <v>238</v>
      </c>
      <c r="H128" s="7" t="s">
        <v>2489</v>
      </c>
      <c r="I128" s="123"/>
      <c r="J128" s="123"/>
      <c r="K128" s="51" t="str" cm="1">
        <f t="array" ref="K128">IF(ISBLANK(J128), IF(ISBLANK(I128), "N/A", _xlfn.IFS(L128="AS", I128+15, L128="NCR", I128+30, L128="submitted", I128+30, TRUE, "N/A")), _xlfn.IFS(L128="AS", J128+15, L128="NCR", J128+30, L128="submitted", J128+30, TRUE, "N/A"))</f>
        <v>N/A</v>
      </c>
      <c r="L128" s="14"/>
      <c r="M128" s="317"/>
      <c r="N128" s="802" t="s">
        <v>148</v>
      </c>
      <c r="O128" s="803"/>
      <c r="P128" s="803"/>
      <c r="Q128" s="804"/>
    </row>
    <row r="129" spans="2:17" s="1" customFormat="1" ht="53.25">
      <c r="B129" s="9"/>
      <c r="C129" s="822"/>
      <c r="D129" s="933"/>
      <c r="E129" s="159"/>
      <c r="F129" s="140"/>
      <c r="G129" s="141" t="s">
        <v>1142</v>
      </c>
      <c r="H129" s="7" t="s">
        <v>2490</v>
      </c>
      <c r="I129" s="123"/>
      <c r="J129" s="123"/>
      <c r="K129" s="51" t="str" cm="1">
        <f t="array" ref="K129">IF(ISBLANK(J129), IF(ISBLANK(I129), "N/A", _xlfn.IFS(L129="AS", I129+15, L129="NCR", I129+30, L129="submitted", I129+30, TRUE, "N/A")), _xlfn.IFS(L129="AS", J129+15, L129="NCR", J129+30, L129="submitted", J129+30, TRUE, "N/A"))</f>
        <v>N/A</v>
      </c>
      <c r="L129" s="14"/>
      <c r="M129" s="317"/>
      <c r="N129" s="802"/>
      <c r="O129" s="803"/>
      <c r="P129" s="803"/>
      <c r="Q129" s="804"/>
    </row>
    <row r="130" spans="2:17" s="1" customFormat="1" ht="67.5">
      <c r="B130" s="9"/>
      <c r="C130" s="807"/>
      <c r="D130" s="934"/>
      <c r="E130" s="159"/>
      <c r="F130" s="140"/>
      <c r="G130" s="141" t="s">
        <v>1144</v>
      </c>
      <c r="H130" s="7" t="s">
        <v>2491</v>
      </c>
      <c r="I130" s="123"/>
      <c r="J130" s="123"/>
      <c r="K130" s="51" t="str" cm="1">
        <f t="array" ref="K130">IF(ISBLANK(J130), IF(ISBLANK(I130), "N/A", _xlfn.IFS(L130="AS", I130+15, L130="NCR", I130+30, L130="submitted", I130+30, TRUE, "N/A")), _xlfn.IFS(L130="AS", J130+15, L130="NCR", J130+30, L130="submitted", J130+30, TRUE, "N/A"))</f>
        <v>N/A</v>
      </c>
      <c r="L130" s="14"/>
      <c r="M130" s="317"/>
      <c r="N130" s="802"/>
      <c r="O130" s="803"/>
      <c r="P130" s="803"/>
      <c r="Q130" s="804"/>
    </row>
    <row r="131" spans="2:17" s="5" customFormat="1" ht="53.25">
      <c r="B131" s="4"/>
      <c r="C131" s="825" t="s">
        <v>2492</v>
      </c>
      <c r="D131" s="929" t="s">
        <v>2493</v>
      </c>
      <c r="E131" s="157"/>
      <c r="F131" s="126"/>
      <c r="G131" s="145" t="s">
        <v>758</v>
      </c>
      <c r="H131" s="3" t="s">
        <v>2424</v>
      </c>
      <c r="I131" s="123"/>
      <c r="J131" s="123"/>
      <c r="K131" s="51" t="str" cm="1">
        <f t="array" ref="K131">IF(ISBLANK(J131), IF(ISBLANK(I131), "N/A", _xlfn.IFS(L131="AS", I131+15, L131="NCR", I131+30, L131="submitted", I131+30, TRUE, "N/A")), _xlfn.IFS(L131="AS", J131+15, L131="NCR", J131+30, L131="submitted", J131+30, TRUE, "N/A"))</f>
        <v>N/A</v>
      </c>
      <c r="L131" s="18"/>
      <c r="M131" s="317"/>
      <c r="N131" s="802"/>
      <c r="O131" s="803"/>
      <c r="P131" s="803"/>
      <c r="Q131" s="804"/>
    </row>
    <row r="132" spans="2:17" s="5" customFormat="1" ht="15" customHeight="1">
      <c r="B132" s="4"/>
      <c r="C132" s="829"/>
      <c r="D132" s="930"/>
      <c r="E132" s="157"/>
      <c r="F132" s="126"/>
      <c r="G132" s="145" t="s">
        <v>483</v>
      </c>
      <c r="H132" s="17" t="s">
        <v>235</v>
      </c>
      <c r="I132" s="123"/>
      <c r="J132" s="123"/>
      <c r="K132" s="51" t="str" cm="1">
        <f t="array" ref="K132">IF(ISBLANK(J132), IF(ISBLANK(I132), "N/A", _xlfn.IFS(L132="AS", I132+15, L132="NCR", I132+30, L132="submitted", I132+30, TRUE, "N/A")), _xlfn.IFS(L132="AS", J132+15, L132="NCR", J132+30, L132="submitted", J132+30, TRUE, "N/A"))</f>
        <v>N/A</v>
      </c>
      <c r="L132" s="18"/>
      <c r="M132" s="317"/>
      <c r="N132" s="802"/>
      <c r="O132" s="803"/>
      <c r="P132" s="803"/>
      <c r="Q132" s="804"/>
    </row>
    <row r="133" spans="2:17" s="5" customFormat="1" ht="15" customHeight="1">
      <c r="B133" s="4"/>
      <c r="C133" s="829"/>
      <c r="D133" s="930"/>
      <c r="E133" s="157"/>
      <c r="F133" s="126"/>
      <c r="G133" s="145" t="s">
        <v>485</v>
      </c>
      <c r="H133" s="17" t="s">
        <v>282</v>
      </c>
      <c r="I133" s="123"/>
      <c r="J133" s="123"/>
      <c r="K133" s="51" t="str" cm="1">
        <f t="array" ref="K133">IF(ISBLANK(J133), IF(ISBLANK(I133), "N/A", _xlfn.IFS(L133="AS", I133+15, L133="NCR", I133+30, L133="submitted", I133+30, TRUE, "N/A")), _xlfn.IFS(L133="AS", J133+15, L133="NCR", J133+30, L133="submitted", J133+30, TRUE, "N/A"))</f>
        <v>N/A</v>
      </c>
      <c r="L133" s="18"/>
      <c r="M133" s="318"/>
      <c r="N133" s="802"/>
      <c r="O133" s="803"/>
      <c r="P133" s="803"/>
      <c r="Q133" s="804"/>
    </row>
    <row r="134" spans="2:17" s="5" customFormat="1" ht="15" customHeight="1">
      <c r="B134" s="4"/>
      <c r="C134" s="829"/>
      <c r="D134" s="930"/>
      <c r="E134" s="157"/>
      <c r="F134" s="126"/>
      <c r="G134" s="145" t="s">
        <v>486</v>
      </c>
      <c r="H134" s="17" t="s">
        <v>353</v>
      </c>
      <c r="I134" s="123"/>
      <c r="J134" s="123"/>
      <c r="K134" s="51" t="str" cm="1">
        <f t="array" ref="K134">IF(ISBLANK(J134), IF(ISBLANK(I134), "N/A", _xlfn.IFS(L134="AS", I134+15, L134="NCR", I134+30, L134="submitted", I134+30, TRUE, "N/A")), _xlfn.IFS(L134="AS", J134+15, L134="NCR", J134+30, L134="submitted", J134+30, TRUE, "N/A"))</f>
        <v>N/A</v>
      </c>
      <c r="L134" s="18"/>
      <c r="M134" s="317"/>
      <c r="N134" s="802"/>
      <c r="O134" s="803"/>
      <c r="P134" s="803"/>
      <c r="Q134" s="804"/>
    </row>
    <row r="135" spans="2:17" s="5" customFormat="1" ht="27" customHeight="1">
      <c r="B135" s="4"/>
      <c r="C135" s="829"/>
      <c r="D135" s="930"/>
      <c r="E135" s="157"/>
      <c r="F135" s="126"/>
      <c r="G135" s="145" t="s">
        <v>487</v>
      </c>
      <c r="H135" s="3" t="s">
        <v>2494</v>
      </c>
      <c r="I135" s="123"/>
      <c r="J135" s="123"/>
      <c r="K135" s="51" t="str" cm="1">
        <f t="array" ref="K135">IF(ISBLANK(J135), IF(ISBLANK(I135), "N/A", _xlfn.IFS(L135="AS", I135+15, L135="NCR", I135+30, L135="submitted", I135+30, TRUE, "N/A")), _xlfn.IFS(L135="AS", J135+15, L135="NCR", J135+30, L135="submitted", J135+30, TRUE, "N/A"))</f>
        <v>N/A</v>
      </c>
      <c r="L135" s="18"/>
      <c r="M135" s="317"/>
      <c r="N135" s="802"/>
      <c r="O135" s="803"/>
      <c r="P135" s="803"/>
      <c r="Q135" s="804"/>
    </row>
    <row r="136" spans="2:17" s="5" customFormat="1" ht="15" customHeight="1">
      <c r="B136" s="4"/>
      <c r="C136" s="829"/>
      <c r="D136" s="930"/>
      <c r="E136" s="157"/>
      <c r="F136" s="126"/>
      <c r="G136" s="145" t="s">
        <v>497</v>
      </c>
      <c r="H136" s="17" t="s">
        <v>2495</v>
      </c>
      <c r="I136" s="123"/>
      <c r="J136" s="123"/>
      <c r="K136" s="51" t="str" cm="1">
        <f t="array" ref="K136">IF(ISBLANK(J136), IF(ISBLANK(I136), "N/A", _xlfn.IFS(L136="AS", I136+15, L136="NCR", I136+30, L136="submitted", I136+30, TRUE, "N/A")), _xlfn.IFS(L136="AS", J136+15, L136="NCR", J136+30, L136="submitted", J136+30, TRUE, "N/A"))</f>
        <v>N/A</v>
      </c>
      <c r="L136" s="18"/>
      <c r="M136" s="317"/>
      <c r="N136" s="802"/>
      <c r="O136" s="803"/>
      <c r="P136" s="803"/>
      <c r="Q136" s="804"/>
    </row>
    <row r="137" spans="2:17" s="5" customFormat="1" ht="15" customHeight="1">
      <c r="B137" s="4"/>
      <c r="C137" s="826"/>
      <c r="D137" s="931"/>
      <c r="E137" s="157"/>
      <c r="F137" s="126"/>
      <c r="G137" s="145" t="s">
        <v>489</v>
      </c>
      <c r="H137" s="17" t="s">
        <v>380</v>
      </c>
      <c r="I137" s="123"/>
      <c r="J137" s="123"/>
      <c r="K137" s="51" t="str" cm="1">
        <f t="array" ref="K137">IF(ISBLANK(J137), IF(ISBLANK(I137), "N/A", _xlfn.IFS(L137="AS", I137+15, L137="NCR", I137+30, L137="submitted", I137+30, TRUE, "N/A")), _xlfn.IFS(L137="AS", J137+15, L137="NCR", J137+30, L137="submitted", J137+30, TRUE, "N/A"))</f>
        <v>N/A</v>
      </c>
      <c r="L137" s="18"/>
      <c r="M137" s="317"/>
      <c r="N137" s="802"/>
      <c r="O137" s="803"/>
      <c r="P137" s="803"/>
      <c r="Q137" s="804"/>
    </row>
    <row r="138" spans="2:17" s="1" customFormat="1" ht="67.5">
      <c r="B138" s="9"/>
      <c r="C138" s="821" t="s">
        <v>2496</v>
      </c>
      <c r="D138" s="925" t="s">
        <v>2497</v>
      </c>
      <c r="E138" s="142"/>
      <c r="F138" s="140"/>
      <c r="G138" s="141" t="s">
        <v>212</v>
      </c>
      <c r="H138" s="7" t="s">
        <v>2498</v>
      </c>
      <c r="I138" s="123"/>
      <c r="J138" s="123"/>
      <c r="K138" s="51" t="str" cm="1">
        <f t="array" ref="K138">IF(ISBLANK(J138), IF(ISBLANK(I138), "N/A", _xlfn.IFS(L138="AS", I138+15, L138="NCR", I138+30, L138="submitted", I138+30, TRUE, "N/A")), _xlfn.IFS(L138="AS", J138+15, L138="NCR", J138+30, L138="submitted", J138+30, TRUE, "N/A"))</f>
        <v>N/A</v>
      </c>
      <c r="L138" s="14"/>
      <c r="M138" s="317"/>
      <c r="N138" s="802"/>
      <c r="O138" s="803"/>
      <c r="P138" s="803"/>
      <c r="Q138" s="804"/>
    </row>
    <row r="139" spans="2:17" s="1" customFormat="1" ht="15" customHeight="1">
      <c r="B139" s="9"/>
      <c r="C139" s="822"/>
      <c r="D139" s="926"/>
      <c r="E139" s="142"/>
      <c r="F139" s="140"/>
      <c r="G139" s="141" t="s">
        <v>336</v>
      </c>
      <c r="H139" s="13" t="s">
        <v>282</v>
      </c>
      <c r="I139" s="123"/>
      <c r="J139" s="123"/>
      <c r="K139" s="51" t="str" cm="1">
        <f t="array" ref="K139">IF(ISBLANK(J139), IF(ISBLANK(I139), "N/A", _xlfn.IFS(L139="AS", I139+15, L139="NCR", I139+30, L139="submitted", I139+30, TRUE, "N/A")), _xlfn.IFS(L139="AS", J139+15, L139="NCR", J139+30, L139="submitted", J139+30, TRUE, "N/A"))</f>
        <v>N/A</v>
      </c>
      <c r="L139" s="14"/>
      <c r="M139" s="317"/>
      <c r="N139" s="802"/>
      <c r="O139" s="803"/>
      <c r="P139" s="803"/>
      <c r="Q139" s="804"/>
    </row>
    <row r="140" spans="2:17" s="1" customFormat="1" ht="40.5" customHeight="1">
      <c r="B140" s="9"/>
      <c r="C140" s="822"/>
      <c r="D140" s="926"/>
      <c r="E140" s="142"/>
      <c r="F140" s="140"/>
      <c r="G140" s="141" t="s">
        <v>337</v>
      </c>
      <c r="H140" s="7" t="s">
        <v>2499</v>
      </c>
      <c r="I140" s="123"/>
      <c r="J140" s="123"/>
      <c r="K140" s="51" t="str" cm="1">
        <f t="array" ref="K140">IF(ISBLANK(J140), IF(ISBLANK(I140), "N/A", _xlfn.IFS(L140="AS", I140+15, L140="NCR", I140+30, L140="submitted", I140+30, TRUE, "N/A")), _xlfn.IFS(L140="AS", J140+15, L140="NCR", J140+30, L140="submitted", J140+30, TRUE, "N/A"))</f>
        <v>N/A</v>
      </c>
      <c r="L140" s="14"/>
      <c r="M140" s="317"/>
      <c r="N140" s="802"/>
      <c r="O140" s="803"/>
      <c r="P140" s="803"/>
      <c r="Q140" s="804"/>
    </row>
    <row r="141" spans="2:17" s="1" customFormat="1" ht="15" customHeight="1">
      <c r="B141" s="9"/>
      <c r="C141" s="822"/>
      <c r="D141" s="926"/>
      <c r="E141" s="142"/>
      <c r="F141" s="140"/>
      <c r="G141" s="141" t="s">
        <v>404</v>
      </c>
      <c r="H141" s="13" t="s">
        <v>353</v>
      </c>
      <c r="I141" s="123"/>
      <c r="J141" s="123"/>
      <c r="K141" s="51" t="str" cm="1">
        <f t="array" ref="K141">IF(ISBLANK(J141), IF(ISBLANK(I141), "N/A", _xlfn.IFS(L141="AS", I141+15, L141="NCR", I141+30, L141="submitted", I141+30, TRUE, "N/A")), _xlfn.IFS(L141="AS", J141+15, L141="NCR", J141+30, L141="submitted", J141+30, TRUE, "N/A"))</f>
        <v>N/A</v>
      </c>
      <c r="L141" s="14"/>
      <c r="M141" s="317"/>
      <c r="N141" s="802"/>
      <c r="O141" s="803"/>
      <c r="P141" s="803"/>
      <c r="Q141" s="804"/>
    </row>
    <row r="142" spans="2:17" s="1" customFormat="1" ht="15" customHeight="1">
      <c r="B142" s="9"/>
      <c r="C142" s="822"/>
      <c r="D142" s="926"/>
      <c r="E142" s="142"/>
      <c r="F142" s="140"/>
      <c r="G142" s="141" t="s">
        <v>405</v>
      </c>
      <c r="H142" s="13" t="s">
        <v>2500</v>
      </c>
      <c r="I142" s="123"/>
      <c r="J142" s="123"/>
      <c r="K142" s="51" t="str" cm="1">
        <f t="array" ref="K142">IF(ISBLANK(J142), IF(ISBLANK(I142), "N/A", _xlfn.IFS(L142="AS", I142+15, L142="NCR", I142+30, L142="submitted", I142+30, TRUE, "N/A")), _xlfn.IFS(L142="AS", J142+15, L142="NCR", J142+30, L142="submitted", J142+30, TRUE, "N/A"))</f>
        <v>N/A</v>
      </c>
      <c r="L142" s="14"/>
      <c r="M142" s="317"/>
      <c r="N142" s="802"/>
      <c r="O142" s="803"/>
      <c r="P142" s="803"/>
      <c r="Q142" s="804"/>
    </row>
    <row r="143" spans="2:17" s="1" customFormat="1" ht="15" customHeight="1">
      <c r="B143" s="9"/>
      <c r="C143" s="822"/>
      <c r="D143" s="926"/>
      <c r="E143" s="142"/>
      <c r="F143" s="140"/>
      <c r="G143" s="141" t="s">
        <v>406</v>
      </c>
      <c r="H143" s="13" t="s">
        <v>2501</v>
      </c>
      <c r="I143" s="123"/>
      <c r="J143" s="123"/>
      <c r="K143" s="51" t="str" cm="1">
        <f t="array" ref="K143">IF(ISBLANK(J143), IF(ISBLANK(I143), "N/A", _xlfn.IFS(L143="AS", I143+15, L143="NCR", I143+30, L143="submitted", I143+30, TRUE, "N/A")), _xlfn.IFS(L143="AS", J143+15, L143="NCR", J143+30, L143="submitted", J143+30, TRUE, "N/A"))</f>
        <v>N/A</v>
      </c>
      <c r="L143" s="14"/>
      <c r="M143" s="317"/>
      <c r="N143" s="802"/>
      <c r="O143" s="803"/>
      <c r="P143" s="803"/>
      <c r="Q143" s="804"/>
    </row>
    <row r="144" spans="2:17" s="1" customFormat="1" ht="53.25">
      <c r="B144" s="9"/>
      <c r="C144" s="822"/>
      <c r="D144" s="926"/>
      <c r="E144" s="142"/>
      <c r="F144" s="140"/>
      <c r="G144" s="141" t="s">
        <v>746</v>
      </c>
      <c r="H144" s="7" t="s">
        <v>2502</v>
      </c>
      <c r="I144" s="123"/>
      <c r="J144" s="123"/>
      <c r="K144" s="51" t="str" cm="1">
        <f t="array" ref="K144">IF(ISBLANK(J144), IF(ISBLANK(I144), "N/A", _xlfn.IFS(L144="AS", I144+15, L144="NCR", I144+30, L144="submitted", I144+30, TRUE, "N/A")), _xlfn.IFS(L144="AS", J144+15, L144="NCR", J144+30, L144="submitted", J144+30, TRUE, "N/A"))</f>
        <v>N/A</v>
      </c>
      <c r="L144" s="14"/>
      <c r="M144" s="317"/>
      <c r="N144" s="802"/>
      <c r="O144" s="803"/>
      <c r="P144" s="803"/>
      <c r="Q144" s="804"/>
    </row>
    <row r="145" spans="2:17" s="1" customFormat="1" ht="15" customHeight="1">
      <c r="B145" s="9"/>
      <c r="C145" s="807"/>
      <c r="D145" s="927"/>
      <c r="E145" s="142"/>
      <c r="F145" s="140"/>
      <c r="G145" s="141" t="s">
        <v>441</v>
      </c>
      <c r="H145" s="13" t="s">
        <v>2127</v>
      </c>
      <c r="I145" s="123"/>
      <c r="J145" s="123"/>
      <c r="K145" s="51" t="str" cm="1">
        <f t="array" ref="K145">IF(ISBLANK(J145), IF(ISBLANK(I145), "N/A", _xlfn.IFS(L145="AS", I145+15, L145="NCR", I145+30, L145="submitted", I145+30, TRUE, "N/A")), _xlfn.IFS(L145="AS", J145+15, L145="NCR", J145+30, L145="submitted", J145+30, TRUE, "N/A"))</f>
        <v>N/A</v>
      </c>
      <c r="L145" s="14"/>
      <c r="M145" s="317"/>
      <c r="N145" s="802"/>
      <c r="O145" s="803"/>
      <c r="P145" s="803"/>
      <c r="Q145" s="804"/>
    </row>
    <row r="146" spans="2:17" s="5" customFormat="1" ht="53.25">
      <c r="B146" s="4"/>
      <c r="C146" s="825" t="s">
        <v>2503</v>
      </c>
      <c r="D146" s="876" t="s">
        <v>2504</v>
      </c>
      <c r="E146" s="143"/>
      <c r="F146" s="126"/>
      <c r="G146" s="145" t="s">
        <v>758</v>
      </c>
      <c r="H146" s="3" t="s">
        <v>2424</v>
      </c>
      <c r="I146" s="123"/>
      <c r="J146" s="123"/>
      <c r="K146" s="51" t="str" cm="1">
        <f t="array" ref="K146">IF(ISBLANK(J146), IF(ISBLANK(I146), "N/A", _xlfn.IFS(L146="AS", I146+15, L146="NCR", I146+30, L146="submitted", I146+30, TRUE, "N/A")), _xlfn.IFS(L146="AS", J146+15, L146="NCR", J146+30, L146="submitted", J146+30, TRUE, "N/A"))</f>
        <v>N/A</v>
      </c>
      <c r="L146" s="18"/>
      <c r="M146" s="317"/>
      <c r="N146" s="802"/>
      <c r="O146" s="803"/>
      <c r="P146" s="803"/>
      <c r="Q146" s="804"/>
    </row>
    <row r="147" spans="2:17" s="5" customFormat="1" ht="15" customHeight="1">
      <c r="B147" s="4" t="s">
        <v>2505</v>
      </c>
      <c r="C147" s="829"/>
      <c r="D147" s="877"/>
      <c r="E147" s="143"/>
      <c r="F147" s="126" t="s">
        <v>2506</v>
      </c>
      <c r="G147" s="145" t="s">
        <v>483</v>
      </c>
      <c r="H147" s="17" t="s">
        <v>235</v>
      </c>
      <c r="I147" s="123">
        <v>45915</v>
      </c>
      <c r="J147" s="123">
        <v>45931</v>
      </c>
      <c r="K147" s="51" cm="1">
        <f t="array" ref="K147">IF(ISBLANK(J147), IF(ISBLANK(I147), "N/A", _xlfn.IFS(L147="AS", I147+15, L147="NCR", I147+30, L147="submitted", I147+30, TRUE, "N/A")), _xlfn.IFS(L147="AS", J147+15, L147="NCR", J147+30, L147="submitted", J147+30, TRUE, "N/A"))</f>
        <v>45961</v>
      </c>
      <c r="L147" s="18" t="s">
        <v>157</v>
      </c>
      <c r="M147" s="317"/>
      <c r="N147" s="802"/>
      <c r="O147" s="803"/>
      <c r="P147" s="803"/>
      <c r="Q147" s="804"/>
    </row>
    <row r="148" spans="2:17" s="5" customFormat="1" ht="15" customHeight="1">
      <c r="B148" s="4"/>
      <c r="C148" s="829"/>
      <c r="D148" s="877"/>
      <c r="E148" s="143"/>
      <c r="F148" s="126"/>
      <c r="G148" s="145" t="s">
        <v>485</v>
      </c>
      <c r="H148" s="17" t="s">
        <v>353</v>
      </c>
      <c r="I148" s="123"/>
      <c r="J148" s="123"/>
      <c r="K148" s="51" t="str" cm="1">
        <f t="array" ref="K148">IF(ISBLANK(J148), IF(ISBLANK(I148), "N/A", _xlfn.IFS(L148="AS", I148+15, L148="NCR", I148+30, L148="submitted", I148+30, TRUE, "N/A")), _xlfn.IFS(L148="AS", J148+15, L148="NCR", J148+30, L148="submitted", J148+30, TRUE, "N/A"))</f>
        <v>N/A</v>
      </c>
      <c r="L148" s="18"/>
      <c r="M148" s="317"/>
      <c r="N148" s="802"/>
      <c r="O148" s="803"/>
      <c r="P148" s="803"/>
      <c r="Q148" s="804"/>
    </row>
    <row r="149" spans="2:17" s="5" customFormat="1" ht="15" customHeight="1">
      <c r="B149" s="4"/>
      <c r="C149" s="829"/>
      <c r="D149" s="877"/>
      <c r="E149" s="143"/>
      <c r="F149" s="126"/>
      <c r="G149" s="145" t="s">
        <v>486</v>
      </c>
      <c r="H149" s="17" t="s">
        <v>235</v>
      </c>
      <c r="I149" s="123"/>
      <c r="J149" s="123"/>
      <c r="K149" s="51" t="str" cm="1">
        <f t="array" ref="K149">IF(ISBLANK(J149), IF(ISBLANK(I149), "N/A", _xlfn.IFS(L149="AS", I149+15, L149="NCR", I149+30, L149="submitted", I149+30, TRUE, "N/A")), _xlfn.IFS(L149="AS", J149+15, L149="NCR", J149+30, L149="submitted", J149+30, TRUE, "N/A"))</f>
        <v>N/A</v>
      </c>
      <c r="L149" s="18"/>
      <c r="M149" s="317"/>
      <c r="N149" s="802"/>
      <c r="O149" s="803"/>
      <c r="P149" s="803"/>
      <c r="Q149" s="804"/>
    </row>
    <row r="150" spans="2:17" s="5" customFormat="1" ht="15" customHeight="1">
      <c r="B150" s="4"/>
      <c r="C150" s="829"/>
      <c r="D150" s="877"/>
      <c r="E150" s="143"/>
      <c r="F150" s="126"/>
      <c r="G150" s="145" t="s">
        <v>861</v>
      </c>
      <c r="H150" s="17" t="s">
        <v>2507</v>
      </c>
      <c r="I150" s="123"/>
      <c r="J150" s="123"/>
      <c r="K150" s="51" t="str" cm="1">
        <f t="array" ref="K150">IF(ISBLANK(J150), IF(ISBLANK(I150), "N/A", _xlfn.IFS(L150="AS", I150+15, L150="NCR", I150+30, L150="submitted", I150+30, TRUE, "N/A")), _xlfn.IFS(L150="AS", J150+15, L150="NCR", J150+30, L150="submitted", J150+30, TRUE, "N/A"))</f>
        <v>N/A</v>
      </c>
      <c r="L150" s="18"/>
      <c r="M150" s="317"/>
      <c r="N150" s="802"/>
      <c r="O150" s="803"/>
      <c r="P150" s="803"/>
      <c r="Q150" s="804"/>
    </row>
    <row r="151" spans="2:17" s="5" customFormat="1" ht="15" customHeight="1">
      <c r="B151" s="4"/>
      <c r="C151" s="826"/>
      <c r="D151" s="878"/>
      <c r="E151" s="143"/>
      <c r="F151" s="126"/>
      <c r="G151" s="145" t="s">
        <v>497</v>
      </c>
      <c r="H151" s="17" t="s">
        <v>2508</v>
      </c>
      <c r="I151" s="123"/>
      <c r="J151" s="123"/>
      <c r="K151" s="51" t="str" cm="1">
        <f t="array" ref="K151">IF(ISBLANK(J151), IF(ISBLANK(I151), "N/A", _xlfn.IFS(L151="AS", I151+15, L151="NCR", I151+30, L151="submitted", I151+30, TRUE, "N/A")), _xlfn.IFS(L151="AS", J151+15, L151="NCR", J151+30, L151="submitted", J151+30, TRUE, "N/A"))</f>
        <v>N/A</v>
      </c>
      <c r="L151" s="18"/>
      <c r="M151" s="317"/>
      <c r="N151" s="802"/>
      <c r="O151" s="803"/>
      <c r="P151" s="803"/>
      <c r="Q151" s="804"/>
    </row>
    <row r="152" spans="2:17" s="1" customFormat="1" ht="53.25">
      <c r="B152" s="9"/>
      <c r="C152" s="821" t="s">
        <v>2509</v>
      </c>
      <c r="D152" s="925" t="s">
        <v>2510</v>
      </c>
      <c r="E152" s="142"/>
      <c r="F152" s="140"/>
      <c r="G152" s="141" t="s">
        <v>758</v>
      </c>
      <c r="H152" s="7" t="s">
        <v>2511</v>
      </c>
      <c r="I152" s="123"/>
      <c r="J152" s="123"/>
      <c r="K152" s="51" t="str" cm="1">
        <f t="array" ref="K152">IF(ISBLANK(J152), IF(ISBLANK(I152), "N/A", _xlfn.IFS(L152="AS", I152+15, L152="NCR", I152+30, L152="submitted", I152+30, TRUE, "N/A")), _xlfn.IFS(L152="AS", J152+15, L152="NCR", J152+30, L152="submitted", J152+30, TRUE, "N/A"))</f>
        <v>N/A</v>
      </c>
      <c r="L152" s="14"/>
      <c r="M152" s="317"/>
      <c r="N152" s="802"/>
      <c r="O152" s="803"/>
      <c r="P152" s="803"/>
      <c r="Q152" s="804"/>
    </row>
    <row r="153" spans="2:17" s="1" customFormat="1" ht="15" customHeight="1">
      <c r="B153" s="9"/>
      <c r="C153" s="822"/>
      <c r="D153" s="926"/>
      <c r="E153" s="142"/>
      <c r="F153" s="140"/>
      <c r="G153" s="141" t="s">
        <v>483</v>
      </c>
      <c r="H153" s="13" t="s">
        <v>235</v>
      </c>
      <c r="I153" s="123"/>
      <c r="J153" s="123"/>
      <c r="K153" s="51" t="str" cm="1">
        <f t="array" ref="K153">IF(ISBLANK(J153), IF(ISBLANK(I153), "N/A", _xlfn.IFS(L153="AS", I153+15, L153="NCR", I153+30, L153="submitted", I153+30, TRUE, "N/A")), _xlfn.IFS(L153="AS", J153+15, L153="NCR", J153+30, L153="submitted", J153+30, TRUE, "N/A"))</f>
        <v>N/A</v>
      </c>
      <c r="L153" s="14"/>
      <c r="M153" s="317"/>
      <c r="N153" s="802"/>
      <c r="O153" s="803"/>
      <c r="P153" s="803"/>
      <c r="Q153" s="804"/>
    </row>
    <row r="154" spans="2:17" s="1" customFormat="1" ht="15" customHeight="1">
      <c r="B154" s="9"/>
      <c r="C154" s="822"/>
      <c r="D154" s="926"/>
      <c r="E154" s="142"/>
      <c r="F154" s="140"/>
      <c r="G154" s="141" t="s">
        <v>485</v>
      </c>
      <c r="H154" s="13" t="s">
        <v>282</v>
      </c>
      <c r="I154" s="123"/>
      <c r="J154" s="123"/>
      <c r="K154" s="51" t="str" cm="1">
        <f t="array" ref="K154">IF(ISBLANK(J154), IF(ISBLANK(I154), "N/A", _xlfn.IFS(L154="AS", I154+15, L154="NCR", I154+30, L154="submitted", I154+30, TRUE, "N/A")), _xlfn.IFS(L154="AS", J154+15, L154="NCR", J154+30, L154="submitted", J154+30, TRUE, "N/A"))</f>
        <v>N/A</v>
      </c>
      <c r="L154" s="14"/>
      <c r="M154" s="317"/>
      <c r="N154" s="802"/>
      <c r="O154" s="803"/>
      <c r="P154" s="803"/>
      <c r="Q154" s="804"/>
    </row>
    <row r="155" spans="2:17" s="1" customFormat="1" ht="15" customHeight="1">
      <c r="B155" s="9"/>
      <c r="C155" s="822"/>
      <c r="D155" s="926"/>
      <c r="E155" s="142"/>
      <c r="F155" s="140"/>
      <c r="G155" s="141" t="s">
        <v>486</v>
      </c>
      <c r="H155" s="13" t="s">
        <v>380</v>
      </c>
      <c r="I155" s="123"/>
      <c r="J155" s="123"/>
      <c r="K155" s="51" t="str" cm="1">
        <f t="array" ref="K155">IF(ISBLANK(J155), IF(ISBLANK(I155), "N/A", _xlfn.IFS(L155="AS", I155+15, L155="NCR", I155+30, L155="submitted", I155+30, TRUE, "N/A")), _xlfn.IFS(L155="AS", J155+15, L155="NCR", J155+30, L155="submitted", J155+30, TRUE, "N/A"))</f>
        <v>N/A</v>
      </c>
      <c r="L155" s="14"/>
      <c r="M155" s="317"/>
      <c r="N155" s="802"/>
      <c r="O155" s="803"/>
      <c r="P155" s="803"/>
      <c r="Q155" s="804"/>
    </row>
    <row r="156" spans="2:17" s="1" customFormat="1" ht="15" customHeight="1">
      <c r="B156" s="9"/>
      <c r="C156" s="807"/>
      <c r="D156" s="927"/>
      <c r="E156" s="142"/>
      <c r="F156" s="140"/>
      <c r="G156" s="141" t="s">
        <v>861</v>
      </c>
      <c r="H156" s="13" t="s">
        <v>2125</v>
      </c>
      <c r="I156" s="123"/>
      <c r="J156" s="123"/>
      <c r="K156" s="51" t="str" cm="1">
        <f t="array" ref="K156">IF(ISBLANK(J156), IF(ISBLANK(I156), "N/A", _xlfn.IFS(L156="AS", I156+15, L156="NCR", I156+30, L156="submitted", I156+30, TRUE, "N/A")), _xlfn.IFS(L156="AS", J156+15, L156="NCR", J156+30, L156="submitted", J156+30, TRUE, "N/A"))</f>
        <v>N/A</v>
      </c>
      <c r="L156" s="14"/>
      <c r="M156" s="317"/>
      <c r="N156" s="802"/>
      <c r="O156" s="803"/>
      <c r="P156" s="803"/>
      <c r="Q156" s="804"/>
    </row>
    <row r="157" spans="2:17" s="5" customFormat="1" ht="40.5" customHeight="1">
      <c r="B157" s="4"/>
      <c r="C157" s="825" t="s">
        <v>2512</v>
      </c>
      <c r="D157" s="876" t="s">
        <v>2513</v>
      </c>
      <c r="E157" s="143"/>
      <c r="F157" s="126"/>
      <c r="G157" s="145" t="s">
        <v>212</v>
      </c>
      <c r="H157" s="3" t="s">
        <v>2514</v>
      </c>
      <c r="I157" s="123"/>
      <c r="J157" s="123"/>
      <c r="K157" s="51" t="str" cm="1">
        <f t="array" ref="K157">IF(ISBLANK(J157), IF(ISBLANK(I157), "N/A", _xlfn.IFS(L157="AS", I157+15, L157="NCR", I157+30, L157="submitted", I157+30, TRUE, "N/A")), _xlfn.IFS(L157="AS", J157+15, L157="NCR", J157+30, L157="submitted", J157+30, TRUE, "N/A"))</f>
        <v>N/A</v>
      </c>
      <c r="L157" s="18"/>
      <c r="M157" s="317"/>
      <c r="N157" s="802"/>
      <c r="O157" s="803"/>
      <c r="P157" s="803"/>
      <c r="Q157" s="804"/>
    </row>
    <row r="158" spans="2:17" s="5" customFormat="1" ht="15" customHeight="1">
      <c r="B158" s="4"/>
      <c r="C158" s="826"/>
      <c r="D158" s="878"/>
      <c r="E158" s="143"/>
      <c r="F158" s="126"/>
      <c r="G158" s="145" t="s">
        <v>336</v>
      </c>
      <c r="H158" s="17" t="s">
        <v>274</v>
      </c>
      <c r="I158" s="123"/>
      <c r="J158" s="123"/>
      <c r="K158" s="51" t="str" cm="1">
        <f t="array" ref="K158">IF(ISBLANK(J158), IF(ISBLANK(I158), "N/A", _xlfn.IFS(L158="AS", I158+15, L158="NCR", I158+30, L158="submitted", I158+30, TRUE, "N/A")), _xlfn.IFS(L158="AS", J158+15, L158="NCR", J158+30, L158="submitted", J158+30, TRUE, "N/A"))</f>
        <v>N/A</v>
      </c>
      <c r="L158" s="18"/>
      <c r="M158" s="317"/>
      <c r="N158" s="802"/>
      <c r="O158" s="803"/>
      <c r="P158" s="803"/>
      <c r="Q158" s="804"/>
    </row>
    <row r="159" spans="2:17" s="1" customFormat="1" ht="15" customHeight="1">
      <c r="B159" s="9"/>
      <c r="C159" s="821" t="s">
        <v>2515</v>
      </c>
      <c r="D159" s="925" t="s">
        <v>2516</v>
      </c>
      <c r="E159" s="142"/>
      <c r="F159" s="140"/>
      <c r="G159" s="141" t="s">
        <v>336</v>
      </c>
      <c r="H159" s="13" t="s">
        <v>235</v>
      </c>
      <c r="I159" s="123"/>
      <c r="J159" s="123"/>
      <c r="K159" s="51" t="str" cm="1">
        <f t="array" ref="K159">IF(ISBLANK(J159), IF(ISBLANK(I159), "N/A", _xlfn.IFS(L159="AS", I159+15, L159="NCR", I159+30, L159="submitted", I159+30, TRUE, "N/A")), _xlfn.IFS(L159="AS", J159+15, L159="NCR", J159+30, L159="submitted", J159+30, TRUE, "N/A"))</f>
        <v>N/A</v>
      </c>
      <c r="L159" s="14"/>
      <c r="M159" s="317"/>
      <c r="N159" s="802"/>
      <c r="O159" s="803"/>
      <c r="P159" s="803"/>
      <c r="Q159" s="804"/>
    </row>
    <row r="160" spans="2:17" s="1" customFormat="1" ht="15" customHeight="1">
      <c r="B160" s="9"/>
      <c r="C160" s="822"/>
      <c r="D160" s="926"/>
      <c r="E160" s="142"/>
      <c r="F160" s="140"/>
      <c r="G160" s="141" t="s">
        <v>337</v>
      </c>
      <c r="H160" s="13" t="s">
        <v>282</v>
      </c>
      <c r="I160" s="123"/>
      <c r="J160" s="123"/>
      <c r="K160" s="51" t="str" cm="1">
        <f t="array" ref="K160">IF(ISBLANK(J160), IF(ISBLANK(I160), "N/A", _xlfn.IFS(L160="AS", I160+15, L160="NCR", I160+30, L160="submitted", I160+30, TRUE, "N/A")), _xlfn.IFS(L160="AS", J160+15, L160="NCR", J160+30, L160="submitted", J160+30, TRUE, "N/A"))</f>
        <v>N/A</v>
      </c>
      <c r="L160" s="14"/>
      <c r="M160" s="317"/>
      <c r="N160" s="802"/>
      <c r="O160" s="803"/>
      <c r="P160" s="803"/>
      <c r="Q160" s="804"/>
    </row>
    <row r="161" spans="2:17" s="1" customFormat="1" ht="53.25">
      <c r="B161" s="9"/>
      <c r="C161" s="822"/>
      <c r="D161" s="926"/>
      <c r="E161" s="142"/>
      <c r="F161" s="140"/>
      <c r="G161" s="141" t="s">
        <v>338</v>
      </c>
      <c r="H161" s="7" t="s">
        <v>2502</v>
      </c>
      <c r="I161" s="123"/>
      <c r="J161" s="123"/>
      <c r="K161" s="51" t="str" cm="1">
        <f t="array" ref="K161">IF(ISBLANK(J161), IF(ISBLANK(I161), "N/A", _xlfn.IFS(L161="AS", I161+15, L161="NCR", I161+30, L161="submitted", I161+30, TRUE, "N/A")), _xlfn.IFS(L161="AS", J161+15, L161="NCR", J161+30, L161="submitted", J161+30, TRUE, "N/A"))</f>
        <v>N/A</v>
      </c>
      <c r="L161" s="14"/>
      <c r="M161" s="317"/>
      <c r="N161" s="802"/>
      <c r="O161" s="803"/>
      <c r="P161" s="803"/>
      <c r="Q161" s="804"/>
    </row>
    <row r="162" spans="2:17" s="1" customFormat="1" ht="15" customHeight="1">
      <c r="B162" s="9"/>
      <c r="C162" s="822"/>
      <c r="D162" s="926"/>
      <c r="E162" s="142"/>
      <c r="F162" s="140"/>
      <c r="G162" s="141" t="s">
        <v>405</v>
      </c>
      <c r="H162" s="13" t="s">
        <v>2517</v>
      </c>
      <c r="I162" s="123"/>
      <c r="J162" s="123"/>
      <c r="K162" s="51" t="str" cm="1">
        <f t="array" ref="K162">IF(ISBLANK(J162), IF(ISBLANK(I162), "N/A", _xlfn.IFS(L162="AS", I162+15, L162="NCR", I162+30, L162="submitted", I162+30, TRUE, "N/A")), _xlfn.IFS(L162="AS", J162+15, L162="NCR", J162+30, L162="submitted", J162+30, TRUE, "N/A"))</f>
        <v>N/A</v>
      </c>
      <c r="L162" s="14"/>
      <c r="M162" s="317"/>
      <c r="N162" s="802"/>
      <c r="O162" s="803"/>
      <c r="P162" s="803"/>
      <c r="Q162" s="804"/>
    </row>
    <row r="163" spans="2:17" s="1" customFormat="1" ht="15" customHeight="1">
      <c r="B163" s="9"/>
      <c r="C163" s="822"/>
      <c r="D163" s="926"/>
      <c r="E163" s="142"/>
      <c r="F163" s="140"/>
      <c r="G163" s="141" t="s">
        <v>406</v>
      </c>
      <c r="H163" s="13" t="s">
        <v>1762</v>
      </c>
      <c r="I163" s="123"/>
      <c r="J163" s="123"/>
      <c r="K163" s="51" t="str" cm="1">
        <f t="array" ref="K163">IF(ISBLANK(J163), IF(ISBLANK(I163), "N/A", _xlfn.IFS(L163="AS", I163+15, L163="NCR", I163+30, L163="submitted", I163+30, TRUE, "N/A")), _xlfn.IFS(L163="AS", J163+15, L163="NCR", J163+30, L163="submitted", J163+30, TRUE, "N/A"))</f>
        <v>N/A</v>
      </c>
      <c r="L163" s="14"/>
      <c r="M163" s="317"/>
      <c r="N163" s="802"/>
      <c r="O163" s="803"/>
      <c r="P163" s="803"/>
      <c r="Q163" s="804"/>
    </row>
    <row r="164" spans="2:17" s="1" customFormat="1" ht="15" customHeight="1">
      <c r="B164" s="9"/>
      <c r="C164" s="822"/>
      <c r="D164" s="926"/>
      <c r="E164" s="142"/>
      <c r="F164" s="140"/>
      <c r="G164" s="141" t="s">
        <v>408</v>
      </c>
      <c r="H164" s="13" t="s">
        <v>2518</v>
      </c>
      <c r="I164" s="123"/>
      <c r="J164" s="123"/>
      <c r="K164" s="51" t="str" cm="1">
        <f t="array" ref="K164">IF(ISBLANK(J164), IF(ISBLANK(I164), "N/A", _xlfn.IFS(L164="AS", I164+15, L164="NCR", I164+30, L164="submitted", I164+30, TRUE, "N/A")), _xlfn.IFS(L164="AS", J164+15, L164="NCR", J164+30, L164="submitted", J164+30, TRUE, "N/A"))</f>
        <v>N/A</v>
      </c>
      <c r="L164" s="14"/>
      <c r="M164" s="317"/>
      <c r="N164" s="802"/>
      <c r="O164" s="803"/>
      <c r="P164" s="803"/>
      <c r="Q164" s="804"/>
    </row>
    <row r="165" spans="2:17" s="1" customFormat="1" ht="15" customHeight="1">
      <c r="B165" s="9"/>
      <c r="C165" s="822"/>
      <c r="D165" s="926"/>
      <c r="E165" s="142"/>
      <c r="F165" s="140"/>
      <c r="G165" s="141" t="s">
        <v>441</v>
      </c>
      <c r="H165" s="13" t="s">
        <v>2519</v>
      </c>
      <c r="I165" s="123"/>
      <c r="J165" s="123"/>
      <c r="K165" s="51" t="str" cm="1">
        <f t="array" ref="K165">IF(ISBLANK(J165), IF(ISBLANK(I165), "N/A", _xlfn.IFS(L165="AS", I165+15, L165="NCR", I165+30, L165="submitted", I165+30, TRUE, "N/A")), _xlfn.IFS(L165="AS", J165+15, L165="NCR", J165+30, L165="submitted", J165+30, TRUE, "N/A"))</f>
        <v>N/A</v>
      </c>
      <c r="L165" s="14"/>
      <c r="M165" s="317"/>
      <c r="N165" s="802"/>
      <c r="O165" s="803"/>
      <c r="P165" s="803"/>
      <c r="Q165" s="804"/>
    </row>
    <row r="166" spans="2:17" s="1" customFormat="1" ht="15" customHeight="1">
      <c r="B166" s="9"/>
      <c r="C166" s="807"/>
      <c r="D166" s="927"/>
      <c r="E166" s="142"/>
      <c r="F166" s="140"/>
      <c r="H166" s="13"/>
      <c r="I166" s="123"/>
      <c r="J166" s="123"/>
      <c r="K166" s="51" t="str" cm="1">
        <f t="array" ref="K166">IF(ISBLANK(J166), IF(ISBLANK(I166), "N/A", _xlfn.IFS(L166="AS", I166+15, L166="NCR", I166+30, L166="submitted", I166+30, TRUE, "N/A")), _xlfn.IFS(L166="AS", J166+15, L166="NCR", J166+30, L166="submitted", J166+30, TRUE, "N/A"))</f>
        <v>N/A</v>
      </c>
      <c r="L166" s="14"/>
      <c r="M166" s="317"/>
      <c r="N166" s="802"/>
      <c r="O166" s="803"/>
      <c r="P166" s="803"/>
      <c r="Q166" s="804"/>
    </row>
    <row r="167" spans="2:17" s="5" customFormat="1" ht="53.25">
      <c r="B167" s="4"/>
      <c r="C167" s="825" t="s">
        <v>2520</v>
      </c>
      <c r="D167" s="876" t="s">
        <v>2521</v>
      </c>
      <c r="E167" s="143"/>
      <c r="F167" s="126"/>
      <c r="G167" s="145" t="s">
        <v>212</v>
      </c>
      <c r="H167" s="3" t="s">
        <v>2424</v>
      </c>
      <c r="I167" s="123"/>
      <c r="J167" s="123"/>
      <c r="K167" s="51" t="str" cm="1">
        <f t="array" ref="K167">IF(ISBLANK(J167), IF(ISBLANK(I167), "N/A", _xlfn.IFS(L167="AS", I167+15, L167="NCR", I167+30, L167="submitted", I167+30, TRUE, "N/A")), _xlfn.IFS(L167="AS", J167+15, L167="NCR", J167+30, L167="submitted", J167+30, TRUE, "N/A"))</f>
        <v>N/A</v>
      </c>
      <c r="L167" s="18"/>
      <c r="M167" s="317"/>
      <c r="N167" s="802"/>
      <c r="O167" s="803"/>
      <c r="P167" s="803"/>
      <c r="Q167" s="804"/>
    </row>
    <row r="168" spans="2:17" s="5" customFormat="1" ht="63" customHeight="1">
      <c r="B168" s="4"/>
      <c r="C168" s="829"/>
      <c r="D168" s="877"/>
      <c r="E168" s="143"/>
      <c r="F168" s="126"/>
      <c r="G168" s="145" t="s">
        <v>336</v>
      </c>
      <c r="H168" s="17" t="s">
        <v>2522</v>
      </c>
      <c r="I168" s="123"/>
      <c r="J168" s="123"/>
      <c r="K168" s="51" t="str" cm="1">
        <f t="array" ref="K168">IF(ISBLANK(J168), IF(ISBLANK(I168), "N/A", _xlfn.IFS(L168="AS", I168+15, L168="NCR", I168+30, L168="submitted", I168+30, TRUE, "N/A")), _xlfn.IFS(L168="AS", J168+15, L168="NCR", J168+30, L168="submitted", J168+30, TRUE, "N/A"))</f>
        <v>N/A</v>
      </c>
      <c r="L168" s="18"/>
      <c r="M168" s="317"/>
      <c r="N168" s="802"/>
      <c r="O168" s="803"/>
      <c r="P168" s="803"/>
      <c r="Q168" s="804"/>
    </row>
    <row r="169" spans="2:17" s="5" customFormat="1" ht="51.75" customHeight="1">
      <c r="B169" s="4"/>
      <c r="C169" s="829"/>
      <c r="D169" s="877"/>
      <c r="E169" s="143"/>
      <c r="F169" s="126"/>
      <c r="G169" s="145" t="s">
        <v>2523</v>
      </c>
      <c r="H169" s="17" t="s">
        <v>2524</v>
      </c>
      <c r="I169" s="123"/>
      <c r="J169" s="123"/>
      <c r="K169" s="51" t="str" cm="1">
        <f t="array" ref="K169">IF(ISBLANK(J169), IF(ISBLANK(I169), "N/A", _xlfn.IFS(L169="AS", I169+15, L169="NCR", I169+30, L169="submitted", I169+30, TRUE, "N/A")), _xlfn.IFS(L169="AS", J169+15, L169="NCR", J169+30, L169="submitted", J169+30, TRUE, "N/A"))</f>
        <v>N/A</v>
      </c>
      <c r="L169" s="18"/>
      <c r="M169" s="317"/>
      <c r="N169" s="802"/>
      <c r="O169" s="803"/>
      <c r="P169" s="803"/>
      <c r="Q169" s="804"/>
    </row>
    <row r="170" spans="2:17" s="5" customFormat="1" ht="59.25" customHeight="1">
      <c r="B170" s="4"/>
      <c r="C170" s="829"/>
      <c r="D170" s="877"/>
      <c r="E170" s="143"/>
      <c r="F170" s="126"/>
      <c r="G170" s="145" t="s">
        <v>2525</v>
      </c>
      <c r="H170" s="17" t="s">
        <v>2526</v>
      </c>
      <c r="I170" s="123"/>
      <c r="J170" s="123"/>
      <c r="K170" s="51" t="str" cm="1">
        <f t="array" ref="K170">IF(ISBLANK(J170), IF(ISBLANK(I170), "N/A", _xlfn.IFS(L170="AS", I170+15, L170="NCR", I170+30, L170="submitted", I170+30, TRUE, "N/A")), _xlfn.IFS(L170="AS", J170+15, L170="NCR", J170+30, L170="submitted", J170+30, TRUE, "N/A"))</f>
        <v>N/A</v>
      </c>
      <c r="L170" s="18"/>
      <c r="M170" s="317"/>
      <c r="N170" s="802"/>
      <c r="O170" s="803"/>
      <c r="P170" s="803"/>
      <c r="Q170" s="804"/>
    </row>
    <row r="171" spans="2:17" s="5" customFormat="1" ht="67.5" customHeight="1">
      <c r="B171" s="4"/>
      <c r="C171" s="829"/>
      <c r="D171" s="877"/>
      <c r="E171" s="143"/>
      <c r="F171" s="126"/>
      <c r="G171" s="145" t="s">
        <v>2527</v>
      </c>
      <c r="H171" s="17" t="s">
        <v>2528</v>
      </c>
      <c r="I171" s="123"/>
      <c r="J171" s="123"/>
      <c r="K171" s="51" t="str" cm="1">
        <f t="array" ref="K171">IF(ISBLANK(J171), IF(ISBLANK(I171), "N/A", _xlfn.IFS(L171="AS", I171+15, L171="NCR", I171+30, L171="submitted", I171+30, TRUE, "N/A")), _xlfn.IFS(L171="AS", J171+15, L171="NCR", J171+30, L171="submitted", J171+30, TRUE, "N/A"))</f>
        <v>N/A</v>
      </c>
      <c r="L171" s="18"/>
      <c r="M171" s="317"/>
      <c r="N171" s="802"/>
      <c r="O171" s="803"/>
      <c r="P171" s="803"/>
      <c r="Q171" s="804"/>
    </row>
    <row r="172" spans="2:17" s="5" customFormat="1" ht="75" customHeight="1">
      <c r="B172" s="4"/>
      <c r="C172" s="829"/>
      <c r="D172" s="877"/>
      <c r="E172" s="143"/>
      <c r="F172" s="126"/>
      <c r="G172" s="145" t="s">
        <v>2529</v>
      </c>
      <c r="H172" s="17" t="s">
        <v>2530</v>
      </c>
      <c r="I172" s="123"/>
      <c r="J172" s="123"/>
      <c r="K172" s="51" t="str" cm="1">
        <f t="array" ref="K172">IF(ISBLANK(J172), IF(ISBLANK(I172), "N/A", _xlfn.IFS(L172="AS", I172+15, L172="NCR", I172+30, L172="submitted", I172+30, TRUE, "N/A")), _xlfn.IFS(L172="AS", J172+15, L172="NCR", J172+30, L172="submitted", J172+30, TRUE, "N/A"))</f>
        <v>N/A</v>
      </c>
      <c r="L172" s="18"/>
      <c r="M172" s="317"/>
      <c r="N172" s="802"/>
      <c r="O172" s="803"/>
      <c r="P172" s="803"/>
      <c r="Q172" s="804"/>
    </row>
    <row r="173" spans="2:17" s="5" customFormat="1" ht="76.5" customHeight="1">
      <c r="B173" s="4"/>
      <c r="C173" s="829"/>
      <c r="D173" s="877"/>
      <c r="E173" s="143"/>
      <c r="F173" s="126"/>
      <c r="G173" s="145" t="s">
        <v>2531</v>
      </c>
      <c r="H173" s="17" t="s">
        <v>2532</v>
      </c>
      <c r="I173" s="123"/>
      <c r="J173" s="123"/>
      <c r="K173" s="51" t="str" cm="1">
        <f t="array" ref="K173">IF(ISBLANK(J173), IF(ISBLANK(I173), "N/A", _xlfn.IFS(L173="AS", I173+15, L173="NCR", I173+30, L173="submitted", I173+30, TRUE, "N/A")), _xlfn.IFS(L173="AS", J173+15, L173="NCR", J173+30, L173="submitted", J173+30, TRUE, "N/A"))</f>
        <v>N/A</v>
      </c>
      <c r="L173" s="18"/>
      <c r="M173" s="317"/>
      <c r="N173" s="802"/>
      <c r="O173" s="803"/>
      <c r="P173" s="803"/>
      <c r="Q173" s="804"/>
    </row>
    <row r="174" spans="2:17" s="5" customFormat="1" ht="45.75" customHeight="1">
      <c r="B174" s="4"/>
      <c r="C174" s="829"/>
      <c r="D174" s="877"/>
      <c r="E174" s="143"/>
      <c r="F174" s="126"/>
      <c r="G174" s="145" t="s">
        <v>2533</v>
      </c>
      <c r="H174" s="17" t="s">
        <v>2534</v>
      </c>
      <c r="I174" s="123"/>
      <c r="J174" s="123"/>
      <c r="K174" s="51" t="str" cm="1">
        <f t="array" ref="K174">IF(ISBLANK(J174), IF(ISBLANK(I174), "N/A", _xlfn.IFS(L174="AS", I174+15, L174="NCR", I174+30, L174="submitted", I174+30, TRUE, "N/A")), _xlfn.IFS(L174="AS", J174+15, L174="NCR", J174+30, L174="submitted", J174+30, TRUE, "N/A"))</f>
        <v>N/A</v>
      </c>
      <c r="L174" s="18"/>
      <c r="M174" s="317"/>
      <c r="N174" s="802"/>
      <c r="O174" s="803"/>
      <c r="P174" s="803"/>
      <c r="Q174" s="804"/>
    </row>
    <row r="175" spans="2:17" s="5" customFormat="1" ht="69" customHeight="1">
      <c r="B175" s="4"/>
      <c r="C175" s="829"/>
      <c r="D175" s="877"/>
      <c r="E175" s="143"/>
      <c r="F175" s="126"/>
      <c r="G175" s="145" t="s">
        <v>2535</v>
      </c>
      <c r="H175" s="17" t="s">
        <v>2536</v>
      </c>
      <c r="I175" s="123"/>
      <c r="J175" s="123"/>
      <c r="K175" s="51" t="str" cm="1">
        <f t="array" ref="K175">IF(ISBLANK(J175), IF(ISBLANK(I175), "N/A", _xlfn.IFS(L175="AS", I175+15, L175="NCR", I175+30, L175="submitted", I175+30, TRUE, "N/A")), _xlfn.IFS(L175="AS", J175+15, L175="NCR", J175+30, L175="submitted", J175+30, TRUE, "N/A"))</f>
        <v>N/A</v>
      </c>
      <c r="L175" s="18"/>
      <c r="M175" s="317"/>
      <c r="N175" s="802"/>
      <c r="O175" s="803"/>
      <c r="P175" s="803"/>
      <c r="Q175" s="804"/>
    </row>
    <row r="176" spans="2:17" s="5" customFormat="1" ht="51.75" customHeight="1">
      <c r="B176" s="4"/>
      <c r="C176" s="829"/>
      <c r="D176" s="877"/>
      <c r="E176" s="143"/>
      <c r="F176" s="126"/>
      <c r="G176" s="145" t="s">
        <v>2537</v>
      </c>
      <c r="H176" s="17" t="s">
        <v>2538</v>
      </c>
      <c r="I176" s="123"/>
      <c r="J176" s="123"/>
      <c r="K176" s="51" t="str" cm="1">
        <f t="array" ref="K176">IF(ISBLANK(J176), IF(ISBLANK(I176), "N/A", _xlfn.IFS(L176="AS", I176+15, L176="NCR", I176+30, L176="submitted", I176+30, TRUE, "N/A")), _xlfn.IFS(L176="AS", J176+15, L176="NCR", J176+30, L176="submitted", J176+30, TRUE, "N/A"))</f>
        <v>N/A</v>
      </c>
      <c r="L176" s="18"/>
      <c r="M176" s="317"/>
      <c r="N176" s="802"/>
      <c r="O176" s="803"/>
      <c r="P176" s="803"/>
      <c r="Q176" s="804"/>
    </row>
    <row r="177" spans="2:17" s="5" customFormat="1" ht="59.25" customHeight="1">
      <c r="B177" s="4"/>
      <c r="C177" s="829"/>
      <c r="D177" s="877"/>
      <c r="E177" s="143"/>
      <c r="F177" s="126"/>
      <c r="G177" s="145" t="s">
        <v>2539</v>
      </c>
      <c r="H177" s="17" t="s">
        <v>2540</v>
      </c>
      <c r="I177" s="123"/>
      <c r="J177" s="123"/>
      <c r="K177" s="51" t="str" cm="1">
        <f t="array" ref="K177">IF(ISBLANK(J177), IF(ISBLANK(I177), "N/A", _xlfn.IFS(L177="AS", I177+15, L177="NCR", I177+30, L177="submitted", I177+30, TRUE, "N/A")), _xlfn.IFS(L177="AS", J177+15, L177="NCR", J177+30, L177="submitted", J177+30, TRUE, "N/A"))</f>
        <v>N/A</v>
      </c>
      <c r="L177" s="18"/>
      <c r="M177" s="317"/>
      <c r="N177" s="802"/>
      <c r="O177" s="803"/>
      <c r="P177" s="803"/>
      <c r="Q177" s="804"/>
    </row>
    <row r="178" spans="2:17" s="5" customFormat="1" ht="53.25" customHeight="1">
      <c r="B178" s="4"/>
      <c r="C178" s="829"/>
      <c r="D178" s="877"/>
      <c r="E178" s="143"/>
      <c r="F178" s="126"/>
      <c r="G178" s="145" t="s">
        <v>2541</v>
      </c>
      <c r="H178" s="17" t="s">
        <v>2542</v>
      </c>
      <c r="I178" s="123"/>
      <c r="J178" s="123"/>
      <c r="K178" s="51" t="str" cm="1">
        <f t="array" ref="K178">IF(ISBLANK(J178), IF(ISBLANK(I178), "N/A", _xlfn.IFS(L178="AS", I178+15, L178="NCR", I178+30, L178="submitted", I178+30, TRUE, "N/A")), _xlfn.IFS(L178="AS", J178+15, L178="NCR", J178+30, L178="submitted", J178+30, TRUE, "N/A"))</f>
        <v>N/A</v>
      </c>
      <c r="L178" s="18"/>
      <c r="M178" s="317"/>
      <c r="N178" s="802"/>
      <c r="O178" s="803"/>
      <c r="P178" s="803"/>
      <c r="Q178" s="804"/>
    </row>
    <row r="179" spans="2:17" s="5" customFormat="1" ht="63.75" customHeight="1">
      <c r="B179" s="4"/>
      <c r="C179" s="829"/>
      <c r="D179" s="877"/>
      <c r="E179" s="143"/>
      <c r="F179" s="126"/>
      <c r="G179" s="145" t="s">
        <v>2543</v>
      </c>
      <c r="H179" s="17" t="s">
        <v>2544</v>
      </c>
      <c r="I179" s="123"/>
      <c r="J179" s="123"/>
      <c r="K179" s="51" t="str" cm="1">
        <f t="array" ref="K179">IF(ISBLANK(J179), IF(ISBLANK(I179), "N/A", _xlfn.IFS(L179="AS", I179+15, L179="NCR", I179+30, L179="submitted", I179+30, TRUE, "N/A")), _xlfn.IFS(L179="AS", J179+15, L179="NCR", J179+30, L179="submitted", J179+30, TRUE, "N/A"))</f>
        <v>N/A</v>
      </c>
      <c r="L179" s="18"/>
      <c r="M179" s="317"/>
      <c r="N179" s="802"/>
      <c r="O179" s="803"/>
      <c r="P179" s="803"/>
      <c r="Q179" s="804"/>
    </row>
    <row r="180" spans="2:17" s="5" customFormat="1" ht="51" customHeight="1">
      <c r="B180" s="4"/>
      <c r="C180" s="829"/>
      <c r="D180" s="877"/>
      <c r="E180" s="143"/>
      <c r="F180" s="126"/>
      <c r="G180" s="145" t="s">
        <v>405</v>
      </c>
      <c r="H180" s="3" t="s">
        <v>2545</v>
      </c>
      <c r="I180" s="123"/>
      <c r="J180" s="123"/>
      <c r="K180" s="51" t="str" cm="1">
        <f t="array" ref="K180">IF(ISBLANK(J180), IF(ISBLANK(I180), "N/A", _xlfn.IFS(L180="AS", I180+15, L180="NCR", I180+30, L180="submitted", I180+30, TRUE, "N/A")), _xlfn.IFS(L180="AS", J180+15, L180="NCR", J180+30, L180="submitted", J180+30, TRUE, "N/A"))</f>
        <v>N/A</v>
      </c>
      <c r="L180" s="18"/>
      <c r="M180" s="317"/>
      <c r="N180" s="802"/>
      <c r="O180" s="803"/>
      <c r="P180" s="803"/>
      <c r="Q180" s="804"/>
    </row>
    <row r="181" spans="2:17" s="5" customFormat="1" ht="66.75" customHeight="1">
      <c r="B181" s="4"/>
      <c r="C181" s="829"/>
      <c r="D181" s="877"/>
      <c r="E181" s="143"/>
      <c r="F181" s="126"/>
      <c r="G181" s="145" t="s">
        <v>406</v>
      </c>
      <c r="H181" s="17" t="s">
        <v>2546</v>
      </c>
      <c r="I181" s="123"/>
      <c r="J181" s="123"/>
      <c r="K181" s="51" t="str" cm="1">
        <f t="array" ref="K181">IF(ISBLANK(J181), IF(ISBLANK(I181), "N/A", _xlfn.IFS(L181="AS", I181+15, L181="NCR", I181+30, L181="submitted", I181+30, TRUE, "N/A")), _xlfn.IFS(L181="AS", J181+15, L181="NCR", J181+30, L181="submitted", J181+30, TRUE, "N/A"))</f>
        <v>N/A</v>
      </c>
      <c r="L181" s="18"/>
      <c r="M181" s="317"/>
      <c r="N181" s="802"/>
      <c r="O181" s="803"/>
      <c r="P181" s="803"/>
      <c r="Q181" s="804"/>
    </row>
    <row r="182" spans="2:17" s="5" customFormat="1" ht="66" customHeight="1">
      <c r="B182" s="4"/>
      <c r="C182" s="829"/>
      <c r="D182" s="877"/>
      <c r="E182" s="143"/>
      <c r="F182" s="126"/>
      <c r="G182" s="145" t="s">
        <v>746</v>
      </c>
      <c r="H182" s="17" t="s">
        <v>2547</v>
      </c>
      <c r="I182" s="123"/>
      <c r="J182" s="123"/>
      <c r="K182" s="51" t="str" cm="1">
        <f t="array" ref="K182">IF(ISBLANK(J182), IF(ISBLANK(I182), "N/A", _xlfn.IFS(L182="AS", I182+15, L182="NCR", I182+30, L182="submitted", I182+30, TRUE, "N/A")), _xlfn.IFS(L182="AS", J182+15, L182="NCR", J182+30, L182="submitted", J182+30, TRUE, "N/A"))</f>
        <v>N/A</v>
      </c>
      <c r="L182" s="18"/>
      <c r="M182" s="317"/>
      <c r="N182" s="802"/>
      <c r="O182" s="803"/>
      <c r="P182" s="803"/>
      <c r="Q182" s="804"/>
    </row>
    <row r="183" spans="2:17" s="5" customFormat="1" ht="60" customHeight="1">
      <c r="B183" s="4"/>
      <c r="C183" s="829"/>
      <c r="D183" s="877"/>
      <c r="E183" s="143"/>
      <c r="F183" s="126"/>
      <c r="G183" s="145" t="s">
        <v>892</v>
      </c>
      <c r="H183" s="17" t="s">
        <v>2548</v>
      </c>
      <c r="I183" s="123"/>
      <c r="J183" s="123"/>
      <c r="K183" s="51" t="str" cm="1">
        <f t="array" ref="K183">IF(ISBLANK(J183), IF(ISBLANK(I183), "N/A", _xlfn.IFS(L183="AS", I183+15, L183="NCR", I183+30, L183="submitted", I183+30, TRUE, "N/A")), _xlfn.IFS(L183="AS", J183+15, L183="NCR", J183+30, L183="submitted", J183+30, TRUE, "N/A"))</f>
        <v>N/A</v>
      </c>
      <c r="L183" s="18"/>
      <c r="M183" s="317"/>
      <c r="N183" s="802"/>
      <c r="O183" s="803"/>
      <c r="P183" s="803"/>
      <c r="Q183" s="804"/>
    </row>
    <row r="184" spans="2:17" s="5" customFormat="1" ht="93" customHeight="1">
      <c r="B184" s="4"/>
      <c r="C184" s="826"/>
      <c r="D184" s="878"/>
      <c r="E184" s="143"/>
      <c r="F184" s="126"/>
      <c r="G184" s="145" t="s">
        <v>1077</v>
      </c>
      <c r="H184" s="17" t="s">
        <v>2549</v>
      </c>
      <c r="I184" s="123"/>
      <c r="J184" s="123"/>
      <c r="K184" s="51" t="str" cm="1">
        <f t="array" ref="K184">IF(ISBLANK(J184), IF(ISBLANK(I184), "N/A", _xlfn.IFS(L184="AS", I184+15, L184="NCR", I184+30, L184="submitted", I184+30, TRUE, "N/A")), _xlfn.IFS(L184="AS", J184+15, L184="NCR", J184+30, L184="submitted", J184+30, TRUE, "N/A"))</f>
        <v>N/A</v>
      </c>
      <c r="L184" s="18"/>
      <c r="M184" s="317"/>
      <c r="N184" s="802"/>
      <c r="O184" s="803"/>
      <c r="P184" s="803"/>
      <c r="Q184" s="804"/>
    </row>
    <row r="185" spans="2:17" s="1" customFormat="1" ht="74.25" customHeight="1">
      <c r="B185" s="9"/>
      <c r="C185" s="821" t="s">
        <v>2550</v>
      </c>
      <c r="D185" s="925" t="s">
        <v>2551</v>
      </c>
      <c r="E185" s="142"/>
      <c r="F185" s="140"/>
      <c r="G185" s="141" t="s">
        <v>2552</v>
      </c>
      <c r="H185" s="13" t="s">
        <v>2524</v>
      </c>
      <c r="I185" s="123"/>
      <c r="J185" s="123"/>
      <c r="K185" s="51" t="str" cm="1">
        <f t="array" ref="K185">IF(ISBLANK(J185), IF(ISBLANK(I185), "N/A", _xlfn.IFS(L185="AS", I185+15, L185="NCR", I185+30, L185="submitted", I185+30, TRUE, "N/A")), _xlfn.IFS(L185="AS", J185+15, L185="NCR", J185+30, L185="submitted", J185+30, TRUE, "N/A"))</f>
        <v>N/A</v>
      </c>
      <c r="L185" s="14"/>
      <c r="M185" s="317"/>
      <c r="N185" s="802"/>
      <c r="O185" s="803"/>
      <c r="P185" s="803"/>
      <c r="Q185" s="804"/>
    </row>
    <row r="186" spans="2:17" s="1" customFormat="1" ht="69.75" customHeight="1">
      <c r="B186" s="9"/>
      <c r="C186" s="822"/>
      <c r="D186" s="926"/>
      <c r="E186" s="142"/>
      <c r="F186" s="140"/>
      <c r="G186" s="141" t="s">
        <v>2553</v>
      </c>
      <c r="H186" s="13" t="s">
        <v>2534</v>
      </c>
      <c r="I186" s="123"/>
      <c r="J186" s="123"/>
      <c r="K186" s="51" t="str" cm="1">
        <f t="array" ref="K186">IF(ISBLANK(J186), IF(ISBLANK(I186), "N/A", _xlfn.IFS(L186="AS", I186+15, L186="NCR", I186+30, L186="submitted", I186+30, TRUE, "N/A")), _xlfn.IFS(L186="AS", J186+15, L186="NCR", J186+30, L186="submitted", J186+30, TRUE, "N/A"))</f>
        <v>N/A</v>
      </c>
      <c r="L186" s="14"/>
      <c r="M186" s="317"/>
      <c r="N186" s="802"/>
      <c r="O186" s="803"/>
      <c r="P186" s="803"/>
      <c r="Q186" s="804"/>
    </row>
    <row r="187" spans="2:17" s="1" customFormat="1" ht="69" customHeight="1">
      <c r="B187" s="9"/>
      <c r="C187" s="822"/>
      <c r="D187" s="926"/>
      <c r="E187" s="142"/>
      <c r="F187" s="140"/>
      <c r="G187" s="141" t="s">
        <v>2554</v>
      </c>
      <c r="H187" s="13" t="s">
        <v>2536</v>
      </c>
      <c r="I187" s="123"/>
      <c r="J187" s="123"/>
      <c r="K187" s="51" t="str" cm="1">
        <f t="array" ref="K187">IF(ISBLANK(J187), IF(ISBLANK(I187), "N/A", _xlfn.IFS(L187="AS", I187+15, L187="NCR", I187+30, L187="submitted", I187+30, TRUE, "N/A")), _xlfn.IFS(L187="AS", J187+15, L187="NCR", J187+30, L187="submitted", J187+30, TRUE, "N/A"))</f>
        <v>N/A</v>
      </c>
      <c r="L187" s="14"/>
      <c r="M187" s="317"/>
      <c r="N187" s="802"/>
      <c r="O187" s="803"/>
      <c r="P187" s="803"/>
      <c r="Q187" s="804"/>
    </row>
    <row r="188" spans="2:17" s="1" customFormat="1" ht="47.25" customHeight="1">
      <c r="B188" s="9"/>
      <c r="C188" s="822"/>
      <c r="D188" s="926"/>
      <c r="E188" s="142"/>
      <c r="F188" s="140"/>
      <c r="G188" s="141" t="s">
        <v>2555</v>
      </c>
      <c r="H188" s="13" t="s">
        <v>2556</v>
      </c>
      <c r="I188" s="123"/>
      <c r="J188" s="123"/>
      <c r="K188" s="51" t="str" cm="1">
        <f t="array" ref="K188">IF(ISBLANK(J188), IF(ISBLANK(I188), "N/A", _xlfn.IFS(L188="AS", I188+15, L188="NCR", I188+30, L188="submitted", I188+30, TRUE, "N/A")), _xlfn.IFS(L188="AS", J188+15, L188="NCR", J188+30, L188="submitted", J188+30, TRUE, "N/A"))</f>
        <v>N/A</v>
      </c>
      <c r="L188" s="14"/>
      <c r="M188" s="317"/>
      <c r="N188" s="802"/>
      <c r="O188" s="803"/>
      <c r="P188" s="803"/>
      <c r="Q188" s="804"/>
    </row>
    <row r="189" spans="2:17" s="1" customFormat="1" ht="44.25" customHeight="1">
      <c r="B189" s="9"/>
      <c r="C189" s="822"/>
      <c r="D189" s="926"/>
      <c r="E189" s="142"/>
      <c r="F189" s="140"/>
      <c r="G189" s="141" t="s">
        <v>2557</v>
      </c>
      <c r="H189" s="13" t="s">
        <v>2546</v>
      </c>
      <c r="I189" s="123"/>
      <c r="J189" s="123"/>
      <c r="K189" s="51" t="str" cm="1">
        <f t="array" ref="K189">IF(ISBLANK(J189), IF(ISBLANK(I189), "N/A", _xlfn.IFS(L189="AS", I189+15, L189="NCR", I189+30, L189="submitted", I189+30, TRUE, "N/A")), _xlfn.IFS(L189="AS", J189+15, L189="NCR", J189+30, L189="submitted", J189+30, TRUE, "N/A"))</f>
        <v>N/A</v>
      </c>
      <c r="L189" s="14"/>
      <c r="M189" s="317"/>
      <c r="N189" s="802"/>
      <c r="O189" s="803"/>
      <c r="P189" s="803"/>
      <c r="Q189" s="804"/>
    </row>
    <row r="190" spans="2:17" s="1" customFormat="1" ht="48.75" customHeight="1">
      <c r="B190" s="9"/>
      <c r="C190" s="807"/>
      <c r="D190" s="927"/>
      <c r="E190" s="142"/>
      <c r="F190" s="140"/>
      <c r="G190" s="141" t="s">
        <v>2558</v>
      </c>
      <c r="H190" s="13" t="s">
        <v>2547</v>
      </c>
      <c r="I190" s="123"/>
      <c r="J190" s="123"/>
      <c r="K190" s="51" t="str" cm="1">
        <f t="array" ref="K190">IF(ISBLANK(J190), IF(ISBLANK(I190), "N/A", _xlfn.IFS(L190="AS", I190+15, L190="NCR", I190+30, L190="submitted", I190+30, TRUE, "N/A")), _xlfn.IFS(L190="AS", J190+15, L190="NCR", J190+30, L190="submitted", J190+30, TRUE, "N/A"))</f>
        <v>N/A</v>
      </c>
      <c r="L190" s="14"/>
      <c r="M190" s="317"/>
      <c r="N190" s="802"/>
      <c r="O190" s="803"/>
      <c r="P190" s="803"/>
      <c r="Q190" s="804"/>
    </row>
    <row r="191" spans="2:17" s="5" customFormat="1" ht="54" customHeight="1">
      <c r="B191" s="4"/>
      <c r="C191" s="15" t="s">
        <v>2559</v>
      </c>
      <c r="D191" s="132" t="s">
        <v>2560</v>
      </c>
      <c r="E191" s="143"/>
      <c r="F191" s="126"/>
      <c r="G191" s="145" t="s">
        <v>145</v>
      </c>
      <c r="H191" s="17"/>
      <c r="I191" s="123"/>
      <c r="J191" s="123"/>
      <c r="K191" s="51" t="str" cm="1">
        <f t="array" ref="K191">IF(ISBLANK(J191), IF(ISBLANK(I191), "N/A", _xlfn.IFS(L191="AS", I191+15, L191="NCR", I191+30, L191="submitted", I191+30, TRUE, "N/A")), _xlfn.IFS(L191="AS", J191+15, L191="NCR", J191+30, L191="submitted", J191+30, TRUE, "N/A"))</f>
        <v>N/A</v>
      </c>
      <c r="L191" s="18"/>
      <c r="M191" s="317"/>
      <c r="N191" s="802"/>
      <c r="O191" s="803"/>
      <c r="P191" s="803"/>
      <c r="Q191" s="804"/>
    </row>
    <row r="192" spans="2:17" s="1" customFormat="1" ht="44.25" customHeight="1">
      <c r="B192" s="38"/>
      <c r="C192" s="821" t="s">
        <v>2561</v>
      </c>
      <c r="D192" s="925" t="s">
        <v>2562</v>
      </c>
      <c r="E192" s="142"/>
      <c r="F192" s="140"/>
      <c r="G192" s="577" t="s">
        <v>222</v>
      </c>
      <c r="H192" s="40" t="s">
        <v>2563</v>
      </c>
      <c r="I192" s="123"/>
      <c r="J192" s="123"/>
      <c r="K192" s="51" t="str" cm="1">
        <f t="array" ref="K192">IF(ISBLANK(J192), IF(ISBLANK(I192), "N/A", _xlfn.IFS(L192="AS", I192+15, L192="NCR", I192+30, L192="submitted", I192+30, TRUE, "N/A")), _xlfn.IFS(L192="AS", J192+15, L192="NCR", J192+30, L192="submitted", J192+30, TRUE, "N/A"))</f>
        <v>N/A</v>
      </c>
      <c r="L192" s="41"/>
      <c r="M192" s="317"/>
      <c r="N192" s="802"/>
      <c r="O192" s="803"/>
      <c r="P192" s="803"/>
      <c r="Q192" s="804"/>
    </row>
    <row r="193" spans="2:17" s="1" customFormat="1" ht="45" customHeight="1">
      <c r="B193" s="38"/>
      <c r="C193" s="822"/>
      <c r="D193" s="926"/>
      <c r="E193" s="142"/>
      <c r="F193" s="140"/>
      <c r="G193" s="577" t="s">
        <v>269</v>
      </c>
      <c r="H193" s="37" t="s">
        <v>2564</v>
      </c>
      <c r="I193" s="123"/>
      <c r="J193" s="123"/>
      <c r="K193" s="51" t="str" cm="1">
        <f t="array" ref="K193">IF(ISBLANK(J193), IF(ISBLANK(I193), "N/A", _xlfn.IFS(L193="AS", I193+15, L193="NCR", I193+30, L193="submitted", I193+30, TRUE, "N/A")), _xlfn.IFS(L193="AS", J193+15, L193="NCR", J193+30, L193="submitted", J193+30, TRUE, "N/A"))</f>
        <v>N/A</v>
      </c>
      <c r="L193" s="41"/>
      <c r="M193" s="317"/>
      <c r="N193" s="802"/>
      <c r="O193" s="803"/>
      <c r="P193" s="803"/>
      <c r="Q193" s="804"/>
    </row>
    <row r="194" spans="2:17" s="1" customFormat="1" ht="52.5" customHeight="1">
      <c r="B194" s="38"/>
      <c r="C194" s="822"/>
      <c r="D194" s="926"/>
      <c r="E194" s="142"/>
      <c r="F194" s="140"/>
      <c r="G194" s="577" t="s">
        <v>259</v>
      </c>
      <c r="H194" s="37" t="s">
        <v>2565</v>
      </c>
      <c r="I194" s="123"/>
      <c r="J194" s="123"/>
      <c r="K194" s="51" t="str" cm="1">
        <f t="array" ref="K194">IF(ISBLANK(J194), IF(ISBLANK(I194), "N/A", _xlfn.IFS(L194="AS", I194+15, L194="NCR", I194+30, L194="submitted", I194+30, TRUE, "N/A")), _xlfn.IFS(L194="AS", J194+15, L194="NCR", J194+30, L194="submitted", J194+30, TRUE, "N/A"))</f>
        <v>N/A</v>
      </c>
      <c r="L194" s="41"/>
      <c r="M194" s="317"/>
      <c r="N194" s="802"/>
      <c r="O194" s="803"/>
      <c r="P194" s="803"/>
      <c r="Q194" s="804"/>
    </row>
    <row r="195" spans="2:17" s="1" customFormat="1" ht="48.75" customHeight="1">
      <c r="B195" s="38"/>
      <c r="C195" s="822"/>
      <c r="D195" s="926"/>
      <c r="E195" s="142"/>
      <c r="F195" s="140"/>
      <c r="G195" s="577" t="s">
        <v>352</v>
      </c>
      <c r="H195" s="37" t="s">
        <v>2566</v>
      </c>
      <c r="I195" s="123"/>
      <c r="J195" s="123"/>
      <c r="K195" s="51" t="str" cm="1">
        <f t="array" ref="K195">IF(ISBLANK(J195), IF(ISBLANK(I195), "N/A", _xlfn.IFS(L195="AS", I195+15, L195="NCR", I195+30, L195="submitted", I195+30, TRUE, "N/A")), _xlfn.IFS(L195="AS", J195+15, L195="NCR", J195+30, L195="submitted", J195+30, TRUE, "N/A"))</f>
        <v>N/A</v>
      </c>
      <c r="L195" s="41"/>
      <c r="M195" s="317"/>
      <c r="N195" s="802"/>
      <c r="O195" s="803"/>
      <c r="P195" s="803"/>
      <c r="Q195" s="804"/>
    </row>
    <row r="196" spans="2:17" s="1" customFormat="1" ht="36.75" customHeight="1">
      <c r="B196" s="38"/>
      <c r="C196" s="822"/>
      <c r="D196" s="926"/>
      <c r="E196" s="142"/>
      <c r="F196" s="140"/>
      <c r="G196" s="577" t="s">
        <v>382</v>
      </c>
      <c r="H196" s="40" t="s">
        <v>2567</v>
      </c>
      <c r="I196" s="123"/>
      <c r="J196" s="123"/>
      <c r="K196" s="51" t="str" cm="1">
        <f t="array" ref="K196">IF(ISBLANK(J196), IF(ISBLANK(I196), "N/A", _xlfn.IFS(L196="AS", I196+15, L196="NCR", I196+30, L196="submitted", I196+30, TRUE, "N/A")), _xlfn.IFS(L196="AS", J196+15, L196="NCR", J196+30, L196="submitted", J196+30, TRUE, "N/A"))</f>
        <v>N/A</v>
      </c>
      <c r="L196" s="41"/>
      <c r="M196" s="317"/>
      <c r="N196" s="802"/>
      <c r="O196" s="803"/>
      <c r="P196" s="803"/>
      <c r="Q196" s="804"/>
    </row>
    <row r="197" spans="2:17" s="1" customFormat="1" ht="33" customHeight="1">
      <c r="B197" s="38"/>
      <c r="C197" s="822"/>
      <c r="D197" s="926"/>
      <c r="E197" s="142"/>
      <c r="F197" s="140"/>
      <c r="G197" s="577" t="s">
        <v>356</v>
      </c>
      <c r="H197" s="37" t="s">
        <v>2568</v>
      </c>
      <c r="I197" s="123"/>
      <c r="J197" s="123"/>
      <c r="K197" s="51" t="str" cm="1">
        <f t="array" ref="K197">IF(ISBLANK(J197), IF(ISBLANK(I197), "N/A", _xlfn.IFS(L197="AS", I197+15, L197="NCR", I197+30, L197="submitted", I197+30, TRUE, "N/A")), _xlfn.IFS(L197="AS", J197+15, L197="NCR", J197+30, L197="submitted", J197+30, TRUE, "N/A"))</f>
        <v>N/A</v>
      </c>
      <c r="L197" s="41"/>
      <c r="M197" s="317"/>
      <c r="N197" s="802"/>
      <c r="O197" s="803"/>
      <c r="P197" s="803"/>
      <c r="Q197" s="804"/>
    </row>
    <row r="198" spans="2:17" s="1" customFormat="1" ht="52.5" customHeight="1">
      <c r="B198" s="38"/>
      <c r="C198" s="822"/>
      <c r="D198" s="926"/>
      <c r="E198" s="142"/>
      <c r="F198" s="140"/>
      <c r="G198" s="577" t="s">
        <v>1133</v>
      </c>
      <c r="H198" s="40" t="s">
        <v>2209</v>
      </c>
      <c r="I198" s="123"/>
      <c r="J198" s="123"/>
      <c r="K198" s="51" t="str" cm="1">
        <f t="array" ref="K198">IF(ISBLANK(J198), IF(ISBLANK(I198), "N/A", _xlfn.IFS(L198="AS", I198+15, L198="NCR", I198+30, L198="submitted", I198+30, TRUE, "N/A")), _xlfn.IFS(L198="AS", J198+15, L198="NCR", J198+30, L198="submitted", J198+30, TRUE, "N/A"))</f>
        <v>N/A</v>
      </c>
      <c r="L198" s="41"/>
      <c r="M198" s="317"/>
      <c r="N198" s="802"/>
      <c r="O198" s="803"/>
      <c r="P198" s="803"/>
      <c r="Q198" s="804"/>
    </row>
    <row r="199" spans="2:17" s="1" customFormat="1" ht="35.25" customHeight="1">
      <c r="B199" s="38"/>
      <c r="C199" s="822"/>
      <c r="D199" s="926"/>
      <c r="E199" s="142"/>
      <c r="F199" s="140"/>
      <c r="G199" s="577" t="s">
        <v>1878</v>
      </c>
      <c r="H199" s="40" t="s">
        <v>2210</v>
      </c>
      <c r="I199" s="123"/>
      <c r="J199" s="123"/>
      <c r="K199" s="51" t="str" cm="1">
        <f t="array" ref="K199">IF(ISBLANK(J199), IF(ISBLANK(I199), "N/A", _xlfn.IFS(L199="AS", I199+15, L199="NCR", I199+30, L199="submitted", I199+30, TRUE, "N/A")), _xlfn.IFS(L199="AS", J199+15, L199="NCR", J199+30, L199="submitted", J199+30, TRUE, "N/A"))</f>
        <v>N/A</v>
      </c>
      <c r="L199" s="41"/>
      <c r="M199" s="317"/>
      <c r="N199" s="802"/>
      <c r="O199" s="803"/>
      <c r="P199" s="803"/>
      <c r="Q199" s="804"/>
    </row>
    <row r="200" spans="2:17" s="1" customFormat="1" ht="28.5" customHeight="1">
      <c r="B200" s="38"/>
      <c r="C200" s="822"/>
      <c r="D200" s="926"/>
      <c r="E200" s="142"/>
      <c r="F200" s="140"/>
      <c r="G200" s="577" t="s">
        <v>360</v>
      </c>
      <c r="H200" s="37" t="s">
        <v>1762</v>
      </c>
      <c r="I200" s="123"/>
      <c r="J200" s="123"/>
      <c r="K200" s="51" t="str" cm="1">
        <f t="array" ref="K200">IF(ISBLANK(J200), IF(ISBLANK(I200), "N/A", _xlfn.IFS(L200="AS", I200+15, L200="NCR", I200+30, L200="submitted", I200+30, TRUE, "N/A")), _xlfn.IFS(L200="AS", J200+15, L200="NCR", J200+30, L200="submitted", J200+30, TRUE, "N/A"))</f>
        <v>N/A</v>
      </c>
      <c r="L200" s="41"/>
      <c r="M200" s="317"/>
      <c r="N200" s="802"/>
      <c r="O200" s="803"/>
      <c r="P200" s="803"/>
      <c r="Q200" s="804"/>
    </row>
    <row r="201" spans="2:17" s="1" customFormat="1" ht="37.5" customHeight="1">
      <c r="B201" s="38"/>
      <c r="C201" s="822"/>
      <c r="D201" s="926"/>
      <c r="E201" s="142"/>
      <c r="F201" s="140"/>
      <c r="G201" s="577" t="s">
        <v>2569</v>
      </c>
      <c r="H201" s="40" t="s">
        <v>2570</v>
      </c>
      <c r="I201" s="123"/>
      <c r="J201" s="123"/>
      <c r="K201" s="51" t="str" cm="1">
        <f t="array" ref="K201">IF(ISBLANK(J201), IF(ISBLANK(I201), "N/A", _xlfn.IFS(L201="AS", I201+15, L201="NCR", I201+30, L201="submitted", I201+30, TRUE, "N/A")), _xlfn.IFS(L201="AS", J201+15, L201="NCR", J201+30, L201="submitted", J201+30, TRUE, "N/A"))</f>
        <v>N/A</v>
      </c>
      <c r="L201" s="41"/>
      <c r="M201" s="317"/>
      <c r="N201" s="802"/>
      <c r="O201" s="803"/>
      <c r="P201" s="803"/>
      <c r="Q201" s="804"/>
    </row>
    <row r="202" spans="2:17" s="94" customFormat="1" ht="68.25" customHeight="1">
      <c r="B202" s="90"/>
      <c r="C202" s="900"/>
      <c r="D202" s="928"/>
      <c r="E202" s="142"/>
      <c r="F202" s="140"/>
      <c r="G202" s="578" t="s">
        <v>2571</v>
      </c>
      <c r="H202" s="98" t="s">
        <v>2572</v>
      </c>
      <c r="I202" s="123"/>
      <c r="J202" s="123"/>
      <c r="K202" s="51" t="str" cm="1">
        <f t="array" ref="K202">IF(ISBLANK(J202), IF(ISBLANK(I202), "N/A", _xlfn.IFS(L202="AS", I202+15, L202="NCR", I202+30, L202="submitted", I202+30, TRUE, "N/A")), _xlfn.IFS(L202="AS", J202+15, L202="NCR", J202+30, L202="submitted", J202+30, TRUE, "N/A"))</f>
        <v>N/A</v>
      </c>
      <c r="L202" s="93"/>
      <c r="M202" s="317"/>
      <c r="N202" s="802"/>
      <c r="O202" s="803"/>
      <c r="P202" s="803"/>
      <c r="Q202" s="804"/>
    </row>
    <row r="203" spans="2:17" ht="15" customHeight="1">
      <c r="M203" s="317"/>
      <c r="N203" s="796" t="s">
        <v>133</v>
      </c>
      <c r="O203" s="797"/>
      <c r="P203" s="797"/>
      <c r="Q203" s="798"/>
    </row>
    <row r="204" spans="2:17" ht="15" customHeight="1">
      <c r="M204" s="317"/>
      <c r="N204" s="799"/>
      <c r="O204" s="800"/>
      <c r="P204" s="800"/>
      <c r="Q204" s="801"/>
    </row>
    <row r="205" spans="2:17" ht="15" customHeight="1">
      <c r="M205" s="317"/>
      <c r="N205" s="799"/>
      <c r="O205" s="800"/>
      <c r="P205" s="800"/>
      <c r="Q205" s="801"/>
    </row>
    <row r="206" spans="2:17" ht="15" customHeight="1">
      <c r="M206" s="317"/>
      <c r="N206" s="799"/>
      <c r="O206" s="800"/>
      <c r="P206" s="800"/>
      <c r="Q206" s="801"/>
    </row>
    <row r="207" spans="2:17" ht="15" customHeight="1">
      <c r="M207" s="317"/>
      <c r="N207" s="799"/>
      <c r="O207" s="800"/>
      <c r="P207" s="800"/>
      <c r="Q207" s="801"/>
    </row>
    <row r="208" spans="2:17" ht="15" customHeight="1">
      <c r="M208" s="317"/>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row>
  </sheetData>
  <mergeCells count="114">
    <mergeCell ref="C29:C30"/>
    <mergeCell ref="D29:D30"/>
    <mergeCell ref="C31:C32"/>
    <mergeCell ref="D31:D32"/>
    <mergeCell ref="C33:C34"/>
    <mergeCell ref="D33:D34"/>
    <mergeCell ref="B1:G1"/>
    <mergeCell ref="C23:C24"/>
    <mergeCell ref="D23:D24"/>
    <mergeCell ref="C25:C26"/>
    <mergeCell ref="D25:D26"/>
    <mergeCell ref="C27:C28"/>
    <mergeCell ref="D27:D28"/>
    <mergeCell ref="C3:C17"/>
    <mergeCell ref="D3:D17"/>
    <mergeCell ref="C19:C20"/>
    <mergeCell ref="D19:D20"/>
    <mergeCell ref="C21:C22"/>
    <mergeCell ref="D21:D22"/>
    <mergeCell ref="C41:C42"/>
    <mergeCell ref="D41:D42"/>
    <mergeCell ref="C43:C44"/>
    <mergeCell ref="D43:D44"/>
    <mergeCell ref="C45:C46"/>
    <mergeCell ref="D45:D46"/>
    <mergeCell ref="C35:C36"/>
    <mergeCell ref="D35:D36"/>
    <mergeCell ref="C37:C38"/>
    <mergeCell ref="D37:D38"/>
    <mergeCell ref="C39:C40"/>
    <mergeCell ref="D39:D40"/>
    <mergeCell ref="C53:C54"/>
    <mergeCell ref="D53:D54"/>
    <mergeCell ref="C55:C56"/>
    <mergeCell ref="D55:D56"/>
    <mergeCell ref="C57:C58"/>
    <mergeCell ref="D57:D58"/>
    <mergeCell ref="C47:C48"/>
    <mergeCell ref="D47:D48"/>
    <mergeCell ref="C49:C50"/>
    <mergeCell ref="D49:D50"/>
    <mergeCell ref="C51:C52"/>
    <mergeCell ref="D51:D52"/>
    <mergeCell ref="C65:C66"/>
    <mergeCell ref="D65:D66"/>
    <mergeCell ref="C67:C70"/>
    <mergeCell ref="D67:D70"/>
    <mergeCell ref="C71:C73"/>
    <mergeCell ref="D71:D73"/>
    <mergeCell ref="C59:C60"/>
    <mergeCell ref="D59:D60"/>
    <mergeCell ref="C61:C62"/>
    <mergeCell ref="D61:D62"/>
    <mergeCell ref="C63:C64"/>
    <mergeCell ref="D63:D64"/>
    <mergeCell ref="C87:C88"/>
    <mergeCell ref="D87:D88"/>
    <mergeCell ref="C90:C91"/>
    <mergeCell ref="D90:D91"/>
    <mergeCell ref="C92:C94"/>
    <mergeCell ref="D92:D94"/>
    <mergeCell ref="C74:C75"/>
    <mergeCell ref="D74:D75"/>
    <mergeCell ref="C82:C86"/>
    <mergeCell ref="D82:D86"/>
    <mergeCell ref="C101:C102"/>
    <mergeCell ref="D101:D102"/>
    <mergeCell ref="C103:C104"/>
    <mergeCell ref="D103:D104"/>
    <mergeCell ref="C105:C106"/>
    <mergeCell ref="D105:D106"/>
    <mergeCell ref="C95:C96"/>
    <mergeCell ref="D95:D96"/>
    <mergeCell ref="C97:C98"/>
    <mergeCell ref="D97:D98"/>
    <mergeCell ref="C99:C100"/>
    <mergeCell ref="D99:D100"/>
    <mergeCell ref="D146:D151"/>
    <mergeCell ref="C119:C120"/>
    <mergeCell ref="D119:D120"/>
    <mergeCell ref="C121:C124"/>
    <mergeCell ref="D121:D124"/>
    <mergeCell ref="C125:C130"/>
    <mergeCell ref="D125:D130"/>
    <mergeCell ref="C107:C110"/>
    <mergeCell ref="D107:D110"/>
    <mergeCell ref="C111:C114"/>
    <mergeCell ref="D111:D114"/>
    <mergeCell ref="C115:C118"/>
    <mergeCell ref="D115:D118"/>
    <mergeCell ref="N3:Q6"/>
    <mergeCell ref="N7:Q39"/>
    <mergeCell ref="N40:Q47"/>
    <mergeCell ref="N48:Q119"/>
    <mergeCell ref="N120:Q127"/>
    <mergeCell ref="N128:Q202"/>
    <mergeCell ref="N203:Q210"/>
    <mergeCell ref="C167:C184"/>
    <mergeCell ref="D167:D184"/>
    <mergeCell ref="C185:C190"/>
    <mergeCell ref="D185:D190"/>
    <mergeCell ref="C192:C202"/>
    <mergeCell ref="D192:D202"/>
    <mergeCell ref="C152:C156"/>
    <mergeCell ref="D152:D156"/>
    <mergeCell ref="C157:C158"/>
    <mergeCell ref="D157:D158"/>
    <mergeCell ref="C159:C166"/>
    <mergeCell ref="D159:D166"/>
    <mergeCell ref="C131:C137"/>
    <mergeCell ref="D131:D137"/>
    <mergeCell ref="C138:C145"/>
    <mergeCell ref="D138:D145"/>
    <mergeCell ref="C146:C151"/>
  </mergeCells>
  <conditionalFormatting sqref="B3:L9000">
    <cfRule type="expression" dxfId="11" priority="5">
      <formula>OR(INDEX($L:$L,ROW())="NCR",INDEX($L:$L,ROW())="NR",INDEX($L:$L,ROW())="AS")</formula>
    </cfRule>
  </conditionalFormatting>
  <conditionalFormatting sqref="B3:L9000">
    <cfRule type="expression" dxfId="10" priority="4">
      <formula>OR(INDEX($L:$L,ROW())="AC",INDEX($L:$L,ROW())="AN",INDEX($L:$L,ROW())="RC",INDEX($L:$L,ROW())="RA")</formula>
    </cfRule>
  </conditionalFormatting>
  <conditionalFormatting sqref="B3:L9000">
    <cfRule type="expression" dxfId="9" priority="3">
      <formula>OR(INDEX($L:$L,ROW())="Submitted",INDEX($L:$L,ROW())="REV")</formula>
    </cfRule>
  </conditionalFormatting>
  <conditionalFormatting sqref="B3:L9000">
    <cfRule type="expression" dxfId="8" priority="2">
      <formula>NOT(OR(INDEX($L:$L,ROW())="NCR",INDEX($L:$L,ROW())="NR",INDEX($L:$L,ROW())="AS",INDEX($L:$L,ROW())="AC",INDEX($L:$L,ROW())="AN",INDEX($L:$L,ROW())="RC",INDEX($L:$L,ROW())="RA",INDEX($L:$L,ROW())="Submitted",INDEX($L:$L,ROW())="REV"))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Q296"/>
  <sheetViews>
    <sheetView zoomScale="115" zoomScaleNormal="115" workbookViewId="0">
      <pane ySplit="2" topLeftCell="A3" activePane="bottomLeft" state="frozen"/>
      <selection pane="bottomLeft" activeCell="A3" sqref="A3"/>
    </sheetView>
  </sheetViews>
  <sheetFormatPr defaultRowHeight="15"/>
  <cols>
    <col min="1" max="1" width="12" customWidth="1"/>
    <col min="2" max="2" width="11" bestFit="1" customWidth="1"/>
    <col min="3" max="3" width="12.85546875" customWidth="1"/>
    <col min="4" max="5" width="46.5703125" customWidth="1"/>
    <col min="8" max="8" width="66" bestFit="1" customWidth="1"/>
    <col min="9" max="10" width="10.42578125" bestFit="1" customWidth="1"/>
    <col min="11" max="11" width="13.85546875" customWidth="1"/>
    <col min="13" max="13" width="2.140625" customWidth="1"/>
    <col min="18" max="18" width="1.5703125" customWidth="1"/>
  </cols>
  <sheetData>
    <row r="1" spans="1:17" ht="32.450000000000003" customHeight="1">
      <c r="B1" s="805" t="s">
        <v>2573</v>
      </c>
      <c r="C1" s="806"/>
      <c r="D1" s="806"/>
      <c r="E1" s="806"/>
      <c r="F1" s="806"/>
      <c r="G1" s="806"/>
      <c r="H1" s="806"/>
      <c r="M1" s="317"/>
      <c r="N1" s="314"/>
      <c r="O1" s="315"/>
      <c r="P1" s="315"/>
      <c r="Q1" s="316"/>
    </row>
    <row r="2" spans="1:17" s="296" customFormat="1" ht="40.5">
      <c r="A2" s="282" t="s">
        <v>284</v>
      </c>
      <c r="B2" s="282" t="s">
        <v>113</v>
      </c>
      <c r="C2" s="283" t="s">
        <v>114</v>
      </c>
      <c r="D2" s="283" t="s">
        <v>115</v>
      </c>
      <c r="E2" s="283" t="s">
        <v>116</v>
      </c>
      <c r="F2" s="283" t="s">
        <v>117</v>
      </c>
      <c r="G2" s="283" t="s">
        <v>118</v>
      </c>
      <c r="H2" s="283" t="s">
        <v>119</v>
      </c>
      <c r="I2" s="290" t="s">
        <v>120</v>
      </c>
      <c r="J2" s="290" t="s">
        <v>121</v>
      </c>
      <c r="K2" s="290" t="s">
        <v>122</v>
      </c>
      <c r="L2" s="291" t="s">
        <v>123</v>
      </c>
      <c r="M2" s="319"/>
      <c r="N2" s="311" t="s">
        <v>124</v>
      </c>
      <c r="O2" s="293" t="s">
        <v>125</v>
      </c>
      <c r="P2" s="294" t="s">
        <v>126</v>
      </c>
      <c r="Q2" s="295" t="s">
        <v>127</v>
      </c>
    </row>
    <row r="3" spans="1:17" s="728" customFormat="1" ht="15" customHeight="1">
      <c r="B3" s="722" t="s">
        <v>30</v>
      </c>
      <c r="C3" s="723">
        <v>1450</v>
      </c>
      <c r="D3" s="723" t="s">
        <v>2574</v>
      </c>
      <c r="E3" s="723" t="s">
        <v>2575</v>
      </c>
      <c r="F3" s="723" t="s">
        <v>795</v>
      </c>
      <c r="G3" s="723">
        <v>1.0900000000000001</v>
      </c>
      <c r="H3" s="724" t="s">
        <v>2576</v>
      </c>
      <c r="I3" s="725">
        <v>45847</v>
      </c>
      <c r="J3" s="725">
        <v>45869</v>
      </c>
      <c r="K3" s="750" t="str" cm="1">
        <f t="array" ref="K3">IF(ISBLANK(J3), IF(ISBLANK(I3), "N/A", _xlfn.IFS(L3="AS", I3+15, L3="NCR", I3+30, L3="submitted", I3+30, TRUE, "N/A")), _xlfn.IFS(L3="AS", J3+15, L3="NCR", J3+30, L3="submitted", J3+30, TRUE, "N/A"))</f>
        <v>N/A</v>
      </c>
      <c r="L3" s="726" t="s">
        <v>147</v>
      </c>
      <c r="M3" s="317"/>
      <c r="N3" s="796" t="s">
        <v>133</v>
      </c>
      <c r="O3" s="797"/>
      <c r="P3" s="797"/>
      <c r="Q3" s="798"/>
    </row>
    <row r="4" spans="1:17" s="728" customFormat="1" ht="15" customHeight="1">
      <c r="B4" s="722" t="s">
        <v>106</v>
      </c>
      <c r="C4" s="723">
        <v>1450</v>
      </c>
      <c r="D4" s="723" t="s">
        <v>2574</v>
      </c>
      <c r="E4" s="723" t="s">
        <v>2577</v>
      </c>
      <c r="F4" s="723" t="s">
        <v>795</v>
      </c>
      <c r="G4" s="723">
        <v>1.0900000000000001</v>
      </c>
      <c r="H4" s="724" t="s">
        <v>2578</v>
      </c>
      <c r="I4" s="725">
        <v>45898</v>
      </c>
      <c r="J4" s="725">
        <v>45917</v>
      </c>
      <c r="K4" s="750" t="str" cm="1">
        <f t="array" ref="K4">IF(ISBLANK(J4), IF(ISBLANK(I4), "N/A", _xlfn.IFS(L4="AS", I4+15, L4="NCR", I4+30, L4="submitted", I4+30, TRUE, "N/A")), _xlfn.IFS(L4="AS", J4+15, L4="NCR", J4+30, L4="submitted", J4+30, TRUE, "N/A"))</f>
        <v>N/A</v>
      </c>
      <c r="L4" s="726" t="s">
        <v>147</v>
      </c>
      <c r="M4" s="317"/>
      <c r="N4" s="799"/>
      <c r="O4" s="800"/>
      <c r="P4" s="800"/>
      <c r="Q4" s="801"/>
    </row>
    <row r="5" spans="1:17" s="728" customFormat="1" ht="15" customHeight="1">
      <c r="B5" s="722" t="s">
        <v>2579</v>
      </c>
      <c r="C5" s="723">
        <v>1450</v>
      </c>
      <c r="D5" s="723" t="s">
        <v>2574</v>
      </c>
      <c r="E5" s="723" t="s">
        <v>2580</v>
      </c>
      <c r="F5" s="723" t="s">
        <v>795</v>
      </c>
      <c r="G5" s="723">
        <v>1.0900000000000001</v>
      </c>
      <c r="H5" s="724" t="s">
        <v>2581</v>
      </c>
      <c r="I5" s="725">
        <v>45924</v>
      </c>
      <c r="J5" s="725">
        <v>45925</v>
      </c>
      <c r="K5" s="750" t="str" cm="1">
        <f t="array" ref="K5">IF(ISBLANK(J5), IF(ISBLANK(I5), "N/A", _xlfn.IFS(L5="AS", I5+15, L5="NCR", I5+30, L5="submitted", I5+30, TRUE, "N/A")), _xlfn.IFS(L5="AS", J5+15, L5="NCR", J5+30, L5="submitted", J5+30, TRUE, "N/A"))</f>
        <v>N/A</v>
      </c>
      <c r="L5" s="726" t="s">
        <v>147</v>
      </c>
      <c r="M5" s="317"/>
      <c r="N5" s="799"/>
      <c r="O5" s="800"/>
      <c r="P5" s="800"/>
      <c r="Q5" s="801"/>
    </row>
    <row r="6" spans="1:17" s="709" customFormat="1" ht="15" customHeight="1">
      <c r="B6" s="704" t="s">
        <v>2582</v>
      </c>
      <c r="C6" s="705">
        <v>1450</v>
      </c>
      <c r="D6" s="705" t="s">
        <v>2574</v>
      </c>
      <c r="E6" s="705" t="s">
        <v>2580</v>
      </c>
      <c r="F6" s="705" t="s">
        <v>795</v>
      </c>
      <c r="G6" s="705">
        <v>1.0900000000000001</v>
      </c>
      <c r="H6" s="706" t="s">
        <v>2581</v>
      </c>
      <c r="I6" s="707">
        <v>45925</v>
      </c>
      <c r="J6" s="707"/>
      <c r="K6" s="750" cm="1">
        <f t="array" ref="K6">IF(ISBLANK(J6), IF(ISBLANK(I6), "N/A", _xlfn.IFS(L6="AS", I6+15, L6="NCR", I6+30, L6="submitted", I6+30, TRUE, "N/A")), _xlfn.IFS(L6="AS", J6+15, L6="NCR", J6+30, L6="submitted", J6+30, TRUE, "N/A"))</f>
        <v>45955</v>
      </c>
      <c r="L6" s="708" t="s">
        <v>581</v>
      </c>
      <c r="M6" s="317"/>
      <c r="N6" s="799"/>
      <c r="O6" s="800"/>
      <c r="P6" s="800"/>
      <c r="Q6" s="801"/>
    </row>
    <row r="7" spans="1:17" s="715" customFormat="1" ht="34.5" customHeight="1">
      <c r="B7" s="67"/>
      <c r="C7" s="710" t="s">
        <v>2583</v>
      </c>
      <c r="D7" s="711" t="s">
        <v>2584</v>
      </c>
      <c r="E7" s="711"/>
      <c r="F7" s="72"/>
      <c r="G7" s="67" t="s">
        <v>212</v>
      </c>
      <c r="H7" s="712" t="s">
        <v>2585</v>
      </c>
      <c r="I7" s="713"/>
      <c r="J7" s="713"/>
      <c r="K7" s="750" t="str" cm="1">
        <f t="array" ref="K7">IF(ISBLANK(J7), IF(ISBLANK(I7), "N/A", _xlfn.IFS(L7="AS", I7+15, L7="NCR", I7+30, L7="submitted", I7+30, TRUE, "N/A")), _xlfn.IFS(L7="AS", J7+15, L7="NCR", J7+30, L7="submitted", J7+30, TRUE, "N/A"))</f>
        <v>N/A</v>
      </c>
      <c r="L7" s="714"/>
      <c r="M7" s="317"/>
      <c r="N7" s="802" t="s">
        <v>148</v>
      </c>
      <c r="O7" s="803"/>
      <c r="P7" s="803"/>
      <c r="Q7" s="804"/>
    </row>
    <row r="8" spans="1:17" s="715" customFormat="1" ht="42.75" customHeight="1">
      <c r="B8" s="716"/>
      <c r="C8" s="710" t="s">
        <v>2583</v>
      </c>
      <c r="D8" s="717" t="s">
        <v>2584</v>
      </c>
      <c r="E8" s="717"/>
      <c r="F8" s="718"/>
      <c r="G8" s="716" t="s">
        <v>336</v>
      </c>
      <c r="H8" s="719" t="s">
        <v>2586</v>
      </c>
      <c r="I8" s="720"/>
      <c r="J8" s="720"/>
      <c r="K8" s="750" t="str" cm="1">
        <f t="array" ref="K8">IF(ISBLANK(J8), IF(ISBLANK(I8), "N/A", _xlfn.IFS(L8="AS", I8+15, L8="NCR", I8+30, L8="submitted", I8+30, TRUE, "N/A")), _xlfn.IFS(L8="AS", J8+15, L8="NCR", J8+30, L8="submitted", J8+30, TRUE, "N/A"))</f>
        <v>N/A</v>
      </c>
      <c r="L8" s="714"/>
      <c r="M8" s="317"/>
      <c r="N8" s="802"/>
      <c r="O8" s="803"/>
      <c r="P8" s="803"/>
      <c r="Q8" s="804"/>
    </row>
    <row r="9" spans="1:17" s="715" customFormat="1" ht="33.75" customHeight="1">
      <c r="B9" s="716"/>
      <c r="C9" s="710" t="s">
        <v>2583</v>
      </c>
      <c r="D9" s="717" t="s">
        <v>2584</v>
      </c>
      <c r="E9" s="717"/>
      <c r="F9" s="718"/>
      <c r="G9" s="716" t="s">
        <v>337</v>
      </c>
      <c r="H9" s="719" t="s">
        <v>2587</v>
      </c>
      <c r="I9" s="720"/>
      <c r="J9" s="720"/>
      <c r="K9" s="750" t="str" cm="1">
        <f t="array" ref="K9">IF(ISBLANK(J9), IF(ISBLANK(I9), "N/A", _xlfn.IFS(L9="AS", I9+15, L9="NCR", I9+30, L9="submitted", I9+30, TRUE, "N/A")), _xlfn.IFS(L9="AS", J9+15, L9="NCR", J9+30, L9="submitted", J9+30, TRUE, "N/A"))</f>
        <v>N/A</v>
      </c>
      <c r="L9" s="714"/>
      <c r="M9" s="317"/>
      <c r="N9" s="802"/>
      <c r="O9" s="803"/>
      <c r="P9" s="803"/>
      <c r="Q9" s="804"/>
    </row>
    <row r="10" spans="1:17" s="715" customFormat="1" ht="24.75" customHeight="1">
      <c r="B10" s="716"/>
      <c r="C10" s="710" t="s">
        <v>2583</v>
      </c>
      <c r="D10" s="717" t="s">
        <v>2584</v>
      </c>
      <c r="E10" s="717"/>
      <c r="F10" s="718"/>
      <c r="G10" s="716" t="s">
        <v>404</v>
      </c>
      <c r="H10" s="721" t="s">
        <v>2588</v>
      </c>
      <c r="I10" s="720"/>
      <c r="J10" s="720"/>
      <c r="K10" s="750" t="str" cm="1">
        <f t="array" ref="K10">IF(ISBLANK(J10), IF(ISBLANK(I10), "N/A", _xlfn.IFS(L10="AS", I10+15, L10="NCR", I10+30, L10="submitted", I10+30, TRUE, "N/A")), _xlfn.IFS(L10="AS", J10+15, L10="NCR", J10+30, L10="submitted", J10+30, TRUE, "N/A"))</f>
        <v>N/A</v>
      </c>
      <c r="L10" s="714"/>
      <c r="M10" s="317"/>
      <c r="N10" s="802"/>
      <c r="O10" s="803"/>
      <c r="P10" s="803"/>
      <c r="Q10" s="804"/>
    </row>
    <row r="11" spans="1:17" s="5" customFormat="1" ht="27" customHeight="1">
      <c r="B11" s="4"/>
      <c r="C11" s="15" t="s">
        <v>2589</v>
      </c>
      <c r="D11" s="17" t="s">
        <v>2590</v>
      </c>
      <c r="E11" s="17"/>
      <c r="F11" s="17"/>
      <c r="G11" s="4" t="s">
        <v>758</v>
      </c>
      <c r="H11" s="160" t="s">
        <v>2591</v>
      </c>
      <c r="I11" s="252"/>
      <c r="J11" s="252"/>
      <c r="K11" s="750" t="str" cm="1">
        <f t="array" ref="K11">IF(ISBLANK(J11), IF(ISBLANK(I11), "N/A", _xlfn.IFS(L11="AS", I11+15, L11="NCR", I11+30, L11="submitted", I11+30, TRUE, "N/A")), _xlfn.IFS(L11="AS", J11+15, L11="NCR", J11+30, L11="submitted", J11+30, TRUE, "N/A"))</f>
        <v>N/A</v>
      </c>
      <c r="L11"/>
      <c r="M11" s="317"/>
      <c r="N11" s="802"/>
      <c r="O11" s="803"/>
      <c r="P11" s="803"/>
      <c r="Q11" s="804"/>
    </row>
    <row r="12" spans="1:17" s="5" customFormat="1" ht="27" customHeight="1">
      <c r="B12" s="4"/>
      <c r="C12" s="15" t="s">
        <v>2589</v>
      </c>
      <c r="D12" s="17"/>
      <c r="E12" s="17"/>
      <c r="F12" s="17"/>
      <c r="G12" s="4" t="s">
        <v>483</v>
      </c>
      <c r="H12" s="160" t="s">
        <v>2592</v>
      </c>
      <c r="I12" s="252"/>
      <c r="J12" s="252"/>
      <c r="K12" s="750" t="str" cm="1">
        <f t="array" ref="K12">IF(ISBLANK(J12), IF(ISBLANK(I12), "N/A", _xlfn.IFS(L12="AS", I12+15, L12="NCR", I12+30, L12="submitted", I12+30, TRUE, "N/A")), _xlfn.IFS(L12="AS", J12+15, L12="NCR", J12+30, L12="submitted", J12+30, TRUE, "N/A"))</f>
        <v>N/A</v>
      </c>
      <c r="L12"/>
      <c r="M12" s="318"/>
      <c r="N12" s="802"/>
      <c r="O12" s="803"/>
      <c r="P12" s="803"/>
      <c r="Q12" s="804"/>
    </row>
    <row r="13" spans="1:17" s="266" customFormat="1" ht="15" customHeight="1">
      <c r="B13" s="559" t="s">
        <v>108</v>
      </c>
      <c r="C13" s="560">
        <v>1460</v>
      </c>
      <c r="D13" s="264" t="s">
        <v>2593</v>
      </c>
      <c r="E13" s="264"/>
      <c r="F13" s="264" t="s">
        <v>2594</v>
      </c>
      <c r="G13" s="262"/>
      <c r="H13" s="561" t="s">
        <v>2595</v>
      </c>
      <c r="I13" s="562">
        <v>45796</v>
      </c>
      <c r="J13" s="562">
        <v>45903</v>
      </c>
      <c r="K13" s="750" cm="1">
        <f t="array" ref="K13">IF(ISBLANK(J13), IF(ISBLANK(I13), "N/A", _xlfn.IFS(L13="AS", I13+15, L13="NCR", I13+30, L13="submitted", I13+30, TRUE, "N/A")), _xlfn.IFS(L13="AS", J13+15, L13="NCR", J13+30, L13="submitted", J13+30, TRUE, "N/A"))</f>
        <v>45933</v>
      </c>
      <c r="L13" s="382" t="s">
        <v>157</v>
      </c>
      <c r="M13" s="317"/>
      <c r="N13" s="802"/>
      <c r="O13" s="803"/>
      <c r="P13" s="803"/>
      <c r="Q13" s="804"/>
    </row>
    <row r="14" spans="1:17" s="138" customFormat="1" ht="15" customHeight="1">
      <c r="B14" s="297" t="s">
        <v>2596</v>
      </c>
      <c r="C14" s="172" t="s">
        <v>2597</v>
      </c>
      <c r="D14" s="152" t="s">
        <v>2598</v>
      </c>
      <c r="E14" s="152"/>
      <c r="F14" s="152" t="s">
        <v>201</v>
      </c>
      <c r="G14" s="151" t="s">
        <v>131</v>
      </c>
      <c r="H14" s="162" t="s">
        <v>2599</v>
      </c>
      <c r="I14" s="253">
        <v>45754</v>
      </c>
      <c r="J14" s="253">
        <v>45769</v>
      </c>
      <c r="K14" s="750" t="str" cm="1">
        <f t="array" ref="K14">IF(ISBLANK(J14), IF(ISBLANK(I14), "N/A", _xlfn.IFS(L14="AS", I14+15, L14="NCR", I14+30, L14="submitted", I14+30, TRUE, "N/A")), _xlfn.IFS(L14="AS", J14+15, L14="NCR", J14+30, L14="submitted", J14+30, TRUE, "N/A"))</f>
        <v>N/A</v>
      </c>
      <c r="L14" s="151" t="s">
        <v>1387</v>
      </c>
      <c r="M14" s="317"/>
      <c r="N14" s="802"/>
      <c r="O14" s="803"/>
      <c r="P14" s="803"/>
      <c r="Q14" s="804"/>
    </row>
    <row r="15" spans="1:17" s="138" customFormat="1" ht="15" customHeight="1">
      <c r="B15" s="298"/>
      <c r="C15" s="172" t="s">
        <v>2597</v>
      </c>
      <c r="D15" s="152"/>
      <c r="E15" s="152"/>
      <c r="F15" s="152"/>
      <c r="G15" s="151" t="s">
        <v>134</v>
      </c>
      <c r="H15" s="162" t="s">
        <v>2600</v>
      </c>
      <c r="I15" s="253">
        <v>45754</v>
      </c>
      <c r="J15" s="253">
        <v>45769</v>
      </c>
      <c r="K15" s="750" t="str" cm="1">
        <f t="array" ref="K15">IF(ISBLANK(J15), IF(ISBLANK(I15), "N/A", _xlfn.IFS(L15="AS", I15+15, L15="NCR", I15+30, L15="submitted", I15+30, TRUE, "N/A")), _xlfn.IFS(L15="AS", J15+15, L15="NCR", J15+30, L15="submitted", J15+30, TRUE, "N/A"))</f>
        <v>N/A</v>
      </c>
      <c r="L15" s="139"/>
      <c r="M15" s="317"/>
      <c r="N15" s="802"/>
      <c r="O15" s="803"/>
      <c r="P15" s="803"/>
      <c r="Q15" s="804"/>
    </row>
    <row r="16" spans="1:17" s="138" customFormat="1" ht="15" customHeight="1">
      <c r="B16" s="298"/>
      <c r="C16" s="172" t="s">
        <v>2597</v>
      </c>
      <c r="D16" s="152"/>
      <c r="E16" s="152"/>
      <c r="F16" s="152"/>
      <c r="G16" s="151" t="s">
        <v>136</v>
      </c>
      <c r="H16" s="162" t="s">
        <v>2601</v>
      </c>
      <c r="I16" s="253">
        <v>45754</v>
      </c>
      <c r="J16" s="253">
        <v>45769</v>
      </c>
      <c r="K16" s="750" t="str" cm="1">
        <f t="array" ref="K16">IF(ISBLANK(J16), IF(ISBLANK(I16), "N/A", _xlfn.IFS(L16="AS", I16+15, L16="NCR", I16+30, L16="submitted", I16+30, TRUE, "N/A")), _xlfn.IFS(L16="AS", J16+15, L16="NCR", J16+30, L16="submitted", J16+30, TRUE, "N/A"))</f>
        <v>N/A</v>
      </c>
      <c r="L16" s="139"/>
      <c r="M16" s="317"/>
      <c r="N16" s="802"/>
      <c r="O16" s="803"/>
      <c r="P16" s="803"/>
      <c r="Q16" s="804"/>
    </row>
    <row r="17" spans="2:17" s="138" customFormat="1" ht="15" customHeight="1">
      <c r="B17" s="133"/>
      <c r="C17" s="172" t="s">
        <v>2597</v>
      </c>
      <c r="D17" s="152"/>
      <c r="E17" s="152"/>
      <c r="F17" s="152"/>
      <c r="G17" s="151" t="s">
        <v>138</v>
      </c>
      <c r="H17" s="162" t="s">
        <v>2602</v>
      </c>
      <c r="I17" s="253">
        <v>45754</v>
      </c>
      <c r="J17" s="253">
        <v>45769</v>
      </c>
      <c r="K17" s="750" t="str" cm="1">
        <f t="array" ref="K17">IF(ISBLANK(J17), IF(ISBLANK(I17), "N/A", _xlfn.IFS(L17="AS", I17+15, L17="NCR", I17+30, L17="submitted", I17+30, TRUE, "N/A")), _xlfn.IFS(L17="AS", J17+15, L17="NCR", J17+30, L17="submitted", J17+30, TRUE, "N/A"))</f>
        <v>N/A</v>
      </c>
      <c r="L17" s="139"/>
      <c r="M17" s="317"/>
      <c r="N17" s="802"/>
      <c r="O17" s="803"/>
      <c r="P17" s="803"/>
      <c r="Q17" s="804"/>
    </row>
    <row r="18" spans="2:17" s="138" customFormat="1" ht="15" customHeight="1">
      <c r="B18" s="297" t="s">
        <v>2603</v>
      </c>
      <c r="C18" s="172" t="s">
        <v>2597</v>
      </c>
      <c r="D18" s="152" t="s">
        <v>2598</v>
      </c>
      <c r="E18" s="152"/>
      <c r="F18" s="152" t="s">
        <v>201</v>
      </c>
      <c r="G18" s="151" t="s">
        <v>131</v>
      </c>
      <c r="H18" s="162" t="s">
        <v>2599</v>
      </c>
      <c r="I18" s="253">
        <v>45771</v>
      </c>
      <c r="J18" s="253">
        <v>45786</v>
      </c>
      <c r="K18" s="750" t="str" cm="1">
        <f t="array" ref="K18">IF(ISBLANK(J18), IF(ISBLANK(I18), "N/A", _xlfn.IFS(L18="AS", I18+15, L18="NCR", I18+30, L18="submitted", I18+30, TRUE, "N/A")), _xlfn.IFS(L18="AS", J18+15, L18="NCR", J18+30, L18="submitted", J18+30, TRUE, "N/A"))</f>
        <v>N/A</v>
      </c>
      <c r="L18" s="151" t="s">
        <v>1387</v>
      </c>
      <c r="M18" s="317"/>
      <c r="N18" s="802"/>
      <c r="O18" s="803"/>
      <c r="P18" s="803"/>
      <c r="Q18" s="804"/>
    </row>
    <row r="19" spans="2:17" s="138" customFormat="1" ht="15" customHeight="1">
      <c r="B19" s="298"/>
      <c r="C19" s="172" t="s">
        <v>2597</v>
      </c>
      <c r="D19" s="152"/>
      <c r="E19" s="152"/>
      <c r="F19" s="152"/>
      <c r="G19" s="151" t="s">
        <v>134</v>
      </c>
      <c r="H19" s="162" t="s">
        <v>2600</v>
      </c>
      <c r="I19" s="253">
        <v>45771</v>
      </c>
      <c r="J19" s="253">
        <v>45786</v>
      </c>
      <c r="K19" s="750" t="str" cm="1">
        <f t="array" ref="K19">IF(ISBLANK(J19), IF(ISBLANK(I19), "N/A", _xlfn.IFS(L19="AS", I19+15, L19="NCR", I19+30, L19="submitted", I19+30, TRUE, "N/A")), _xlfn.IFS(L19="AS", J19+15, L19="NCR", J19+30, L19="submitted", J19+30, TRUE, "N/A"))</f>
        <v>N/A</v>
      </c>
      <c r="L19" s="139"/>
      <c r="M19" s="317"/>
      <c r="N19" s="802"/>
      <c r="O19" s="803"/>
      <c r="P19" s="803"/>
      <c r="Q19" s="804"/>
    </row>
    <row r="20" spans="2:17" s="138" customFormat="1" ht="15" customHeight="1">
      <c r="B20" s="298"/>
      <c r="C20" s="172" t="s">
        <v>2597</v>
      </c>
      <c r="D20" s="152"/>
      <c r="E20" s="152"/>
      <c r="F20" s="152"/>
      <c r="G20" s="151" t="s">
        <v>136</v>
      </c>
      <c r="H20" s="162" t="s">
        <v>2601</v>
      </c>
      <c r="I20" s="253">
        <v>45771</v>
      </c>
      <c r="J20" s="253">
        <v>45786</v>
      </c>
      <c r="K20" s="750" t="str" cm="1">
        <f t="array" ref="K20">IF(ISBLANK(J20), IF(ISBLANK(I20), "N/A", _xlfn.IFS(L20="AS", I20+15, L20="NCR", I20+30, L20="submitted", I20+30, TRUE, "N/A")), _xlfn.IFS(L20="AS", J20+15, L20="NCR", J20+30, L20="submitted", J20+30, TRUE, "N/A"))</f>
        <v>N/A</v>
      </c>
      <c r="L20" s="139"/>
      <c r="M20" s="317"/>
      <c r="N20" s="802"/>
      <c r="O20" s="803"/>
      <c r="P20" s="803"/>
      <c r="Q20" s="804"/>
    </row>
    <row r="21" spans="2:17" s="138" customFormat="1" ht="15" customHeight="1">
      <c r="B21" s="133"/>
      <c r="C21" s="172" t="s">
        <v>2597</v>
      </c>
      <c r="D21" s="152"/>
      <c r="E21" s="152"/>
      <c r="F21" s="152"/>
      <c r="G21" s="151" t="s">
        <v>138</v>
      </c>
      <c r="H21" s="162" t="s">
        <v>2602</v>
      </c>
      <c r="I21" s="253">
        <v>45771</v>
      </c>
      <c r="J21" s="253">
        <v>45786</v>
      </c>
      <c r="K21" s="750" t="str" cm="1">
        <f t="array" ref="K21">IF(ISBLANK(J21), IF(ISBLANK(I21), "N/A", _xlfn.IFS(L21="AS", I21+15, L21="NCR", I21+30, L21="submitted", I21+30, TRUE, "N/A")), _xlfn.IFS(L21="AS", J21+15, L21="NCR", J21+30, L21="submitted", J21+30, TRUE, "N/A"))</f>
        <v>N/A</v>
      </c>
      <c r="L21" s="139"/>
      <c r="M21" s="317"/>
      <c r="N21" s="802"/>
      <c r="O21" s="803"/>
      <c r="P21" s="803"/>
      <c r="Q21" s="804"/>
    </row>
    <row r="22" spans="2:17" s="138" customFormat="1" ht="15" customHeight="1">
      <c r="B22" s="297" t="s">
        <v>2604</v>
      </c>
      <c r="C22" s="172" t="s">
        <v>2597</v>
      </c>
      <c r="D22" s="152" t="s">
        <v>2598</v>
      </c>
      <c r="E22" s="152"/>
      <c r="F22" s="152" t="s">
        <v>201</v>
      </c>
      <c r="G22" s="151" t="s">
        <v>131</v>
      </c>
      <c r="H22" s="162" t="s">
        <v>2599</v>
      </c>
      <c r="I22" s="253">
        <v>45786</v>
      </c>
      <c r="J22" s="253" t="s">
        <v>2605</v>
      </c>
      <c r="K22" s="750" t="str" cm="1">
        <f t="array" ref="K22">IF(ISBLANK(J22), IF(ISBLANK(I22), "N/A", _xlfn.IFS(L22="AS", I22+15, L22="NCR", I22+30, L22="submitted", I22+30, TRUE, "N/A")), _xlfn.IFS(L22="AS", J22+15, L22="NCR", J22+30, L22="submitted", J22+30, TRUE, "N/A"))</f>
        <v>N/A</v>
      </c>
      <c r="L22" s="151" t="s">
        <v>1387</v>
      </c>
      <c r="M22" s="317"/>
      <c r="N22" s="802"/>
      <c r="O22" s="803"/>
      <c r="P22" s="803"/>
      <c r="Q22" s="804"/>
    </row>
    <row r="23" spans="2:17" s="138" customFormat="1" ht="15" customHeight="1">
      <c r="B23" s="298"/>
      <c r="C23" s="172" t="s">
        <v>2597</v>
      </c>
      <c r="D23" s="152"/>
      <c r="E23" s="152"/>
      <c r="F23" s="152"/>
      <c r="G23" s="151" t="s">
        <v>134</v>
      </c>
      <c r="H23" s="162" t="s">
        <v>2600</v>
      </c>
      <c r="I23" s="253">
        <v>45786</v>
      </c>
      <c r="J23" s="253" t="s">
        <v>2605</v>
      </c>
      <c r="K23" s="750" t="str" cm="1">
        <f t="array" ref="K23">IF(ISBLANK(J23), IF(ISBLANK(I23), "N/A", _xlfn.IFS(L23="AS", I23+15, L23="NCR", I23+30, L23="submitted", I23+30, TRUE, "N/A")), _xlfn.IFS(L23="AS", J23+15, L23="NCR", J23+30, L23="submitted", J23+30, TRUE, "N/A"))</f>
        <v>N/A</v>
      </c>
      <c r="L23" s="139"/>
      <c r="M23" s="317"/>
      <c r="N23" s="802"/>
      <c r="O23" s="803"/>
      <c r="P23" s="803"/>
      <c r="Q23" s="804"/>
    </row>
    <row r="24" spans="2:17" s="138" customFormat="1" ht="15" customHeight="1">
      <c r="B24" s="298"/>
      <c r="C24" s="172" t="s">
        <v>2597</v>
      </c>
      <c r="D24" s="152"/>
      <c r="E24" s="152"/>
      <c r="F24" s="152"/>
      <c r="G24" s="151" t="s">
        <v>136</v>
      </c>
      <c r="H24" s="162" t="s">
        <v>2601</v>
      </c>
      <c r="I24" s="253">
        <v>45786</v>
      </c>
      <c r="J24" s="253" t="s">
        <v>2605</v>
      </c>
      <c r="K24" s="750" t="str" cm="1">
        <f t="array" ref="K24">IF(ISBLANK(J24), IF(ISBLANK(I24), "N/A", _xlfn.IFS(L24="AS", I24+15, L24="NCR", I24+30, L24="submitted", I24+30, TRUE, "N/A")), _xlfn.IFS(L24="AS", J24+15, L24="NCR", J24+30, L24="submitted", J24+30, TRUE, "N/A"))</f>
        <v>N/A</v>
      </c>
      <c r="L24" s="139"/>
      <c r="M24" s="317"/>
      <c r="N24" s="802"/>
      <c r="O24" s="803"/>
      <c r="P24" s="803"/>
      <c r="Q24" s="804"/>
    </row>
    <row r="25" spans="2:17" s="138" customFormat="1" ht="15" customHeight="1">
      <c r="B25" s="133"/>
      <c r="C25" s="172" t="s">
        <v>2597</v>
      </c>
      <c r="D25" s="168"/>
      <c r="E25" s="168"/>
      <c r="F25" s="152"/>
      <c r="G25" s="151" t="s">
        <v>138</v>
      </c>
      <c r="H25" s="162" t="s">
        <v>2602</v>
      </c>
      <c r="I25" s="253">
        <v>45786</v>
      </c>
      <c r="J25" s="253" t="s">
        <v>2605</v>
      </c>
      <c r="K25" s="750" t="str" cm="1">
        <f t="array" ref="K25">IF(ISBLANK(J25), IF(ISBLANK(I25), "N/A", _xlfn.IFS(L25="AS", I25+15, L25="NCR", I25+30, L25="submitted", I25+30, TRUE, "N/A")), _xlfn.IFS(L25="AS", J25+15, L25="NCR", J25+30, L25="submitted", J25+30, TRUE, "N/A"))</f>
        <v>N/A</v>
      </c>
      <c r="L25" s="139"/>
      <c r="M25" s="317"/>
      <c r="N25" s="802"/>
      <c r="O25" s="803"/>
      <c r="P25" s="803"/>
      <c r="Q25" s="804"/>
    </row>
    <row r="26" spans="2:17" ht="15" customHeight="1">
      <c r="B26" s="238"/>
      <c r="C26" s="258" t="s">
        <v>1527</v>
      </c>
      <c r="D26" s="256" t="s">
        <v>1528</v>
      </c>
      <c r="E26" s="124"/>
      <c r="F26" s="257" t="s">
        <v>1541</v>
      </c>
      <c r="G26" s="9" t="s">
        <v>281</v>
      </c>
      <c r="H26" s="161" t="s">
        <v>1529</v>
      </c>
      <c r="I26" s="252"/>
      <c r="J26" s="252"/>
      <c r="K26" s="750" t="str" cm="1">
        <f t="array" ref="K26">IF(ISBLANK(J26), IF(ISBLANK(I26), "N/A", _xlfn.IFS(L26="AS", I26+15, L26="NCR", I26+30, L26="submitted", I26+30, TRUE, "N/A")), _xlfn.IFS(L26="AS", J26+15, L26="NCR", J26+30, L26="submitted", J26+30, TRUE, "N/A"))</f>
        <v>N/A</v>
      </c>
      <c r="M26" s="317"/>
      <c r="N26" s="802"/>
      <c r="O26" s="803"/>
      <c r="P26" s="803"/>
      <c r="Q26" s="804"/>
    </row>
    <row r="27" spans="2:17" ht="15" customHeight="1">
      <c r="B27" s="238"/>
      <c r="C27" s="259" t="s">
        <v>1527</v>
      </c>
      <c r="D27" s="256" t="s">
        <v>1528</v>
      </c>
      <c r="E27" s="124"/>
      <c r="F27" s="257" t="s">
        <v>2606</v>
      </c>
      <c r="G27" s="9" t="s">
        <v>329</v>
      </c>
      <c r="H27" s="161" t="s">
        <v>1530</v>
      </c>
      <c r="I27" s="252"/>
      <c r="J27" s="252"/>
      <c r="K27" s="750" t="str" cm="1">
        <f t="array" ref="K27">IF(ISBLANK(J27), IF(ISBLANK(I27), "N/A", _xlfn.IFS(L27="AS", I27+15, L27="NCR", I27+30, L27="submitted", I27+30, TRUE, "N/A")), _xlfn.IFS(L27="AS", J27+15, L27="NCR", J27+30, L27="submitted", J27+30, TRUE, "N/A"))</f>
        <v>N/A</v>
      </c>
      <c r="M27" s="317"/>
      <c r="N27" s="802"/>
      <c r="O27" s="803"/>
      <c r="P27" s="803"/>
      <c r="Q27" s="804"/>
    </row>
    <row r="28" spans="2:17" s="1" customFormat="1" ht="27" customHeight="1">
      <c r="B28" s="73"/>
      <c r="C28" s="15" t="s">
        <v>2607</v>
      </c>
      <c r="D28" s="36" t="s">
        <v>2608</v>
      </c>
      <c r="E28" s="36"/>
      <c r="F28" s="17" t="s">
        <v>161</v>
      </c>
      <c r="G28" s="4" t="s">
        <v>2609</v>
      </c>
      <c r="H28" s="160" t="s">
        <v>2610</v>
      </c>
      <c r="I28" s="252"/>
      <c r="J28" s="252"/>
      <c r="K28" s="750" t="str" cm="1">
        <f t="array" ref="K28">IF(ISBLANK(J28), IF(ISBLANK(I28), "N/A", _xlfn.IFS(L28="AS", I28+15, L28="NCR", I28+30, L28="submitted", I28+30, TRUE, "N/A")), _xlfn.IFS(L28="AS", J28+15, L28="NCR", J28+30, L28="submitted", J28+30, TRUE, "N/A"))</f>
        <v>N/A</v>
      </c>
      <c r="L28"/>
      <c r="M28" s="317"/>
      <c r="N28" s="802"/>
      <c r="O28" s="803"/>
      <c r="P28" s="803"/>
      <c r="Q28" s="804"/>
    </row>
    <row r="29" spans="2:17" s="1" customFormat="1" ht="15" customHeight="1">
      <c r="B29" s="4"/>
      <c r="C29" s="15" t="s">
        <v>2607</v>
      </c>
      <c r="D29" s="17"/>
      <c r="E29" s="17"/>
      <c r="F29" s="17" t="s">
        <v>161</v>
      </c>
      <c r="G29" s="4" t="s">
        <v>2611</v>
      </c>
      <c r="H29" s="132" t="s">
        <v>2612</v>
      </c>
      <c r="I29" s="252"/>
      <c r="J29" s="252"/>
      <c r="K29" s="750" t="str" cm="1">
        <f t="array" ref="K29">IF(ISBLANK(J29), IF(ISBLANK(I29), "N/A", _xlfn.IFS(L29="AS", I29+15, L29="NCR", I29+30, L29="submitted", I29+30, TRUE, "N/A")), _xlfn.IFS(L29="AS", J29+15, L29="NCR", J29+30, L29="submitted", J29+30, TRUE, "N/A"))</f>
        <v>N/A</v>
      </c>
      <c r="L29"/>
      <c r="M29" s="317"/>
      <c r="N29" s="802"/>
      <c r="O29" s="803"/>
      <c r="P29" s="803"/>
      <c r="Q29" s="804"/>
    </row>
    <row r="30" spans="2:17" s="1" customFormat="1" ht="15" customHeight="1">
      <c r="B30" s="4"/>
      <c r="C30" s="15" t="s">
        <v>2607</v>
      </c>
      <c r="D30" s="17"/>
      <c r="E30" s="17"/>
      <c r="F30" s="17" t="s">
        <v>161</v>
      </c>
      <c r="G30" s="4" t="s">
        <v>2613</v>
      </c>
      <c r="H30" s="132" t="s">
        <v>2614</v>
      </c>
      <c r="I30" s="252"/>
      <c r="J30" s="252"/>
      <c r="K30" s="750" t="str" cm="1">
        <f t="array" ref="K30">IF(ISBLANK(J30), IF(ISBLANK(I30), "N/A", _xlfn.IFS(L30="AS", I30+15, L30="NCR", I30+30, L30="submitted", I30+30, TRUE, "N/A")), _xlfn.IFS(L30="AS", J30+15, L30="NCR", J30+30, L30="submitted", J30+30, TRUE, "N/A"))</f>
        <v>N/A</v>
      </c>
      <c r="L30"/>
      <c r="M30" s="317"/>
      <c r="N30" s="802"/>
      <c r="O30" s="803"/>
      <c r="P30" s="803"/>
      <c r="Q30" s="804"/>
    </row>
    <row r="31" spans="2:17" s="1" customFormat="1" ht="15" customHeight="1">
      <c r="B31" s="4"/>
      <c r="C31" s="15" t="s">
        <v>2607</v>
      </c>
      <c r="D31" s="17"/>
      <c r="E31" s="17"/>
      <c r="F31" s="17" t="s">
        <v>161</v>
      </c>
      <c r="G31" s="4" t="s">
        <v>2615</v>
      </c>
      <c r="H31" s="132" t="s">
        <v>2616</v>
      </c>
      <c r="I31" s="252"/>
      <c r="J31" s="252"/>
      <c r="K31" s="750" t="str" cm="1">
        <f t="array" ref="K31">IF(ISBLANK(J31), IF(ISBLANK(I31), "N/A", _xlfn.IFS(L31="AS", I31+15, L31="NCR", I31+30, L31="submitted", I31+30, TRUE, "N/A")), _xlfn.IFS(L31="AS", J31+15, L31="NCR", J31+30, L31="submitted", J31+30, TRUE, "N/A"))</f>
        <v>N/A</v>
      </c>
      <c r="L31"/>
      <c r="M31" s="317"/>
      <c r="N31" s="802"/>
      <c r="O31" s="803"/>
      <c r="P31" s="803"/>
      <c r="Q31" s="804"/>
    </row>
    <row r="32" spans="2:17" s="1" customFormat="1" ht="15" customHeight="1">
      <c r="B32" s="4"/>
      <c r="C32" s="15" t="s">
        <v>2607</v>
      </c>
      <c r="D32" s="17"/>
      <c r="E32" s="17"/>
      <c r="F32" s="17" t="s">
        <v>161</v>
      </c>
      <c r="G32" s="4" t="s">
        <v>2617</v>
      </c>
      <c r="H32" s="132" t="s">
        <v>2618</v>
      </c>
      <c r="I32" s="252"/>
      <c r="J32" s="252"/>
      <c r="K32" s="750" t="str" cm="1">
        <f t="array" ref="K32">IF(ISBLANK(J32), IF(ISBLANK(I32), "N/A", _xlfn.IFS(L32="AS", I32+15, L32="NCR", I32+30, L32="submitted", I32+30, TRUE, "N/A")), _xlfn.IFS(L32="AS", J32+15, L32="NCR", J32+30, L32="submitted", J32+30, TRUE, "N/A"))</f>
        <v>N/A</v>
      </c>
      <c r="L32"/>
      <c r="M32" s="317"/>
      <c r="N32" s="802"/>
      <c r="O32" s="803"/>
      <c r="P32" s="803"/>
      <c r="Q32" s="804"/>
    </row>
    <row r="33" spans="2:17" s="1" customFormat="1" ht="15" customHeight="1">
      <c r="B33" s="4"/>
      <c r="C33" s="15" t="s">
        <v>2607</v>
      </c>
      <c r="D33" s="17"/>
      <c r="E33" s="17"/>
      <c r="F33" s="17" t="s">
        <v>161</v>
      </c>
      <c r="G33" s="4" t="s">
        <v>2619</v>
      </c>
      <c r="H33" s="132" t="s">
        <v>2620</v>
      </c>
      <c r="I33" s="252"/>
      <c r="J33" s="252"/>
      <c r="K33" s="750" t="str" cm="1">
        <f t="array" ref="K33">IF(ISBLANK(J33), IF(ISBLANK(I33), "N/A", _xlfn.IFS(L33="AS", I33+15, L33="NCR", I33+30, L33="submitted", I33+30, TRUE, "N/A")), _xlfn.IFS(L33="AS", J33+15, L33="NCR", J33+30, L33="submitted", J33+30, TRUE, "N/A"))</f>
        <v>N/A</v>
      </c>
      <c r="L33"/>
      <c r="M33" s="317"/>
      <c r="N33" s="802"/>
      <c r="O33" s="803"/>
      <c r="P33" s="803"/>
      <c r="Q33" s="804"/>
    </row>
    <row r="34" spans="2:17" s="1" customFormat="1" ht="15" customHeight="1">
      <c r="B34" s="4"/>
      <c r="C34" s="15" t="s">
        <v>2607</v>
      </c>
      <c r="D34" s="17"/>
      <c r="E34" s="17"/>
      <c r="F34" s="17" t="s">
        <v>161</v>
      </c>
      <c r="G34" s="4" t="s">
        <v>2621</v>
      </c>
      <c r="H34" s="132" t="s">
        <v>2622</v>
      </c>
      <c r="I34" s="252"/>
      <c r="J34" s="252"/>
      <c r="K34" s="750" t="str" cm="1">
        <f t="array" ref="K34">IF(ISBLANK(J34), IF(ISBLANK(I34), "N/A", _xlfn.IFS(L34="AS", I34+15, L34="NCR", I34+30, L34="submitted", I34+30, TRUE, "N/A")), _xlfn.IFS(L34="AS", J34+15, L34="NCR", J34+30, L34="submitted", J34+30, TRUE, "N/A"))</f>
        <v>N/A</v>
      </c>
      <c r="L34"/>
      <c r="M34" s="317"/>
      <c r="N34" s="802"/>
      <c r="O34" s="803"/>
      <c r="P34" s="803"/>
      <c r="Q34" s="804"/>
    </row>
    <row r="35" spans="2:17" s="1" customFormat="1" ht="27" customHeight="1">
      <c r="B35" s="4"/>
      <c r="C35" s="15" t="s">
        <v>2607</v>
      </c>
      <c r="D35" s="17"/>
      <c r="E35" s="17"/>
      <c r="F35" s="17" t="s">
        <v>161</v>
      </c>
      <c r="G35" s="4" t="s">
        <v>2623</v>
      </c>
      <c r="H35" s="160" t="s">
        <v>2624</v>
      </c>
      <c r="I35" s="252"/>
      <c r="J35" s="252"/>
      <c r="K35" s="750" t="str" cm="1">
        <f t="array" ref="K35">IF(ISBLANK(J35), IF(ISBLANK(I35), "N/A", _xlfn.IFS(L35="AS", I35+15, L35="NCR", I35+30, L35="submitted", I35+30, TRUE, "N/A")), _xlfn.IFS(L35="AS", J35+15, L35="NCR", J35+30, L35="submitted", J35+30, TRUE, "N/A"))</f>
        <v>N/A</v>
      </c>
      <c r="L35"/>
      <c r="M35" s="317"/>
      <c r="N35" s="802"/>
      <c r="O35" s="803"/>
      <c r="P35" s="803"/>
      <c r="Q35" s="804"/>
    </row>
    <row r="36" spans="2:17" s="1" customFormat="1" ht="27" customHeight="1">
      <c r="B36" s="4"/>
      <c r="C36" s="15" t="s">
        <v>2607</v>
      </c>
      <c r="D36" s="17"/>
      <c r="E36" s="17"/>
      <c r="F36" s="17" t="s">
        <v>161</v>
      </c>
      <c r="G36" s="4" t="s">
        <v>2625</v>
      </c>
      <c r="H36" s="160" t="s">
        <v>2626</v>
      </c>
      <c r="I36" s="252"/>
      <c r="J36" s="252"/>
      <c r="K36" s="750" t="str" cm="1">
        <f t="array" ref="K36">IF(ISBLANK(J36), IF(ISBLANK(I36), "N/A", _xlfn.IFS(L36="AS", I36+15, L36="NCR", I36+30, L36="submitted", I36+30, TRUE, "N/A")), _xlfn.IFS(L36="AS", J36+15, L36="NCR", J36+30, L36="submitted", J36+30, TRUE, "N/A"))</f>
        <v>N/A</v>
      </c>
      <c r="L36"/>
      <c r="M36" s="317"/>
      <c r="N36" s="802"/>
      <c r="O36" s="803"/>
      <c r="P36" s="803"/>
      <c r="Q36" s="804"/>
    </row>
    <row r="37" spans="2:17" s="1" customFormat="1" ht="15" customHeight="1">
      <c r="B37" s="4"/>
      <c r="C37" s="15" t="s">
        <v>2607</v>
      </c>
      <c r="D37" s="17"/>
      <c r="E37" s="17"/>
      <c r="F37" s="17" t="s">
        <v>161</v>
      </c>
      <c r="G37" s="4" t="s">
        <v>2627</v>
      </c>
      <c r="H37" s="132" t="s">
        <v>2628</v>
      </c>
      <c r="I37" s="252"/>
      <c r="J37" s="252"/>
      <c r="K37" s="750" t="str" cm="1">
        <f t="array" ref="K37">IF(ISBLANK(J37), IF(ISBLANK(I37), "N/A", _xlfn.IFS(L37="AS", I37+15, L37="NCR", I37+30, L37="submitted", I37+30, TRUE, "N/A")), _xlfn.IFS(L37="AS", J37+15, L37="NCR", J37+30, L37="submitted", J37+30, TRUE, "N/A"))</f>
        <v>N/A</v>
      </c>
      <c r="L37"/>
      <c r="M37" s="317"/>
      <c r="N37" s="802"/>
      <c r="O37" s="803"/>
      <c r="P37" s="803"/>
      <c r="Q37" s="804"/>
    </row>
    <row r="38" spans="2:17" s="1" customFormat="1" ht="27" customHeight="1">
      <c r="B38" s="4"/>
      <c r="C38" s="15" t="s">
        <v>2607</v>
      </c>
      <c r="D38" s="17"/>
      <c r="E38" s="17"/>
      <c r="F38" s="17" t="s">
        <v>161</v>
      </c>
      <c r="G38" s="4" t="s">
        <v>2629</v>
      </c>
      <c r="H38" s="160" t="s">
        <v>2630</v>
      </c>
      <c r="I38" s="252"/>
      <c r="J38" s="252"/>
      <c r="K38" s="750" t="str" cm="1">
        <f t="array" ref="K38">IF(ISBLANK(J38), IF(ISBLANK(I38), "N/A", _xlfn.IFS(L38="AS", I38+15, L38="NCR", I38+30, L38="submitted", I38+30, TRUE, "N/A")), _xlfn.IFS(L38="AS", J38+15, L38="NCR", J38+30, L38="submitted", J38+30, TRUE, "N/A"))</f>
        <v>N/A</v>
      </c>
      <c r="L38"/>
      <c r="M38" s="317"/>
      <c r="N38" s="802"/>
      <c r="O38" s="803"/>
      <c r="P38" s="803"/>
      <c r="Q38" s="804"/>
    </row>
    <row r="39" spans="2:17" s="1" customFormat="1" ht="15" customHeight="1">
      <c r="B39" s="4"/>
      <c r="C39" s="15" t="s">
        <v>2607</v>
      </c>
      <c r="D39" s="17"/>
      <c r="E39" s="17"/>
      <c r="F39" s="17" t="s">
        <v>161</v>
      </c>
      <c r="G39" s="4" t="s">
        <v>2631</v>
      </c>
      <c r="H39" s="132" t="s">
        <v>2632</v>
      </c>
      <c r="I39" s="252"/>
      <c r="J39" s="252"/>
      <c r="K39" s="750" t="str" cm="1">
        <f t="array" ref="K39">IF(ISBLANK(J39), IF(ISBLANK(I39), "N/A", _xlfn.IFS(L39="AS", I39+15, L39="NCR", I39+30, L39="submitted", I39+30, TRUE, "N/A")), _xlfn.IFS(L39="AS", J39+15, L39="NCR", J39+30, L39="submitted", J39+30, TRUE, "N/A"))</f>
        <v>N/A</v>
      </c>
      <c r="L39"/>
      <c r="M39" s="317"/>
      <c r="N39" s="811"/>
      <c r="O39" s="812"/>
      <c r="P39" s="812"/>
      <c r="Q39" s="813"/>
    </row>
    <row r="40" spans="2:17" s="1" customFormat="1" ht="27" customHeight="1">
      <c r="B40" s="4"/>
      <c r="C40" s="15" t="s">
        <v>2607</v>
      </c>
      <c r="D40" s="17"/>
      <c r="E40" s="17"/>
      <c r="F40" s="17" t="s">
        <v>161</v>
      </c>
      <c r="G40" s="4" t="s">
        <v>2633</v>
      </c>
      <c r="H40" s="160" t="s">
        <v>2634</v>
      </c>
      <c r="I40" s="252"/>
      <c r="J40" s="252"/>
      <c r="K40" s="750" t="str" cm="1">
        <f t="array" ref="K40">IF(ISBLANK(J40), IF(ISBLANK(I40), "N/A", _xlfn.IFS(L40="AS", I40+15, L40="NCR", I40+30, L40="submitted", I40+30, TRUE, "N/A")), _xlfn.IFS(L40="AS", J40+15, L40="NCR", J40+30, L40="submitted", J40+30, TRUE, "N/A"))</f>
        <v>N/A</v>
      </c>
      <c r="L40"/>
      <c r="M40" s="317"/>
      <c r="N40" s="796" t="s">
        <v>133</v>
      </c>
      <c r="O40" s="797"/>
      <c r="P40" s="797"/>
      <c r="Q40" s="798"/>
    </row>
    <row r="41" spans="2:17" s="1" customFormat="1" ht="15" customHeight="1">
      <c r="B41" s="4"/>
      <c r="C41" s="15" t="s">
        <v>2607</v>
      </c>
      <c r="D41" s="17"/>
      <c r="E41" s="17"/>
      <c r="F41" s="17" t="s">
        <v>161</v>
      </c>
      <c r="G41" s="4" t="s">
        <v>2635</v>
      </c>
      <c r="H41" s="132" t="s">
        <v>2636</v>
      </c>
      <c r="I41" s="252"/>
      <c r="J41" s="252"/>
      <c r="K41" s="750" t="str" cm="1">
        <f t="array" ref="K41">IF(ISBLANK(J41), IF(ISBLANK(I41), "N/A", _xlfn.IFS(L41="AS", I41+15, L41="NCR", I41+30, L41="submitted", I41+30, TRUE, "N/A")), _xlfn.IFS(L41="AS", J41+15, L41="NCR", J41+30, L41="submitted", J41+30, TRUE, "N/A"))</f>
        <v>N/A</v>
      </c>
      <c r="L41"/>
      <c r="M41" s="317"/>
      <c r="N41" s="799"/>
      <c r="O41" s="800"/>
      <c r="P41" s="800"/>
      <c r="Q41" s="801"/>
    </row>
    <row r="42" spans="2:17" s="1" customFormat="1" ht="27" customHeight="1">
      <c r="B42" s="9"/>
      <c r="C42" s="32" t="s">
        <v>2637</v>
      </c>
      <c r="D42" s="37" t="s">
        <v>2638</v>
      </c>
      <c r="E42" s="37"/>
      <c r="F42" s="37" t="s">
        <v>161</v>
      </c>
      <c r="G42" s="9" t="s">
        <v>136</v>
      </c>
      <c r="H42" s="164" t="s">
        <v>2639</v>
      </c>
      <c r="I42" s="252"/>
      <c r="J42" s="252"/>
      <c r="K42" s="750" t="str" cm="1">
        <f t="array" ref="K42">IF(ISBLANK(J42), IF(ISBLANK(I42), "N/A", _xlfn.IFS(L42="AS", I42+15, L42="NCR", I42+30, L42="submitted", I42+30, TRUE, "N/A")), _xlfn.IFS(L42="AS", J42+15, L42="NCR", J42+30, L42="submitted", J42+30, TRUE, "N/A"))</f>
        <v>N/A</v>
      </c>
      <c r="L42"/>
      <c r="M42" s="317"/>
      <c r="N42" s="799"/>
      <c r="O42" s="800"/>
      <c r="P42" s="800"/>
      <c r="Q42" s="801"/>
    </row>
    <row r="43" spans="2:17" s="1" customFormat="1" ht="27" customHeight="1">
      <c r="B43" s="38"/>
      <c r="C43" s="32" t="s">
        <v>2637</v>
      </c>
      <c r="D43" s="39"/>
      <c r="E43" s="39"/>
      <c r="F43" s="37" t="s">
        <v>161</v>
      </c>
      <c r="G43" s="38" t="s">
        <v>138</v>
      </c>
      <c r="H43" s="255" t="s">
        <v>2640</v>
      </c>
      <c r="I43" s="252"/>
      <c r="J43" s="252"/>
      <c r="K43" s="750" t="str" cm="1">
        <f t="array" ref="K43">IF(ISBLANK(J43), IF(ISBLANK(I43), "N/A", _xlfn.IFS(L43="AS", I43+15, L43="NCR", I43+30, L43="submitted", I43+30, TRUE, "N/A")), _xlfn.IFS(L43="AS", J43+15, L43="NCR", J43+30, L43="submitted", J43+30, TRUE, "N/A"))</f>
        <v>N/A</v>
      </c>
      <c r="L43"/>
      <c r="M43" s="317"/>
      <c r="N43" s="799"/>
      <c r="O43" s="800"/>
      <c r="P43" s="800"/>
      <c r="Q43" s="801"/>
    </row>
    <row r="44" spans="2:17" s="1" customFormat="1" ht="40.5" customHeight="1">
      <c r="B44" s="38"/>
      <c r="C44" s="32" t="s">
        <v>2637</v>
      </c>
      <c r="D44" s="39"/>
      <c r="E44" s="39"/>
      <c r="F44" s="37" t="s">
        <v>161</v>
      </c>
      <c r="G44" s="38" t="s">
        <v>166</v>
      </c>
      <c r="H44" s="255" t="s">
        <v>2641</v>
      </c>
      <c r="I44" s="252"/>
      <c r="J44" s="252"/>
      <c r="K44" s="750" t="str" cm="1">
        <f t="array" ref="K44">IF(ISBLANK(J44), IF(ISBLANK(I44), "N/A", _xlfn.IFS(L44="AS", I44+15, L44="NCR", I44+30, L44="submitted", I44+30, TRUE, "N/A")), _xlfn.IFS(L44="AS", J44+15, L44="NCR", J44+30, L44="submitted", J44+30, TRUE, "N/A"))</f>
        <v>N/A</v>
      </c>
      <c r="L44"/>
      <c r="M44" s="317"/>
      <c r="N44" s="799"/>
      <c r="O44" s="800"/>
      <c r="P44" s="800"/>
      <c r="Q44" s="801"/>
    </row>
    <row r="45" spans="2:17" s="1" customFormat="1" ht="53.25">
      <c r="B45" s="38"/>
      <c r="C45" s="32" t="s">
        <v>2637</v>
      </c>
      <c r="D45" s="46"/>
      <c r="E45" s="39"/>
      <c r="F45" s="37" t="s">
        <v>161</v>
      </c>
      <c r="G45" s="38" t="s">
        <v>169</v>
      </c>
      <c r="H45" s="255" t="s">
        <v>2642</v>
      </c>
      <c r="I45" s="252"/>
      <c r="J45" s="252"/>
      <c r="K45" s="750" t="str" cm="1">
        <f t="array" ref="K45">IF(ISBLANK(J45), IF(ISBLANK(I45), "N/A", _xlfn.IFS(L45="AS", I45+15, L45="NCR", I45+30, L45="submitted", I45+30, TRUE, "N/A")), _xlfn.IFS(L45="AS", J45+15, L45="NCR", J45+30, L45="submitted", J45+30, TRUE, "N/A"))</f>
        <v>N/A</v>
      </c>
      <c r="L45"/>
      <c r="M45" s="317"/>
      <c r="N45" s="799"/>
      <c r="O45" s="800"/>
      <c r="P45" s="800"/>
      <c r="Q45" s="801"/>
    </row>
    <row r="46" spans="2:17" s="1" customFormat="1" ht="36" customHeight="1">
      <c r="B46" s="21"/>
      <c r="C46" s="361" t="s">
        <v>1532</v>
      </c>
      <c r="D46" s="360" t="s">
        <v>1533</v>
      </c>
      <c r="E46" s="569"/>
      <c r="F46" s="52" t="s">
        <v>1541</v>
      </c>
      <c r="G46" s="21" t="s">
        <v>337</v>
      </c>
      <c r="H46" s="46" t="s">
        <v>1542</v>
      </c>
      <c r="I46" s="51"/>
      <c r="J46" s="21"/>
      <c r="K46" s="750" t="str" cm="1">
        <f t="array" ref="K46">IF(ISBLANK(J46), IF(ISBLANK(I46), "N/A", _xlfn.IFS(L46="AS", I46+15, L46="NCR", I46+30, L46="submitted", I46+30, TRUE, "N/A")), _xlfn.IFS(L46="AS", J46+15, L46="NCR", J46+30, L46="submitted", J46+30, TRUE, "N/A"))</f>
        <v>N/A</v>
      </c>
      <c r="L46" s="21"/>
      <c r="M46" s="317"/>
      <c r="N46" s="799"/>
      <c r="O46" s="800"/>
      <c r="P46" s="800"/>
      <c r="Q46" s="801"/>
    </row>
    <row r="47" spans="2:17" ht="15" customHeight="1">
      <c r="B47" s="22"/>
      <c r="C47" s="128" t="s">
        <v>1564</v>
      </c>
      <c r="D47" s="129" t="s">
        <v>1565</v>
      </c>
      <c r="E47" s="129"/>
      <c r="F47" s="76" t="s">
        <v>1535</v>
      </c>
      <c r="G47" s="22" t="s">
        <v>222</v>
      </c>
      <c r="H47" s="24" t="s">
        <v>1571</v>
      </c>
      <c r="I47" s="26"/>
      <c r="J47" s="22"/>
      <c r="K47" s="750" t="str" cm="1">
        <f t="array" ref="K47">IF(ISBLANK(J47), IF(ISBLANK(I47), "N/A", _xlfn.IFS(L47="AS", I47+15, L47="NCR", I47+30, L47="submitted", I47+30, TRUE, "N/A")), _xlfn.IFS(L47="AS", J47+15, L47="NCR", J47+30, L47="submitted", J47+30, TRUE, "N/A"))</f>
        <v>N/A</v>
      </c>
      <c r="L47" s="26"/>
      <c r="M47" s="317"/>
      <c r="N47" s="799"/>
      <c r="O47" s="800"/>
      <c r="P47" s="800"/>
      <c r="Q47" s="801"/>
    </row>
    <row r="48" spans="2:17" ht="15" customHeight="1">
      <c r="B48" s="4"/>
      <c r="C48" s="54" t="s">
        <v>1564</v>
      </c>
      <c r="D48" s="55" t="s">
        <v>1565</v>
      </c>
      <c r="E48" s="570"/>
      <c r="F48" s="347" t="s">
        <v>161</v>
      </c>
      <c r="G48" s="9" t="s">
        <v>1576</v>
      </c>
      <c r="H48" s="7" t="s">
        <v>1577</v>
      </c>
      <c r="I48" s="18"/>
      <c r="J48" s="4"/>
      <c r="K48" s="750" t="str" cm="1">
        <f t="array" ref="K48">IF(ISBLANK(J48), IF(ISBLANK(I48), "N/A", _xlfn.IFS(L48="AS", I48+15, L48="NCR", I48+30, L48="submitted", I48+30, TRUE, "N/A")), _xlfn.IFS(L48="AS", J48+15, L48="NCR", J48+30, L48="submitted", J48+30, TRUE, "N/A"))</f>
        <v>N/A</v>
      </c>
      <c r="L48" s="4"/>
      <c r="M48" s="317"/>
      <c r="N48" s="802" t="s">
        <v>148</v>
      </c>
      <c r="O48" s="803"/>
      <c r="P48" s="803"/>
      <c r="Q48" s="804"/>
    </row>
    <row r="49" spans="2:17" s="1" customFormat="1" ht="27">
      <c r="C49" s="47" t="s">
        <v>1579</v>
      </c>
      <c r="D49" s="2" t="s">
        <v>1580</v>
      </c>
      <c r="E49" s="39"/>
      <c r="F49" s="39" t="s">
        <v>1541</v>
      </c>
      <c r="G49" s="9" t="s">
        <v>1584</v>
      </c>
      <c r="H49" s="7" t="s">
        <v>1585</v>
      </c>
      <c r="I49" s="14"/>
      <c r="J49" s="14"/>
      <c r="K49" s="750" t="str" cm="1">
        <f t="array" ref="K49">IF(ISBLANK(J49), IF(ISBLANK(I49), "N/A", _xlfn.IFS(L49="AS", I49+15, L49="NCR", I49+30, L49="submitted", I49+30, TRUE, "N/A")), _xlfn.IFS(L49="AS", J49+15, L49="NCR", J49+30, L49="submitted", J49+30, TRUE, "N/A"))</f>
        <v>N/A</v>
      </c>
      <c r="L49" s="9"/>
      <c r="M49" s="317"/>
      <c r="N49" s="802"/>
      <c r="O49" s="803"/>
      <c r="P49" s="803"/>
      <c r="Q49" s="804"/>
    </row>
    <row r="50" spans="2:17" ht="15" customHeight="1">
      <c r="B50" s="4"/>
      <c r="C50" s="390" t="s">
        <v>1588</v>
      </c>
      <c r="D50" s="345" t="s">
        <v>1589</v>
      </c>
      <c r="E50" s="571"/>
      <c r="F50" s="307" t="s">
        <v>1541</v>
      </c>
      <c r="G50" s="4" t="s">
        <v>338</v>
      </c>
      <c r="H50" s="3" t="s">
        <v>1610</v>
      </c>
      <c r="I50" s="18"/>
      <c r="J50" s="4"/>
      <c r="K50" s="750" t="str" cm="1">
        <f t="array" ref="K50">IF(ISBLANK(J50), IF(ISBLANK(I50), "N/A", _xlfn.IFS(L50="AS", I50+15, L50="NCR", I50+30, L50="submitted", I50+30, TRUE, "N/A")), _xlfn.IFS(L50="AS", J50+15, L50="NCR", J50+30, L50="submitted", J50+30, TRUE, "N/A"))</f>
        <v>N/A</v>
      </c>
      <c r="L50" s="4"/>
      <c r="M50" s="317"/>
      <c r="N50" s="802"/>
      <c r="O50" s="803"/>
      <c r="P50" s="803"/>
      <c r="Q50" s="804"/>
    </row>
    <row r="51" spans="2:17" ht="15" customHeight="1">
      <c r="B51" s="4"/>
      <c r="C51" s="390" t="s">
        <v>1588</v>
      </c>
      <c r="D51" s="345" t="s">
        <v>1589</v>
      </c>
      <c r="E51" s="571"/>
      <c r="F51" s="307" t="s">
        <v>1541</v>
      </c>
      <c r="G51" s="4" t="s">
        <v>1265</v>
      </c>
      <c r="H51" s="3" t="s">
        <v>1611</v>
      </c>
      <c r="I51" s="18"/>
      <c r="J51" s="4"/>
      <c r="K51" s="750" t="str" cm="1">
        <f t="array" ref="K51">IF(ISBLANK(J51), IF(ISBLANK(I51), "N/A", _xlfn.IFS(L51="AS", I51+15, L51="NCR", I51+30, L51="submitted", I51+30, TRUE, "N/A")), _xlfn.IFS(L51="AS", J51+15, L51="NCR", J51+30, L51="submitted", J51+30, TRUE, "N/A"))</f>
        <v>N/A</v>
      </c>
      <c r="L51" s="4"/>
      <c r="M51" s="317"/>
      <c r="N51" s="802"/>
      <c r="O51" s="803"/>
      <c r="P51" s="803"/>
      <c r="Q51" s="804"/>
    </row>
    <row r="52" spans="2:17" ht="15" customHeight="1">
      <c r="B52" s="4"/>
      <c r="C52" s="390" t="s">
        <v>1588</v>
      </c>
      <c r="D52" s="345" t="s">
        <v>1589</v>
      </c>
      <c r="E52" s="125"/>
      <c r="F52" s="387" t="s">
        <v>161</v>
      </c>
      <c r="G52" s="4" t="s">
        <v>414</v>
      </c>
      <c r="H52" s="17" t="s">
        <v>1627</v>
      </c>
      <c r="I52" s="18"/>
      <c r="J52" s="4"/>
      <c r="K52" s="750" t="str" cm="1">
        <f t="array" ref="K52">IF(ISBLANK(J52), IF(ISBLANK(I52), "N/A", _xlfn.IFS(L52="AS", I52+15, L52="NCR", I52+30, L52="submitted", I52+30, TRUE, "N/A")), _xlfn.IFS(L52="AS", J52+15, L52="NCR", J52+30, L52="submitted", J52+30, TRUE, "N/A"))</f>
        <v>N/A</v>
      </c>
      <c r="L52" s="4"/>
      <c r="M52" s="317"/>
      <c r="N52" s="802"/>
      <c r="O52" s="803"/>
      <c r="P52" s="803"/>
      <c r="Q52" s="804"/>
    </row>
    <row r="53" spans="2:17" ht="15" customHeight="1">
      <c r="B53" s="4"/>
      <c r="C53" s="390" t="s">
        <v>1588</v>
      </c>
      <c r="D53" s="345" t="s">
        <v>1589</v>
      </c>
      <c r="E53" s="125"/>
      <c r="F53" s="386" t="s">
        <v>161</v>
      </c>
      <c r="G53" s="4" t="s">
        <v>1628</v>
      </c>
      <c r="H53" s="17" t="s">
        <v>1629</v>
      </c>
      <c r="I53" s="18"/>
      <c r="J53" s="4"/>
      <c r="K53" s="750" t="str" cm="1">
        <f t="array" ref="K53">IF(ISBLANK(J53), IF(ISBLANK(I53), "N/A", _xlfn.IFS(L53="AS", I53+15, L53="NCR", I53+30, L53="submitted", I53+30, TRUE, "N/A")), _xlfn.IFS(L53="AS", J53+15, L53="NCR", J53+30, L53="submitted", J53+30, TRUE, "N/A"))</f>
        <v>N/A</v>
      </c>
      <c r="L53" s="4"/>
      <c r="M53" s="318"/>
      <c r="N53" s="802"/>
      <c r="O53" s="803"/>
      <c r="P53" s="803"/>
      <c r="Q53" s="804"/>
    </row>
    <row r="54" spans="2:17" ht="24.75" customHeight="1">
      <c r="B54" s="9"/>
      <c r="C54" s="48" t="s">
        <v>1631</v>
      </c>
      <c r="D54" s="6" t="s">
        <v>1632</v>
      </c>
      <c r="E54" s="6"/>
      <c r="F54" s="39" t="s">
        <v>1636</v>
      </c>
      <c r="G54" s="9" t="s">
        <v>488</v>
      </c>
      <c r="H54" s="7" t="s">
        <v>1654</v>
      </c>
      <c r="I54" s="14"/>
      <c r="J54" s="9"/>
      <c r="K54" s="750" t="str" cm="1">
        <f t="array" ref="K54">IF(ISBLANK(J54), IF(ISBLANK(I54), "N/A", _xlfn.IFS(L54="AS", I54+15, L54="NCR", I54+30, L54="submitted", I54+30, TRUE, "N/A")), _xlfn.IFS(L54="AS", J54+15, L54="NCR", J54+30, L54="submitted", J54+30, TRUE, "N/A"))</f>
        <v>N/A</v>
      </c>
      <c r="L54" s="9"/>
      <c r="M54" s="317"/>
      <c r="N54" s="802"/>
      <c r="O54" s="803"/>
      <c r="P54" s="803"/>
      <c r="Q54" s="804"/>
    </row>
    <row r="55" spans="2:17" ht="23.25" customHeight="1">
      <c r="B55" s="9"/>
      <c r="C55" s="48" t="s">
        <v>1631</v>
      </c>
      <c r="D55" s="6" t="s">
        <v>1632</v>
      </c>
      <c r="E55" s="6"/>
      <c r="F55" s="39" t="s">
        <v>161</v>
      </c>
      <c r="G55" s="9" t="s">
        <v>1192</v>
      </c>
      <c r="H55" s="7" t="s">
        <v>1655</v>
      </c>
      <c r="I55" s="14"/>
      <c r="J55" s="9"/>
      <c r="K55" s="750" t="str" cm="1">
        <f t="array" ref="K55">IF(ISBLANK(J55), IF(ISBLANK(I55), "N/A", _xlfn.IFS(L55="AS", I55+15, L55="NCR", I55+30, L55="submitted", I55+30, TRUE, "N/A")), _xlfn.IFS(L55="AS", J55+15, L55="NCR", J55+30, L55="submitted", J55+30, TRUE, "N/A"))</f>
        <v>N/A</v>
      </c>
      <c r="L55" s="9"/>
      <c r="M55" s="317"/>
      <c r="N55" s="802"/>
      <c r="O55" s="803"/>
      <c r="P55" s="803"/>
      <c r="Q55" s="804"/>
    </row>
    <row r="56" spans="2:17" ht="29.25" customHeight="1">
      <c r="B56" s="9"/>
      <c r="C56" s="48" t="s">
        <v>1631</v>
      </c>
      <c r="D56" s="6" t="s">
        <v>1632</v>
      </c>
      <c r="E56" s="6"/>
      <c r="F56" s="39" t="s">
        <v>161</v>
      </c>
      <c r="G56" s="9" t="s">
        <v>1194</v>
      </c>
      <c r="H56" s="13" t="s">
        <v>1656</v>
      </c>
      <c r="I56" s="14"/>
      <c r="J56" s="9"/>
      <c r="K56" s="750" t="str" cm="1">
        <f t="array" ref="K56">IF(ISBLANK(J56), IF(ISBLANK(I56), "N/A", _xlfn.IFS(L56="AS", I56+15, L56="NCR", I56+30, L56="submitted", I56+30, TRUE, "N/A")), _xlfn.IFS(L56="AS", J56+15, L56="NCR", J56+30, L56="submitted", J56+30, TRUE, "N/A"))</f>
        <v>N/A</v>
      </c>
      <c r="L56" s="9"/>
      <c r="M56" s="317"/>
      <c r="N56" s="802"/>
      <c r="O56" s="803"/>
      <c r="P56" s="803"/>
      <c r="Q56" s="804"/>
    </row>
    <row r="57" spans="2:17" ht="15" customHeight="1">
      <c r="B57" s="9"/>
      <c r="C57" s="48" t="s">
        <v>1631</v>
      </c>
      <c r="D57" s="6" t="s">
        <v>1632</v>
      </c>
      <c r="E57" s="6"/>
      <c r="F57" s="39" t="s">
        <v>161</v>
      </c>
      <c r="G57" s="9" t="s">
        <v>1658</v>
      </c>
      <c r="H57" s="13" t="s">
        <v>1659</v>
      </c>
      <c r="I57" s="14"/>
      <c r="J57" s="9"/>
      <c r="K57" s="750" t="str" cm="1">
        <f t="array" ref="K57">IF(ISBLANK(J57), IF(ISBLANK(I57), "N/A", _xlfn.IFS(L57="AS", I57+15, L57="NCR", I57+30, L57="submitted", I57+30, TRUE, "N/A")), _xlfn.IFS(L57="AS", J57+15, L57="NCR", J57+30, L57="submitted", J57+30, TRUE, "N/A"))</f>
        <v>N/A</v>
      </c>
      <c r="L57" s="9"/>
      <c r="M57" s="317"/>
      <c r="N57" s="802"/>
      <c r="O57" s="803"/>
      <c r="P57" s="803"/>
      <c r="Q57" s="804"/>
    </row>
    <row r="58" spans="2:17" ht="15" customHeight="1">
      <c r="B58" s="4"/>
      <c r="C58" s="54" t="s">
        <v>1675</v>
      </c>
      <c r="D58" s="55" t="s">
        <v>1676</v>
      </c>
      <c r="E58" s="55"/>
      <c r="F58" s="34" t="s">
        <v>1644</v>
      </c>
      <c r="G58" s="4" t="s">
        <v>601</v>
      </c>
      <c r="H58" s="17" t="s">
        <v>1683</v>
      </c>
      <c r="I58" s="18"/>
      <c r="J58" s="4"/>
      <c r="K58" s="750" t="str" cm="1">
        <f t="array" ref="K58">IF(ISBLANK(J58), IF(ISBLANK(I58), "N/A", _xlfn.IFS(L58="AS", I58+15, L58="NCR", I58+30, L58="submitted", I58+30, TRUE, "N/A")), _xlfn.IFS(L58="AS", J58+15, L58="NCR", J58+30, L58="submitted", J58+30, TRUE, "N/A"))</f>
        <v>N/A</v>
      </c>
      <c r="L58" s="4"/>
      <c r="M58" s="317"/>
      <c r="N58" s="802"/>
      <c r="O58" s="803"/>
      <c r="P58" s="803"/>
      <c r="Q58" s="804"/>
    </row>
    <row r="59" spans="2:17" ht="15" customHeight="1">
      <c r="B59" s="4"/>
      <c r="C59" s="54" t="s">
        <v>1675</v>
      </c>
      <c r="D59" s="55" t="s">
        <v>1676</v>
      </c>
      <c r="E59" s="57"/>
      <c r="F59" s="36" t="s">
        <v>1685</v>
      </c>
      <c r="G59" s="4" t="s">
        <v>374</v>
      </c>
      <c r="H59" s="17" t="s">
        <v>1686</v>
      </c>
      <c r="I59" s="18"/>
      <c r="J59" s="4"/>
      <c r="K59" s="750" t="str" cm="1">
        <f t="array" ref="K59">IF(ISBLANK(J59), IF(ISBLANK(I59), "N/A", _xlfn.IFS(L59="AS", I59+15, L59="NCR", I59+30, L59="submitted", I59+30, TRUE, "N/A")), _xlfn.IFS(L59="AS", J59+15, L59="NCR", J59+30, L59="submitted", J59+30, TRUE, "N/A"))</f>
        <v>N/A</v>
      </c>
      <c r="L59" s="4"/>
      <c r="M59" s="317"/>
      <c r="N59" s="802"/>
      <c r="O59" s="803"/>
      <c r="P59" s="803"/>
      <c r="Q59" s="804"/>
    </row>
    <row r="60" spans="2:17" ht="15" customHeight="1">
      <c r="B60" s="9"/>
      <c r="C60" s="821" t="s">
        <v>1687</v>
      </c>
      <c r="D60" s="823" t="s">
        <v>1688</v>
      </c>
      <c r="E60" s="37"/>
      <c r="F60" s="37" t="s">
        <v>1636</v>
      </c>
      <c r="G60" s="9" t="s">
        <v>208</v>
      </c>
      <c r="H60" s="13" t="s">
        <v>484</v>
      </c>
      <c r="I60" s="14"/>
      <c r="J60" s="9"/>
      <c r="K60" s="750" t="str" cm="1">
        <f t="array" ref="K60">IF(ISBLANK(J60), IF(ISBLANK(I60), "N/A", _xlfn.IFS(L60="AS", I60+15, L60="NCR", I60+30, L60="submitted", I60+30, TRUE, "N/A")), _xlfn.IFS(L60="AS", J60+15, L60="NCR", J60+30, L60="submitted", J60+30, TRUE, "N/A"))</f>
        <v>N/A</v>
      </c>
      <c r="L60" s="9"/>
      <c r="M60" s="317"/>
      <c r="N60" s="802"/>
      <c r="O60" s="803"/>
      <c r="P60" s="803"/>
      <c r="Q60" s="804"/>
    </row>
    <row r="61" spans="2:17" ht="15" customHeight="1">
      <c r="B61" s="9"/>
      <c r="C61" s="822"/>
      <c r="D61" s="824"/>
      <c r="E61" s="39"/>
      <c r="F61" s="39" t="s">
        <v>1636</v>
      </c>
      <c r="G61" s="9" t="s">
        <v>281</v>
      </c>
      <c r="H61" s="13" t="s">
        <v>1689</v>
      </c>
      <c r="I61" s="14"/>
      <c r="J61" s="9"/>
      <c r="K61" s="750" t="str" cm="1">
        <f t="array" ref="K61">IF(ISBLANK(J61), IF(ISBLANK(I61), "N/A", _xlfn.IFS(L61="AS", I61+15, L61="NCR", I61+30, L61="submitted", I61+30, TRUE, "N/A")), _xlfn.IFS(L61="AS", J61+15, L61="NCR", J61+30, L61="submitted", J61+30, TRUE, "N/A"))</f>
        <v>N/A</v>
      </c>
      <c r="L61" s="9"/>
      <c r="M61" s="317"/>
      <c r="N61" s="802"/>
      <c r="O61" s="803"/>
      <c r="P61" s="803"/>
      <c r="Q61" s="804"/>
    </row>
    <row r="62" spans="2:17" ht="15" customHeight="1">
      <c r="B62" s="9"/>
      <c r="C62" s="822"/>
      <c r="D62" s="824"/>
      <c r="E62" s="39"/>
      <c r="F62" s="39" t="s">
        <v>1636</v>
      </c>
      <c r="G62" s="9" t="s">
        <v>269</v>
      </c>
      <c r="H62" s="13" t="s">
        <v>1690</v>
      </c>
      <c r="I62" s="14"/>
      <c r="J62" s="9"/>
      <c r="K62" s="750" t="str" cm="1">
        <f t="array" ref="K62">IF(ISBLANK(J62), IF(ISBLANK(I62), "N/A", _xlfn.IFS(L62="AS", I62+15, L62="NCR", I62+30, L62="submitted", I62+30, TRUE, "N/A")), _xlfn.IFS(L62="AS", J62+15, L62="NCR", J62+30, L62="submitted", J62+30, TRUE, "N/A"))</f>
        <v>N/A</v>
      </c>
      <c r="L62" s="9"/>
      <c r="M62" s="317"/>
      <c r="N62" s="802"/>
      <c r="O62" s="803"/>
      <c r="P62" s="803"/>
      <c r="Q62" s="804"/>
    </row>
    <row r="63" spans="2:17" ht="15" customHeight="1">
      <c r="B63" s="9"/>
      <c r="C63" s="822"/>
      <c r="D63" s="824"/>
      <c r="E63" s="39"/>
      <c r="F63" s="39" t="s">
        <v>1636</v>
      </c>
      <c r="G63" s="9" t="s">
        <v>259</v>
      </c>
      <c r="H63" s="13" t="s">
        <v>1691</v>
      </c>
      <c r="I63" s="14"/>
      <c r="J63" s="9"/>
      <c r="K63" s="750" t="str" cm="1">
        <f t="array" ref="K63">IF(ISBLANK(J63), IF(ISBLANK(I63), "N/A", _xlfn.IFS(L63="AS", I63+15, L63="NCR", I63+30, L63="submitted", I63+30, TRUE, "N/A")), _xlfn.IFS(L63="AS", J63+15, L63="NCR", J63+30, L63="submitted", J63+30, TRUE, "N/A"))</f>
        <v>N/A</v>
      </c>
      <c r="L63" s="9"/>
      <c r="M63" s="317"/>
      <c r="N63" s="802"/>
      <c r="O63" s="803"/>
      <c r="P63" s="803"/>
      <c r="Q63" s="804"/>
    </row>
    <row r="64" spans="2:17" ht="15" customHeight="1">
      <c r="B64" s="9"/>
      <c r="C64" s="807"/>
      <c r="D64" s="809"/>
      <c r="E64" s="46"/>
      <c r="F64" s="46" t="s">
        <v>1636</v>
      </c>
      <c r="G64" s="9" t="s">
        <v>352</v>
      </c>
      <c r="H64" s="7" t="s">
        <v>1692</v>
      </c>
      <c r="I64" s="14"/>
      <c r="J64" s="9"/>
      <c r="K64" s="750" t="str" cm="1">
        <f t="array" ref="K64">IF(ISBLANK(J64), IF(ISBLANK(I64), "N/A", _xlfn.IFS(L64="AS", I64+15, L64="NCR", I64+30, L64="submitted", I64+30, TRUE, "N/A")), _xlfn.IFS(L64="AS", J64+15, L64="NCR", J64+30, L64="submitted", J64+30, TRUE, "N/A"))</f>
        <v>N/A</v>
      </c>
      <c r="L64" s="9"/>
      <c r="M64" s="317"/>
      <c r="N64" s="802"/>
      <c r="O64" s="803"/>
      <c r="P64" s="803"/>
      <c r="Q64" s="804"/>
    </row>
    <row r="65" spans="2:17" ht="15" customHeight="1">
      <c r="B65" s="262" t="s">
        <v>17</v>
      </c>
      <c r="C65" s="47" t="s">
        <v>1699</v>
      </c>
      <c r="D65" s="2" t="s">
        <v>1700</v>
      </c>
      <c r="E65" s="6"/>
      <c r="F65" s="39" t="s">
        <v>161</v>
      </c>
      <c r="G65" s="38" t="s">
        <v>329</v>
      </c>
      <c r="H65" s="37" t="s">
        <v>1701</v>
      </c>
      <c r="I65" s="41"/>
      <c r="J65" s="38"/>
      <c r="K65" s="750" t="str" cm="1">
        <f t="array" ref="K65">IF(ISBLANK(J65), IF(ISBLANK(I65), "N/A", _xlfn.IFS(L65="AS", I65+15, L65="NCR", I65+30, L65="submitted", I65+30, TRUE, "N/A")), _xlfn.IFS(L65="AS", J65+15, L65="NCR", J65+30, L65="submitted", J65+30, TRUE, "N/A"))</f>
        <v>N/A</v>
      </c>
      <c r="L65" s="38"/>
      <c r="M65" s="317"/>
      <c r="N65" s="802"/>
      <c r="O65" s="803"/>
      <c r="P65" s="803"/>
      <c r="Q65" s="804"/>
    </row>
    <row r="66" spans="2:17" ht="15" customHeight="1">
      <c r="B66" s="262" t="s">
        <v>17</v>
      </c>
      <c r="C66" s="47" t="s">
        <v>1699</v>
      </c>
      <c r="D66" s="2" t="s">
        <v>1700</v>
      </c>
      <c r="E66" s="6"/>
      <c r="F66" s="39" t="s">
        <v>161</v>
      </c>
      <c r="G66" s="38" t="s">
        <v>601</v>
      </c>
      <c r="H66" s="37" t="s">
        <v>1702</v>
      </c>
      <c r="I66" s="41"/>
      <c r="J66" s="38"/>
      <c r="K66" s="750" t="str" cm="1">
        <f t="array" ref="K66">IF(ISBLANK(J66), IF(ISBLANK(I66), "N/A", _xlfn.IFS(L66="AS", I66+15, L66="NCR", I66+30, L66="submitted", I66+30, TRUE, "N/A")), _xlfn.IFS(L66="AS", J66+15, L66="NCR", J66+30, L66="submitted", J66+30, TRUE, "N/A"))</f>
        <v>N/A</v>
      </c>
      <c r="L66" s="38"/>
      <c r="M66" s="317"/>
      <c r="N66" s="802"/>
      <c r="O66" s="803"/>
      <c r="P66" s="803"/>
      <c r="Q66" s="804"/>
    </row>
    <row r="67" spans="2:17" ht="15" customHeight="1">
      <c r="B67" s="262" t="s">
        <v>17</v>
      </c>
      <c r="C67" s="47" t="s">
        <v>1699</v>
      </c>
      <c r="D67" s="2" t="s">
        <v>1700</v>
      </c>
      <c r="E67" s="6"/>
      <c r="F67" s="39" t="s">
        <v>1535</v>
      </c>
      <c r="G67" s="38" t="s">
        <v>372</v>
      </c>
      <c r="H67" s="40" t="s">
        <v>1703</v>
      </c>
      <c r="I67" s="41"/>
      <c r="J67" s="38"/>
      <c r="K67" s="750" t="str" cm="1">
        <f t="array" ref="K67">IF(ISBLANK(J67), IF(ISBLANK(I67), "N/A", _xlfn.IFS(L67="AS", I67+15, L67="NCR", I67+30, L67="submitted", I67+30, TRUE, "N/A")), _xlfn.IFS(L67="AS", J67+15, L67="NCR", J67+30, L67="submitted", J67+30, TRUE, "N/A"))</f>
        <v>N/A</v>
      </c>
      <c r="L67" s="38"/>
      <c r="M67" s="317"/>
      <c r="N67" s="802"/>
      <c r="O67" s="803"/>
      <c r="P67" s="803"/>
      <c r="Q67" s="804"/>
    </row>
    <row r="68" spans="2:17" ht="27">
      <c r="B68" s="19"/>
      <c r="C68" s="54" t="s">
        <v>1705</v>
      </c>
      <c r="D68" s="423" t="s">
        <v>1706</v>
      </c>
      <c r="E68" s="572"/>
      <c r="F68" s="59" t="s">
        <v>161</v>
      </c>
      <c r="G68" s="19" t="s">
        <v>329</v>
      </c>
      <c r="H68" s="53" t="s">
        <v>1701</v>
      </c>
      <c r="I68" s="30"/>
      <c r="J68" s="19"/>
      <c r="K68" s="750" t="str" cm="1">
        <f t="array" ref="K68">IF(ISBLANK(J68), IF(ISBLANK(I68), "N/A", _xlfn.IFS(L68="AS", I68+15, L68="NCR", I68+30, L68="submitted", I68+30, TRUE, "N/A")), _xlfn.IFS(L68="AS", J68+15, L68="NCR", J68+30, L68="submitted", J68+30, TRUE, "N/A"))</f>
        <v>N/A</v>
      </c>
      <c r="L68" s="19"/>
      <c r="M68" s="317"/>
      <c r="N68" s="802"/>
      <c r="O68" s="803"/>
      <c r="P68" s="803"/>
      <c r="Q68" s="804"/>
    </row>
    <row r="69" spans="2:17" ht="27">
      <c r="B69" s="19"/>
      <c r="C69" s="54" t="s">
        <v>1705</v>
      </c>
      <c r="D69" s="423" t="s">
        <v>1706</v>
      </c>
      <c r="E69" s="572"/>
      <c r="F69" s="59" t="s">
        <v>161</v>
      </c>
      <c r="G69" s="19" t="s">
        <v>601</v>
      </c>
      <c r="H69" s="53" t="s">
        <v>1702</v>
      </c>
      <c r="I69" s="30"/>
      <c r="J69" s="19"/>
      <c r="K69" s="750" t="str" cm="1">
        <f t="array" ref="K69">IF(ISBLANK(J69), IF(ISBLANK(I69), "N/A", _xlfn.IFS(L69="AS", I69+15, L69="NCR", I69+30, L69="submitted", I69+30, TRUE, "N/A")), _xlfn.IFS(L69="AS", J69+15, L69="NCR", J69+30, L69="submitted", J69+30, TRUE, "N/A"))</f>
        <v>N/A</v>
      </c>
      <c r="L69" s="19"/>
      <c r="M69" s="317"/>
      <c r="N69" s="802"/>
      <c r="O69" s="803"/>
      <c r="P69" s="803"/>
      <c r="Q69" s="804"/>
    </row>
    <row r="70" spans="2:17" ht="27" customHeight="1">
      <c r="B70" s="42"/>
      <c r="C70" s="54" t="s">
        <v>1705</v>
      </c>
      <c r="D70" s="423" t="s">
        <v>1706</v>
      </c>
      <c r="E70" s="572"/>
      <c r="F70" s="60" t="s">
        <v>1644</v>
      </c>
      <c r="G70" s="42" t="s">
        <v>1708</v>
      </c>
      <c r="H70" s="61" t="s">
        <v>1709</v>
      </c>
      <c r="I70" s="44"/>
      <c r="J70" s="42"/>
      <c r="K70" s="750" t="str" cm="1">
        <f t="array" ref="K70">IF(ISBLANK(J70), IF(ISBLANK(I70), "N/A", _xlfn.IFS(L70="AS", I70+15, L70="NCR", I70+30, L70="submitted", I70+30, TRUE, "N/A")), _xlfn.IFS(L70="AS", J70+15, L70="NCR", J70+30, L70="submitted", J70+30, TRUE, "N/A"))</f>
        <v>N/A</v>
      </c>
      <c r="L70" s="42"/>
      <c r="M70" s="317"/>
      <c r="N70" s="802"/>
      <c r="O70" s="803"/>
      <c r="P70" s="803"/>
      <c r="Q70" s="804"/>
    </row>
    <row r="71" spans="2:17" ht="24.75" customHeight="1">
      <c r="B71" s="21"/>
      <c r="C71" s="33"/>
      <c r="D71" s="50"/>
      <c r="E71" s="50"/>
      <c r="F71" s="50" t="s">
        <v>1541</v>
      </c>
      <c r="G71" s="21" t="s">
        <v>234</v>
      </c>
      <c r="H71" s="52" t="s">
        <v>1715</v>
      </c>
      <c r="I71" s="51"/>
      <c r="J71" s="21"/>
      <c r="K71" s="750" t="str" cm="1">
        <f t="array" ref="K71">IF(ISBLANK(J71), IF(ISBLANK(I71), "N/A", _xlfn.IFS(L71="AS", I71+15, L71="NCR", I71+30, L71="submitted", I71+30, TRUE, "N/A")), _xlfn.IFS(L71="AS", J71+15, L71="NCR", J71+30, L71="submitted", J71+30, TRUE, "N/A"))</f>
        <v>N/A</v>
      </c>
      <c r="L71" s="21"/>
      <c r="M71" s="317"/>
      <c r="N71" s="802"/>
      <c r="O71" s="803"/>
      <c r="P71" s="803"/>
      <c r="Q71" s="804"/>
    </row>
    <row r="72" spans="2:17" ht="21" customHeight="1">
      <c r="B72" s="21"/>
      <c r="C72" s="97"/>
      <c r="D72" s="52"/>
      <c r="E72" s="52"/>
      <c r="F72" s="52" t="s">
        <v>1636</v>
      </c>
      <c r="G72" s="21" t="s">
        <v>236</v>
      </c>
      <c r="H72" s="52" t="s">
        <v>1716</v>
      </c>
      <c r="I72" s="51"/>
      <c r="J72" s="21"/>
      <c r="K72" s="750" t="str" cm="1">
        <f t="array" ref="K72">IF(ISBLANK(J72), IF(ISBLANK(I72), "N/A", _xlfn.IFS(L72="AS", I72+15, L72="NCR", I72+30, L72="submitted", I72+30, TRUE, "N/A")), _xlfn.IFS(L72="AS", J72+15, L72="NCR", J72+30, L72="submitted", J72+30, TRUE, "N/A"))</f>
        <v>N/A</v>
      </c>
      <c r="L72" s="21"/>
      <c r="M72" s="317"/>
      <c r="N72" s="802"/>
      <c r="O72" s="803"/>
      <c r="P72" s="803"/>
      <c r="Q72" s="804"/>
    </row>
    <row r="73" spans="2:17" ht="15" customHeight="1">
      <c r="M73" s="317"/>
      <c r="N73" s="802"/>
      <c r="O73" s="803"/>
      <c r="P73" s="803"/>
      <c r="Q73" s="804"/>
    </row>
    <row r="74" spans="2:17" ht="15" customHeight="1">
      <c r="M74" s="317"/>
      <c r="N74" s="802"/>
      <c r="O74" s="803"/>
      <c r="P74" s="803"/>
      <c r="Q74" s="804"/>
    </row>
    <row r="75" spans="2:17" ht="15" customHeight="1">
      <c r="M75" s="317"/>
      <c r="N75" s="802"/>
      <c r="O75" s="803"/>
      <c r="P75" s="803"/>
      <c r="Q75" s="804"/>
    </row>
    <row r="76" spans="2:17" ht="15" customHeight="1">
      <c r="M76" s="317"/>
      <c r="N76" s="802"/>
      <c r="O76" s="803"/>
      <c r="P76" s="803"/>
      <c r="Q76" s="804"/>
    </row>
    <row r="77" spans="2:17" ht="15" customHeight="1">
      <c r="M77" s="317"/>
      <c r="N77" s="802"/>
      <c r="O77" s="803"/>
      <c r="P77" s="803"/>
      <c r="Q77" s="804"/>
    </row>
    <row r="78" spans="2:17" ht="15" customHeight="1">
      <c r="M78" s="317"/>
      <c r="N78" s="802"/>
      <c r="O78" s="803"/>
      <c r="P78" s="803"/>
      <c r="Q78" s="804"/>
    </row>
    <row r="79" spans="2:17" ht="15" customHeight="1">
      <c r="M79" s="317"/>
      <c r="N79" s="802"/>
      <c r="O79" s="803"/>
      <c r="P79" s="803"/>
      <c r="Q79" s="804"/>
    </row>
    <row r="80" spans="2: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89" spans="14:14" ht="15" customHeight="1">
      <c r="N289" s="746"/>
    </row>
    <row r="290" spans="14:14" ht="15" customHeight="1">
      <c r="N290" s="746"/>
    </row>
    <row r="291" spans="14:14" ht="15" customHeight="1">
      <c r="N291" s="746"/>
    </row>
    <row r="292" spans="14:14" ht="15" customHeight="1">
      <c r="N292" s="746"/>
    </row>
    <row r="293" spans="14:14" ht="15" customHeight="1">
      <c r="N293" s="746"/>
    </row>
    <row r="294" spans="14:14" ht="15" customHeight="1">
      <c r="N294" s="746"/>
    </row>
    <row r="295" spans="14:14" ht="15" customHeight="1">
      <c r="N295" s="746"/>
    </row>
    <row r="296" spans="14:14" ht="15" customHeight="1">
      <c r="N296" s="747" t="s">
        <v>148</v>
      </c>
    </row>
  </sheetData>
  <mergeCells count="10">
    <mergeCell ref="N48:Q119"/>
    <mergeCell ref="N120:Q127"/>
    <mergeCell ref="N128:Q202"/>
    <mergeCell ref="N203:Q210"/>
    <mergeCell ref="B1:H1"/>
    <mergeCell ref="C60:C64"/>
    <mergeCell ref="D60:D64"/>
    <mergeCell ref="N3:Q6"/>
    <mergeCell ref="N7:Q39"/>
    <mergeCell ref="N40:Q47"/>
  </mergeCells>
  <conditionalFormatting sqref="B3:L9000">
    <cfRule type="expression" dxfId="7" priority="4">
      <formula>NOT(OR(INDEX($L:$L,ROW())="NCR",INDEX($L:$L,ROW())="NR",INDEX($L:$L,ROW())="AS",INDEX($L:$L,ROW())="AC",INDEX($L:$L,ROW())="AN",INDEX($L:$L,ROW())="RC",INDEX($L:$L,ROW())="RA",INDEX($L:$L,ROW())="Submitted",INDEX($L:$L,ROW())="REV"))</formula>
    </cfRule>
  </conditionalFormatting>
  <conditionalFormatting sqref="B3:L9000">
    <cfRule type="expression" dxfId="6" priority="3">
      <formula>OR(INDEX($L:$L,ROW())="NCR",INDEX($L:$L,ROW())="NR",INDEX($L:$L,ROW())="AS")</formula>
    </cfRule>
  </conditionalFormatting>
  <conditionalFormatting sqref="B3:L9000">
    <cfRule type="expression" dxfId="5" priority="2">
      <formula>OR(INDEX($L:$L,ROW())="AC",INDEX($L:$L,ROW())="AN",INDEX($L:$L,ROW())="RC",INDEX($L:$L,ROW())="RA")</formula>
    </cfRule>
  </conditionalFormatting>
  <conditionalFormatting sqref="B3:L9000">
    <cfRule type="expression" dxfId="4" priority="1">
      <formula>OR(INDEX($L:$L,ROW())="Submitted",INDEX($L:$L,ROW())="REV")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Q296"/>
  <sheetViews>
    <sheetView workbookViewId="0">
      <pane ySplit="2" topLeftCell="A3" activePane="bottomLeft" state="frozen"/>
      <selection pane="bottomLeft" activeCell="A3" sqref="A3"/>
    </sheetView>
  </sheetViews>
  <sheetFormatPr defaultRowHeight="15"/>
  <cols>
    <col min="1" max="1" width="12.85546875" customWidth="1"/>
    <col min="2" max="2" width="11" bestFit="1" customWidth="1"/>
    <col min="4" max="4" width="15.140625" bestFit="1" customWidth="1"/>
    <col min="5" max="6" width="15.140625" customWidth="1"/>
    <col min="8" max="8" width="117.28515625" bestFit="1" customWidth="1"/>
    <col min="9" max="9" width="14.7109375" customWidth="1"/>
    <col min="10" max="10" width="10.42578125" bestFit="1" customWidth="1"/>
    <col min="11" max="11" width="28.140625" style="761" bestFit="1" customWidth="1"/>
    <col min="12" max="12" width="9.140625" style="238"/>
    <col min="13" max="13" width="2.42578125" customWidth="1"/>
    <col min="18" max="18" width="1.7109375" customWidth="1"/>
  </cols>
  <sheetData>
    <row r="1" spans="1:17" ht="47.45" customHeight="1">
      <c r="B1" s="935" t="s">
        <v>2083</v>
      </c>
      <c r="C1" s="935"/>
      <c r="D1" s="935"/>
      <c r="E1" s="935"/>
      <c r="F1" s="935"/>
      <c r="G1" s="935"/>
      <c r="H1" s="935"/>
      <c r="I1" s="935"/>
      <c r="J1" s="935"/>
      <c r="K1" s="935"/>
      <c r="L1" s="935"/>
      <c r="M1" s="317"/>
      <c r="N1" s="314"/>
      <c r="O1" s="315"/>
      <c r="P1" s="315"/>
      <c r="Q1" s="316"/>
    </row>
    <row r="2" spans="1:17" ht="40.5">
      <c r="A2" s="282" t="s">
        <v>284</v>
      </c>
      <c r="B2" s="282" t="s">
        <v>113</v>
      </c>
      <c r="C2" s="283" t="s">
        <v>114</v>
      </c>
      <c r="D2" s="283" t="s">
        <v>115</v>
      </c>
      <c r="E2" s="283" t="s">
        <v>116</v>
      </c>
      <c r="F2" s="283" t="s">
        <v>117</v>
      </c>
      <c r="G2" s="283" t="s">
        <v>118</v>
      </c>
      <c r="H2" s="283" t="s">
        <v>119</v>
      </c>
      <c r="I2" s="290" t="s">
        <v>120</v>
      </c>
      <c r="J2" s="757" t="s">
        <v>121</v>
      </c>
      <c r="K2" s="760" t="s">
        <v>122</v>
      </c>
      <c r="L2" s="758" t="s">
        <v>123</v>
      </c>
      <c r="M2" s="319"/>
      <c r="N2" s="311" t="s">
        <v>124</v>
      </c>
      <c r="O2" s="293" t="s">
        <v>125</v>
      </c>
      <c r="P2" s="294" t="s">
        <v>126</v>
      </c>
      <c r="Q2" s="295" t="s">
        <v>127</v>
      </c>
    </row>
    <row r="3" spans="1:17" s="1" customFormat="1" ht="62.25" customHeight="1">
      <c r="B3" s="269"/>
      <c r="C3" s="563" t="s">
        <v>2643</v>
      </c>
      <c r="D3" s="565" t="s">
        <v>2644</v>
      </c>
      <c r="E3" s="565"/>
      <c r="F3" s="565"/>
      <c r="G3" s="21" t="s">
        <v>2030</v>
      </c>
      <c r="H3" s="52" t="s">
        <v>2645</v>
      </c>
      <c r="I3" s="287"/>
      <c r="J3" s="289"/>
      <c r="K3" s="697" t="str" cm="1">
        <f t="array" ref="K3">IF(ISBLANK(J3), IF(ISBLANK(I3), "N/A", _xlfn.IFS(L3="AS", I3+15, L3="NCR", I3+30, L3="submitted", I3+30, TRUE, "N/A")), _xlfn.IFS(L3="AS", J3+15, L3="NCR", J3+30, L3="submitted", J3+30, TRUE, "N/A"))</f>
        <v>N/A</v>
      </c>
      <c r="L3" s="238"/>
      <c r="M3" s="317"/>
      <c r="N3" s="796" t="s">
        <v>133</v>
      </c>
      <c r="O3" s="797"/>
      <c r="P3" s="797"/>
      <c r="Q3" s="798"/>
    </row>
    <row r="4" spans="1:17" s="149" customFormat="1" ht="24.75" customHeight="1">
      <c r="B4" s="194" t="s">
        <v>38</v>
      </c>
      <c r="C4" s="679" t="s">
        <v>2643</v>
      </c>
      <c r="D4" s="680" t="s">
        <v>2644</v>
      </c>
      <c r="E4" s="680"/>
      <c r="F4" s="680"/>
      <c r="G4" s="146" t="s">
        <v>1760</v>
      </c>
      <c r="H4" s="193" t="s">
        <v>2646</v>
      </c>
      <c r="I4" s="681">
        <v>45804</v>
      </c>
      <c r="J4" s="682">
        <v>45883</v>
      </c>
      <c r="K4" s="697" cm="1">
        <f t="array" ref="K4">IF(ISBLANK(J4), IF(ISBLANK(I4), "N/A", _xlfn.IFS(L4="AS", I4+15, L4="NCR", I4+30, L4="submitted", I4+30, TRUE, "N/A")), _xlfn.IFS(L4="AS", J4+15, L4="NCR", J4+30, L4="submitted", J4+30, TRUE, "N/A"))</f>
        <v>45913</v>
      </c>
      <c r="L4" s="271" t="s">
        <v>157</v>
      </c>
      <c r="M4" s="317"/>
      <c r="N4" s="799"/>
      <c r="O4" s="800"/>
      <c r="P4" s="800"/>
      <c r="Q4" s="801"/>
    </row>
    <row r="5" spans="1:17" s="138" customFormat="1" ht="24.75" customHeight="1">
      <c r="B5" s="427" t="s">
        <v>2647</v>
      </c>
      <c r="C5" s="683" t="s">
        <v>2643</v>
      </c>
      <c r="D5" s="684" t="s">
        <v>2644</v>
      </c>
      <c r="E5" s="684"/>
      <c r="F5" s="684"/>
      <c r="G5" s="151" t="s">
        <v>2648</v>
      </c>
      <c r="H5" s="153" t="s">
        <v>2649</v>
      </c>
      <c r="I5" s="428">
        <v>45805</v>
      </c>
      <c r="J5" s="429">
        <v>45883</v>
      </c>
      <c r="K5" s="697" t="str" cm="1">
        <f t="array" ref="K5">IF(ISBLANK(J5), IF(ISBLANK(I5), "N/A", _xlfn.IFS(L5="AS", I5+15, L5="NCR", I5+30, L5="submitted", I5+30, TRUE, "N/A")), _xlfn.IFS(L5="AS", J5+15, L5="NCR", J5+30, L5="submitted", J5+30, TRUE, "N/A"))</f>
        <v>N/A</v>
      </c>
      <c r="L5" s="759" t="s">
        <v>638</v>
      </c>
      <c r="M5" s="317"/>
      <c r="N5" s="799"/>
      <c r="O5" s="800"/>
      <c r="P5" s="800"/>
      <c r="Q5" s="801"/>
    </row>
    <row r="6" spans="1:17" s="1" customFormat="1" ht="25.5" customHeight="1">
      <c r="B6" s="182"/>
      <c r="C6" s="563" t="s">
        <v>2643</v>
      </c>
      <c r="D6" s="565" t="s">
        <v>2644</v>
      </c>
      <c r="E6" s="565"/>
      <c r="F6" s="565"/>
      <c r="G6" s="9" t="s">
        <v>2033</v>
      </c>
      <c r="H6" s="7" t="s">
        <v>2650</v>
      </c>
      <c r="I6" s="123"/>
      <c r="J6" s="183"/>
      <c r="K6" s="697" t="str" cm="1">
        <f t="array" ref="K6">IF(ISBLANK(J6), IF(ISBLANK(I6), "N/A", _xlfn.IFS(L6="AS", I6+15, L6="NCR", I6+30, L6="submitted", I6+30, TRUE, "N/A")), _xlfn.IFS(L6="AS", J6+15, L6="NCR", J6+30, L6="submitted", J6+30, TRUE, "N/A"))</f>
        <v>N/A</v>
      </c>
      <c r="L6" s="238"/>
      <c r="M6" s="317"/>
      <c r="N6" s="799"/>
      <c r="O6" s="800"/>
      <c r="P6" s="800"/>
      <c r="Q6" s="801"/>
    </row>
    <row r="7" spans="1:17" s="1" customFormat="1" ht="25.5" customHeight="1">
      <c r="B7" s="182"/>
      <c r="C7" s="563" t="s">
        <v>2643</v>
      </c>
      <c r="D7" s="565" t="s">
        <v>2644</v>
      </c>
      <c r="E7" s="565"/>
      <c r="F7" s="565"/>
      <c r="G7" s="9" t="s">
        <v>2037</v>
      </c>
      <c r="H7" s="7" t="s">
        <v>2651</v>
      </c>
      <c r="I7" s="123"/>
      <c r="J7" s="183"/>
      <c r="K7" s="697" t="str" cm="1">
        <f t="array" ref="K7">IF(ISBLANK(J7), IF(ISBLANK(I7), "N/A", _xlfn.IFS(L7="AS", I7+15, L7="NCR", I7+30, L7="submitted", I7+30, TRUE, "N/A")), _xlfn.IFS(L7="AS", J7+15, L7="NCR", J7+30, L7="submitted", J7+30, TRUE, "N/A"))</f>
        <v>N/A</v>
      </c>
      <c r="L7" s="238"/>
      <c r="M7" s="317"/>
      <c r="N7" s="802" t="s">
        <v>148</v>
      </c>
      <c r="O7" s="803"/>
      <c r="P7" s="803"/>
      <c r="Q7" s="804"/>
    </row>
    <row r="8" spans="1:17" s="1" customFormat="1" ht="12.75" customHeight="1">
      <c r="B8" s="182"/>
      <c r="C8" s="563" t="s">
        <v>2643</v>
      </c>
      <c r="D8" s="565" t="s">
        <v>2644</v>
      </c>
      <c r="E8" s="565"/>
      <c r="F8" s="565"/>
      <c r="G8" s="9" t="s">
        <v>2652</v>
      </c>
      <c r="H8" s="7" t="s">
        <v>2653</v>
      </c>
      <c r="I8" s="123"/>
      <c r="J8" s="183"/>
      <c r="K8" s="697" t="str" cm="1">
        <f t="array" ref="K8">IF(ISBLANK(J8), IF(ISBLANK(I8), "N/A", _xlfn.IFS(L8="AS", I8+15, L8="NCR", I8+30, L8="submitted", I8+30, TRUE, "N/A")), _xlfn.IFS(L8="AS", J8+15, L8="NCR", J8+30, L8="submitted", J8+30, TRUE, "N/A"))</f>
        <v>N/A</v>
      </c>
      <c r="L8" s="238"/>
      <c r="M8" s="317"/>
      <c r="N8" s="802"/>
      <c r="O8" s="803"/>
      <c r="P8" s="803"/>
      <c r="Q8" s="804"/>
    </row>
    <row r="9" spans="1:17" s="1" customFormat="1" ht="12.75" customHeight="1">
      <c r="B9" s="182"/>
      <c r="C9" s="563" t="s">
        <v>2643</v>
      </c>
      <c r="D9" s="565" t="s">
        <v>2644</v>
      </c>
      <c r="E9" s="565"/>
      <c r="F9" s="565"/>
      <c r="G9" s="9" t="s">
        <v>2654</v>
      </c>
      <c r="H9" s="7" t="s">
        <v>2655</v>
      </c>
      <c r="I9" s="123"/>
      <c r="J9" s="183"/>
      <c r="K9" s="697" t="str" cm="1">
        <f t="array" ref="K9">IF(ISBLANK(J9), IF(ISBLANK(I9), "N/A", _xlfn.IFS(L9="AS", I9+15, L9="NCR", I9+30, L9="submitted", I9+30, TRUE, "N/A")), _xlfn.IFS(L9="AS", J9+15, L9="NCR", J9+30, L9="submitted", J9+30, TRUE, "N/A"))</f>
        <v>N/A</v>
      </c>
      <c r="L9" s="140"/>
      <c r="M9" s="317"/>
      <c r="N9" s="802"/>
      <c r="O9" s="803"/>
      <c r="P9" s="803"/>
      <c r="Q9" s="804"/>
    </row>
    <row r="10" spans="1:17" s="1" customFormat="1" ht="14.25" customHeight="1">
      <c r="B10" s="182"/>
      <c r="C10" s="563" t="s">
        <v>2643</v>
      </c>
      <c r="D10" s="565" t="s">
        <v>2644</v>
      </c>
      <c r="E10" s="565"/>
      <c r="F10" s="565"/>
      <c r="G10" s="9" t="s">
        <v>2656</v>
      </c>
      <c r="H10" s="7" t="s">
        <v>2657</v>
      </c>
      <c r="I10" s="123"/>
      <c r="J10" s="183"/>
      <c r="K10" s="697" t="str" cm="1">
        <f t="array" ref="K10">IF(ISBLANK(J10), IF(ISBLANK(I10), "N/A", _xlfn.IFS(L10="AS", I10+15, L10="NCR", I10+30, L10="submitted", I10+30, TRUE, "N/A")), _xlfn.IFS(L10="AS", J10+15, L10="NCR", J10+30, L10="submitted", J10+30, TRUE, "N/A"))</f>
        <v>N/A</v>
      </c>
      <c r="L10" s="140"/>
      <c r="M10" s="317"/>
      <c r="N10" s="802"/>
      <c r="O10" s="803"/>
      <c r="P10" s="803"/>
      <c r="Q10" s="804"/>
    </row>
    <row r="11" spans="1:17" s="1" customFormat="1" ht="12.75" customHeight="1">
      <c r="B11" s="182"/>
      <c r="C11" s="563" t="s">
        <v>2643</v>
      </c>
      <c r="D11" s="565" t="s">
        <v>2644</v>
      </c>
      <c r="E11" s="565"/>
      <c r="F11" s="565"/>
      <c r="G11" s="9" t="s">
        <v>2658</v>
      </c>
      <c r="H11" s="7" t="s">
        <v>2659</v>
      </c>
      <c r="I11" s="123"/>
      <c r="J11" s="183"/>
      <c r="K11" s="697" t="str" cm="1">
        <f t="array" ref="K11">IF(ISBLANK(J11), IF(ISBLANK(I11), "N/A", _xlfn.IFS(L11="AS", I11+15, L11="NCR", I11+30, L11="submitted", I11+30, TRUE, "N/A")), _xlfn.IFS(L11="AS", J11+15, L11="NCR", J11+30, L11="submitted", J11+30, TRUE, "N/A"))</f>
        <v>N/A</v>
      </c>
      <c r="L11" s="140"/>
      <c r="M11" s="317"/>
      <c r="N11" s="802"/>
      <c r="O11" s="803"/>
      <c r="P11" s="803"/>
      <c r="Q11" s="804"/>
    </row>
    <row r="12" spans="1:17" s="1" customFormat="1" ht="25.5" customHeight="1">
      <c r="B12" s="182"/>
      <c r="C12" s="563" t="s">
        <v>2643</v>
      </c>
      <c r="D12" s="565" t="s">
        <v>2644</v>
      </c>
      <c r="E12" s="565"/>
      <c r="F12" s="565"/>
      <c r="G12" s="9" t="s">
        <v>2660</v>
      </c>
      <c r="H12" s="7" t="s">
        <v>2661</v>
      </c>
      <c r="I12" s="123"/>
      <c r="J12" s="183"/>
      <c r="K12" s="697" t="str" cm="1">
        <f t="array" ref="K12">IF(ISBLANK(J12), IF(ISBLANK(I12), "N/A", _xlfn.IFS(L12="AS", I12+15, L12="NCR", I12+30, L12="submitted", I12+30, TRUE, "N/A")), _xlfn.IFS(L12="AS", J12+15, L12="NCR", J12+30, L12="submitted", J12+30, TRUE, "N/A"))</f>
        <v>N/A</v>
      </c>
      <c r="L12" s="140"/>
      <c r="M12" s="318"/>
      <c r="N12" s="802"/>
      <c r="O12" s="803"/>
      <c r="P12" s="803"/>
      <c r="Q12" s="804"/>
    </row>
    <row r="13" spans="1:17" s="1" customFormat="1" ht="30" customHeight="1">
      <c r="B13" s="182"/>
      <c r="C13" s="563" t="s">
        <v>2643</v>
      </c>
      <c r="D13" s="565" t="s">
        <v>2644</v>
      </c>
      <c r="E13" s="565"/>
      <c r="F13" s="565"/>
      <c r="G13" s="9" t="s">
        <v>2662</v>
      </c>
      <c r="H13" s="7" t="s">
        <v>2663</v>
      </c>
      <c r="I13" s="123"/>
      <c r="J13" s="183"/>
      <c r="K13" s="697" t="str" cm="1">
        <f t="array" ref="K13">IF(ISBLANK(J13), IF(ISBLANK(I13), "N/A", _xlfn.IFS(L13="AS", I13+15, L13="NCR", I13+30, L13="submitted", I13+30, TRUE, "N/A")), _xlfn.IFS(L13="AS", J13+15, L13="NCR", J13+30, L13="submitted", J13+30, TRUE, "N/A"))</f>
        <v>N/A</v>
      </c>
      <c r="L13" s="140"/>
      <c r="M13" s="317"/>
      <c r="N13" s="802"/>
      <c r="O13" s="803"/>
      <c r="P13" s="803"/>
      <c r="Q13" s="804"/>
    </row>
    <row r="14" spans="1:17" s="1" customFormat="1" ht="12.75" customHeight="1">
      <c r="B14" s="182"/>
      <c r="C14" s="563" t="s">
        <v>2643</v>
      </c>
      <c r="D14" s="565" t="s">
        <v>2644</v>
      </c>
      <c r="E14" s="565"/>
      <c r="F14" s="565"/>
      <c r="G14" s="9" t="s">
        <v>2664</v>
      </c>
      <c r="H14" s="7" t="s">
        <v>2665</v>
      </c>
      <c r="I14" s="123"/>
      <c r="J14" s="183"/>
      <c r="K14" s="697" t="str" cm="1">
        <f t="array" ref="K14">IF(ISBLANK(J14), IF(ISBLANK(I14), "N/A", _xlfn.IFS(L14="AS", I14+15, L14="NCR", I14+30, L14="submitted", I14+30, TRUE, "N/A")), _xlfn.IFS(L14="AS", J14+15, L14="NCR", J14+30, L14="submitted", J14+30, TRUE, "N/A"))</f>
        <v>N/A</v>
      </c>
      <c r="L14" s="140"/>
      <c r="M14" s="317"/>
      <c r="N14" s="802"/>
      <c r="O14" s="803"/>
      <c r="P14" s="803"/>
      <c r="Q14" s="804"/>
    </row>
    <row r="15" spans="1:17" s="1" customFormat="1" ht="12.75" customHeight="1">
      <c r="B15" s="182"/>
      <c r="C15" s="563" t="s">
        <v>2643</v>
      </c>
      <c r="D15" s="565" t="s">
        <v>2644</v>
      </c>
      <c r="E15" s="565"/>
      <c r="F15" s="565"/>
      <c r="G15" s="9" t="s">
        <v>2666</v>
      </c>
      <c r="H15" s="7" t="s">
        <v>2667</v>
      </c>
      <c r="I15" s="123"/>
      <c r="J15" s="183"/>
      <c r="K15" s="697" t="str" cm="1">
        <f t="array" ref="K15">IF(ISBLANK(J15), IF(ISBLANK(I15), "N/A", _xlfn.IFS(L15="AS", I15+15, L15="NCR", I15+30, L15="submitted", I15+30, TRUE, "N/A")), _xlfn.IFS(L15="AS", J15+15, L15="NCR", J15+30, L15="submitted", J15+30, TRUE, "N/A"))</f>
        <v>N/A</v>
      </c>
      <c r="L15" s="140"/>
      <c r="M15" s="317"/>
      <c r="N15" s="802"/>
      <c r="O15" s="803"/>
      <c r="P15" s="803"/>
      <c r="Q15" s="804"/>
    </row>
    <row r="16" spans="1:17" s="1" customFormat="1" ht="12.75" customHeight="1">
      <c r="B16" s="182"/>
      <c r="C16" s="563" t="s">
        <v>2643</v>
      </c>
      <c r="D16" s="565" t="s">
        <v>2644</v>
      </c>
      <c r="E16" s="565"/>
      <c r="F16" s="565"/>
      <c r="G16" s="9" t="s">
        <v>2668</v>
      </c>
      <c r="H16" s="7" t="s">
        <v>2669</v>
      </c>
      <c r="I16" s="123"/>
      <c r="J16" s="183"/>
      <c r="K16" s="697" t="str" cm="1">
        <f t="array" ref="K16">IF(ISBLANK(J16), IF(ISBLANK(I16), "N/A", _xlfn.IFS(L16="AS", I16+15, L16="NCR", I16+30, L16="submitted", I16+30, TRUE, "N/A")), _xlfn.IFS(L16="AS", J16+15, L16="NCR", J16+30, L16="submitted", J16+30, TRUE, "N/A"))</f>
        <v>N/A</v>
      </c>
      <c r="L16" s="140"/>
      <c r="M16" s="317"/>
      <c r="N16" s="802"/>
      <c r="O16" s="803"/>
      <c r="P16" s="803"/>
      <c r="Q16" s="804"/>
    </row>
    <row r="17" spans="2:17" s="1" customFormat="1" ht="12.75" customHeight="1">
      <c r="B17" s="182"/>
      <c r="C17" s="563" t="s">
        <v>2643</v>
      </c>
      <c r="D17" s="565" t="s">
        <v>2644</v>
      </c>
      <c r="E17" s="565"/>
      <c r="F17" s="565"/>
      <c r="G17" s="9" t="s">
        <v>2670</v>
      </c>
      <c r="H17" s="7" t="s">
        <v>1814</v>
      </c>
      <c r="I17" s="123"/>
      <c r="J17" s="183"/>
      <c r="K17" s="697" t="str" cm="1">
        <f t="array" ref="K17">IF(ISBLANK(J17), IF(ISBLANK(I17), "N/A", _xlfn.IFS(L17="AS", I17+15, L17="NCR", I17+30, L17="submitted", I17+30, TRUE, "N/A")), _xlfn.IFS(L17="AS", J17+15, L17="NCR", J17+30, L17="submitted", J17+30, TRUE, "N/A"))</f>
        <v>N/A</v>
      </c>
      <c r="L17" s="140"/>
      <c r="M17" s="317"/>
      <c r="N17" s="802"/>
      <c r="O17" s="803"/>
      <c r="P17" s="803"/>
      <c r="Q17" s="804"/>
    </row>
    <row r="18" spans="2:17" s="1" customFormat="1" ht="15" customHeight="1">
      <c r="B18" s="182"/>
      <c r="C18" s="563" t="s">
        <v>2643</v>
      </c>
      <c r="D18" s="565" t="s">
        <v>2644</v>
      </c>
      <c r="E18" s="565"/>
      <c r="F18" s="565"/>
      <c r="G18" s="9" t="s">
        <v>2671</v>
      </c>
      <c r="H18" s="13" t="s">
        <v>2672</v>
      </c>
      <c r="I18" s="123"/>
      <c r="J18" s="183"/>
      <c r="K18" s="697" t="str" cm="1">
        <f t="array" ref="K18">IF(ISBLANK(J18), IF(ISBLANK(I18), "N/A", _xlfn.IFS(L18="AS", I18+15, L18="NCR", I18+30, L18="submitted", I18+30, TRUE, "N/A")), _xlfn.IFS(L18="AS", J18+15, L18="NCR", J18+30, L18="submitted", J18+30, TRUE, "N/A"))</f>
        <v>N/A</v>
      </c>
      <c r="L18" s="140"/>
      <c r="M18" s="317"/>
      <c r="N18" s="802"/>
      <c r="O18" s="803"/>
      <c r="P18" s="803"/>
      <c r="Q18" s="804"/>
    </row>
    <row r="19" spans="2:17" s="1" customFormat="1" ht="25.5" customHeight="1">
      <c r="B19" s="182"/>
      <c r="C19" s="563" t="s">
        <v>2643</v>
      </c>
      <c r="D19" s="565" t="s">
        <v>2644</v>
      </c>
      <c r="E19" s="565"/>
      <c r="F19" s="565"/>
      <c r="G19" s="9" t="s">
        <v>2673</v>
      </c>
      <c r="H19" s="7" t="s">
        <v>2674</v>
      </c>
      <c r="I19" s="123"/>
      <c r="J19" s="183"/>
      <c r="K19" s="697" t="str" cm="1">
        <f t="array" ref="K19">IF(ISBLANK(J19), IF(ISBLANK(I19), "N/A", _xlfn.IFS(L19="AS", I19+15, L19="NCR", I19+30, L19="submitted", I19+30, TRUE, "N/A")), _xlfn.IFS(L19="AS", J19+15, L19="NCR", J19+30, L19="submitted", J19+30, TRUE, "N/A"))</f>
        <v>N/A</v>
      </c>
      <c r="L19" s="140"/>
      <c r="M19" s="317"/>
      <c r="N19" s="802"/>
      <c r="O19" s="803"/>
      <c r="P19" s="803"/>
      <c r="Q19" s="804"/>
    </row>
    <row r="20" spans="2:17" s="1" customFormat="1" ht="38.25" customHeight="1">
      <c r="B20" s="182"/>
      <c r="C20" s="563" t="s">
        <v>2643</v>
      </c>
      <c r="D20" s="565" t="s">
        <v>2644</v>
      </c>
      <c r="E20" s="565"/>
      <c r="F20" s="565"/>
      <c r="G20" s="9" t="s">
        <v>2675</v>
      </c>
      <c r="H20" s="7" t="s">
        <v>2676</v>
      </c>
      <c r="I20" s="123"/>
      <c r="J20" s="183"/>
      <c r="K20" s="697" t="str" cm="1">
        <f t="array" ref="K20">IF(ISBLANK(J20), IF(ISBLANK(I20), "N/A", _xlfn.IFS(L20="AS", I20+15, L20="NCR", I20+30, L20="submitted", I20+30, TRUE, "N/A")), _xlfn.IFS(L20="AS", J20+15, L20="NCR", J20+30, L20="submitted", J20+30, TRUE, "N/A"))</f>
        <v>N/A</v>
      </c>
      <c r="L20" s="140"/>
      <c r="M20" s="317"/>
      <c r="N20" s="802"/>
      <c r="O20" s="803"/>
      <c r="P20" s="803"/>
      <c r="Q20" s="804"/>
    </row>
    <row r="21" spans="2:17" s="1" customFormat="1" ht="38.25" customHeight="1">
      <c r="B21" s="182"/>
      <c r="C21" s="563" t="s">
        <v>2643</v>
      </c>
      <c r="D21" s="565" t="s">
        <v>2644</v>
      </c>
      <c r="E21" s="565"/>
      <c r="F21" s="565"/>
      <c r="G21" s="9" t="s">
        <v>2677</v>
      </c>
      <c r="H21" s="7" t="s">
        <v>2678</v>
      </c>
      <c r="I21" s="123"/>
      <c r="J21" s="183"/>
      <c r="K21" s="697" t="str" cm="1">
        <f t="array" ref="K21">IF(ISBLANK(J21), IF(ISBLANK(I21), "N/A", _xlfn.IFS(L21="AS", I21+15, L21="NCR", I21+30, L21="submitted", I21+30, TRUE, "N/A")), _xlfn.IFS(L21="AS", J21+15, L21="NCR", J21+30, L21="submitted", J21+30, TRUE, "N/A"))</f>
        <v>N/A</v>
      </c>
      <c r="L21" s="140"/>
      <c r="M21" s="317"/>
      <c r="N21" s="802"/>
      <c r="O21" s="803"/>
      <c r="P21" s="803"/>
      <c r="Q21" s="804"/>
    </row>
    <row r="22" spans="2:17" s="1" customFormat="1" ht="48.75" customHeight="1">
      <c r="B22" s="182"/>
      <c r="C22" s="563" t="s">
        <v>2643</v>
      </c>
      <c r="D22" s="565" t="s">
        <v>2644</v>
      </c>
      <c r="E22" s="565"/>
      <c r="F22" s="565"/>
      <c r="G22" s="9" t="s">
        <v>2679</v>
      </c>
      <c r="H22" s="7" t="s">
        <v>2680</v>
      </c>
      <c r="I22" s="123"/>
      <c r="J22" s="183"/>
      <c r="K22" s="697" t="str" cm="1">
        <f t="array" ref="K22">IF(ISBLANK(J22), IF(ISBLANK(I22), "N/A", _xlfn.IFS(L22="AS", I22+15, L22="NCR", I22+30, L22="submitted", I22+30, TRUE, "N/A")), _xlfn.IFS(L22="AS", J22+15, L22="NCR", J22+30, L22="submitted", J22+30, TRUE, "N/A"))</f>
        <v>N/A</v>
      </c>
      <c r="L22" s="140"/>
      <c r="M22" s="317"/>
      <c r="N22" s="802"/>
      <c r="O22" s="803"/>
      <c r="P22" s="803"/>
      <c r="Q22" s="804"/>
    </row>
    <row r="23" spans="2:17" s="1" customFormat="1" ht="104.25" customHeight="1">
      <c r="B23" s="182"/>
      <c r="C23" s="563" t="s">
        <v>2643</v>
      </c>
      <c r="D23" s="565" t="s">
        <v>2644</v>
      </c>
      <c r="E23" s="566"/>
      <c r="F23" s="566"/>
      <c r="G23" s="9" t="s">
        <v>2681</v>
      </c>
      <c r="H23" s="7" t="s">
        <v>2682</v>
      </c>
      <c r="I23" s="123"/>
      <c r="J23" s="183"/>
      <c r="K23" s="697" t="str" cm="1">
        <f t="array" ref="K23">IF(ISBLANK(J23), IF(ISBLANK(I23), "N/A", _xlfn.IFS(L23="AS", I23+15, L23="NCR", I23+30, L23="submitted", I23+30, TRUE, "N/A")), _xlfn.IFS(L23="AS", J23+15, L23="NCR", J23+30, L23="submitted", J23+30, TRUE, "N/A"))</f>
        <v>N/A</v>
      </c>
      <c r="L23" s="140"/>
      <c r="M23" s="317"/>
      <c r="N23" s="802"/>
      <c r="O23" s="803"/>
      <c r="P23" s="803"/>
      <c r="Q23" s="804"/>
    </row>
    <row r="24" spans="2:17" ht="15" customHeight="1">
      <c r="C24" s="563"/>
      <c r="M24" s="317"/>
      <c r="N24" s="802"/>
      <c r="O24" s="803"/>
      <c r="P24" s="803"/>
      <c r="Q24" s="804"/>
    </row>
    <row r="25" spans="2:17" ht="15" customHeight="1">
      <c r="C25" s="563"/>
      <c r="M25" s="317"/>
      <c r="N25" s="802"/>
      <c r="O25" s="803"/>
      <c r="P25" s="803"/>
      <c r="Q25" s="804"/>
    </row>
    <row r="26" spans="2:17" ht="15" customHeight="1">
      <c r="M26" s="317"/>
      <c r="N26" s="802"/>
      <c r="O26" s="803"/>
      <c r="P26" s="803"/>
      <c r="Q26" s="804"/>
    </row>
    <row r="27" spans="2:17" ht="15" customHeight="1">
      <c r="M27" s="317"/>
      <c r="N27" s="802"/>
      <c r="O27" s="803"/>
      <c r="P27" s="803"/>
      <c r="Q27" s="804"/>
    </row>
    <row r="28" spans="2:17" ht="15" customHeight="1">
      <c r="M28" s="317"/>
      <c r="N28" s="802"/>
      <c r="O28" s="803"/>
      <c r="P28" s="803"/>
      <c r="Q28" s="804"/>
    </row>
    <row r="29" spans="2:17" ht="15" customHeight="1">
      <c r="M29" s="317"/>
      <c r="N29" s="802"/>
      <c r="O29" s="803"/>
      <c r="P29" s="803"/>
      <c r="Q29" s="804"/>
    </row>
    <row r="30" spans="2:17" ht="15" customHeight="1">
      <c r="M30" s="317"/>
      <c r="N30" s="802"/>
      <c r="O30" s="803"/>
      <c r="P30" s="803"/>
      <c r="Q30" s="804"/>
    </row>
    <row r="31" spans="2:17" ht="15" customHeight="1">
      <c r="M31" s="317"/>
      <c r="N31" s="802"/>
      <c r="O31" s="803"/>
      <c r="P31" s="803"/>
      <c r="Q31" s="804"/>
    </row>
    <row r="32" spans="2:17" ht="15" customHeight="1">
      <c r="M32" s="317"/>
      <c r="N32" s="802"/>
      <c r="O32" s="803"/>
      <c r="P32" s="803"/>
      <c r="Q32" s="804"/>
    </row>
    <row r="33" spans="14:17" ht="15" customHeight="1">
      <c r="N33" s="802"/>
      <c r="O33" s="803"/>
      <c r="P33" s="803"/>
      <c r="Q33" s="804"/>
    </row>
    <row r="34" spans="14:17" ht="15" customHeight="1">
      <c r="N34" s="802"/>
      <c r="O34" s="803"/>
      <c r="P34" s="803"/>
      <c r="Q34" s="804"/>
    </row>
    <row r="35" spans="14:17" ht="15" customHeight="1">
      <c r="N35" s="802"/>
      <c r="O35" s="803"/>
      <c r="P35" s="803"/>
      <c r="Q35" s="804"/>
    </row>
    <row r="36" spans="14:17" ht="15" customHeight="1">
      <c r="N36" s="802"/>
      <c r="O36" s="803"/>
      <c r="P36" s="803"/>
      <c r="Q36" s="804"/>
    </row>
    <row r="37" spans="14:17" ht="15" customHeight="1">
      <c r="N37" s="802"/>
      <c r="O37" s="803"/>
      <c r="P37" s="803"/>
      <c r="Q37" s="804"/>
    </row>
    <row r="38" spans="14:17" ht="15" customHeight="1">
      <c r="N38" s="802"/>
      <c r="O38" s="803"/>
      <c r="P38" s="803"/>
      <c r="Q38" s="804"/>
    </row>
    <row r="39" spans="14:17" ht="15" customHeight="1">
      <c r="N39" s="811"/>
      <c r="O39" s="812"/>
      <c r="P39" s="812"/>
      <c r="Q39" s="813"/>
    </row>
    <row r="40" spans="14:17" ht="15" customHeight="1">
      <c r="N40" s="796" t="s">
        <v>133</v>
      </c>
      <c r="O40" s="797"/>
      <c r="P40" s="797"/>
      <c r="Q40" s="798"/>
    </row>
    <row r="41" spans="14:17" ht="15" customHeight="1">
      <c r="N41" s="799"/>
      <c r="O41" s="800"/>
      <c r="P41" s="800"/>
      <c r="Q41" s="801"/>
    </row>
    <row r="42" spans="14:17" ht="15" customHeight="1">
      <c r="N42" s="799"/>
      <c r="O42" s="800"/>
      <c r="P42" s="800"/>
      <c r="Q42" s="801"/>
    </row>
    <row r="43" spans="14:17" ht="15" customHeight="1">
      <c r="N43" s="799"/>
      <c r="O43" s="800"/>
      <c r="P43" s="800"/>
      <c r="Q43" s="801"/>
    </row>
    <row r="44" spans="14:17" ht="15" customHeight="1">
      <c r="N44" s="799"/>
      <c r="O44" s="800"/>
      <c r="P44" s="800"/>
      <c r="Q44" s="801"/>
    </row>
    <row r="45" spans="14:17" ht="15" customHeight="1">
      <c r="N45" s="799"/>
      <c r="O45" s="800"/>
      <c r="P45" s="800"/>
      <c r="Q45" s="801"/>
    </row>
    <row r="46" spans="14:17" ht="15" customHeight="1">
      <c r="N46" s="799"/>
      <c r="O46" s="800"/>
      <c r="P46" s="800"/>
      <c r="Q46" s="801"/>
    </row>
    <row r="47" spans="14:17" ht="15" customHeight="1">
      <c r="N47" s="799"/>
      <c r="O47" s="800"/>
      <c r="P47" s="800"/>
      <c r="Q47" s="801"/>
    </row>
    <row r="48" spans="14:17" ht="15" customHeight="1">
      <c r="N48" s="802" t="s">
        <v>148</v>
      </c>
      <c r="O48" s="803"/>
      <c r="P48" s="803"/>
      <c r="Q48" s="804"/>
    </row>
    <row r="49" spans="14:17" ht="15" customHeight="1">
      <c r="N49" s="802"/>
      <c r="O49" s="803"/>
      <c r="P49" s="803"/>
      <c r="Q49" s="804"/>
    </row>
    <row r="50" spans="14:17" ht="15" customHeight="1">
      <c r="N50" s="802"/>
      <c r="O50" s="803"/>
      <c r="P50" s="803"/>
      <c r="Q50" s="804"/>
    </row>
    <row r="51" spans="14:17" ht="15" customHeight="1">
      <c r="N51" s="802"/>
      <c r="O51" s="803"/>
      <c r="P51" s="803"/>
      <c r="Q51" s="804"/>
    </row>
    <row r="52" spans="14:17" ht="15" customHeight="1">
      <c r="N52" s="802"/>
      <c r="O52" s="803"/>
      <c r="P52" s="803"/>
      <c r="Q52" s="804"/>
    </row>
    <row r="53" spans="14:17" ht="15" customHeight="1">
      <c r="N53" s="802"/>
      <c r="O53" s="803"/>
      <c r="P53" s="803"/>
      <c r="Q53" s="804"/>
    </row>
    <row r="54" spans="14:17" ht="15" customHeight="1">
      <c r="N54" s="802"/>
      <c r="O54" s="803"/>
      <c r="P54" s="803"/>
      <c r="Q54" s="804"/>
    </row>
    <row r="55" spans="14:17" ht="15" customHeight="1">
      <c r="N55" s="802"/>
      <c r="O55" s="803"/>
      <c r="P55" s="803"/>
      <c r="Q55" s="804"/>
    </row>
    <row r="56" spans="14:17" ht="15" customHeight="1">
      <c r="N56" s="802"/>
      <c r="O56" s="803"/>
      <c r="P56" s="803"/>
      <c r="Q56" s="804"/>
    </row>
    <row r="57" spans="14:17" ht="15" customHeight="1">
      <c r="N57" s="802"/>
      <c r="O57" s="803"/>
      <c r="P57" s="803"/>
      <c r="Q57" s="804"/>
    </row>
    <row r="58" spans="14:17" ht="15" customHeight="1">
      <c r="N58" s="802"/>
      <c r="O58" s="803"/>
      <c r="P58" s="803"/>
      <c r="Q58" s="804"/>
    </row>
    <row r="59" spans="14:17" ht="15" customHeight="1">
      <c r="N59" s="802"/>
      <c r="O59" s="803"/>
      <c r="P59" s="803"/>
      <c r="Q59" s="804"/>
    </row>
    <row r="60" spans="14:17" ht="15" customHeight="1">
      <c r="N60" s="802"/>
      <c r="O60" s="803"/>
      <c r="P60" s="803"/>
      <c r="Q60" s="804"/>
    </row>
    <row r="61" spans="14:17" ht="15" customHeight="1">
      <c r="N61" s="802"/>
      <c r="O61" s="803"/>
      <c r="P61" s="803"/>
      <c r="Q61" s="804"/>
    </row>
    <row r="62" spans="14:17" ht="15" customHeight="1">
      <c r="N62" s="802"/>
      <c r="O62" s="803"/>
      <c r="P62" s="803"/>
      <c r="Q62" s="804"/>
    </row>
    <row r="63" spans="14:17" ht="15" customHeight="1">
      <c r="N63" s="802"/>
      <c r="O63" s="803"/>
      <c r="P63" s="803"/>
      <c r="Q63" s="804"/>
    </row>
    <row r="64" spans="14:17" ht="15" customHeight="1">
      <c r="N64" s="802"/>
      <c r="O64" s="803"/>
      <c r="P64" s="803"/>
      <c r="Q64" s="804"/>
    </row>
    <row r="65" spans="14:17" ht="15" customHeight="1">
      <c r="N65" s="802"/>
      <c r="O65" s="803"/>
      <c r="P65" s="803"/>
      <c r="Q65" s="804"/>
    </row>
    <row r="66" spans="14:17" ht="15" customHeight="1">
      <c r="N66" s="802"/>
      <c r="O66" s="803"/>
      <c r="P66" s="803"/>
      <c r="Q66" s="804"/>
    </row>
    <row r="67" spans="14:17" ht="15" customHeight="1">
      <c r="N67" s="802"/>
      <c r="O67" s="803"/>
      <c r="P67" s="803"/>
      <c r="Q67" s="804"/>
    </row>
    <row r="68" spans="14:17" ht="15" customHeight="1">
      <c r="N68" s="802"/>
      <c r="O68" s="803"/>
      <c r="P68" s="803"/>
      <c r="Q68" s="804"/>
    </row>
    <row r="69" spans="14:17" ht="15" customHeight="1">
      <c r="N69" s="802"/>
      <c r="O69" s="803"/>
      <c r="P69" s="803"/>
      <c r="Q69" s="804"/>
    </row>
    <row r="70" spans="14:17" ht="15" customHeight="1">
      <c r="N70" s="802"/>
      <c r="O70" s="803"/>
      <c r="P70" s="803"/>
      <c r="Q70" s="804"/>
    </row>
    <row r="71" spans="14:17" ht="15" customHeight="1">
      <c r="N71" s="802"/>
      <c r="O71" s="803"/>
      <c r="P71" s="803"/>
      <c r="Q71" s="804"/>
    </row>
    <row r="72" spans="14:17" ht="15" customHeight="1">
      <c r="N72" s="802"/>
      <c r="O72" s="803"/>
      <c r="P72" s="803"/>
      <c r="Q72" s="804"/>
    </row>
    <row r="73" spans="14:17" ht="15" customHeight="1">
      <c r="N73" s="802"/>
      <c r="O73" s="803"/>
      <c r="P73" s="803"/>
      <c r="Q73" s="804"/>
    </row>
    <row r="74" spans="14:17" ht="15" customHeight="1">
      <c r="N74" s="802"/>
      <c r="O74" s="803"/>
      <c r="P74" s="803"/>
      <c r="Q74" s="804"/>
    </row>
    <row r="75" spans="14:17" ht="15" customHeight="1">
      <c r="N75" s="802"/>
      <c r="O75" s="803"/>
      <c r="P75" s="803"/>
      <c r="Q75" s="804"/>
    </row>
    <row r="76" spans="14:17" ht="15" customHeight="1">
      <c r="N76" s="802"/>
      <c r="O76" s="803"/>
      <c r="P76" s="803"/>
      <c r="Q76" s="804"/>
    </row>
    <row r="77" spans="14:17" ht="15" customHeight="1">
      <c r="N77" s="802"/>
      <c r="O77" s="803"/>
      <c r="P77" s="803"/>
      <c r="Q77" s="804"/>
    </row>
    <row r="78" spans="14:17" ht="15" customHeight="1">
      <c r="N78" s="802"/>
      <c r="O78" s="803"/>
      <c r="P78" s="803"/>
      <c r="Q78" s="804"/>
    </row>
    <row r="79" spans="14:17" ht="15" customHeight="1">
      <c r="N79" s="802"/>
      <c r="O79" s="803"/>
      <c r="P79" s="803"/>
      <c r="Q79" s="804"/>
    </row>
    <row r="80" spans="14:17" ht="15" customHeight="1">
      <c r="N80" s="802"/>
      <c r="O80" s="803"/>
      <c r="P80" s="803"/>
      <c r="Q80" s="804"/>
    </row>
    <row r="81" spans="14:17" ht="15" customHeight="1">
      <c r="N81" s="802"/>
      <c r="O81" s="803"/>
      <c r="P81" s="803"/>
      <c r="Q81" s="804"/>
    </row>
    <row r="82" spans="14:17" ht="15" customHeight="1">
      <c r="N82" s="802"/>
      <c r="O82" s="803"/>
      <c r="P82" s="803"/>
      <c r="Q82" s="804"/>
    </row>
    <row r="83" spans="14:17" ht="15" customHeight="1">
      <c r="N83" s="802"/>
      <c r="O83" s="803"/>
      <c r="P83" s="803"/>
      <c r="Q83" s="804"/>
    </row>
    <row r="84" spans="14:17" ht="15" customHeight="1">
      <c r="N84" s="802"/>
      <c r="O84" s="803"/>
      <c r="P84" s="803"/>
      <c r="Q84" s="804"/>
    </row>
    <row r="85" spans="14:17" ht="15" customHeight="1">
      <c r="N85" s="802"/>
      <c r="O85" s="803"/>
      <c r="P85" s="803"/>
      <c r="Q85" s="804"/>
    </row>
    <row r="86" spans="14:17" ht="15" customHeight="1">
      <c r="N86" s="802"/>
      <c r="O86" s="803"/>
      <c r="P86" s="803"/>
      <c r="Q86" s="804"/>
    </row>
    <row r="87" spans="14:17" ht="15" customHeight="1">
      <c r="N87" s="802"/>
      <c r="O87" s="803"/>
      <c r="P87" s="803"/>
      <c r="Q87" s="804"/>
    </row>
    <row r="88" spans="14:17" ht="15" customHeight="1">
      <c r="N88" s="802"/>
      <c r="O88" s="803"/>
      <c r="P88" s="803"/>
      <c r="Q88" s="804"/>
    </row>
    <row r="89" spans="14:17" ht="15" customHeight="1">
      <c r="N89" s="802"/>
      <c r="O89" s="803"/>
      <c r="P89" s="803"/>
      <c r="Q89" s="804"/>
    </row>
    <row r="90" spans="14:17" ht="15" customHeight="1">
      <c r="N90" s="802"/>
      <c r="O90" s="803"/>
      <c r="P90" s="803"/>
      <c r="Q90" s="804"/>
    </row>
    <row r="91" spans="14:17" ht="15" customHeight="1">
      <c r="N91" s="802"/>
      <c r="O91" s="803"/>
      <c r="P91" s="803"/>
      <c r="Q91" s="804"/>
    </row>
    <row r="92" spans="14:17" ht="15" customHeight="1">
      <c r="N92" s="802"/>
      <c r="O92" s="803"/>
      <c r="P92" s="803"/>
      <c r="Q92" s="804"/>
    </row>
    <row r="93" spans="14:17" ht="15" customHeight="1">
      <c r="N93" s="802"/>
      <c r="O93" s="803"/>
      <c r="P93" s="803"/>
      <c r="Q93" s="804"/>
    </row>
    <row r="94" spans="14:17" ht="15" customHeight="1">
      <c r="N94" s="802"/>
      <c r="O94" s="803"/>
      <c r="P94" s="803"/>
      <c r="Q94" s="804"/>
    </row>
    <row r="95" spans="14:17" ht="15" customHeight="1">
      <c r="N95" s="802"/>
      <c r="O95" s="803"/>
      <c r="P95" s="803"/>
      <c r="Q95" s="804"/>
    </row>
    <row r="96" spans="14:17" ht="15" customHeight="1">
      <c r="N96" s="802"/>
      <c r="O96" s="803"/>
      <c r="P96" s="803"/>
      <c r="Q96" s="804"/>
    </row>
    <row r="97" spans="14:17" ht="15" customHeight="1">
      <c r="N97" s="802"/>
      <c r="O97" s="803"/>
      <c r="P97" s="803"/>
      <c r="Q97" s="804"/>
    </row>
    <row r="98" spans="14:17" ht="15" customHeight="1">
      <c r="N98" s="802"/>
      <c r="O98" s="803"/>
      <c r="P98" s="803"/>
      <c r="Q98" s="804"/>
    </row>
    <row r="99" spans="14:17" ht="15" customHeight="1">
      <c r="N99" s="802"/>
      <c r="O99" s="803"/>
      <c r="P99" s="803"/>
      <c r="Q99" s="804"/>
    </row>
    <row r="100" spans="14:17" ht="15" customHeight="1">
      <c r="N100" s="802"/>
      <c r="O100" s="803"/>
      <c r="P100" s="803"/>
      <c r="Q100" s="804"/>
    </row>
    <row r="101" spans="14:17" ht="15" customHeight="1">
      <c r="N101" s="802"/>
      <c r="O101" s="803"/>
      <c r="P101" s="803"/>
      <c r="Q101" s="804"/>
    </row>
    <row r="102" spans="14:17" ht="15" customHeight="1">
      <c r="N102" s="802"/>
      <c r="O102" s="803"/>
      <c r="P102" s="803"/>
      <c r="Q102" s="804"/>
    </row>
    <row r="103" spans="14:17" ht="15" customHeight="1">
      <c r="N103" s="802"/>
      <c r="O103" s="803"/>
      <c r="P103" s="803"/>
      <c r="Q103" s="804"/>
    </row>
    <row r="104" spans="14:17" ht="15" customHeight="1">
      <c r="N104" s="802"/>
      <c r="O104" s="803"/>
      <c r="P104" s="803"/>
      <c r="Q104" s="804"/>
    </row>
    <row r="105" spans="14:17" ht="15" customHeight="1">
      <c r="N105" s="802"/>
      <c r="O105" s="803"/>
      <c r="P105" s="803"/>
      <c r="Q105" s="804"/>
    </row>
    <row r="106" spans="14:17" ht="15" customHeight="1">
      <c r="N106" s="802"/>
      <c r="O106" s="803"/>
      <c r="P106" s="803"/>
      <c r="Q106" s="804"/>
    </row>
    <row r="107" spans="14:17" ht="15" customHeight="1">
      <c r="N107" s="802"/>
      <c r="O107" s="803"/>
      <c r="P107" s="803"/>
      <c r="Q107" s="804"/>
    </row>
    <row r="108" spans="14:17" ht="15" customHeight="1">
      <c r="N108" s="802"/>
      <c r="O108" s="803"/>
      <c r="P108" s="803"/>
      <c r="Q108" s="804"/>
    </row>
    <row r="109" spans="14:17" ht="15" customHeight="1">
      <c r="N109" s="802"/>
      <c r="O109" s="803"/>
      <c r="P109" s="803"/>
      <c r="Q109" s="804"/>
    </row>
    <row r="110" spans="14:17" ht="15" customHeight="1">
      <c r="N110" s="802"/>
      <c r="O110" s="803"/>
      <c r="P110" s="803"/>
      <c r="Q110" s="804"/>
    </row>
    <row r="111" spans="14:17" ht="15" customHeight="1">
      <c r="N111" s="802"/>
      <c r="O111" s="803"/>
      <c r="P111" s="803"/>
      <c r="Q111" s="804"/>
    </row>
    <row r="112" spans="14:17" ht="15" customHeight="1">
      <c r="N112" s="802"/>
      <c r="O112" s="803"/>
      <c r="P112" s="803"/>
      <c r="Q112" s="804"/>
    </row>
    <row r="113" spans="14:17" ht="15" customHeight="1">
      <c r="N113" s="802"/>
      <c r="O113" s="803"/>
      <c r="P113" s="803"/>
      <c r="Q113" s="804"/>
    </row>
    <row r="114" spans="14:17" ht="15" customHeight="1">
      <c r="N114" s="802"/>
      <c r="O114" s="803"/>
      <c r="P114" s="803"/>
      <c r="Q114" s="804"/>
    </row>
    <row r="115" spans="14:17" ht="15" customHeight="1">
      <c r="N115" s="802"/>
      <c r="O115" s="803"/>
      <c r="P115" s="803"/>
      <c r="Q115" s="804"/>
    </row>
    <row r="116" spans="14:17" ht="15" customHeight="1">
      <c r="N116" s="802"/>
      <c r="O116" s="803"/>
      <c r="P116" s="803"/>
      <c r="Q116" s="804"/>
    </row>
    <row r="117" spans="14:17" ht="15" customHeight="1">
      <c r="N117" s="802"/>
      <c r="O117" s="803"/>
      <c r="P117" s="803"/>
      <c r="Q117" s="804"/>
    </row>
    <row r="118" spans="14:17" ht="15" customHeight="1">
      <c r="N118" s="802"/>
      <c r="O118" s="803"/>
      <c r="P118" s="803"/>
      <c r="Q118" s="804"/>
    </row>
    <row r="119" spans="14:17" ht="15" customHeight="1">
      <c r="N119" s="802"/>
      <c r="O119" s="803"/>
      <c r="P119" s="803"/>
      <c r="Q119" s="804"/>
    </row>
    <row r="120" spans="14:17" ht="15" customHeight="1">
      <c r="N120" s="796" t="s">
        <v>133</v>
      </c>
      <c r="O120" s="797"/>
      <c r="P120" s="797"/>
      <c r="Q120" s="798"/>
    </row>
    <row r="121" spans="14:17" ht="15" customHeight="1">
      <c r="N121" s="799"/>
      <c r="O121" s="800"/>
      <c r="P121" s="800"/>
      <c r="Q121" s="801"/>
    </row>
    <row r="122" spans="14:17" ht="15" customHeight="1">
      <c r="N122" s="799"/>
      <c r="O122" s="800"/>
      <c r="P122" s="800"/>
      <c r="Q122" s="801"/>
    </row>
    <row r="123" spans="14:17" ht="15" customHeight="1">
      <c r="N123" s="799"/>
      <c r="O123" s="800"/>
      <c r="P123" s="800"/>
      <c r="Q123" s="801"/>
    </row>
    <row r="124" spans="14:17" ht="15" customHeight="1">
      <c r="N124" s="799"/>
      <c r="O124" s="800"/>
      <c r="P124" s="800"/>
      <c r="Q124" s="801"/>
    </row>
    <row r="125" spans="14:17" ht="15" customHeight="1">
      <c r="N125" s="799"/>
      <c r="O125" s="800"/>
      <c r="P125" s="800"/>
      <c r="Q125" s="801"/>
    </row>
    <row r="126" spans="14:17" ht="15" customHeight="1">
      <c r="N126" s="799"/>
      <c r="O126" s="800"/>
      <c r="P126" s="800"/>
      <c r="Q126" s="801"/>
    </row>
    <row r="127" spans="14:17" ht="15" customHeight="1">
      <c r="N127" s="799"/>
      <c r="O127" s="800"/>
      <c r="P127" s="800"/>
      <c r="Q127" s="801"/>
    </row>
    <row r="128" spans="14:17" ht="15" customHeight="1">
      <c r="N128" s="802" t="s">
        <v>148</v>
      </c>
      <c r="O128" s="803"/>
      <c r="P128" s="803"/>
      <c r="Q128" s="804"/>
    </row>
    <row r="129" spans="14:17" ht="15" customHeight="1">
      <c r="N129" s="802"/>
      <c r="O129" s="803"/>
      <c r="P129" s="803"/>
      <c r="Q129" s="804"/>
    </row>
    <row r="130" spans="14:17" ht="15" customHeight="1">
      <c r="N130" s="802"/>
      <c r="O130" s="803"/>
      <c r="P130" s="803"/>
      <c r="Q130" s="804"/>
    </row>
    <row r="131" spans="14:17" ht="15" customHeight="1">
      <c r="N131" s="802"/>
      <c r="O131" s="803"/>
      <c r="P131" s="803"/>
      <c r="Q131" s="804"/>
    </row>
    <row r="132" spans="14:17" ht="15" customHeight="1">
      <c r="N132" s="802"/>
      <c r="O132" s="803"/>
      <c r="P132" s="803"/>
      <c r="Q132" s="804"/>
    </row>
    <row r="133" spans="14:17" ht="15" customHeight="1">
      <c r="N133" s="802"/>
      <c r="O133" s="803"/>
      <c r="P133" s="803"/>
      <c r="Q133" s="804"/>
    </row>
    <row r="134" spans="14:17" ht="15" customHeight="1">
      <c r="N134" s="802"/>
      <c r="O134" s="803"/>
      <c r="P134" s="803"/>
      <c r="Q134" s="804"/>
    </row>
    <row r="135" spans="14:17" ht="15" customHeight="1">
      <c r="N135" s="802"/>
      <c r="O135" s="803"/>
      <c r="P135" s="803"/>
      <c r="Q135" s="804"/>
    </row>
    <row r="136" spans="14:17" ht="15" customHeight="1">
      <c r="N136" s="802"/>
      <c r="O136" s="803"/>
      <c r="P136" s="803"/>
      <c r="Q136" s="804"/>
    </row>
    <row r="137" spans="14:17" ht="15" customHeight="1">
      <c r="N137" s="802"/>
      <c r="O137" s="803"/>
      <c r="P137" s="803"/>
      <c r="Q137" s="804"/>
    </row>
    <row r="138" spans="14:17" ht="15" customHeight="1">
      <c r="N138" s="802"/>
      <c r="O138" s="803"/>
      <c r="P138" s="803"/>
      <c r="Q138" s="804"/>
    </row>
    <row r="139" spans="14:17" ht="15" customHeight="1">
      <c r="N139" s="802"/>
      <c r="O139" s="803"/>
      <c r="P139" s="803"/>
      <c r="Q139" s="804"/>
    </row>
    <row r="140" spans="14:17" ht="15" customHeight="1">
      <c r="N140" s="802"/>
      <c r="O140" s="803"/>
      <c r="P140" s="803"/>
      <c r="Q140" s="804"/>
    </row>
    <row r="141" spans="14:17" ht="15" customHeight="1">
      <c r="N141" s="802"/>
      <c r="O141" s="803"/>
      <c r="P141" s="803"/>
      <c r="Q141" s="804"/>
    </row>
    <row r="142" spans="14:17" ht="15" customHeight="1">
      <c r="N142" s="802"/>
      <c r="O142" s="803"/>
      <c r="P142" s="803"/>
      <c r="Q142" s="804"/>
    </row>
    <row r="143" spans="14:17" ht="15" customHeight="1">
      <c r="N143" s="802"/>
      <c r="O143" s="803"/>
      <c r="P143" s="803"/>
      <c r="Q143" s="804"/>
    </row>
    <row r="144" spans="14:17" ht="15" customHeight="1">
      <c r="N144" s="802"/>
      <c r="O144" s="803"/>
      <c r="P144" s="803"/>
      <c r="Q144" s="804"/>
    </row>
    <row r="145" spans="14:17" ht="15" customHeight="1">
      <c r="N145" s="802"/>
      <c r="O145" s="803"/>
      <c r="P145" s="803"/>
      <c r="Q145" s="804"/>
    </row>
    <row r="146" spans="14:17" ht="15" customHeight="1">
      <c r="N146" s="802"/>
      <c r="O146" s="803"/>
      <c r="P146" s="803"/>
      <c r="Q146" s="804"/>
    </row>
    <row r="147" spans="14:17" ht="15" customHeight="1">
      <c r="N147" s="802"/>
      <c r="O147" s="803"/>
      <c r="P147" s="803"/>
      <c r="Q147" s="804"/>
    </row>
    <row r="148" spans="14:17" ht="15" customHeight="1">
      <c r="N148" s="802"/>
      <c r="O148" s="803"/>
      <c r="P148" s="803"/>
      <c r="Q148" s="804"/>
    </row>
    <row r="149" spans="14:17" ht="15" customHeight="1">
      <c r="N149" s="802"/>
      <c r="O149" s="803"/>
      <c r="P149" s="803"/>
      <c r="Q149" s="804"/>
    </row>
    <row r="150" spans="14:17" ht="15" customHeight="1">
      <c r="N150" s="802"/>
      <c r="O150" s="803"/>
      <c r="P150" s="803"/>
      <c r="Q150" s="804"/>
    </row>
    <row r="151" spans="14:17" ht="15" customHeight="1">
      <c r="N151" s="802"/>
      <c r="O151" s="803"/>
      <c r="P151" s="803"/>
      <c r="Q151" s="804"/>
    </row>
    <row r="152" spans="14:17" ht="15" customHeight="1">
      <c r="N152" s="802"/>
      <c r="O152" s="803"/>
      <c r="P152" s="803"/>
      <c r="Q152" s="804"/>
    </row>
    <row r="153" spans="14:17" ht="15" customHeight="1">
      <c r="N153" s="802"/>
      <c r="O153" s="803"/>
      <c r="P153" s="803"/>
      <c r="Q153" s="804"/>
    </row>
    <row r="154" spans="14:17" ht="15" customHeight="1">
      <c r="N154" s="802"/>
      <c r="O154" s="803"/>
      <c r="P154" s="803"/>
      <c r="Q154" s="804"/>
    </row>
    <row r="155" spans="14:17" ht="15" customHeight="1">
      <c r="N155" s="802"/>
      <c r="O155" s="803"/>
      <c r="P155" s="803"/>
      <c r="Q155" s="804"/>
    </row>
    <row r="156" spans="14:17" ht="15" customHeight="1">
      <c r="N156" s="802"/>
      <c r="O156" s="803"/>
      <c r="P156" s="803"/>
      <c r="Q156" s="804"/>
    </row>
    <row r="157" spans="14:17" ht="15" customHeight="1">
      <c r="N157" s="802"/>
      <c r="O157" s="803"/>
      <c r="P157" s="803"/>
      <c r="Q157" s="804"/>
    </row>
    <row r="158" spans="14:17" ht="15" customHeight="1">
      <c r="N158" s="802"/>
      <c r="O158" s="803"/>
      <c r="P158" s="803"/>
      <c r="Q158" s="804"/>
    </row>
    <row r="159" spans="14:17" ht="15" customHeight="1">
      <c r="N159" s="802"/>
      <c r="O159" s="803"/>
      <c r="P159" s="803"/>
      <c r="Q159" s="804"/>
    </row>
    <row r="160" spans="14:17" ht="15" customHeight="1">
      <c r="N160" s="802"/>
      <c r="O160" s="803"/>
      <c r="P160" s="803"/>
      <c r="Q160" s="804"/>
    </row>
    <row r="161" spans="14:17" ht="15" customHeight="1">
      <c r="N161" s="802"/>
      <c r="O161" s="803"/>
      <c r="P161" s="803"/>
      <c r="Q161" s="804"/>
    </row>
    <row r="162" spans="14:17" ht="15" customHeight="1">
      <c r="N162" s="802"/>
      <c r="O162" s="803"/>
      <c r="P162" s="803"/>
      <c r="Q162" s="804"/>
    </row>
    <row r="163" spans="14:17" ht="15" customHeight="1">
      <c r="N163" s="802"/>
      <c r="O163" s="803"/>
      <c r="P163" s="803"/>
      <c r="Q163" s="804"/>
    </row>
    <row r="164" spans="14:17" ht="15" customHeight="1">
      <c r="N164" s="802"/>
      <c r="O164" s="803"/>
      <c r="P164" s="803"/>
      <c r="Q164" s="804"/>
    </row>
    <row r="165" spans="14:17" ht="15" customHeight="1">
      <c r="N165" s="802"/>
      <c r="O165" s="803"/>
      <c r="P165" s="803"/>
      <c r="Q165" s="804"/>
    </row>
    <row r="166" spans="14:17" ht="15" customHeight="1">
      <c r="N166" s="802"/>
      <c r="O166" s="803"/>
      <c r="P166" s="803"/>
      <c r="Q166" s="804"/>
    </row>
    <row r="167" spans="14:17" ht="15" customHeight="1">
      <c r="N167" s="802"/>
      <c r="O167" s="803"/>
      <c r="P167" s="803"/>
      <c r="Q167" s="804"/>
    </row>
    <row r="168" spans="14:17" ht="15" customHeight="1">
      <c r="N168" s="802"/>
      <c r="O168" s="803"/>
      <c r="P168" s="803"/>
      <c r="Q168" s="804"/>
    </row>
    <row r="169" spans="14:17" ht="15" customHeight="1">
      <c r="N169" s="802"/>
      <c r="O169" s="803"/>
      <c r="P169" s="803"/>
      <c r="Q169" s="804"/>
    </row>
    <row r="170" spans="14:17" ht="15" customHeight="1">
      <c r="N170" s="802"/>
      <c r="O170" s="803"/>
      <c r="P170" s="803"/>
      <c r="Q170" s="804"/>
    </row>
    <row r="171" spans="14:17" ht="15" customHeight="1">
      <c r="N171" s="802"/>
      <c r="O171" s="803"/>
      <c r="P171" s="803"/>
      <c r="Q171" s="804"/>
    </row>
    <row r="172" spans="14:17" ht="15" customHeight="1">
      <c r="N172" s="802"/>
      <c r="O172" s="803"/>
      <c r="P172" s="803"/>
      <c r="Q172" s="804"/>
    </row>
    <row r="173" spans="14:17" ht="15" customHeight="1">
      <c r="N173" s="802"/>
      <c r="O173" s="803"/>
      <c r="P173" s="803"/>
      <c r="Q173" s="804"/>
    </row>
    <row r="174" spans="14:17" ht="15" customHeight="1">
      <c r="N174" s="802"/>
      <c r="O174" s="803"/>
      <c r="P174" s="803"/>
      <c r="Q174" s="804"/>
    </row>
    <row r="175" spans="14:17" ht="15" customHeight="1">
      <c r="N175" s="802"/>
      <c r="O175" s="803"/>
      <c r="P175" s="803"/>
      <c r="Q175" s="804"/>
    </row>
    <row r="176" spans="14:17" ht="15" customHeight="1">
      <c r="N176" s="802"/>
      <c r="O176" s="803"/>
      <c r="P176" s="803"/>
      <c r="Q176" s="804"/>
    </row>
    <row r="177" spans="14:17" ht="15" customHeight="1">
      <c r="N177" s="802"/>
      <c r="O177" s="803"/>
      <c r="P177" s="803"/>
      <c r="Q177" s="804"/>
    </row>
    <row r="178" spans="14:17" ht="15" customHeight="1">
      <c r="N178" s="802"/>
      <c r="O178" s="803"/>
      <c r="P178" s="803"/>
      <c r="Q178" s="804"/>
    </row>
    <row r="179" spans="14:17" ht="15" customHeight="1">
      <c r="N179" s="802"/>
      <c r="O179" s="803"/>
      <c r="P179" s="803"/>
      <c r="Q179" s="804"/>
    </row>
    <row r="180" spans="14:17" ht="15" customHeight="1">
      <c r="N180" s="802"/>
      <c r="O180" s="803"/>
      <c r="P180" s="803"/>
      <c r="Q180" s="804"/>
    </row>
    <row r="181" spans="14:17" ht="15" customHeight="1">
      <c r="N181" s="802"/>
      <c r="O181" s="803"/>
      <c r="P181" s="803"/>
      <c r="Q181" s="804"/>
    </row>
    <row r="182" spans="14:17" ht="15" customHeight="1">
      <c r="N182" s="802"/>
      <c r="O182" s="803"/>
      <c r="P182" s="803"/>
      <c r="Q182" s="804"/>
    </row>
    <row r="183" spans="14:17" ht="15" customHeight="1">
      <c r="N183" s="802"/>
      <c r="O183" s="803"/>
      <c r="P183" s="803"/>
      <c r="Q183" s="804"/>
    </row>
    <row r="184" spans="14:17" ht="15" customHeight="1">
      <c r="N184" s="802"/>
      <c r="O184" s="803"/>
      <c r="P184" s="803"/>
      <c r="Q184" s="804"/>
    </row>
    <row r="185" spans="14:17" ht="15" customHeight="1">
      <c r="N185" s="802"/>
      <c r="O185" s="803"/>
      <c r="P185" s="803"/>
      <c r="Q185" s="804"/>
    </row>
    <row r="186" spans="14:17" ht="15" customHeight="1">
      <c r="N186" s="802"/>
      <c r="O186" s="803"/>
      <c r="P186" s="803"/>
      <c r="Q186" s="804"/>
    </row>
    <row r="187" spans="14:17" ht="15" customHeight="1">
      <c r="N187" s="802"/>
      <c r="O187" s="803"/>
      <c r="P187" s="803"/>
      <c r="Q187" s="804"/>
    </row>
    <row r="188" spans="14:17" ht="15" customHeight="1">
      <c r="N188" s="802"/>
      <c r="O188" s="803"/>
      <c r="P188" s="803"/>
      <c r="Q188" s="804"/>
    </row>
    <row r="189" spans="14:17" ht="15" customHeight="1">
      <c r="N189" s="802"/>
      <c r="O189" s="803"/>
      <c r="P189" s="803"/>
      <c r="Q189" s="804"/>
    </row>
    <row r="190" spans="14:17" ht="15" customHeight="1">
      <c r="N190" s="802"/>
      <c r="O190" s="803"/>
      <c r="P190" s="803"/>
      <c r="Q190" s="804"/>
    </row>
    <row r="191" spans="14:17" ht="15" customHeight="1">
      <c r="N191" s="802"/>
      <c r="O191" s="803"/>
      <c r="P191" s="803"/>
      <c r="Q191" s="804"/>
    </row>
    <row r="192" spans="14:17" ht="15" customHeight="1">
      <c r="N192" s="802"/>
      <c r="O192" s="803"/>
      <c r="P192" s="803"/>
      <c r="Q192" s="804"/>
    </row>
    <row r="193" spans="14:17" ht="15" customHeight="1">
      <c r="N193" s="802"/>
      <c r="O193" s="803"/>
      <c r="P193" s="803"/>
      <c r="Q193" s="804"/>
    </row>
    <row r="194" spans="14:17" ht="15" customHeight="1">
      <c r="N194" s="802"/>
      <c r="O194" s="803"/>
      <c r="P194" s="803"/>
      <c r="Q194" s="804"/>
    </row>
    <row r="195" spans="14:17" ht="15" customHeight="1">
      <c r="N195" s="802"/>
      <c r="O195" s="803"/>
      <c r="P195" s="803"/>
      <c r="Q195" s="804"/>
    </row>
    <row r="196" spans="14:17" ht="15" customHeight="1">
      <c r="N196" s="802"/>
      <c r="O196" s="803"/>
      <c r="P196" s="803"/>
      <c r="Q196" s="804"/>
    </row>
    <row r="197" spans="14:17" ht="15" customHeight="1">
      <c r="N197" s="802"/>
      <c r="O197" s="803"/>
      <c r="P197" s="803"/>
      <c r="Q197" s="804"/>
    </row>
    <row r="198" spans="14:17" ht="15" customHeight="1">
      <c r="N198" s="802"/>
      <c r="O198" s="803"/>
      <c r="P198" s="803"/>
      <c r="Q198" s="804"/>
    </row>
    <row r="199" spans="14:17" ht="15" customHeight="1">
      <c r="N199" s="802"/>
      <c r="O199" s="803"/>
      <c r="P199" s="803"/>
      <c r="Q199" s="804"/>
    </row>
    <row r="200" spans="14:17" ht="15" customHeight="1">
      <c r="N200" s="802"/>
      <c r="O200" s="803"/>
      <c r="P200" s="803"/>
      <c r="Q200" s="804"/>
    </row>
    <row r="201" spans="14:17" ht="15" customHeight="1">
      <c r="N201" s="802"/>
      <c r="O201" s="803"/>
      <c r="P201" s="803"/>
      <c r="Q201" s="804"/>
    </row>
    <row r="202" spans="14:17" ht="15" customHeight="1">
      <c r="N202" s="802"/>
      <c r="O202" s="803"/>
      <c r="P202" s="803"/>
      <c r="Q202" s="804"/>
    </row>
    <row r="203" spans="14:17" ht="15" customHeight="1">
      <c r="N203" s="796" t="s">
        <v>133</v>
      </c>
      <c r="O203" s="797"/>
      <c r="P203" s="797"/>
      <c r="Q203" s="798"/>
    </row>
    <row r="204" spans="14:17" ht="15" customHeight="1">
      <c r="N204" s="799"/>
      <c r="O204" s="800"/>
      <c r="P204" s="800"/>
      <c r="Q204" s="801"/>
    </row>
    <row r="205" spans="14:17" ht="15" customHeight="1">
      <c r="N205" s="799"/>
      <c r="O205" s="800"/>
      <c r="P205" s="800"/>
      <c r="Q205" s="801"/>
    </row>
    <row r="206" spans="14:17" ht="15" customHeight="1">
      <c r="N206" s="799"/>
      <c r="O206" s="800"/>
      <c r="P206" s="800"/>
      <c r="Q206" s="801"/>
    </row>
    <row r="207" spans="14:17" ht="15" customHeight="1">
      <c r="N207" s="799"/>
      <c r="O207" s="800"/>
      <c r="P207" s="800"/>
      <c r="Q207" s="801"/>
    </row>
    <row r="208" spans="14:17" ht="15" customHeight="1">
      <c r="N208" s="799"/>
      <c r="O208" s="800"/>
      <c r="P208" s="800"/>
      <c r="Q208" s="801"/>
    </row>
    <row r="209" spans="14:17" ht="15" customHeight="1">
      <c r="N209" s="799"/>
      <c r="O209" s="800"/>
      <c r="P209" s="800"/>
      <c r="Q209" s="801"/>
    </row>
    <row r="210" spans="14:17" ht="15" customHeight="1">
      <c r="N210" s="799"/>
      <c r="O210" s="800"/>
      <c r="P210" s="800"/>
      <c r="Q210" s="801"/>
    </row>
    <row r="211" spans="14:17" ht="15" customHeight="1">
      <c r="N211" s="747" t="s">
        <v>148</v>
      </c>
      <c r="O211" s="748"/>
      <c r="P211" s="748"/>
      <c r="Q211" s="749"/>
    </row>
    <row r="288" spans="14:14" ht="15" customHeight="1">
      <c r="N288" s="745" t="s">
        <v>133</v>
      </c>
    </row>
    <row r="296" spans="14:14" ht="15" customHeight="1">
      <c r="N296" s="747" t="s">
        <v>148</v>
      </c>
    </row>
  </sheetData>
  <mergeCells count="8">
    <mergeCell ref="N48:Q119"/>
    <mergeCell ref="N120:Q127"/>
    <mergeCell ref="N128:Q202"/>
    <mergeCell ref="N203:Q210"/>
    <mergeCell ref="B1:L1"/>
    <mergeCell ref="N3:Q6"/>
    <mergeCell ref="N7:Q39"/>
    <mergeCell ref="N40:Q47"/>
  </mergeCells>
  <conditionalFormatting sqref="B3:L9000">
    <cfRule type="expression" dxfId="3" priority="5">
      <formula>OR(INDEX($L:$L,ROW())="Submitted",INDEX($L:$L,ROW())="REV")</formula>
    </cfRule>
  </conditionalFormatting>
  <conditionalFormatting sqref="B3:L9000">
    <cfRule type="expression" dxfId="2" priority="4">
      <formula>OR(INDEX($L:$L,ROW())="NCR",INDEX($L:$L,ROW())="NR",INDEX($L:$L,ROW())="AS")</formula>
    </cfRule>
  </conditionalFormatting>
  <conditionalFormatting sqref="B3:L9000">
    <cfRule type="expression" dxfId="1" priority="2">
      <formula>NOT(OR(INDEX($L:$L,ROW())="NCR",INDEX($L:$L,ROW())="NR",INDEX($L:$L,ROW())="AS",INDEX($L:$L,ROW())="AC",INDEX($L:$L,ROW())="AN",INDEX($L:$L,ROW())="RC",INDEX($L:$L,ROW())="RA",INDEX($L:$L,ROW())="Submitted",INDEX($L:$L,ROW())="REV"))</formula>
    </cfRule>
  </conditionalFormatting>
  <conditionalFormatting sqref="B3:L9000">
    <cfRule type="expression" dxfId="0" priority="1">
      <formula>OR(INDEX($L:$L,ROW())="AC",INDEX($L:$L,ROW())="AN",INDEX($L:$L,ROW())="RC",INDEX($L:$L,ROW())="RA")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Props1.xml><?xml version="1.0" encoding="utf-8"?>
<ds:datastoreItem xmlns:ds="http://schemas.openxmlformats.org/officeDocument/2006/customXml" ds:itemID="{5D45E498-AC1E-45BA-9949-D1D8D66BA782}"/>
</file>

<file path=customXml/itemProps2.xml><?xml version="1.0" encoding="utf-8"?>
<ds:datastoreItem xmlns:ds="http://schemas.openxmlformats.org/officeDocument/2006/customXml" ds:itemID="{02B2067E-3225-42BA-9223-37203FA2E0F8}"/>
</file>

<file path=customXml/itemProps3.xml><?xml version="1.0" encoding="utf-8"?>
<ds:datastoreItem xmlns:ds="http://schemas.openxmlformats.org/officeDocument/2006/customXml" ds:itemID="{5DE9736C-1ED1-4735-BC30-60C1256269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Uriah Camacho</cp:lastModifiedBy>
  <cp:revision/>
  <dcterms:created xsi:type="dcterms:W3CDTF">2025-06-07T18:50:12Z</dcterms:created>
  <dcterms:modified xsi:type="dcterms:W3CDTF">2025-10-14T16:56:19Z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