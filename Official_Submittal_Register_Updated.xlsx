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9"/>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768" documentId="14_{533F4329-B275-4479-8BD6-A4781C41E290}" xr6:coauthVersionLast="47" xr6:coauthVersionMax="47" xr10:uidLastSave="{C0C30A11-8F47-41AE-8DE0-A47E16EF77FF}"/>
  <bookViews>
    <workbookView minimized="1" xWindow="8850" yWindow="1230" windowWidth="15465" windowHeight="8805" tabRatio="580" firstSheet="5"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 i="4" l="1" a="1"/>
  <c r="K43" i="4" s="1"/>
  <c r="K152" i="4" a="1"/>
  <c r="K152" i="4" s="1"/>
  <c r="K53" i="6" a="1"/>
  <c r="K53" i="6" s="1"/>
  <c r="K51" i="6" a="1"/>
  <c r="K51" i="6" s="1"/>
  <c r="K64" i="6" a="1"/>
  <c r="K64" i="6" s="1"/>
  <c r="K336" i="12" a="1"/>
  <c r="K336" i="12" s="1"/>
  <c r="K333" i="12" a="1"/>
  <c r="K333" i="12" s="1"/>
  <c r="K360" i="12" a="1"/>
  <c r="K360" i="12" s="1"/>
  <c r="K84" i="4" a="1"/>
  <c r="K84" i="4"/>
  <c r="K154" i="4" a="1"/>
  <c r="K154" i="4" s="1"/>
  <c r="K9" i="3" a="1"/>
  <c r="K9" i="3"/>
  <c r="K14" i="3" a="1"/>
  <c r="K14" i="3"/>
  <c r="K379" i="4" a="1"/>
  <c r="K379"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4" i="4" a="1"/>
  <c r="K44" i="4"/>
  <c r="K47" i="4" a="1"/>
  <c r="K47" i="4"/>
  <c r="K48" i="4" a="1"/>
  <c r="K48" i="4"/>
  <c r="K49" i="4" a="1"/>
  <c r="K49" i="4"/>
  <c r="K50" i="4" a="1"/>
  <c r="K50" i="4"/>
  <c r="K51" i="4" a="1"/>
  <c r="K51" i="4"/>
  <c r="K52" i="4" a="1"/>
  <c r="K52" i="4"/>
  <c r="K53" i="4" a="1"/>
  <c r="K53" i="4"/>
  <c r="K54" i="4" a="1"/>
  <c r="K54" i="4"/>
  <c r="K55" i="4" a="1"/>
  <c r="K55" i="4"/>
  <c r="K56" i="4" a="1"/>
  <c r="K56" i="4"/>
  <c r="K57" i="4" a="1"/>
  <c r="K57" i="4"/>
  <c r="K58" i="4" a="1"/>
  <c r="K58"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1" i="4" a="1"/>
  <c r="K81" i="4"/>
  <c r="K82" i="4" a="1"/>
  <c r="K82" i="4"/>
  <c r="K83" i="4" a="1"/>
  <c r="K83"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0" i="4" a="1"/>
  <c r="K150" i="4"/>
  <c r="K151" i="4" a="1"/>
  <c r="K151" i="4"/>
  <c r="K153" i="4" a="1"/>
  <c r="K153"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6" i="4" a="1"/>
  <c r="K376" i="4"/>
  <c r="K377" i="4" a="1"/>
  <c r="K377" i="4"/>
  <c r="K378" i="4" a="1"/>
  <c r="K378" i="4"/>
  <c r="K380" i="4" a="1"/>
  <c r="K380" i="4"/>
  <c r="K381" i="4" a="1"/>
  <c r="K381" i="4"/>
  <c r="K382" i="4" a="1"/>
  <c r="K382" i="4"/>
  <c r="K383" i="4" a="1"/>
  <c r="K383" i="4"/>
  <c r="K384" i="4" a="1"/>
  <c r="K384" i="4"/>
  <c r="K385" i="4" a="1"/>
  <c r="K385"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3" i="6" a="1"/>
  <c r="K63"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313" i="6" a="1"/>
  <c r="K313"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9" i="4"/>
  <c r="K59" i="4" s="1" a="1"/>
  <c r="K59"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<sst xmlns="http://schemas.openxmlformats.org/spreadsheetml/2006/main" count="7460" uniqueCount="2688">
  <si>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</si>
  <si>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</si>
  <si>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</si>
  <si>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</si>
  <si>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</si>
  <si>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</si>
  <si>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</si>
  <si>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</si>
  <si>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</si>
  <si>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</si>
  <si>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</si>
  <si>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</si>
  <si>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</si>
  <si>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</si>
  <si>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</si>
  <si>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</si>
  <si>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</si>
  <si>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</si>
  <si>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</si>
  <si>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</si>
  <si>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</si>
  <si>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</si>
  <si>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</si>
  <si>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</si>
  <si>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</si>
  <si>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</si>
  <si>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</si>
  <si>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</si>
  <si>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</si>
  <si>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</si>
  <si>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</si>
  <si>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</si>
  <si>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</si>
  <si>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</si>
  <si>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</si>
  <si>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</si>
  <si>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</si>
  <si>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</si>
  <si>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</si>
  <si>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</si>
  <si>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</si>
  <si>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</si>
  <si>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</si>
  <si>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</si>
  <si>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</si>
  <si>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</si>
  <si>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</si>
  <si>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</si>
  <si>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</si>
  <si>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</si>
  <si>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</si>
  <si>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</si>
  <si>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</si>
  <si>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</si>
  <si>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</si>
  <si>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</si>
  <si>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</si>
  <si>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</si>
  <si>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</si>
  <si>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</si>
  <si>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</si>
  <si>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</si>
  <si>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</si>
  <si>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</si>
  <si>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</si>
  <si>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</si>
  <si>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</si>
  <si>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</si>
  <si>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</si>
  <si>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</si>
  <si>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</si>
  <si>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</si>
  <si>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</si>
  <si>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</si>
  <si>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</si>
  <si>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</si>
  <si>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</si>
  <si>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</si>
  <si>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</si>
  <si>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</si>
  <si>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</si>
  <si>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</si>
  <si>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</si>
  <si>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</si>
  <si>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</si>
  <si>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</si>
  <si>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</si>
  <si>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</si>
  <si>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</si>
  <si>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</si>
  <si>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</si>
  <si>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</si>
  <si>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</si>
  <si>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</si>
  <si>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</si>
  <si>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</si>
  <si>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</si>
  <si>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</si>
  <si>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</si>
  <si>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</si>
  <si>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</si>
  <si>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</si>
  <si>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</si>
  <si>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</si>
  <si>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</si>
  <si>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</si>
  <si>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</si>
  <si>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</si>
  <si>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</si>
  <si>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</si>
  <si>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</si>
  <si>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</si>
  <si>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</si>
  <si>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</si>
  <si>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</si>
  <si>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</si>
  <si>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</si>
  <si>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</si>
  <si>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</si>
  <si>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</si>
  <si>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</si>
  <si>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</si>
  <si>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</si>
  <si>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</si>
  <si>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</si>
  <si>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</si>
  <si>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</si>
  <si>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</si>
  <si>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</si>
  <si>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</si>
  <si>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</si>
  <si>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</si>
  <si>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</si>
  <si>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</si>
  <si>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</si>
  <si>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</si>
  <si>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</si>
  <si>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</si>
  <si>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</si>
  <si>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</si>
  <si>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</si>
  <si>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</si>
  <si>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</si>
  <si>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</si>
  <si>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</si>
  <si>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</si>
  <si>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</si>
  <si>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</si>
  <si>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</si>
  <si>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</si>
  <si>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</si>
  <si>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</si>
  <si>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</si>
  <si>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</si>
  <si>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</si>
  <si>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</si>
  <si>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</si>
  <si>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</si>
  <si>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</si>
  <si>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</si>
  <si>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</si>
  <si>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</si>
  <si>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</si>
  <si>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</si>
  <si>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</si>
  <si>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</si>
  <si>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</si>
  <si>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</si>
  <si>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</si>
  <si>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</si>
  <si>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</si>
  <si>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</si>
  <si>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</si>
  <si>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</si>
  <si>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</si>
  <si>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</si>
  <si>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</si>
  <si>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</si>
  <si>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</si>
  <si>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</si>
  <si>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</si>
  <si>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</si>
  <si>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</si>
  <si>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</si>
  <si>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</si>
  <si>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</si>
  <si>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</si>
  <si>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</si>
  <si>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</si>
  <si>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</si>
  <si>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</si>
  <si>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</si>
  <si>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</si>
  <si>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</si>
  <si>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</si>
  <si>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</si>
  <si>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</si>
  <si>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</si>
  <si>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</si>
  <si>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</si>
  <si>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</si>
  <si>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</si>
  <si>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</si>
  <si>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</si>
  <si>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</si>
  <si>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</si>
  <si>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</si>
  <si>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</si>
  <si>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</si>
  <si>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</si>
  <si>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</si>
  <si>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</si>
  <si>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</si>
  <si>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</si>
  <si>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</si>
  <si>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</si>
  <si>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</si>
  <si>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</si>
  <si>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</si>
  <si>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</si>
  <si>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</si>
  <si>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</si>
  <si>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</si>
  <si>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</si>
  <si>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</si>
  <si>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</si>
  <si>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</si>
  <si>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</si>
  <si>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</si>
  <si>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</si>
  <si>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</si>
  <si>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</si>
  <si>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</si>
  <si>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</si>
  <si>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</si>
  <si>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</si>
  <si>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</si>
  <si>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</si>
  <si>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</si>
  <si>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</si>
  <si>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</si>
  <si>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</si>
  <si>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</si>
  <si>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</si>
  <si>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</si>
  <si>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</si>
  <si>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</si>
  <si>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</si>
  <si>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</si>
  <si>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</si>
  <si>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</si>
  <si>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</si>
  <si>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</si>
  <si>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</si>
  <si>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</si>
  <si>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</si>
  <si>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</si>
  <si>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</si>
  <si>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</si>
  <si>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</si>
  <si>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</si>
  <si>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</si>
  <si>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</si>
  <si>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</si>
  <si>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</si>
  <si>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</si>
  <si>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</si>
  <si>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</si>
  <si>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</si>
  <si>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</si>
  <si>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</si>
  <si>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</si>
  <si>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</si>
  <si>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</si>
  <si>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</si>
  <si>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</si>
  <si>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</si>
  <si>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</si>
  <si>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</si>
  <si>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</si>
  <si>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</si>
  <si>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</si>
  <si>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</si>
  <si>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</si>
  <si>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</si>
  <si>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</si>
  <si>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</si>
  <si>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</si>
  <si>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</si>
  <si>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</si>
  <si>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</si>
  <si>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</si>
  <si>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</si>
  <si>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</si>
  <si>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</si>
  <si>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</si>
  <si>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</si>
  <si>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</si>
  <si>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</si>
  <si>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</si>
  <si>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</si>
  <si>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</si>
  <si>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</si>
  <si>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</si>
  <si>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</si>
  <si>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</si>
  <si>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</si>
  <si>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</si>
  <si>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</si>
  <si>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</si>
  <si>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</si>
  <si>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</si>
  <si>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</si>
  <si>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</si>
  <si>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</si>
  <si>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</si>
  <si>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</si>
  <si>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</si>
  <si>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</si>
  <si>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</si>
  <si>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</si>
  <si>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</si>
  <si>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</si>
  <si>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</si>
  <si>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</si>
  <si>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</si>
  <si>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</si>
  <si>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</si>
  <si>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</si>
  <si>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</si>
  <si>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</si>
  <si>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</si>
  <si>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</si>
  <si>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</si>
  <si>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</si>
  <si>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</si>
  <si>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</si>
  <si>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</si>
  <si>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</si>
  <si>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</si>
  <si>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</si>
  <si>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</si>
  <si>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</si>
  <si>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</si>
  <si>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</si>
  <si>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</si>
  <si>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</si>
  <si>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</si>
  <si>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</si>
  <si>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</si>
  <si>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</si>
  <si>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</si>
  <si>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</si>
  <si>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</si>
  <si>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</si>
  <si>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</si>
  <si>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</si>
  <si>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</si>
  <si>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</si>
  <si>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</si>
  <si>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</si>
  <si>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</si>
  <si>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</si>
  <si>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</si>
  <si>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</si>
  <si>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</si>
  <si>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</si>
  <si>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</si>
  <si>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</si>
  <si>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</si>
  <si>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</si>
  <si>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</si>
  <si>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</si>
  <si>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</si>
  <si>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</si>
  <si>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</si>
  <si>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</si>
  <si>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</si>
  <si>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</si>
  <si>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</si>
  <si>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</si>
  <si>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</si>
  <si>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</si>
  <si>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</si>
  <si>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</si>
  <si>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</si>
  <si>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</si>
  <si>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</si>
  <si>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</si>
  <si>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</si>
  <si>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</si>
  <si>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</si>
  <si>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</si>
  <si>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</si>
  <si>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</si>
  <si>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</si>
  <si>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</si>
  <si>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</si>
  <si>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</si>
  <si>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</si>
  <si>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</si>
  <si>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</si>
  <si>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</si>
  <si>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</si>
  <si>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</si>
  <si>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</si>
  <si>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</si>
  <si>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</si>
  <si>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</si>
  <si>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</si>
  <si>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</si>
  <si>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</si>
  <si>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</si>
  <si>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</si>
  <si>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</si>
  <si>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</si>
  <si>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</si>
  <si>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</si>
  <si>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</si>
  <si>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</si>
  <si>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</si>
  <si>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</si>
  <si>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</si>
  <si>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</si>
  <si>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</si>
  <si>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</si>
  <si>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</si>
  <si>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</si>
  <si>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</si>
  <si>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</si>
  <si>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</si>
  <si>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</si>
  <si>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</si>
  <si>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</si>
  <si>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</si>
  <si>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</si>
  <si>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</si>
  <si>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</si>
  <si>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</si>
  <si>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</si>
  <si>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</si>
  <si>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</si>
  <si>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</si>
  <si>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</si>
  <si>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</si>
  <si>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</si>
  <si>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</si>
  <si>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</si>
  <si>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</si>
  <si>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</si>
  <si>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</si>
  <si>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</si>
  <si>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</si>
  <si>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</si>
  <si>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</si>
  <si>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</si>
  <si>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</si>
  <si>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</si>
  <si>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</si>
  <si>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</si>
  <si>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</si>
  <si>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</si>
  <si>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</si>
  <si>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</si>
  <si>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</si>
  <si>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</si>
  <si>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</si>
  <si>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</si>
  <si>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</si>
  <si>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</si>
  <si>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</si>
  <si>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</si>
  <si>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</si>
  <si>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</si>
  <si>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</si>
  <si>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</si>
  <si>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</si>
  <si>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</si>
  <si>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</si>
  <si>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</si>
  <si>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</si>
  <si>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</si>
  <si>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</si>
  <si>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</si>
  <si>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</si>
  <si>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</si>
  <si>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</si>
  <si>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</si>
  <si>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</si>
  <si>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</si>
  <si>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</si>
  <si>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</si>
  <si>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</si>
  <si>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</si>
  <si>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</si>
  <si>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</si>
  <si>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</si>
  <si>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</si>
  <si>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</si>
  <si>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</si>
  <si>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</si>
  <si>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</si>
  <si>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</si>
  <si>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</si>
  <si>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</si>
  <si>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</si>
  <si>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</si>
  <si>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</si>
  <si>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</si>
  <si>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</si>
  <si>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</si>
  <si>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</si>
  <si>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</si>
  <si>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</si>
  <si>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</si>
  <si>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</si>
  <si>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</si>
  <si>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</si>
  <si>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</si>
  <si>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</si>
  <si>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</si>
  <si>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</si>
  <si>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</si>
  <si>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</si>
  <si>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</si>
  <si>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</si>
  <si>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</si>
  <si>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</si>
  <si>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</si>
  <si>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</si>
  <si>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</si>
  <si>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</si>
  <si>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</si>
  <si>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</si>
  <si>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</si>
  <si>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</si>
  <si>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</si>
  <si>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</si>
  <si>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</si>
  <si>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</si>
  <si>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</si>
  <si>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</si>
  <si>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</si>
  <si>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</si>
  <si>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</si>
  <si>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</si>
  <si>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</si>
  <si>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</si>
  <si>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</si>
  <si>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</si>
  <si>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</si>
  <si>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</si>
  <si>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</si>
  <si>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</si>
  <si>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</si>
  <si>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</si>
  <si>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</si>
  <si>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</si>
  <si>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</si>
  <si>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</si>
  <si>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</si>
  <si>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</si>
  <si>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</si>
  <si>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</si>
  <si>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</si>
  <si>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</si>
  <si>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</si>
  <si>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</si>
  <si>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</si>
  <si>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</si>
  <si>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</si>
  <si>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</si>
  <si>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</si>
  <si>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</si>
  <si>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</si>
  <si>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</si>
  <si>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</si>
  <si>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</si>
  <si>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</si>
  <si>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</si>
  <si>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</si>
  <si>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</si>
  <si>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</si>
  <si>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</si>
  <si>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</si>
  <si>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</si>
  <si>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</si>
  <si>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</si>
  <si>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</si>
  <si>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</si>
  <si>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</si>
  <si>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</si>
  <si>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</si>
  <si>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</si>
  <si>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</si>
  <si>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</si>
  <si>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</si>
  <si>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</si>
  <si>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</si>
  <si>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</si>
  <si>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</si>
  <si>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</si>
  <si>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</si>
  <si>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</si>
  <si>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</si>
  <si>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</si>
  <si>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</si>
  <si>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</si>
  <si>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</si>
  <si>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</si>
  <si>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</si>
  <si>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</si>
  <si>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</si>
  <si>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</si>
  <si>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</si>
  <si>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</si>
  <si>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</si>
  <si>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</si>
  <si>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</si>
  <si>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</si>
  <si>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</si>
  <si>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</si>
  <si>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</si>
  <si>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</si>
  <si>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</si>
  <si>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</si>
  <si>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15211-001.2</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</si>
  <si>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</si>
  <si>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</si>
  <si>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</si>
  <si>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</si>
  <si>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</si>
  <si>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</si>
  <si>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</si>
  <si>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</si>
  <si>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</si>
  <si>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</si>
  <si>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</si>
  <si>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</si>
  <si>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</si>
  <si>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</si>
  <si>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</si>
  <si>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</si>
  <si>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</si>
  <si>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</si>
  <si>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</si>
  <si>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</si>
  <si>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</si>
  <si>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</si>
  <si>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</si>
  <si>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</si>
  <si>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</si>
  <si>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</si>
  <si>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</si>
  <si>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</si>
  <si>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</si>
  <si>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</si>
  <si>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</si>
  <si>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</si>
  <si>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</si>
  <si>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</si>
  <si>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</si>
  <si>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</si>
  <si>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</si>
  <si>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</si>
  <si>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</si>
  <si>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</si>
  <si>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</si>
  <si>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</si>
  <si>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</si>
  <si>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</si>
  <si>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</si>
  <si>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</si>
  <si>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</si>
  <si>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</si>
  <si>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</si>
  <si>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</si>
  <si>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</si>
  <si>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</si>
  <si>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</si>
  <si>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</si>
  <si>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</si>
  <si>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</si>
  <si>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</si>
  <si>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</si>
  <si>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</si>
  <si>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</si>
  <si>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</si>
  <si>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</si>
  <si>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</si>
  <si>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</si>
  <si>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</si>
  <si>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</si>
  <si>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</si>
  <si>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</si>
  <si>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</si>
  <si>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</si>
  <si>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</si>
  <si>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</si>
  <si>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</si>
  <si>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</si>
  <si>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</si>
  <si>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</si>
  <si>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</si>
  <si>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</si>
  <si>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</si>
  <si>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</si>
  <si>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</si>
  <si>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</si>
  <si>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</si>
  <si>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</si>
  <si>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</si>
  <si>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</si>
  <si>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</si>
  <si>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</si>
  <si>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</si>
  <si>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</si>
  <si>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</si>
  <si>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</si>
  <si>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</si>
  <si>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</si>
  <si>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</si>
  <si>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</si>
  <si>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</si>
  <si>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</si>
  <si>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</si>
  <si>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</si>
  <si>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</si>
  <si>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</si>
  <si>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</si>
  <si>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</si>
  <si>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</si>
  <si>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</si>
  <si>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</si>
  <si>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</si>
  <si>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</si>
  <si>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</si>
  <si>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</si>
  <si>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</si>
  <si>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</si>
  <si>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</si>
  <si>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</si>
  <si>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</si>
  <si>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</si>
  <si>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</si>
  <si>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</si>
  <si>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</si>
  <si>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</si>
  <si>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</si>
  <si>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</si>
  <si>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</si>
  <si>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</si>
  <si>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</si>
  <si>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</si>
  <si>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</si>
  <si>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</si>
  <si>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</si>
  <si>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</si>
  <si>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</si>
  <si>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</si>
  <si>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</si>
  <si>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</si>
  <si>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</si>
  <si>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</si>
  <si>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</si>
  <si>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</si>
  <si>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</si>
  <si>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</si>
  <si>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</si>
  <si>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</si>
  <si>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</si>
  <si>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</si>
  <si>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</si>
  <si>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</si>
  <si>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</si>
  <si>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</si>
  <si>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</si>
  <si>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</si>
  <si>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</si>
  <si>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</si>
  <si>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</si>
  <si>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</si>
  <si>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</si>
  <si>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</si>
  <si>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</si>
  <si>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</si>
  <si>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</si>
  <si>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</si>
  <si>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</si>
  <si>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</si>
  <si>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</si>
  <si>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</si>
  <si>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</si>
  <si>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</si>
  <si>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</si>
  <si>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</si>
  <si>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</si>
  <si>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</si>
  <si>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</si>
  <si>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</si>
  <si>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</si>
  <si>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</si>
  <si>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</si>
  <si>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</si>
  <si>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</si>
  <si>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</si>
  <si>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</si>
  <si>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</si>
  <si>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</si>
  <si>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</si>
  <si>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</si>
  <si>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</si>
  <si>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</si>
  <si>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</si>
  <si>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</si>
  <si>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</si>
  <si>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</si>
  <si>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</si>
  <si>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</si>
  <si>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</si>
  <si>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</si>
  <si>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</si>
  <si>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</si>
  <si>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</si>
  <si>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</si>
  <si>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</si>
  <si>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</si>
  <si>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</si>
  <si>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</si>
  <si>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</si>
  <si>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</si>
  <si>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</si>
  <si>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</si>
  <si>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</si>
  <si>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</si>
  <si>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</si>
  <si>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</si>
  <si>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</si>
  <si>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</si>
  <si>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</si>
  <si>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</si>
  <si>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</si>
  <si>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</si>
  <si>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</si>
  <si>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</si>
  <si>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</si>
  <si>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</si>
  <si>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</si>
  <si>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</si>
  <si>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</si>
  <si>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</si>
  <si>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</si>
  <si>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</si>
  <si>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</si>
  <si>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</si>
  <si>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</si>
  <si>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</si>
  <si>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</si>
  <si>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</si>
  <si>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</si>
  <si>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</si>
  <si>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</si>
  <si>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</si>
  <si>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</si>
  <si>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</si>
  <si>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</si>
  <si>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</si>
  <si>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</si>
  <si>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</si>
  <si>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</si>
  <si>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</si>
  <si>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</si>
  <si>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</si>
  <si>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</si>
  <si>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</si>
  <si>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</si>
  <si>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</si>
  <si>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</si>
  <si>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</si>
  <si>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</si>
  <si>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</si>
  <si>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</si>
  <si>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</si>
  <si>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</si>
  <si>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</si>
  <si>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</si>
  <si>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</si>
  <si>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</si>
  <si>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</si>
  <si>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</si>
  <si>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</si>
  <si>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</si>
  <si>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</si>
  <si>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</si>
  <si>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</si>
  <si>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</si>
  <si>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</si>
  <si>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</si>
  <si>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</si>
  <si>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</si>
  <si>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</si>
  <si>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</si>
  <si>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</si>
  <si>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</si>
  <si>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</si>
  <si>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</si>
  <si>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</si>
  <si>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</si>
  <si>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</si>
  <si>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</si>
  <si>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</si>
  <si>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</si>
  <si>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</si>
  <si>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</si>
  <si>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</si>
  <si>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</si>
  <si>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</si>
  <si>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</si>
  <si>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</si>
  <si>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</si>
  <si>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</si>
  <si>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</si>
  <si>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</si>
  <si>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</si>
  <si>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</si>
  <si>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</si>
  <si>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</si>
  <si>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</si>
  <si>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</si>
  <si>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</si>
  <si>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</si>
  <si>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</si>
  <si>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</si>
  <si>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</si>
  <si>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</si>
  <si>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</si>
  <si>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</si>
  <si>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</si>
  <si>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</si>
  <si>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</si>
  <si>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</si>
  <si>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</si>
  <si>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</si>
  <si>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</si>
  <si>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</si>
  <si>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</si>
  <si>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</si>
  <si>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</si>
  <si>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</si>
  <si>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</si>
  <si>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</si>
  <si>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</si>
  <si>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</si>
  <si>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</si>
  <si>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</si>
  <si>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</si>
  <si>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</si>
  <si>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</si>
  <si>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</si>
  <si>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</si>
  <si>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</si>
  <si>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</si>
  <si>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</si>
  <si>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</si>
  <si>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</si>
  <si>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</si>
  <si>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</si>
  <si>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</si>
  <si>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</si>
  <si>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</si>
  <si>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</si>
  <si>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</si>
  <si>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</si>
  <si>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</si>
  <si>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</si>
  <si>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</si>
  <si>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</si>
  <si>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</si>
  <si>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</si>
  <si>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</si>
  <si>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</si>
  <si>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</si>
  <si>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</si>
  <si>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</si>
  <si>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</si>
  <si>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</si>
  <si>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</si>
  <si>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</si>
  <si>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</si>
  <si>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</si>
  <si>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</si>
  <si>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</si>
  <si>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</si>
  <si>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</si>
  <si>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</si>
  <si>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</si>
  <si>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</si>
  <si>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</si>
  <si>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</si>
  <si>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</si>
  <si>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</si>
  <si>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</si>
  <si>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</si>
  <si>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</si>
  <si>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</si>
  <si>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</si>
  <si>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</si>
  <si>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</si>
  <si>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</si>
  <si>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</si>
  <si>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</si>
  <si>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</si>
  <si>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</si>
  <si>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</si>
  <si>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</si>
  <si>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</si>
  <si>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</si>
  <si>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</si>
  <si>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</si>
  <si>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</si>
  <si>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</si>
  <si>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</si>
  <si>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</si>
  <si>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</si>
  <si>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</si>
  <si>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</si>
  <si>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</si>
  <si>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</si>
  <si>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</si>
  <si>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</si>
  <si>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</si>
  <si>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</si>
  <si>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</si>
  <si>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</si>
  <si>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</si>
  <si>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</si>
  <si>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</si>
  <si>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</si>
  <si>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</si>
  <si>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</si>
  <si>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</si>
  <si>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</si>
  <si>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</si>
  <si>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</si>
  <si>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</si>
  <si>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</si>
  <si>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</si>
  <si>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</si>
  <si>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</si>
  <si>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</si>
  <si>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</si>
  <si>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</si>
  <si>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</si>
  <si>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</si>
  <si>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</si>
  <si>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</si>
  <si>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</si>
  <si>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</si>
  <si>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</si>
  <si>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</si>
  <si>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</si>
  <si>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</si>
  <si>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</si>
  <si>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</si>
  <si>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</si>
  <si>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</si>
  <si>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</si>
  <si>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</si>
  <si>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</si>
  <si>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</si>
  <si>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</si>
  <si>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</si>
  <si>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</si>
  <si>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</si>
  <si>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</si>
  <si>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</si>
  <si>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</si>
  <si>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</si>
  <si>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</si>
  <si>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</si>
  <si>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</si>
  <si>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</si>
  <si>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</si>
  <si>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</si>
  <si>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</si>
  <si>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</si>
  <si>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</si>
  <si>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</si>
  <si>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</si>
  <si>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</si>
  <si>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</si>
  <si>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</si>
  <si>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</si>
  <si>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</si>
  <si>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</si>
  <si>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</si>
  <si>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</si>
  <si>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</si>
  <si>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</si>
  <si>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</si>
  <si>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</si>
  <si>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</si>
  <si>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</si>
  <si>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</si>
  <si>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</si>
  <si>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</si>
  <si>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</si>
  <si>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</si>
  <si>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</si>
  <si>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</si>
  <si>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</si>
  <si>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</si>
  <si>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</si>
  <si>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</si>
  <si>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</si>
  <si>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</si>
  <si>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</si>
  <si>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</si>
  <si>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</si>
  <si>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</si>
  <si>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</si>
  <si>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</si>
  <si>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</si>
  <si>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</si>
  <si>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</si>
  <si>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</si>
  <si>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</si>
  <si>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</si>
  <si>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</si>
  <si>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</si>
  <si>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</si>
  <si>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</si>
  <si>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</si>
  <si>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</si>
  <si>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</si>
  <si>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</si>
  <si>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</si>
  <si>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</si>
  <si>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</si>
  <si>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</si>
  <si>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</si>
  <si>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</si>
  <si>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</si>
  <si>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</si>
  <si>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</si>
  <si>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</si>
  <si>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</si>
  <si>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</si>
  <si>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</si>
  <si>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</si>
  <si>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</si>
  <si>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</si>
  <si>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</si>
  <si>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</si>
  <si>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</si>
  <si>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</si>
  <si>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</si>
  <si>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</si>
  <si>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</si>
  <si>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</si>
  <si>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</si>
  <si>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</si>
  <si>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</si>
  <si>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</si>
  <si>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</si>
  <si>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</si>
  <si>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</si>
  <si>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</si>
  <si>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</si>
  <si>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</si>
  <si>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</si>
  <si>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</si>
  <si>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</si>
  <si>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</si>
  <si>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</si>
  <si>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</si>
  <si>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</si>
  <si>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</si>
  <si>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</si>
  <si>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</si>
  <si>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</si>
  <si>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</si>
  <si>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</si>
  <si>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</si>
  <si>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</si>
  <si>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</si>
  <si>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</si>
  <si>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</si>
  <si>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</si>
  <si>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</si>
  <si>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</si>
  <si>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</si>
  <si>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</si>
  <si>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</si>
  <si>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</si>
  <si>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</si>
  <si>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</si>
  <si>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</si>
  <si>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</si>
  <si>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</si>
  <si>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</si>
  <si>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</si>
  <si>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</si>
  <si>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</si>
  <si>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</si>
  <si>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</si>
  <si>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</si>
  <si>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</si>
  <si>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</si>
  <si>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</si>
  <si>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</si>
  <si>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</si>
  <si>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</si>
  <si>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</si>
  <si>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</si>
  <si>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</si>
  <si>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</si>
  <si>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</si>
  <si>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</si>
  <si>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</si>
  <si>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</si>
  <si>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</si>
  <si>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</si>
  <si>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</si>
  <si>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</si>
  <si>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</si>
  <si>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</si>
  <si>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</si>
  <si>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</si>
  <si>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</si>
  <si>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</si>
  <si>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</si>
  <si>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</si>
  <si>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</si>
  <si>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</si>
  <si>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</si>
  <si>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</si>
  <si>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</si>
  <si>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</si>
  <si>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</si>
  <si>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</si>
  <si>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</si>
  <si>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</si>
  <si>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</si>
  <si>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</si>
  <si>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</si>
  <si>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</si>
  <si>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</si>
  <si>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</si>
  <si>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</si>
  <si>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</si>
  <si>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</si>
  <si>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</si>
  <si>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</si>
  <si>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</si>
  <si>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</si>
  <si>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</si>
  <si>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</si>
  <si>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</si>
  <si>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</si>
  <si>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</si>
  <si>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</si>
  <si>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</si>
  <si>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</si>
  <si>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</si>
  <si>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</si>
  <si>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</si>
  <si>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</si>
  <si>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</si>
  <si>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</si>
  <si>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</si>
  <si>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</si>
  <si>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</si>
  <si>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</si>
  <si>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</si>
  <si>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</si>
  <si>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</si>
  <si>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</si>
  <si>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</si>
  <si>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</si>
  <si>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</si>
  <si>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</si>
  <si>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</si>
  <si>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</si>
  <si>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</si>
  <si>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</si>
  <si>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</si>
  <si>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</si>
  <si>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</si>
  <si>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</si>
  <si>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</si>
  <si>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</si>
  <si>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</si>
  <si>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</si>
  <si>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</si>
  <si>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</si>
  <si>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</si>
  <si>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</si>
  <si>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</si>
  <si>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</si>
  <si>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</si>
  <si>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</si>
  <si>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</si>
  <si>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</si>
  <si>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</si>
  <si>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</si>
  <si>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</si>
  <si>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</si>
  <si>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</si>
  <si>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</si>
  <si>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</si>
  <si>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</si>
  <si>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</si>
  <si>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</si>
  <si>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</si>
  <si>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</si>
  <si>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</si>
  <si>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</si>
  <si>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</si>
  <si>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</si>
  <si>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</si>
  <si>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</si>
  <si>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</si>
  <si>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</si>
  <si>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</si>
  <si>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</si>
  <si>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</si>
  <si>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</si>
  <si>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</si>
  <si>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</si>
  <si>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</si>
  <si>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</si>
  <si>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</si>
  <si>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</si>
  <si>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</si>
  <si>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</si>
  <si>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</si>
  <si>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</si>
  <si>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</si>
  <si>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</si>
  <si>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</si>
  <si>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</si>
  <si>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</si>
  <si>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</si>
  <si>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</si>
  <si>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</si>
  <si>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</si>
  <si>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</si>
  <si>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</si>
  <si>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</si>
  <si>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</si>
  <si>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</si>
  <si>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</si>
  <si>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</si>
  <si>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</si>
  <si>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</si>
  <si>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</si>
  <si>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</si>
  <si>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</si>
  <si>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</si>
  <si>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</si>
  <si>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</si>
  <si>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</si>
  <si>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</si>
  <si>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</si>
  <si>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</si>
  <si>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</si>
  <si>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</si>
  <si>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</si>
  <si>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</si>
  <si>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</si>
  <si>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</si>
  <si>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</si>
  <si>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</si>
  <si>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</si>
  <si>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Shop drawings</t>
  </si>
  <si>
    <t>Operation and Maintenance Manual</t>
  </si>
  <si>
    <t>Warranties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</si>
  <si>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</si>
  <si>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</si>
  <si>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</si>
  <si>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</si>
  <si>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</si>
  <si>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</si>
  <si>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</si>
  <si>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</si>
  <si>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</si>
  <si>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</si>
  <si>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</si>
  <si>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</si>
  <si>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</si>
  <si>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</si>
  <si>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</si>
  <si>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</si>
  <si>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</si>
  <si>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</si>
  <si>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</si>
  <si>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</si>
  <si>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</si>
  <si>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</si>
  <si>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</si>
  <si>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</si>
  <si>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</si>
  <si>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</si>
  <si>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</si>
  <si>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</si>
  <si>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</si>
  <si>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</si>
  <si>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</si>
  <si>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</si>
  <si>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</si>
  <si>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</si>
  <si>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</si>
  <si>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</si>
  <si>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</si>
  <si>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</si>
  <si>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</si>
  <si>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</si>
  <si>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</si>
  <si>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</si>
  <si>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</si>
  <si>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</si>
  <si>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</si>
  <si>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</si>
  <si>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</si>
  <si>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</si>
  <si>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</si>
  <si>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</si>
  <si>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</si>
  <si>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</si>
  <si>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</si>
  <si>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</si>
  <si>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</si>
  <si>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</si>
  <si>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</si>
  <si>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</si>
  <si>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</si>
  <si>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</si>
  <si>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</si>
  <si>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</si>
  <si>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</si>
  <si>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</si>
  <si>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</si>
  <si>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</si>
  <si>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</si>
  <si>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</si>
  <si>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</si>
  <si>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</si>
  <si>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</si>
  <si>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</si>
  <si>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</si>
  <si>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</si>
  <si>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</si>
  <si>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</si>
  <si>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</si>
  <si>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</si>
  <si>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</si>
  <si>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</si>
  <si>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</si>
  <si>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</si>
  <si>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</si>
  <si>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</si>
  <si>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</si>
  <si>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</si>
  <si>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</si>
  <si>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</si>
  <si>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</si>
  <si>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</si>
  <si>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</si>
  <si>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</si>
  <si>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</si>
  <si>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</si>
  <si>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</si>
  <si>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</si>
  <si>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</si>
  <si>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</si>
  <si>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</si>
  <si>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</si>
  <si>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</si>
  <si>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</si>
  <si>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</si>
  <si>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</si>
  <si>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</si>
  <si>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</si>
  <si>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</si>
  <si>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</si>
  <si>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</si>
  <si>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</si>
  <si>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</si>
  <si>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</si>
  <si>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</si>
  <si>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</si>
  <si>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</si>
  <si>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</si>
  <si>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</si>
  <si>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</si>
  <si>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</si>
  <si>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</si>
  <si>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</si>
  <si>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</si>
  <si>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</si>
  <si>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</si>
  <si>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</si>
  <si>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</si>
  <si>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</si>
  <si>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</si>
  <si>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</si>
  <si>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</si>
  <si>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</si>
  <si>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</si>
  <si>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</si>
  <si>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</si>
  <si>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</si>
  <si>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</si>
  <si>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</si>
  <si>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</si>
  <si>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</si>
  <si>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</si>
  <si>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</si>
  <si>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</si>
  <si>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</si>
  <si>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</si>
  <si>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</si>
  <si>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</si>
  <si>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</si>
  <si>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</si>
  <si>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</si>
  <si>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</si>
  <si>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</si>
  <si>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</si>
  <si>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</si>
  <si>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</si>
  <si>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</si>
  <si>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</si>
  <si>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</si>
  <si>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</si>
  <si>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</si>
  <si>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</si>
  <si>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</si>
  <si>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</si>
  <si>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</si>
  <si>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</si>
  <si>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</si>
  <si>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</si>
  <si>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</si>
  <si>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</si>
  <si>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</si>
  <si>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</si>
  <si>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</si>
  <si>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</si>
  <si>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</si>
  <si>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</si>
  <si>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</si>
  <si>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</si>
  <si>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</si>
  <si>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</si>
  <si>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</si>
  <si>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</si>
  <si>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</si>
  <si>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</si>
  <si>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</si>
  <si>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</si>
  <si>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</si>
  <si>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</si>
  <si>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</si>
  <si>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</si>
  <si>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</si>
  <si>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</si>
  <si>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</si>
  <si>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</si>
  <si>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</si>
  <si>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</si>
  <si>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</si>
  <si>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</si>
  <si>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</si>
  <si>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</si>
  <si>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</si>
  <si>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</si>
  <si>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</si>
  <si>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</si>
  <si>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</si>
  <si>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</si>
  <si>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</si>
  <si>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</si>
  <si>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</si>
  <si>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</si>
  <si>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</si>
  <si>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</si>
  <si>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</si>
  <si>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</si>
  <si>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</si>
  <si>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</si>
  <si>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</si>
  <si>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</si>
  <si>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</si>
  <si>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</si>
  <si>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</si>
  <si>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</si>
  <si>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</si>
  <si>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</si>
  <si>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</si>
  <si>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</si>
  <si>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</si>
  <si>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</si>
  <si>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</si>
  <si>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</si>
  <si>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</si>
  <si>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</si>
  <si>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03200-002.1</t>
  </si>
  <si>
    <t>03200-003.0</t>
  </si>
  <si>
    <t>CONCRETE REINFORCING SHOP DRAWINGS
Screening Walls</t>
  </si>
  <si>
    <t>03200-004.0</t>
  </si>
  <si>
    <t>03200-005.0</t>
  </si>
  <si>
    <t>CONCRETE REINFORCING SHOP DRAWINGS
PST and Septage Recieving</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</si>
  <si>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</si>
  <si>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</si>
  <si>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</si>
  <si>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</si>
  <si>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</si>
  <si>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</si>
  <si>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</si>
  <si>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</si>
  <si>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</si>
  <si>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</si>
  <si>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</si>
  <si>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</si>
  <si>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</si>
  <si>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</si>
  <si>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</si>
  <si>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</si>
  <si>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</si>
  <si>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</si>
  <si>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</si>
  <si>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</si>
  <si>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</si>
  <si>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</si>
  <si>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</si>
  <si>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</si>
  <si>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</si>
  <si>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</si>
  <si>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</si>
  <si>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</si>
  <si>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</si>
  <si>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</si>
  <si>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</si>
  <si>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</si>
  <si>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</si>
  <si>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</si>
  <si>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</si>
  <si>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</si>
  <si>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</si>
  <si>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</si>
  <si>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</si>
  <si>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</si>
  <si>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</si>
  <si>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</si>
  <si>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</si>
  <si>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</si>
  <si>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</si>
  <si>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</si>
  <si>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</si>
  <si>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</si>
  <si>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</si>
  <si>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</si>
  <si>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</si>
  <si>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</si>
  <si>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</si>
  <si>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</si>
  <si>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</si>
  <si>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</si>
  <si>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</si>
  <si>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</si>
  <si>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</si>
  <si>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</si>
  <si>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</si>
  <si>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</si>
  <si>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</si>
  <si>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</si>
  <si>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</si>
  <si>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</si>
  <si>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</si>
  <si>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</si>
  <si>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</si>
  <si>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</si>
  <si>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</si>
  <si>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</si>
  <si>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</si>
  <si>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</si>
  <si>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</si>
  <si>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</si>
  <si>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</si>
  <si>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</si>
  <si>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</si>
  <si>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</si>
  <si>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</si>
  <si>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</si>
  <si>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</si>
  <si>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</si>
  <si>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</si>
  <si>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</si>
  <si>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</si>
  <si>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</si>
  <si>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</si>
  <si>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</si>
  <si>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</si>
  <si>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</si>
  <si>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</si>
  <si>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</si>
  <si>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</si>
  <si>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</si>
  <si>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</si>
  <si>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</si>
  <si>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</si>
  <si>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</si>
  <si>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</si>
  <si>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</si>
  <si>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</si>
  <si>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</si>
  <si>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</si>
  <si>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</si>
  <si>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</si>
  <si>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</si>
  <si>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</si>
  <si>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</si>
  <si>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</si>
  <si>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</si>
  <si>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</si>
  <si>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</si>
  <si>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</si>
  <si>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</si>
  <si>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</si>
  <si>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</si>
  <si>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</si>
  <si>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</si>
  <si>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</si>
  <si>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</si>
  <si>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</si>
  <si>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</si>
  <si>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</si>
  <si>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</si>
  <si>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</si>
  <si>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</si>
  <si>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</si>
  <si>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</si>
  <si>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</si>
  <si>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</si>
  <si>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</si>
  <si>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</si>
  <si>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</si>
  <si>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</si>
  <si>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</si>
  <si>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</si>
  <si>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</si>
  <si>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</si>
  <si>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</si>
  <si>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</si>
  <si>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</si>
  <si>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</si>
  <si>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</si>
  <si>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</si>
  <si>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</si>
  <si>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</si>
  <si>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</si>
  <si>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</si>
  <si>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</si>
  <si>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</si>
  <si>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</si>
  <si>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</si>
  <si>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</si>
  <si>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</si>
  <si>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</si>
  <si>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</si>
  <si>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</si>
  <si>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</si>
  <si>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</si>
  <si>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</si>
  <si>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</si>
  <si>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</si>
  <si>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</si>
  <si>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</si>
  <si>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</si>
  <si>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</si>
  <si>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</si>
  <si>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</si>
  <si>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</si>
  <si>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</si>
  <si>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</si>
  <si>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</si>
  <si>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</si>
  <si>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</si>
  <si>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</si>
  <si>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</si>
  <si>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</si>
  <si>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</si>
  <si>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</si>
  <si>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</si>
  <si>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</si>
  <si>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</si>
  <si>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</si>
  <si>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</si>
  <si>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</si>
  <si>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</si>
  <si>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</si>
  <si>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</si>
  <si>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</si>
  <si>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</si>
  <si>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</si>
  <si>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</si>
  <si>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</si>
  <si>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</si>
  <si>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</si>
  <si>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</si>
  <si>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</si>
  <si>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</si>
  <si>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</si>
  <si>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</si>
  <si>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</si>
  <si>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</si>
  <si>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</si>
  <si>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</si>
  <si>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</si>
  <si>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</si>
  <si>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</si>
  <si>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</si>
  <si>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</si>
  <si>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</si>
  <si>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</si>
  <si>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</si>
  <si>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</si>
  <si>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</si>
  <si>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</si>
  <si>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</si>
  <si>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</si>
  <si>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</si>
  <si>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</si>
  <si>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</si>
  <si>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</si>
  <si>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</si>
  <si>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</si>
  <si>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</si>
  <si>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</si>
  <si>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</si>
  <si>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</si>
  <si>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</si>
  <si>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</si>
  <si>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</si>
  <si>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</si>
  <si>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</si>
  <si>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</si>
  <si>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</si>
  <si>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</si>
  <si>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</si>
  <si>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</si>
  <si>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</si>
  <si>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</si>
  <si>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</si>
  <si>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</si>
  <si>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</si>
  <si>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</si>
  <si>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</si>
  <si>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</si>
  <si>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</si>
  <si>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</si>
  <si>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</si>
  <si>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</si>
  <si>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</si>
  <si>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</si>
  <si>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</si>
  <si>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</si>
  <si>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</si>
  <si>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</si>
  <si>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</si>
  <si>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</si>
  <si>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</si>
  <si>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</si>
  <si>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</si>
  <si>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</si>
  <si>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</si>
  <si>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</si>
  <si>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</si>
  <si>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</si>
  <si>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</si>
  <si>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</si>
  <si>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</si>
  <si>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</si>
  <si>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</si>
  <si>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</si>
  <si>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</si>
  <si>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</si>
  <si>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</si>
  <si>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</si>
  <si>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</si>
  <si>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</si>
  <si>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</si>
  <si>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</si>
  <si>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</si>
  <si>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</si>
  <si>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</si>
  <si>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</si>
  <si>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</si>
  <si>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</si>
  <si>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</si>
  <si>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</si>
  <si>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</si>
  <si>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</si>
  <si>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</si>
  <si>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</si>
  <si>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</si>
  <si>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</si>
  <si>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</si>
  <si>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</si>
  <si>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</si>
  <si>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</si>
  <si>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</si>
  <si>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</si>
  <si>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</si>
  <si>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</si>
  <si>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</si>
  <si>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</si>
  <si>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</si>
  <si>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</si>
  <si>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</si>
  <si>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</si>
  <si>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</si>
  <si>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</si>
  <si>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</si>
  <si>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</si>
  <si>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</si>
  <si>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</si>
  <si>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</si>
  <si>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</si>
  <si>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</si>
  <si>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</si>
  <si>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</si>
  <si>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</si>
  <si>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</si>
  <si>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</si>
  <si>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</si>
  <si>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</si>
  <si>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</si>
  <si>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</si>
  <si>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</si>
  <si>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</si>
  <si>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</si>
  <si>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</si>
  <si>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</si>
  <si>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</si>
  <si>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</si>
  <si>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</si>
  <si>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</si>
  <si>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</si>
  <si>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</si>
  <si>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</si>
  <si>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</si>
  <si>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</si>
  <si>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</si>
  <si>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</si>
  <si>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</si>
  <si>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</si>
  <si>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</si>
  <si>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</si>
  <si>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</si>
  <si>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</si>
  <si>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</si>
  <si>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</si>
  <si>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</si>
  <si>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</si>
  <si>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</si>
  <si>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</si>
  <si>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</si>
  <si>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</si>
  <si>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</si>
  <si>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</si>
  <si>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</si>
  <si>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</si>
  <si>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</si>
  <si>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</si>
  <si>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</si>
  <si>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</si>
  <si>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</si>
  <si>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</si>
  <si>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</si>
  <si>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</si>
  <si>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</si>
  <si>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</si>
  <si>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</si>
  <si>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</si>
  <si>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</si>
  <si>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</si>
  <si>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</si>
  <si>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</si>
  <si>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</si>
  <si>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</si>
  <si>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</si>
  <si>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</si>
  <si>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</si>
  <si>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</si>
  <si>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</si>
  <si>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</si>
  <si>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</si>
  <si>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</si>
  <si>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</si>
  <si>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</si>
  <si>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</si>
  <si>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</si>
  <si>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</si>
  <si>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</si>
  <si>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</si>
  <si>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</si>
  <si>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</si>
  <si>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</si>
  <si>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</si>
  <si>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</si>
  <si>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</si>
  <si>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</si>
  <si>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</si>
  <si>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</si>
  <si>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</si>
  <si>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</si>
  <si>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</si>
  <si>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</si>
  <si>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</si>
  <si>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</si>
  <si>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</si>
  <si>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</si>
  <si>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</si>
  <si>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</si>
  <si>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</si>
  <si>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</si>
  <si>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</si>
  <si>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</si>
  <si>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</si>
  <si>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</si>
  <si>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</si>
  <si>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</si>
  <si>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</si>
  <si>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</si>
  <si>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</si>
  <si>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</si>
  <si>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</si>
  <si>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</si>
  <si>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</si>
  <si>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</si>
  <si>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</si>
  <si>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</si>
  <si>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</si>
  <si>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</si>
  <si>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</si>
  <si>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</si>
  <si>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</si>
  <si>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</si>
  <si>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</si>
  <si>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</si>
  <si>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</si>
  <si>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</si>
  <si>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</si>
  <si>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</si>
  <si>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</si>
  <si>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</si>
  <si>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</si>
  <si>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</si>
  <si>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</si>
  <si>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</si>
  <si>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</si>
  <si>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</si>
  <si>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</si>
  <si>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</si>
  <si>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</si>
  <si>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</si>
  <si>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</si>
  <si>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</si>
  <si>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</si>
  <si>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</si>
  <si>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</si>
  <si>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</si>
  <si>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</si>
  <si>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</si>
  <si>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</si>
  <si>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</si>
  <si>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</si>
  <si>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</si>
  <si>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</si>
  <si>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</si>
  <si>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</si>
  <si>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</si>
  <si>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</si>
  <si>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</si>
  <si>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</si>
  <si>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</si>
  <si>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</si>
  <si>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</si>
  <si>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</si>
  <si>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</si>
  <si>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</si>
  <si>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</si>
  <si>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</si>
  <si>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</si>
  <si>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</si>
  <si>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</si>
  <si>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</si>
  <si>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</si>
  <si>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</si>
  <si>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</si>
  <si>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</si>
  <si>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</si>
  <si>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</si>
  <si>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</si>
  <si>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</si>
  <si>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</si>
  <si>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</si>
  <si>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</si>
  <si>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</si>
  <si>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</si>
  <si>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</si>
  <si>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</si>
  <si>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</si>
  <si>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</si>
  <si>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</si>
  <si>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</si>
  <si>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</si>
  <si>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</si>
  <si>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</si>
  <si>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</si>
  <si>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</si>
  <si>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</si>
  <si>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</si>
  <si>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</si>
  <si>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</si>
  <si>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</si>
  <si>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</si>
  <si>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</si>
  <si>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</si>
  <si>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</si>
  <si>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</si>
  <si>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</si>
  <si>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</si>
  <si>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</si>
  <si>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</si>
  <si>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</si>
  <si>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</si>
  <si>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</si>
  <si>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</si>
  <si>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</si>
  <si>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</si>
  <si>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</si>
  <si>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</si>
  <si>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</si>
  <si>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</si>
  <si>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</si>
  <si>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</si>
  <si>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</si>
  <si>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</si>
  <si>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</si>
  <si>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</si>
  <si>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</si>
  <si>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</si>
  <si>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</si>
  <si>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</si>
  <si>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</si>
  <si>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</si>
  <si>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</si>
  <si>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16133-002.2</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</si>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</sst>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10" borderId="6" xfId="0" applyFont="1" applyFill="1" applyBorder="1" applyAlignment="1">
      <alignment horizontal="center"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topLeftCell="A20"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25" activePane="bottomLeft" state="frozen"/>
      <selection pane="bottomLeft" activeCell="J162" sqref="J162"/>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10.1406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9" t="s">
        <v>289</v>
      </c>
      <c r="D4" s="832"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30"/>
      <c r="D5" s="833"/>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31"/>
      <c r="D6" s="834"/>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35" t="s">
        <v>302</v>
      </c>
      <c r="C8" s="823" t="s">
        <v>303</v>
      </c>
      <c r="D8" s="826"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36"/>
      <c r="C9" s="824"/>
      <c r="D9" s="827"/>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36"/>
      <c r="C10" s="824"/>
      <c r="D10" s="827"/>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36"/>
      <c r="C11" s="824"/>
      <c r="D11" s="827"/>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36"/>
      <c r="C12" s="824"/>
      <c r="D12" s="827"/>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36"/>
      <c r="C13" s="824"/>
      <c r="D13" s="827"/>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36"/>
      <c r="C14" s="824"/>
      <c r="D14" s="827"/>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37"/>
      <c r="C15" s="825"/>
      <c r="D15" s="828"/>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35" t="s">
        <v>85</v>
      </c>
      <c r="C16" s="823" t="s">
        <v>303</v>
      </c>
      <c r="D16" s="826"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36"/>
      <c r="C17" s="824"/>
      <c r="D17" s="827"/>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36"/>
      <c r="C18" s="824"/>
      <c r="D18" s="827"/>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36"/>
      <c r="C19" s="824"/>
      <c r="D19" s="827"/>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36"/>
      <c r="C20" s="824"/>
      <c r="D20" s="827"/>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36"/>
      <c r="C21" s="824"/>
      <c r="D21" s="827"/>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36"/>
      <c r="C22" s="824"/>
      <c r="D22" s="827"/>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37"/>
      <c r="C23" s="825"/>
      <c r="D23" s="828"/>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42" t="s">
        <v>318</v>
      </c>
      <c r="B24" s="820" t="s">
        <v>319</v>
      </c>
      <c r="C24" s="823" t="s">
        <v>303</v>
      </c>
      <c r="D24" s="826"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42"/>
      <c r="B25" s="821"/>
      <c r="C25" s="824"/>
      <c r="D25" s="827"/>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42"/>
      <c r="B26" s="821"/>
      <c r="C26" s="824"/>
      <c r="D26" s="827"/>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42"/>
      <c r="B27" s="821"/>
      <c r="C27" s="824"/>
      <c r="D27" s="827"/>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42"/>
      <c r="B28" s="821"/>
      <c r="C28" s="824"/>
      <c r="D28" s="827"/>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42"/>
      <c r="B29" s="821"/>
      <c r="C29" s="824"/>
      <c r="D29" s="827"/>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42"/>
      <c r="B30" s="821"/>
      <c r="C30" s="824"/>
      <c r="D30" s="827"/>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42"/>
      <c r="B31" s="822"/>
      <c r="C31" s="825"/>
      <c r="D31" s="828"/>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8" t="s">
        <v>510</v>
      </c>
      <c r="D156" s="839"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30"/>
      <c r="D157" s="833"/>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30"/>
      <c r="D158" s="833"/>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30"/>
      <c r="D159" s="833"/>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30"/>
      <c r="D160" s="833"/>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31"/>
      <c r="D161" s="834"/>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v>45944</v>
      </c>
      <c r="K162" s="557" cm="1">
        <f t="array" ref="K162">IF(ISBLANK(J162), IF(ISBLANK(I162), "N/A", _xlfn.IFS(L162="AS", I162+15, L162="NCR", I162+30, L162="submitted", I162+30, TRUE, "N/A")), _xlfn.IFS(L162="AS", J162+15, L162="NCR", J162+30, L162="submitted", J162+30, TRUE, "N/A"))</f>
        <v>45974</v>
      </c>
      <c r="L162" t="s">
        <v>157</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9" t="s">
        <v>528</v>
      </c>
      <c r="D166" s="832"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30"/>
      <c r="D167" s="833"/>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31"/>
      <c r="D168" s="834"/>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9" t="s">
        <v>534</v>
      </c>
      <c r="D170" s="832"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30"/>
      <c r="D171" s="833"/>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31"/>
      <c r="D172" s="834"/>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40" t="s">
        <v>536</v>
      </c>
      <c r="D173" s="841"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9" t="s">
        <v>562</v>
      </c>
      <c r="D186" s="832"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30"/>
      <c r="D187" s="833"/>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31"/>
      <c r="D188" s="834"/>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40" t="s">
        <v>566</v>
      </c>
      <c r="D189" s="841"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9" t="s">
        <v>569</v>
      </c>
      <c r="D191" s="832"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31"/>
      <c r="D192" s="834"/>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40" t="s">
        <v>598</v>
      </c>
      <c r="D205" s="841"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43"/>
      <c r="D206" s="84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9" t="s">
        <v>602</v>
      </c>
      <c r="D208" s="832"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31"/>
      <c r="D209" s="834"/>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40" t="s">
        <v>606</v>
      </c>
      <c r="D210" s="841"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626</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627</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628</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629</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630</v>
      </c>
      <c r="D227" s="647" t="s">
        <v>631</v>
      </c>
      <c r="E227" s="342" t="s">
        <v>632</v>
      </c>
      <c r="F227" s="647" t="s">
        <v>577</v>
      </c>
      <c r="G227" s="645" t="s">
        <v>633</v>
      </c>
      <c r="H227" s="648" t="s">
        <v>634</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635</v>
      </c>
      <c r="C228" s="310" t="s">
        <v>630</v>
      </c>
      <c r="D228" s="76" t="s">
        <v>631</v>
      </c>
      <c r="E228" s="23" t="s">
        <v>632</v>
      </c>
      <c r="F228" s="76" t="s">
        <v>577</v>
      </c>
      <c r="G228" s="335" t="s">
        <v>633</v>
      </c>
      <c r="H228" s="28" t="s">
        <v>634</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631</v>
      </c>
      <c r="E229" s="604" t="s">
        <v>636</v>
      </c>
      <c r="F229" s="219" t="s">
        <v>577</v>
      </c>
      <c r="G229" s="543" t="s">
        <v>336</v>
      </c>
      <c r="H229" s="193" t="s">
        <v>637</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638</v>
      </c>
      <c r="C230" s="96">
        <v>15230</v>
      </c>
      <c r="D230" s="27" t="s">
        <v>631</v>
      </c>
      <c r="E230" s="336" t="s">
        <v>636</v>
      </c>
      <c r="F230" s="27" t="s">
        <v>577</v>
      </c>
      <c r="G230" s="335" t="s">
        <v>336</v>
      </c>
      <c r="H230" s="28" t="s">
        <v>637</v>
      </c>
      <c r="I230" s="25">
        <v>45911</v>
      </c>
      <c r="J230" s="588">
        <v>45926</v>
      </c>
      <c r="K230" s="557" t="str" cm="1">
        <f t="array" ref="K230">IF(ISBLANK(J230), IF(ISBLANK(I230), "N/A", _xlfn.IFS(L230="AS", I230+15, L230="NCR", I230+30, L230="submitted", I230+30, TRUE, "N/A")), _xlfn.IFS(L230="AS", J230+15, L230="NCR", J230+30, L230="submitted", J230+30, TRUE, "N/A"))</f>
        <v>N/A</v>
      </c>
      <c r="L230" s="591" t="s">
        <v>639</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631</v>
      </c>
      <c r="E232" s="219" t="s">
        <v>640</v>
      </c>
      <c r="F232" s="219" t="s">
        <v>641</v>
      </c>
      <c r="G232" s="146" t="s">
        <v>336</v>
      </c>
      <c r="H232" s="147" t="s">
        <v>642</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643</v>
      </c>
      <c r="C233" s="333">
        <v>15230</v>
      </c>
      <c r="D233" s="219" t="s">
        <v>631</v>
      </c>
      <c r="E233" s="219" t="s">
        <v>640</v>
      </c>
      <c r="F233" s="219" t="s">
        <v>641</v>
      </c>
      <c r="G233" s="146" t="s">
        <v>336</v>
      </c>
      <c r="H233" s="147" t="s">
        <v>642</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644</v>
      </c>
      <c r="C234" s="522">
        <v>15230</v>
      </c>
      <c r="D234" s="263" t="s">
        <v>631</v>
      </c>
      <c r="E234" s="263" t="s">
        <v>645</v>
      </c>
      <c r="F234" s="263" t="s">
        <v>646</v>
      </c>
      <c r="G234" s="262" t="s">
        <v>647</v>
      </c>
      <c r="H234" s="264" t="s">
        <v>648</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649</v>
      </c>
      <c r="D235" s="76" t="s">
        <v>650</v>
      </c>
      <c r="E235" s="76"/>
      <c r="F235" s="76"/>
      <c r="G235" s="22" t="s">
        <v>336</v>
      </c>
      <c r="H235" s="28" t="s">
        <v>651</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652</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652</v>
      </c>
      <c r="E239" s="494" t="s">
        <v>653</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652</v>
      </c>
      <c r="E240" s="495"/>
      <c r="F240" s="240"/>
      <c r="G240" s="146" t="s">
        <v>404</v>
      </c>
      <c r="H240" s="193" t="s">
        <v>654</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655</v>
      </c>
      <c r="C241" s="661">
        <v>15241</v>
      </c>
      <c r="D241" s="662" t="s">
        <v>652</v>
      </c>
      <c r="E241" s="663" t="s">
        <v>656</v>
      </c>
      <c r="F241" s="133" t="s">
        <v>577</v>
      </c>
      <c r="G241" s="151"/>
      <c r="H241" s="153" t="s">
        <v>657</v>
      </c>
      <c r="I241" s="261">
        <v>45891</v>
      </c>
      <c r="J241" s="261"/>
      <c r="K241" s="557" t="str" cm="1">
        <f t="array" ref="K241">IF(ISBLANK(J241), IF(ISBLANK(I241), "N/A", _xlfn.IFS(L241="AS", I241+15, L241="NCR", I241+30, L241="submitted", I241+30, TRUE, "N/A")), _xlfn.IFS(L241="AS", J241+15, L241="NCR", J241+30, L241="submitted", J241+30, TRUE, "N/A"))</f>
        <v>N/A</v>
      </c>
      <c r="L241" s="139" t="s">
        <v>639</v>
      </c>
    </row>
    <row r="242" spans="2:12" s="1" customFormat="1" ht="47.25" customHeight="1">
      <c r="B242" s="21"/>
      <c r="C242" s="97" t="s">
        <v>658</v>
      </c>
      <c r="D242" s="46" t="s">
        <v>659</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660</v>
      </c>
      <c r="D243" s="34" t="s">
        <v>661</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627</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628</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662</v>
      </c>
      <c r="D246" s="37" t="s">
        <v>663</v>
      </c>
      <c r="E246" s="37"/>
      <c r="F246" s="37"/>
      <c r="G246" s="9" t="s">
        <v>336</v>
      </c>
      <c r="H246" s="7" t="s">
        <v>664</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665</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666</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667</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668</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669</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670</v>
      </c>
      <c r="D252" s="17" t="s">
        <v>671</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672</v>
      </c>
      <c r="D253" s="37" t="s">
        <v>673</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674</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675</v>
      </c>
      <c r="D256" s="34" t="s">
        <v>676</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677</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678</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679</v>
      </c>
      <c r="D259" s="13" t="s">
        <v>680</v>
      </c>
      <c r="E259" s="13"/>
      <c r="F259" s="13"/>
      <c r="G259" s="9" t="s">
        <v>483</v>
      </c>
      <c r="H259" s="7" t="s">
        <v>651</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681</v>
      </c>
      <c r="D260" s="17" t="s">
        <v>682</v>
      </c>
      <c r="E260" s="17"/>
      <c r="F260" s="17"/>
      <c r="G260" s="4" t="s">
        <v>212</v>
      </c>
      <c r="H260" s="3" t="s">
        <v>683</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684</v>
      </c>
      <c r="D261" s="37" t="s">
        <v>685</v>
      </c>
      <c r="E261" s="37"/>
      <c r="F261" s="37"/>
      <c r="G261" s="9" t="s">
        <v>212</v>
      </c>
      <c r="H261" s="7" t="s">
        <v>686</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687</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688</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689</v>
      </c>
      <c r="D264" s="34" t="s">
        <v>690</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691</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692</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693</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694</v>
      </c>
      <c r="H268" s="3" t="s">
        <v>695</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696</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697</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698</v>
      </c>
      <c r="D271" s="37" t="s">
        <v>699</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700</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701</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702</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703</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704</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705</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706</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707</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708</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709</v>
      </c>
      <c r="H282" s="7" t="s">
        <v>710</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711</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712</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713</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714</v>
      </c>
      <c r="H286" s="7" t="s">
        <v>715</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716</v>
      </c>
      <c r="H287" s="13" t="s">
        <v>717</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718</v>
      </c>
      <c r="H288" s="13" t="s">
        <v>719</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720</v>
      </c>
      <c r="D289" s="34" t="s">
        <v>721</v>
      </c>
      <c r="E289" s="34"/>
      <c r="F289" s="34"/>
      <c r="G289" s="4" t="s">
        <v>722</v>
      </c>
      <c r="H289" s="17" t="s">
        <v>723</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724</v>
      </c>
      <c r="H290" s="17" t="s">
        <v>725</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726</v>
      </c>
      <c r="H291" s="3" t="s">
        <v>727</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728</v>
      </c>
      <c r="H292" s="3" t="s">
        <v>729</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730</v>
      </c>
      <c r="H293" s="17" t="s">
        <v>731</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732</v>
      </c>
      <c r="H294" s="17" t="s">
        <v>733</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734</v>
      </c>
      <c r="H295" s="17" t="s">
        <v>735</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736</v>
      </c>
      <c r="H296" s="17" t="s">
        <v>737</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738</v>
      </c>
      <c r="H297" s="17" t="s">
        <v>739</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740</v>
      </c>
      <c r="H298" s="17" t="s">
        <v>741</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742</v>
      </c>
      <c r="H299" s="3" t="s">
        <v>743</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744</v>
      </c>
      <c r="D300" s="37" t="s">
        <v>745</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708</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746</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747</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697</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748</v>
      </c>
      <c r="D308" s="34" t="s">
        <v>749</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750</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751</v>
      </c>
      <c r="D310" s="332" t="s">
        <v>98</v>
      </c>
      <c r="E310" s="231" t="s">
        <v>752</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753</v>
      </c>
    </row>
    <row r="311" spans="1:14" s="149" customFormat="1" ht="15" customHeight="1">
      <c r="A311" s="1"/>
      <c r="B311" s="146" t="s">
        <v>97</v>
      </c>
      <c r="C311" s="245" t="s">
        <v>751</v>
      </c>
      <c r="D311" s="332" t="s">
        <v>98</v>
      </c>
      <c r="E311" s="231" t="s">
        <v>752</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753</v>
      </c>
    </row>
    <row r="312" spans="1:14" s="696" customFormat="1" ht="15" customHeight="1">
      <c r="A312" s="1"/>
      <c r="B312" s="689" t="s">
        <v>754</v>
      </c>
      <c r="C312" s="690" t="s">
        <v>751</v>
      </c>
      <c r="D312" s="691" t="s">
        <v>98</v>
      </c>
      <c r="E312" s="692"/>
      <c r="F312" s="692"/>
      <c r="G312" s="689" t="s">
        <v>259</v>
      </c>
      <c r="H312" s="693" t="s">
        <v>755</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751</v>
      </c>
      <c r="D313" s="332" t="s">
        <v>98</v>
      </c>
      <c r="E313" s="231" t="s">
        <v>752</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753</v>
      </c>
    </row>
    <row r="314" spans="1:14" s="149" customFormat="1" ht="27" customHeight="1">
      <c r="A314" s="1"/>
      <c r="B314" s="146" t="s">
        <v>97</v>
      </c>
      <c r="C314" s="245" t="s">
        <v>751</v>
      </c>
      <c r="D314" s="332" t="s">
        <v>98</v>
      </c>
      <c r="E314" s="231" t="s">
        <v>752</v>
      </c>
      <c r="F314" s="217"/>
      <c r="G314" s="146" t="s">
        <v>354</v>
      </c>
      <c r="H314" s="193" t="s">
        <v>756</v>
      </c>
      <c r="I314" s="233">
        <v>45880</v>
      </c>
      <c r="J314" s="233"/>
      <c r="K314" s="557" cm="1">
        <f t="array" ref="K314">IF(ISBLANK(J314), IF(ISBLANK(I314), "N/A", _xlfn.IFS(L314="AS", I314+15, L314="NCR", I314+30, L314="submitted", I314+30, TRUE, "N/A")), _xlfn.IFS(L314="AS", J314+15, L314="NCR", J314+30, L314="submitted", J314+30, TRUE, "N/A"))</f>
        <v>45895</v>
      </c>
      <c r="L314" s="148" t="s">
        <v>753</v>
      </c>
    </row>
    <row r="315" spans="1:14" s="266" customFormat="1" ht="26.25" customHeight="1">
      <c r="A315" s="1"/>
      <c r="B315" s="264" t="s">
        <v>99</v>
      </c>
      <c r="C315" s="521" t="s">
        <v>757</v>
      </c>
      <c r="D315" s="267" t="s">
        <v>758</v>
      </c>
      <c r="E315" s="267" t="s">
        <v>752</v>
      </c>
      <c r="F315" s="267" t="s">
        <v>322</v>
      </c>
      <c r="G315" s="262" t="s">
        <v>759</v>
      </c>
      <c r="H315" s="424" t="s">
        <v>760</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757</v>
      </c>
      <c r="D316" s="267" t="s">
        <v>758</v>
      </c>
      <c r="E316" s="267" t="s">
        <v>752</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757</v>
      </c>
      <c r="D317" s="267" t="s">
        <v>758</v>
      </c>
      <c r="E317" s="267" t="s">
        <v>752</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757</v>
      </c>
      <c r="D318" s="37" t="s">
        <v>758</v>
      </c>
      <c r="F318" s="39"/>
      <c r="G318" s="38" t="s">
        <v>486</v>
      </c>
      <c r="H318" s="40" t="s">
        <v>761</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762</v>
      </c>
      <c r="D319" s="741" t="s">
        <v>763</v>
      </c>
      <c r="E319" s="741" t="s">
        <v>752</v>
      </c>
      <c r="F319" s="741" t="s">
        <v>322</v>
      </c>
      <c r="G319" s="742" t="s">
        <v>212</v>
      </c>
      <c r="H319" s="743" t="s">
        <v>764</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762</v>
      </c>
      <c r="D320" s="741" t="s">
        <v>763</v>
      </c>
      <c r="E320" s="741" t="s">
        <v>752</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762</v>
      </c>
      <c r="D321" s="741" t="s">
        <v>763</v>
      </c>
      <c r="E321" s="741" t="s">
        <v>752</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762</v>
      </c>
      <c r="D322" s="741" t="s">
        <v>763</v>
      </c>
      <c r="E322" s="741" t="s">
        <v>752</v>
      </c>
      <c r="F322" s="741" t="s">
        <v>765</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766</v>
      </c>
      <c r="C323" s="605" t="s">
        <v>762</v>
      </c>
      <c r="D323" s="202" t="s">
        <v>763</v>
      </c>
      <c r="E323" s="202" t="s">
        <v>752</v>
      </c>
      <c r="F323" s="202" t="s">
        <v>322</v>
      </c>
      <c r="G323" s="580" t="s">
        <v>212</v>
      </c>
      <c r="H323" s="606" t="s">
        <v>764</v>
      </c>
      <c r="I323" s="607">
        <v>45894</v>
      </c>
      <c r="J323" s="607">
        <v>45926</v>
      </c>
      <c r="K323" s="557" t="str" cm="1">
        <f t="array" ref="K323">IF(ISBLANK(J323), IF(ISBLANK(I323), "N/A", _xlfn.IFS(L323="AS", I323+15, L323="NCR", I323+30, L323="submitted", I323+30, TRUE, "N/A")), _xlfn.IFS(L323="AS", J323+15, L323="NCR", J323+30, L323="submitted", J323+30, TRUE, "N/A"))</f>
        <v>N/A</v>
      </c>
      <c r="L323" s="202" t="s">
        <v>639</v>
      </c>
    </row>
    <row r="324" spans="1:12" s="26" customFormat="1" ht="15" customHeight="1">
      <c r="A324" s="1"/>
      <c r="B324" s="272" t="s">
        <v>766</v>
      </c>
      <c r="C324" s="605" t="s">
        <v>762</v>
      </c>
      <c r="D324" s="202" t="s">
        <v>763</v>
      </c>
      <c r="E324" s="202" t="s">
        <v>752</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639</v>
      </c>
    </row>
    <row r="325" spans="1:12" s="26" customFormat="1" ht="27" customHeight="1">
      <c r="A325" s="1"/>
      <c r="B325" s="272" t="s">
        <v>766</v>
      </c>
      <c r="C325" s="605" t="s">
        <v>762</v>
      </c>
      <c r="D325" s="202" t="s">
        <v>763</v>
      </c>
      <c r="E325" s="202" t="s">
        <v>752</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639</v>
      </c>
    </row>
    <row r="326" spans="1:12" s="26" customFormat="1" ht="27" customHeight="1">
      <c r="A326" s="1"/>
      <c r="B326" s="272" t="s">
        <v>766</v>
      </c>
      <c r="C326" s="605" t="s">
        <v>762</v>
      </c>
      <c r="D326" s="202" t="s">
        <v>763</v>
      </c>
      <c r="E326" s="202" t="s">
        <v>752</v>
      </c>
      <c r="F326" s="202" t="s">
        <v>765</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639</v>
      </c>
    </row>
    <row r="327" spans="1:12" s="5" customFormat="1" ht="15" customHeight="1">
      <c r="B327" s="73"/>
      <c r="C327" s="111" t="s">
        <v>767</v>
      </c>
      <c r="D327" s="35" t="s">
        <v>768</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725</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739</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769</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770</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771</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772</v>
      </c>
      <c r="D333" s="37" t="s">
        <v>773</v>
      </c>
      <c r="E333" s="37"/>
      <c r="F333" s="37"/>
      <c r="G333" s="9" t="s">
        <v>212</v>
      </c>
      <c r="H333" s="7" t="s">
        <v>774</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775</v>
      </c>
      <c r="D335" s="34" t="s">
        <v>776</v>
      </c>
      <c r="E335" s="34"/>
      <c r="F335" s="34"/>
      <c r="G335" s="4" t="s">
        <v>281</v>
      </c>
      <c r="H335" s="17" t="s">
        <v>777</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778</v>
      </c>
      <c r="D339" s="37" t="s">
        <v>779</v>
      </c>
      <c r="E339" s="37"/>
      <c r="F339" s="37"/>
      <c r="G339" s="9" t="s">
        <v>208</v>
      </c>
      <c r="H339" s="13" t="s">
        <v>780</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781</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782</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783</v>
      </c>
      <c r="D342" s="17" t="s">
        <v>784</v>
      </c>
      <c r="E342" s="17"/>
      <c r="F342" s="17"/>
      <c r="G342" s="4" t="s">
        <v>336</v>
      </c>
      <c r="H342" s="17" t="s">
        <v>785</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786</v>
      </c>
      <c r="D343" s="37" t="s">
        <v>787</v>
      </c>
      <c r="E343" s="37"/>
      <c r="F343" s="37"/>
      <c r="G343" s="38" t="s">
        <v>208</v>
      </c>
      <c r="H343" s="37" t="s">
        <v>788</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789</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790</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791</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792</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793</v>
      </c>
      <c r="C349" s="734" t="s">
        <v>786</v>
      </c>
      <c r="D349" s="735" t="s">
        <v>794</v>
      </c>
      <c r="E349" s="736" t="s">
        <v>795</v>
      </c>
      <c r="F349" s="736" t="s">
        <v>796</v>
      </c>
      <c r="G349" s="733">
        <v>3.07</v>
      </c>
      <c r="H349" s="737" t="s">
        <v>797</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798</v>
      </c>
      <c r="C350" s="729" t="s">
        <v>786</v>
      </c>
      <c r="D350" s="730" t="s">
        <v>794</v>
      </c>
      <c r="E350" s="575" t="s">
        <v>795</v>
      </c>
      <c r="F350" s="575" t="s">
        <v>796</v>
      </c>
      <c r="G350" s="525">
        <v>3.07</v>
      </c>
      <c r="H350" s="731" t="s">
        <v>797</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 ref="C189:C190"/>
    <mergeCell ref="D189:D190"/>
    <mergeCell ref="C191:C192"/>
    <mergeCell ref="D191:D192"/>
    <mergeCell ref="C173:C174"/>
    <mergeCell ref="D173:D174"/>
    <mergeCell ref="C166:C168"/>
    <mergeCell ref="D166:D168"/>
    <mergeCell ref="C170:C172"/>
    <mergeCell ref="D170:D172"/>
    <mergeCell ref="C156:C161"/>
    <mergeCell ref="D156:D161"/>
    <mergeCell ref="B24:B31"/>
    <mergeCell ref="C24:C31"/>
    <mergeCell ref="D24:D31"/>
    <mergeCell ref="B1:H1"/>
    <mergeCell ref="C4:C6"/>
    <mergeCell ref="D4:D6"/>
    <mergeCell ref="B8:B15"/>
    <mergeCell ref="B16:B23"/>
    <mergeCell ref="C16:C23"/>
    <mergeCell ref="D16:D23"/>
    <mergeCell ref="C8:C15"/>
    <mergeCell ref="D8:D15"/>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246" activePane="bottomLeft" state="frozen"/>
      <selection pane="bottomLeft" activeCell="J479" sqref="J479"/>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0" max="11" width="10.140625" bestFit="1" customWidth="1"/>
    <col min="13" max="13" width="2.140625" customWidth="1"/>
    <col min="18" max="18" width="1.7109375" customWidth="1"/>
  </cols>
  <sheetData>
    <row r="1" spans="1:17" ht="33.75" customHeight="1">
      <c r="B1" s="805" t="s">
        <v>799</v>
      </c>
      <c r="C1" s="806"/>
      <c r="D1" s="806"/>
      <c r="E1" s="806"/>
      <c r="F1" s="806"/>
      <c r="G1" s="806"/>
      <c r="H1" s="806"/>
      <c r="M1" s="317"/>
      <c r="N1" s="314"/>
      <c r="O1" s="315"/>
      <c r="P1" s="315"/>
      <c r="Q1" s="316"/>
    </row>
    <row r="2" spans="1:17" ht="40.5">
      <c r="A2" s="282" t="s">
        <v>284</v>
      </c>
      <c r="B2" s="292" t="s">
        <v>113</v>
      </c>
      <c r="C2" s="285" t="s">
        <v>114</v>
      </c>
      <c r="D2" s="285" t="s">
        <v>115</v>
      </c>
      <c r="E2" s="285" t="s">
        <v>800</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801</v>
      </c>
      <c r="D3" s="370" t="s">
        <v>802</v>
      </c>
      <c r="E3" s="103"/>
      <c r="F3" s="5"/>
      <c r="G3" s="73" t="s">
        <v>281</v>
      </c>
      <c r="H3" s="36" t="s">
        <v>803</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804</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805</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806</v>
      </c>
      <c r="C6" s="372" t="s">
        <v>807</v>
      </c>
      <c r="D6" s="40" t="s">
        <v>808</v>
      </c>
      <c r="E6" s="40" t="s">
        <v>809</v>
      </c>
      <c r="F6" s="37" t="s">
        <v>810</v>
      </c>
      <c r="G6" s="9" t="s">
        <v>222</v>
      </c>
      <c r="H6" s="7" t="s">
        <v>811</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806</v>
      </c>
      <c r="C7" s="372" t="s">
        <v>807</v>
      </c>
      <c r="D7" s="40" t="s">
        <v>808</v>
      </c>
      <c r="E7" s="40" t="s">
        <v>809</v>
      </c>
      <c r="F7" s="37" t="s">
        <v>810</v>
      </c>
      <c r="G7" s="9" t="s">
        <v>543</v>
      </c>
      <c r="H7" s="7" t="s">
        <v>812</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806</v>
      </c>
      <c r="C8" s="372" t="s">
        <v>807</v>
      </c>
      <c r="D8" s="40" t="s">
        <v>808</v>
      </c>
      <c r="E8" s="40" t="s">
        <v>809</v>
      </c>
      <c r="F8" s="37" t="s">
        <v>810</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808</v>
      </c>
      <c r="E9" s="20"/>
      <c r="F9" s="1"/>
      <c r="G9" s="9" t="s">
        <v>372</v>
      </c>
      <c r="H9" s="7" t="s">
        <v>813</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808</v>
      </c>
      <c r="E10" s="20"/>
      <c r="F10" s="1"/>
      <c r="G10" s="9" t="s">
        <v>374</v>
      </c>
      <c r="H10" s="7" t="s">
        <v>814</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808</v>
      </c>
      <c r="E11" s="20"/>
      <c r="F11" s="1"/>
      <c r="G11" s="9" t="s">
        <v>376</v>
      </c>
      <c r="H11" s="13" t="s">
        <v>815</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808</v>
      </c>
      <c r="E12" s="20"/>
      <c r="F12" s="1"/>
      <c r="G12" s="9" t="s">
        <v>352</v>
      </c>
      <c r="H12" s="7" t="s">
        <v>816</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808</v>
      </c>
      <c r="E13" s="20"/>
      <c r="F13" s="1" t="s">
        <v>287</v>
      </c>
      <c r="G13" s="9" t="s">
        <v>817</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808</v>
      </c>
      <c r="E14" s="20"/>
      <c r="F14" s="1" t="s">
        <v>287</v>
      </c>
      <c r="G14" s="9" t="s">
        <v>818</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808</v>
      </c>
      <c r="E15" s="20"/>
      <c r="F15" s="1" t="s">
        <v>287</v>
      </c>
      <c r="G15" s="9" t="s">
        <v>819</v>
      </c>
      <c r="H15" s="13" t="s">
        <v>820</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808</v>
      </c>
      <c r="E16" s="20"/>
      <c r="F16" s="1" t="s">
        <v>287</v>
      </c>
      <c r="G16" s="9" t="s">
        <v>821</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808</v>
      </c>
      <c r="E17" s="20"/>
      <c r="F17" s="1" t="s">
        <v>287</v>
      </c>
      <c r="G17" s="9" t="s">
        <v>822</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808</v>
      </c>
      <c r="E18" s="20"/>
      <c r="F18" s="1" t="s">
        <v>287</v>
      </c>
      <c r="G18" s="9" t="s">
        <v>823</v>
      </c>
      <c r="H18" s="13" t="s">
        <v>824</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825</v>
      </c>
      <c r="D19" s="34" t="s">
        <v>826</v>
      </c>
      <c r="E19" s="103"/>
      <c r="F19" s="5"/>
      <c r="G19" s="4" t="s">
        <v>222</v>
      </c>
      <c r="H19" s="3" t="s">
        <v>827</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828</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829</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830</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831</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832</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833</v>
      </c>
      <c r="D26" s="76" t="s">
        <v>834</v>
      </c>
      <c r="E26" s="573"/>
      <c r="F26" s="26" t="s">
        <v>322</v>
      </c>
      <c r="G26" s="22" t="s">
        <v>393</v>
      </c>
      <c r="H26" s="28" t="s">
        <v>835</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833</v>
      </c>
      <c r="D27" s="76" t="s">
        <v>834</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833</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833</v>
      </c>
      <c r="D29" s="39"/>
      <c r="E29" s="20"/>
      <c r="F29" s="1"/>
      <c r="G29" s="9" t="s">
        <v>836</v>
      </c>
      <c r="H29" s="7" t="s">
        <v>837</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833</v>
      </c>
      <c r="D30" s="39"/>
      <c r="E30" s="20"/>
      <c r="F30" s="1"/>
      <c r="G30" s="9" t="s">
        <v>838</v>
      </c>
      <c r="H30" s="7" t="s">
        <v>839</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833</v>
      </c>
      <c r="D31" s="76" t="s">
        <v>834</v>
      </c>
      <c r="E31" s="573"/>
      <c r="F31" s="26" t="s">
        <v>322</v>
      </c>
      <c r="G31" s="22" t="s">
        <v>515</v>
      </c>
      <c r="H31" s="28" t="s">
        <v>840</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833</v>
      </c>
      <c r="D32" s="76" t="s">
        <v>834</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833</v>
      </c>
      <c r="D33" s="76" t="s">
        <v>834</v>
      </c>
      <c r="E33" s="573"/>
      <c r="F33" s="26" t="s">
        <v>322</v>
      </c>
      <c r="G33" s="22" t="s">
        <v>518</v>
      </c>
      <c r="H33" s="24" t="s">
        <v>841</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833</v>
      </c>
      <c r="D34" s="76" t="s">
        <v>834</v>
      </c>
      <c r="E34" s="573"/>
      <c r="F34" s="26" t="s">
        <v>322</v>
      </c>
      <c r="G34" s="22" t="s">
        <v>842</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833</v>
      </c>
      <c r="D35" s="76" t="s">
        <v>834</v>
      </c>
      <c r="E35" s="573"/>
      <c r="F35" s="26" t="s">
        <v>322</v>
      </c>
      <c r="G35" s="22" t="s">
        <v>843</v>
      </c>
      <c r="H35" s="28" t="s">
        <v>844</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833</v>
      </c>
      <c r="D36" s="39"/>
      <c r="E36" s="20"/>
      <c r="F36" s="1" t="s">
        <v>845</v>
      </c>
      <c r="G36" s="9" t="s">
        <v>846</v>
      </c>
      <c r="H36" s="7" t="s">
        <v>832</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833</v>
      </c>
      <c r="D37" s="39"/>
      <c r="E37" s="20"/>
      <c r="F37" s="1" t="s">
        <v>845</v>
      </c>
      <c r="G37" s="9" t="s">
        <v>847</v>
      </c>
      <c r="H37" s="7" t="s">
        <v>848</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833</v>
      </c>
      <c r="D38" s="76" t="s">
        <v>834</v>
      </c>
      <c r="E38" s="573"/>
      <c r="F38" s="26" t="s">
        <v>322</v>
      </c>
      <c r="G38" s="22" t="s">
        <v>849</v>
      </c>
      <c r="H38" s="28" t="s">
        <v>850</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833</v>
      </c>
      <c r="D39" s="39"/>
      <c r="E39" s="20"/>
      <c r="F39" s="1"/>
      <c r="G39" s="9" t="s">
        <v>851</v>
      </c>
      <c r="H39" s="7" t="s">
        <v>852</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833</v>
      </c>
      <c r="D40" s="46"/>
      <c r="E40" s="20"/>
      <c r="F40" s="1"/>
      <c r="G40" s="9" t="s">
        <v>853</v>
      </c>
      <c r="H40" s="7" t="s">
        <v>854</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855</v>
      </c>
      <c r="C41" s="310" t="s">
        <v>856</v>
      </c>
      <c r="D41" s="76" t="s">
        <v>857</v>
      </c>
      <c r="E41" s="573"/>
      <c r="F41" s="26" t="s">
        <v>858</v>
      </c>
      <c r="G41" s="22" t="s">
        <v>483</v>
      </c>
      <c r="H41" s="28" t="s">
        <v>859</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855</v>
      </c>
      <c r="C42" s="310" t="s">
        <v>856</v>
      </c>
      <c r="D42" s="76" t="s">
        <v>857</v>
      </c>
      <c r="E42" s="573"/>
      <c r="F42" s="26" t="s">
        <v>858</v>
      </c>
      <c r="G42" s="22" t="s">
        <v>485</v>
      </c>
      <c r="H42" s="28" t="s">
        <v>860</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855</v>
      </c>
      <c r="C43" s="310" t="s">
        <v>856</v>
      </c>
      <c r="D43" s="76" t="s">
        <v>857</v>
      </c>
      <c r="E43" s="573"/>
      <c r="F43" s="26" t="s">
        <v>858</v>
      </c>
      <c r="G43" s="22" t="s">
        <v>486</v>
      </c>
      <c r="H43" s="28" t="s">
        <v>861</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855</v>
      </c>
      <c r="C44" s="310" t="s">
        <v>856</v>
      </c>
      <c r="D44" s="76" t="s">
        <v>857</v>
      </c>
      <c r="E44" s="573"/>
      <c r="F44" s="26" t="s">
        <v>858</v>
      </c>
      <c r="G44" s="22" t="s">
        <v>862</v>
      </c>
      <c r="H44" s="24" t="s">
        <v>804</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856</v>
      </c>
      <c r="D45" s="76" t="s">
        <v>857</v>
      </c>
      <c r="E45" s="103"/>
      <c r="F45" s="5"/>
      <c r="G45" s="4" t="s">
        <v>497</v>
      </c>
      <c r="H45" s="3" t="s">
        <v>863</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856</v>
      </c>
      <c r="D46" s="76" t="s">
        <v>857</v>
      </c>
      <c r="E46" s="103"/>
      <c r="F46" s="5"/>
      <c r="G46" s="4" t="s">
        <v>489</v>
      </c>
      <c r="H46" s="17" t="s">
        <v>864</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855</v>
      </c>
      <c r="C47" s="310" t="s">
        <v>856</v>
      </c>
      <c r="D47" s="76" t="s">
        <v>857</v>
      </c>
      <c r="E47" s="573"/>
      <c r="F47" s="26" t="s">
        <v>858</v>
      </c>
      <c r="G47" s="22" t="s">
        <v>865</v>
      </c>
      <c r="H47" s="28" t="s">
        <v>866</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867</v>
      </c>
      <c r="D48" s="76" t="s">
        <v>868</v>
      </c>
      <c r="E48" s="573"/>
      <c r="F48" s="26"/>
      <c r="G48" s="22" t="s">
        <v>869</v>
      </c>
      <c r="H48" s="28" t="s">
        <v>870</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871</v>
      </c>
      <c r="H49" s="28" t="s">
        <v>872</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873</v>
      </c>
      <c r="H50" s="28" t="s">
        <v>874</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875</v>
      </c>
      <c r="H51" s="28" t="s">
        <v>876</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877</v>
      </c>
      <c r="H52" s="28" t="s">
        <v>878</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879</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880</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881</v>
      </c>
      <c r="H55" s="28" t="s">
        <v>820</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882</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883</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884</v>
      </c>
      <c r="H58" s="28" t="s">
        <v>885</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862</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886</v>
      </c>
      <c r="D60" s="37" t="s">
        <v>887</v>
      </c>
      <c r="E60" s="20"/>
      <c r="F60" s="1"/>
      <c r="G60" s="9" t="s">
        <v>336</v>
      </c>
      <c r="H60" s="7" t="s">
        <v>888</v>
      </c>
      <c r="I60" s="14">
        <v>45931</v>
      </c>
      <c r="J60" s="9"/>
      <c r="K60" s="74" t="str" cm="1">
        <f t="array" ref="K60">IF(ISBLANK(J60), IF(ISBLANK(I60), "N/A", _xlfn.IFS(L60="AS", I60+15, L60="NCR", I60+30, L60="submitted", I60+30, TRUE, "N/A")), _xlfn.IFS(L60="AS", J60+15, L60="NCR", J60+30, L60="submitted", J60+30, TRUE, "N/A"))</f>
        <v>N/A</v>
      </c>
      <c r="L60" s="14" t="s">
        <v>889</v>
      </c>
      <c r="M60" s="317"/>
      <c r="N60" s="747"/>
      <c r="O60" s="748"/>
      <c r="P60" s="748"/>
      <c r="Q60" s="749"/>
    </row>
    <row r="61" spans="2:17" s="150" customFormat="1" ht="15" customHeight="1">
      <c r="B61" s="22" t="s">
        <v>890</v>
      </c>
      <c r="C61" s="368" t="s">
        <v>886</v>
      </c>
      <c r="D61" s="29" t="s">
        <v>887</v>
      </c>
      <c r="E61" s="573"/>
      <c r="F61" s="26" t="s">
        <v>796</v>
      </c>
      <c r="G61" s="22" t="s">
        <v>337</v>
      </c>
      <c r="H61" s="28" t="s">
        <v>835</v>
      </c>
      <c r="I61" s="25"/>
      <c r="J61" s="22"/>
      <c r="K61" s="74" t="str" cm="1">
        <f t="array" ref="K61">IF(ISBLANK(J61), IF(ISBLANK(I61), "N/A", _xlfn.IFS(L61="AS", I61+15, L61="NCR", I61+30, L61="submitted", I61+30, TRUE, "N/A")), _xlfn.IFS(L61="AS", J61+15, L61="NCR", J61+30, L61="submitted", J61+30, TRUE, "N/A"))</f>
        <v>N/A</v>
      </c>
      <c r="L61" s="76" t="s">
        <v>891</v>
      </c>
      <c r="M61" s="317"/>
      <c r="N61" s="746"/>
      <c r="O61" s="764"/>
      <c r="P61" s="764"/>
      <c r="Q61" s="765"/>
    </row>
    <row r="62" spans="2:17" ht="15" customHeight="1">
      <c r="B62" s="9"/>
      <c r="C62" s="32" t="s">
        <v>886</v>
      </c>
      <c r="D62" s="37" t="s">
        <v>887</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886</v>
      </c>
      <c r="D63" s="37" t="s">
        <v>887</v>
      </c>
      <c r="E63" s="20"/>
      <c r="F63" s="1"/>
      <c r="G63" s="9" t="s">
        <v>340</v>
      </c>
      <c r="H63" s="7" t="s">
        <v>892</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886</v>
      </c>
      <c r="D64" s="37" t="s">
        <v>887</v>
      </c>
      <c r="E64" s="20"/>
      <c r="F64" s="1"/>
      <c r="G64" s="9" t="s">
        <v>406</v>
      </c>
      <c r="H64" s="7" t="s">
        <v>830</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886</v>
      </c>
      <c r="D65" s="37" t="s">
        <v>887</v>
      </c>
      <c r="E65" s="20"/>
      <c r="F65" s="1"/>
      <c r="G65" s="9" t="s">
        <v>747</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886</v>
      </c>
      <c r="D66" s="37" t="s">
        <v>887</v>
      </c>
      <c r="E66" s="20"/>
      <c r="F66" s="1"/>
      <c r="G66" s="9" t="s">
        <v>893</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894</v>
      </c>
      <c r="D67" s="34" t="s">
        <v>895</v>
      </c>
      <c r="E67" s="103"/>
      <c r="F67" s="5"/>
      <c r="G67" s="4" t="s">
        <v>336</v>
      </c>
      <c r="H67" s="17" t="s">
        <v>896</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897</v>
      </c>
      <c r="C68" s="86" t="s">
        <v>894</v>
      </c>
      <c r="D68" s="34" t="s">
        <v>895</v>
      </c>
      <c r="E68" s="103" t="s">
        <v>898</v>
      </c>
      <c r="F68" s="5" t="s">
        <v>796</v>
      </c>
      <c r="G68" s="4" t="s">
        <v>240</v>
      </c>
      <c r="H68" s="17" t="s">
        <v>899</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897</v>
      </c>
      <c r="C69" s="86" t="s">
        <v>894</v>
      </c>
      <c r="D69" s="34" t="s">
        <v>895</v>
      </c>
      <c r="E69" s="103" t="s">
        <v>898</v>
      </c>
      <c r="F69" s="5" t="s">
        <v>796</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894</v>
      </c>
      <c r="D70" s="34" t="s">
        <v>895</v>
      </c>
      <c r="E70" s="103"/>
      <c r="F70" s="5"/>
      <c r="G70" s="4" t="s">
        <v>340</v>
      </c>
      <c r="H70" s="3" t="s">
        <v>892</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894</v>
      </c>
      <c r="D71" s="34" t="s">
        <v>895</v>
      </c>
      <c r="E71" s="103"/>
      <c r="F71" s="5"/>
      <c r="G71" s="4" t="s">
        <v>406</v>
      </c>
      <c r="H71" s="3" t="s">
        <v>830</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894</v>
      </c>
      <c r="D72" s="34" t="s">
        <v>895</v>
      </c>
      <c r="E72" s="103"/>
      <c r="F72" s="5"/>
      <c r="G72" s="4" t="s">
        <v>747</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894</v>
      </c>
      <c r="D73" s="34" t="s">
        <v>895</v>
      </c>
      <c r="E73" s="103"/>
      <c r="F73" s="5"/>
      <c r="G73" s="4" t="s">
        <v>893</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900</v>
      </c>
      <c r="C74" s="310" t="s">
        <v>901</v>
      </c>
      <c r="D74" s="76" t="s">
        <v>902</v>
      </c>
      <c r="E74" s="573"/>
      <c r="F74" s="26" t="s">
        <v>765</v>
      </c>
      <c r="G74" s="22" t="s">
        <v>336</v>
      </c>
      <c r="H74" s="28" t="s">
        <v>896</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901</v>
      </c>
      <c r="D75" s="39" t="s">
        <v>902</v>
      </c>
      <c r="E75" s="20"/>
      <c r="F75" s="1"/>
      <c r="G75" s="9" t="s">
        <v>337</v>
      </c>
      <c r="H75" s="7" t="s">
        <v>835</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901</v>
      </c>
      <c r="D76" s="76" t="s">
        <v>902</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901</v>
      </c>
      <c r="D77" s="39" t="s">
        <v>902</v>
      </c>
      <c r="E77" s="20"/>
      <c r="F77" s="1"/>
      <c r="G77" s="9" t="s">
        <v>405</v>
      </c>
      <c r="H77" s="7" t="s">
        <v>830</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901</v>
      </c>
      <c r="D78" s="76" t="s">
        <v>902</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901</v>
      </c>
      <c r="D79" s="39" t="s">
        <v>902</v>
      </c>
      <c r="E79" s="20"/>
      <c r="F79" s="1"/>
      <c r="G79" s="9" t="s">
        <v>746</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903</v>
      </c>
      <c r="C80" s="368" t="s">
        <v>904</v>
      </c>
      <c r="D80" s="29" t="s">
        <v>905</v>
      </c>
      <c r="E80" s="573"/>
      <c r="F80" s="26" t="s">
        <v>810</v>
      </c>
      <c r="G80" s="22" t="s">
        <v>336</v>
      </c>
      <c r="H80" s="28" t="s">
        <v>906</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903</v>
      </c>
      <c r="C81" s="310" t="s">
        <v>904</v>
      </c>
      <c r="D81" s="76" t="s">
        <v>905</v>
      </c>
      <c r="E81" s="573"/>
      <c r="F81" s="26" t="s">
        <v>810</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904</v>
      </c>
      <c r="D82" s="34" t="s">
        <v>905</v>
      </c>
      <c r="E82" s="103"/>
      <c r="F82" s="5"/>
      <c r="G82" s="4" t="s">
        <v>404</v>
      </c>
      <c r="H82" s="3" t="s">
        <v>829</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904</v>
      </c>
      <c r="D83" s="34" t="s">
        <v>905</v>
      </c>
      <c r="E83" s="103"/>
      <c r="F83" s="5"/>
      <c r="G83" s="4" t="s">
        <v>405</v>
      </c>
      <c r="H83" s="3" t="s">
        <v>830</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904</v>
      </c>
      <c r="D84" s="34" t="s">
        <v>905</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904</v>
      </c>
      <c r="D85" s="34" t="s">
        <v>905</v>
      </c>
      <c r="E85" s="103"/>
      <c r="F85" s="5"/>
      <c r="G85" s="4" t="s">
        <v>746</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907</v>
      </c>
      <c r="D86" s="37" t="s">
        <v>908</v>
      </c>
      <c r="E86" s="20"/>
      <c r="F86" s="1"/>
      <c r="G86" s="9" t="s">
        <v>336</v>
      </c>
      <c r="H86" s="7" t="s">
        <v>896</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909</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910</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892</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830</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747</v>
      </c>
      <c r="H92" s="7" t="s">
        <v>831</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893</v>
      </c>
      <c r="H93" s="7" t="s">
        <v>832</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911</v>
      </c>
      <c r="C94" s="654" t="s">
        <v>912</v>
      </c>
      <c r="D94" s="23" t="s">
        <v>913</v>
      </c>
      <c r="E94" s="624" t="s">
        <v>914</v>
      </c>
      <c r="F94" s="26"/>
      <c r="G94" s="22" t="s">
        <v>336</v>
      </c>
      <c r="H94" s="28" t="s">
        <v>896</v>
      </c>
      <c r="I94" s="25">
        <v>45904</v>
      </c>
      <c r="J94" s="25">
        <v>45944</v>
      </c>
      <c r="K94" s="74" cm="1">
        <f t="array" ref="K94">IF(ISBLANK(J94), IF(ISBLANK(I94), "N/A", _xlfn.IFS(L94="AS", I94+15, L94="NCR", I94+30, L94="submitted", I94+30, TRUE, "N/A")), _xlfn.IFS(L94="AS", J94+15, L94="NCR", J94+30, L94="submitted", J94+30, TRUE, "N/A"))</f>
        <v>45974</v>
      </c>
      <c r="L94" s="76" t="s">
        <v>157</v>
      </c>
      <c r="M94" s="317"/>
      <c r="N94" s="747"/>
      <c r="O94" s="748"/>
      <c r="P94" s="748"/>
      <c r="Q94" s="749"/>
    </row>
    <row r="95" spans="1:17" s="150" customFormat="1" ht="15" customHeight="1">
      <c r="B95" s="22" t="s">
        <v>911</v>
      </c>
      <c r="C95" s="654" t="s">
        <v>912</v>
      </c>
      <c r="D95" s="23" t="s">
        <v>913</v>
      </c>
      <c r="E95" s="624" t="s">
        <v>914</v>
      </c>
      <c r="F95" s="26"/>
      <c r="G95" s="22" t="s">
        <v>337</v>
      </c>
      <c r="H95" s="28" t="s">
        <v>835</v>
      </c>
      <c r="I95" s="25">
        <v>45904</v>
      </c>
      <c r="J95" s="25">
        <v>45944</v>
      </c>
      <c r="K95" s="74" cm="1">
        <f t="array" ref="K95">IF(ISBLANK(J95), IF(ISBLANK(I95), "N/A", _xlfn.IFS(L95="AS", I95+15, L95="NCR", I95+30, L95="submitted", I95+30, TRUE, "N/A")), _xlfn.IFS(L95="AS", J95+15, L95="NCR", J95+30, L95="submitted", J95+30, TRUE, "N/A"))</f>
        <v>45974</v>
      </c>
      <c r="L95" s="76" t="s">
        <v>157</v>
      </c>
      <c r="M95" s="317"/>
      <c r="N95" s="747"/>
      <c r="O95" s="748"/>
      <c r="P95" s="748"/>
      <c r="Q95" s="749"/>
    </row>
    <row r="96" spans="1:17" s="150" customFormat="1" ht="15" customHeight="1">
      <c r="B96" s="22" t="s">
        <v>911</v>
      </c>
      <c r="C96" s="654" t="s">
        <v>912</v>
      </c>
      <c r="D96" s="23" t="s">
        <v>913</v>
      </c>
      <c r="E96" s="624" t="s">
        <v>914</v>
      </c>
      <c r="F96" s="26"/>
      <c r="G96" s="22" t="s">
        <v>404</v>
      </c>
      <c r="H96" s="24" t="s">
        <v>282</v>
      </c>
      <c r="I96" s="25">
        <v>45904</v>
      </c>
      <c r="J96" s="25">
        <v>45944</v>
      </c>
      <c r="K96" s="74" cm="1">
        <f t="array" ref="K96">IF(ISBLANK(J96), IF(ISBLANK(I96), "N/A", _xlfn.IFS(L96="AS", I96+15, L96="NCR", I96+30, L96="submitted", I96+30, TRUE, "N/A")), _xlfn.IFS(L96="AS", J96+15, L96="NCR", J96+30, L96="submitted", J96+30, TRUE, "N/A"))</f>
        <v>45974</v>
      </c>
      <c r="L96" s="76" t="s">
        <v>157</v>
      </c>
      <c r="M96" s="317"/>
      <c r="N96" s="747"/>
      <c r="O96" s="748"/>
      <c r="P96" s="748"/>
      <c r="Q96" s="749"/>
    </row>
    <row r="97" spans="2:17" s="150" customFormat="1" ht="15" customHeight="1">
      <c r="B97" s="22" t="s">
        <v>911</v>
      </c>
      <c r="C97" s="654" t="s">
        <v>912</v>
      </c>
      <c r="D97" s="23" t="s">
        <v>913</v>
      </c>
      <c r="E97" s="624" t="s">
        <v>914</v>
      </c>
      <c r="F97" s="26"/>
      <c r="G97" s="22" t="s">
        <v>340</v>
      </c>
      <c r="H97" s="28" t="s">
        <v>892</v>
      </c>
      <c r="I97" s="25">
        <v>45904</v>
      </c>
      <c r="J97" s="25">
        <v>45944</v>
      </c>
      <c r="K97" s="74" cm="1">
        <f t="array" ref="K97">IF(ISBLANK(J97), IF(ISBLANK(I97), "N/A", _xlfn.IFS(L97="AS", I97+15, L97="NCR", I97+30, L97="submitted", I97+30, TRUE, "N/A")), _xlfn.IFS(L97="AS", J97+15, L97="NCR", J97+30, L97="submitted", J97+30, TRUE, "N/A"))</f>
        <v>45974</v>
      </c>
      <c r="L97" s="76" t="s">
        <v>157</v>
      </c>
      <c r="M97" s="317"/>
      <c r="N97" s="747"/>
      <c r="O97" s="748"/>
      <c r="P97" s="748"/>
      <c r="Q97" s="749"/>
    </row>
    <row r="98" spans="2:17" s="150" customFormat="1" ht="15" customHeight="1">
      <c r="B98" s="22" t="s">
        <v>911</v>
      </c>
      <c r="C98" s="654" t="s">
        <v>912</v>
      </c>
      <c r="D98" s="23" t="s">
        <v>913</v>
      </c>
      <c r="E98" s="624" t="s">
        <v>914</v>
      </c>
      <c r="F98" s="26"/>
      <c r="G98" s="22" t="s">
        <v>406</v>
      </c>
      <c r="H98" s="28" t="s">
        <v>915</v>
      </c>
      <c r="I98" s="25">
        <v>45904</v>
      </c>
      <c r="J98" s="25">
        <v>45944</v>
      </c>
      <c r="K98" s="74" cm="1">
        <f t="array" ref="K98">IF(ISBLANK(J98), IF(ISBLANK(I98), "N/A", _xlfn.IFS(L98="AS", I98+15, L98="NCR", I98+30, L98="submitted", I98+30, TRUE, "N/A")), _xlfn.IFS(L98="AS", J98+15, L98="NCR", J98+30, L98="submitted", J98+30, TRUE, "N/A"))</f>
        <v>45974</v>
      </c>
      <c r="L98" s="76" t="s">
        <v>157</v>
      </c>
      <c r="M98" s="317"/>
      <c r="N98" s="747"/>
      <c r="O98" s="748"/>
      <c r="P98" s="748"/>
      <c r="Q98" s="749"/>
    </row>
    <row r="99" spans="2:17" s="150" customFormat="1" ht="15" customHeight="1">
      <c r="B99" s="22" t="s">
        <v>911</v>
      </c>
      <c r="C99" s="654" t="s">
        <v>912</v>
      </c>
      <c r="D99" s="23" t="s">
        <v>913</v>
      </c>
      <c r="E99" s="624" t="s">
        <v>914</v>
      </c>
      <c r="F99" s="26"/>
      <c r="G99" s="22" t="s">
        <v>747</v>
      </c>
      <c r="H99" s="28" t="s">
        <v>383</v>
      </c>
      <c r="I99" s="25">
        <v>45904</v>
      </c>
      <c r="J99" s="25">
        <v>45944</v>
      </c>
      <c r="K99" s="74" cm="1">
        <f t="array" ref="K99">IF(ISBLANK(J99), IF(ISBLANK(I99), "N/A", _xlfn.IFS(L99="AS", I99+15, L99="NCR", I99+30, L99="submitted", I99+30, TRUE, "N/A")), _xlfn.IFS(L99="AS", J99+15, L99="NCR", J99+30, L99="submitted", J99+30, TRUE, "N/A"))</f>
        <v>45974</v>
      </c>
      <c r="L99" s="76" t="s">
        <v>157</v>
      </c>
      <c r="M99" s="317"/>
      <c r="N99" s="747"/>
      <c r="O99" s="748"/>
      <c r="P99" s="748"/>
      <c r="Q99" s="749"/>
    </row>
    <row r="100" spans="2:17" s="150" customFormat="1" ht="27" customHeight="1">
      <c r="B100" s="22" t="s">
        <v>911</v>
      </c>
      <c r="C100" s="654" t="s">
        <v>912</v>
      </c>
      <c r="D100" s="23" t="s">
        <v>913</v>
      </c>
      <c r="E100" s="624" t="s">
        <v>914</v>
      </c>
      <c r="F100" s="26"/>
      <c r="G100" s="22" t="s">
        <v>893</v>
      </c>
      <c r="H100" s="28" t="s">
        <v>385</v>
      </c>
      <c r="I100" s="25">
        <v>45904</v>
      </c>
      <c r="J100" s="25">
        <v>45944</v>
      </c>
      <c r="K100" s="74" cm="1">
        <f t="array" ref="K100">IF(ISBLANK(J100), IF(ISBLANK(I100), "N/A", _xlfn.IFS(L100="AS", I100+15, L100="NCR", I100+30, L100="submitted", I100+30, TRUE, "N/A")), _xlfn.IFS(L100="AS", J100+15, L100="NCR", J100+30, L100="submitted", J100+30, TRUE, "N/A"))</f>
        <v>45974</v>
      </c>
      <c r="L100" s="76" t="s">
        <v>157</v>
      </c>
      <c r="M100" s="317"/>
      <c r="N100" s="747"/>
      <c r="O100" s="748"/>
      <c r="P100" s="748"/>
      <c r="Q100" s="749"/>
    </row>
    <row r="101" spans="2:17" ht="27" customHeight="1">
      <c r="B101" s="9"/>
      <c r="C101" s="38" t="s">
        <v>916</v>
      </c>
      <c r="D101" s="37" t="s">
        <v>917</v>
      </c>
      <c r="E101" s="20"/>
      <c r="F101" s="1"/>
      <c r="G101" s="9" t="s">
        <v>869</v>
      </c>
      <c r="H101" s="7" t="s">
        <v>918</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919</v>
      </c>
      <c r="H102" s="13" t="s">
        <v>920</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921</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834</v>
      </c>
      <c r="E104" s="573"/>
      <c r="F104" s="26" t="s">
        <v>322</v>
      </c>
      <c r="G104" s="22" t="s">
        <v>922</v>
      </c>
      <c r="H104" s="24" t="s">
        <v>923</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924</v>
      </c>
      <c r="H105" s="13" t="s">
        <v>925</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926</v>
      </c>
      <c r="H106" s="13" t="s">
        <v>927</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928</v>
      </c>
      <c r="H107" s="13" t="s">
        <v>929</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834</v>
      </c>
      <c r="E108" s="573"/>
      <c r="F108" s="26" t="s">
        <v>322</v>
      </c>
      <c r="G108" s="22" t="s">
        <v>930</v>
      </c>
      <c r="H108" s="24" t="s">
        <v>931</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834</v>
      </c>
      <c r="E109" s="573"/>
      <c r="F109" s="26" t="s">
        <v>322</v>
      </c>
      <c r="G109" s="22" t="s">
        <v>932</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933</v>
      </c>
      <c r="H110" s="13" t="s">
        <v>934</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862</v>
      </c>
      <c r="H111" s="7" t="s">
        <v>935</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936</v>
      </c>
      <c r="C112" s="537" t="s">
        <v>937</v>
      </c>
      <c r="D112" s="524" t="s">
        <v>938</v>
      </c>
      <c r="E112" s="575"/>
      <c r="F112" s="26" t="s">
        <v>810</v>
      </c>
      <c r="G112" s="523" t="s">
        <v>336</v>
      </c>
      <c r="H112" s="540" t="s">
        <v>835</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936</v>
      </c>
      <c r="C113" s="537" t="s">
        <v>937</v>
      </c>
      <c r="D113" s="524" t="s">
        <v>938</v>
      </c>
      <c r="E113" s="575"/>
      <c r="F113" s="26" t="s">
        <v>810</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937</v>
      </c>
      <c r="D114" s="34" t="s">
        <v>938</v>
      </c>
      <c r="E114" s="103"/>
      <c r="F114" s="5"/>
      <c r="G114" s="4" t="s">
        <v>404</v>
      </c>
      <c r="H114" s="3" t="s">
        <v>939</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936</v>
      </c>
      <c r="C115" s="537" t="s">
        <v>937</v>
      </c>
      <c r="D115" s="524" t="s">
        <v>938</v>
      </c>
      <c r="E115" s="575"/>
      <c r="F115" s="26" t="s">
        <v>810</v>
      </c>
      <c r="G115" s="523" t="s">
        <v>405</v>
      </c>
      <c r="H115" s="540" t="s">
        <v>935</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937</v>
      </c>
      <c r="D116" s="34" t="s">
        <v>938</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937</v>
      </c>
      <c r="D117" s="34" t="s">
        <v>938</v>
      </c>
      <c r="E117" s="103"/>
      <c r="F117" s="5" t="s">
        <v>161</v>
      </c>
      <c r="G117" s="4" t="s">
        <v>746</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940</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941</v>
      </c>
      <c r="C121" s="310" t="s">
        <v>942</v>
      </c>
      <c r="D121" s="232" t="s">
        <v>943</v>
      </c>
      <c r="E121" s="202"/>
      <c r="F121" s="580" t="s">
        <v>765</v>
      </c>
      <c r="G121" s="203" t="s">
        <v>240</v>
      </c>
      <c r="H121" s="24" t="s">
        <v>944</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942</v>
      </c>
      <c r="D122" s="232" t="s">
        <v>943</v>
      </c>
      <c r="E122" s="142"/>
      <c r="F122" s="140"/>
      <c r="G122" s="141" t="s">
        <v>242</v>
      </c>
      <c r="H122" s="13" t="s">
        <v>945</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942</v>
      </c>
      <c r="D123" s="232" t="s">
        <v>943</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942</v>
      </c>
      <c r="D124" s="232" t="s">
        <v>943</v>
      </c>
      <c r="E124" s="142"/>
      <c r="F124" s="140"/>
      <c r="G124" s="141" t="s">
        <v>405</v>
      </c>
      <c r="H124" s="7" t="s">
        <v>946</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942</v>
      </c>
      <c r="D125" s="232" t="s">
        <v>943</v>
      </c>
      <c r="E125" s="142"/>
      <c r="F125" s="140"/>
      <c r="G125" s="141" t="s">
        <v>406</v>
      </c>
      <c r="H125" s="13" t="s">
        <v>947</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942</v>
      </c>
      <c r="D126" s="232" t="s">
        <v>943</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942</v>
      </c>
      <c r="D127" s="232" t="s">
        <v>943</v>
      </c>
      <c r="E127" s="142"/>
      <c r="F127" s="140"/>
      <c r="G127" s="141" t="s">
        <v>441</v>
      </c>
      <c r="H127" s="13" t="s">
        <v>948</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942</v>
      </c>
      <c r="D128" s="232" t="s">
        <v>943</v>
      </c>
      <c r="E128" s="142"/>
      <c r="F128" s="140"/>
      <c r="G128" s="141" t="s">
        <v>443</v>
      </c>
      <c r="H128" s="13" t="s">
        <v>949</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942</v>
      </c>
      <c r="D129" s="232" t="s">
        <v>943</v>
      </c>
      <c r="E129" s="142"/>
      <c r="F129" s="140"/>
      <c r="G129" s="141" t="s">
        <v>445</v>
      </c>
      <c r="H129" s="13" t="s">
        <v>950</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942</v>
      </c>
      <c r="D130" s="232" t="s">
        <v>943</v>
      </c>
      <c r="E130" s="142"/>
      <c r="F130" s="140"/>
      <c r="G130" s="141" t="s">
        <v>470</v>
      </c>
      <c r="H130" s="13" t="s">
        <v>951</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942</v>
      </c>
      <c r="D131" s="232" t="s">
        <v>943</v>
      </c>
      <c r="E131" s="142"/>
      <c r="F131" s="140"/>
      <c r="G131" s="141" t="s">
        <v>455</v>
      </c>
      <c r="H131" s="13" t="s">
        <v>952</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942</v>
      </c>
      <c r="D132" s="232" t="s">
        <v>943</v>
      </c>
      <c r="E132" s="142"/>
      <c r="F132" s="140"/>
      <c r="G132" s="141" t="s">
        <v>457</v>
      </c>
      <c r="H132" s="13" t="s">
        <v>953</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942</v>
      </c>
      <c r="D133" s="232" t="s">
        <v>943</v>
      </c>
      <c r="E133" s="142"/>
      <c r="F133" s="140"/>
      <c r="G133" s="141" t="s">
        <v>459</v>
      </c>
      <c r="H133" s="13" t="s">
        <v>954</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942</v>
      </c>
      <c r="D134" s="232" t="s">
        <v>943</v>
      </c>
      <c r="E134" s="142"/>
      <c r="F134" s="140"/>
      <c r="G134" s="141" t="s">
        <v>461</v>
      </c>
      <c r="H134" s="13" t="s">
        <v>955</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942</v>
      </c>
      <c r="D135" s="232" t="s">
        <v>943</v>
      </c>
      <c r="E135" s="142"/>
      <c r="F135" s="140"/>
      <c r="G135" s="141" t="s">
        <v>956</v>
      </c>
      <c r="H135" s="13" t="s">
        <v>957</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942</v>
      </c>
      <c r="D136" s="232" t="s">
        <v>943</v>
      </c>
      <c r="E136" s="583"/>
      <c r="F136" s="140"/>
      <c r="G136" s="141" t="s">
        <v>958</v>
      </c>
      <c r="H136" s="13" t="s">
        <v>697</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959</v>
      </c>
      <c r="D137" s="143" t="s">
        <v>960</v>
      </c>
      <c r="E137" s="143"/>
      <c r="F137" s="5"/>
      <c r="G137" s="4" t="s">
        <v>234</v>
      </c>
      <c r="H137" s="17" t="s">
        <v>961</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960</v>
      </c>
      <c r="E138" s="143"/>
      <c r="F138" s="5"/>
      <c r="G138" s="4" t="s">
        <v>236</v>
      </c>
      <c r="H138" s="3" t="s">
        <v>962</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960</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960</v>
      </c>
      <c r="E140" s="143"/>
      <c r="F140" s="5"/>
      <c r="G140" s="4" t="s">
        <v>404</v>
      </c>
      <c r="H140" s="17" t="s">
        <v>947</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960</v>
      </c>
      <c r="E141" s="143"/>
      <c r="F141" s="5"/>
      <c r="G141" s="4" t="s">
        <v>405</v>
      </c>
      <c r="H141" s="17" t="s">
        <v>804</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960</v>
      </c>
      <c r="E142" s="143"/>
      <c r="F142" s="5"/>
      <c r="G142" s="4" t="s">
        <v>346</v>
      </c>
      <c r="H142" s="3" t="s">
        <v>963</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960</v>
      </c>
      <c r="E143" s="143"/>
      <c r="F143" s="5"/>
      <c r="G143" s="4" t="s">
        <v>746</v>
      </c>
      <c r="H143" s="3" t="s">
        <v>964</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960</v>
      </c>
      <c r="E144" s="143"/>
      <c r="F144" s="5"/>
      <c r="G144" s="4" t="s">
        <v>408</v>
      </c>
      <c r="H144" s="17" t="s">
        <v>965</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960</v>
      </c>
      <c r="E145" s="143"/>
      <c r="F145" s="5"/>
      <c r="G145" s="4" t="s">
        <v>441</v>
      </c>
      <c r="H145" s="17" t="s">
        <v>966</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960</v>
      </c>
      <c r="E146" s="143"/>
      <c r="F146" s="5"/>
      <c r="G146" s="4" t="s">
        <v>443</v>
      </c>
      <c r="H146" s="17" t="s">
        <v>967</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960</v>
      </c>
      <c r="E147" s="143"/>
      <c r="F147" s="5"/>
      <c r="G147" s="4" t="s">
        <v>445</v>
      </c>
      <c r="H147" s="3" t="s">
        <v>968</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960</v>
      </c>
      <c r="E148" s="143"/>
      <c r="F148" s="5"/>
      <c r="G148" s="4" t="s">
        <v>470</v>
      </c>
      <c r="H148" s="17" t="s">
        <v>697</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960</v>
      </c>
      <c r="E149" s="143"/>
      <c r="F149" s="5"/>
      <c r="G149" s="4" t="s">
        <v>455</v>
      </c>
      <c r="H149" s="3" t="s">
        <v>969</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970</v>
      </c>
      <c r="D150" s="142" t="s">
        <v>971</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971</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971</v>
      </c>
      <c r="E152" s="142"/>
      <c r="F152" s="1"/>
      <c r="G152" s="9" t="s">
        <v>404</v>
      </c>
      <c r="H152" s="7" t="s">
        <v>972</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971</v>
      </c>
      <c r="E153" s="142"/>
      <c r="F153" s="1"/>
      <c r="G153" s="9" t="s">
        <v>405</v>
      </c>
      <c r="H153" s="13" t="s">
        <v>973</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971</v>
      </c>
      <c r="E154" s="142"/>
      <c r="F154" s="1"/>
      <c r="G154" s="9" t="s">
        <v>346</v>
      </c>
      <c r="H154" s="7" t="s">
        <v>974</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971</v>
      </c>
      <c r="E155" s="142"/>
      <c r="F155" s="1"/>
      <c r="G155" s="9" t="s">
        <v>746</v>
      </c>
      <c r="H155" s="13" t="s">
        <v>975</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971</v>
      </c>
      <c r="E156" s="142"/>
      <c r="F156" s="1"/>
      <c r="G156" s="9" t="s">
        <v>976</v>
      </c>
      <c r="H156" s="13" t="s">
        <v>977</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971</v>
      </c>
      <c r="E157" s="142"/>
      <c r="F157" s="1"/>
      <c r="G157" s="9" t="s">
        <v>408</v>
      </c>
      <c r="H157" s="7" t="s">
        <v>978</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971</v>
      </c>
      <c r="E158" s="142"/>
      <c r="F158" s="1"/>
      <c r="G158" s="9" t="s">
        <v>441</v>
      </c>
      <c r="H158" s="7" t="s">
        <v>979</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971</v>
      </c>
      <c r="E159" s="142"/>
      <c r="F159" s="1"/>
      <c r="G159" s="9" t="s">
        <v>443</v>
      </c>
      <c r="H159" s="13" t="s">
        <v>980</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971</v>
      </c>
      <c r="E160" s="142"/>
      <c r="F160" s="1"/>
      <c r="G160" s="9" t="s">
        <v>445</v>
      </c>
      <c r="H160" s="7" t="s">
        <v>981</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971</v>
      </c>
      <c r="E161" s="142"/>
      <c r="F161" s="1"/>
      <c r="G161" s="9" t="s">
        <v>447</v>
      </c>
      <c r="H161" s="13" t="s">
        <v>982</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971</v>
      </c>
      <c r="E162" s="142"/>
      <c r="F162" s="1"/>
      <c r="G162" s="9" t="s">
        <v>983</v>
      </c>
      <c r="H162" s="7" t="s">
        <v>984</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971</v>
      </c>
      <c r="E163" s="142"/>
      <c r="F163" s="1"/>
      <c r="G163" s="9" t="s">
        <v>985</v>
      </c>
      <c r="H163" s="7" t="s">
        <v>986</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971</v>
      </c>
      <c r="E164" s="142"/>
      <c r="F164" s="1"/>
      <c r="G164" s="9" t="s">
        <v>987</v>
      </c>
      <c r="H164" s="7" t="s">
        <v>988</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971</v>
      </c>
      <c r="E165" s="142"/>
      <c r="F165" s="1"/>
      <c r="G165" s="9" t="s">
        <v>989</v>
      </c>
      <c r="H165" s="7" t="s">
        <v>990</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971</v>
      </c>
      <c r="E166" s="142"/>
      <c r="F166" s="1"/>
      <c r="G166" s="9" t="s">
        <v>451</v>
      </c>
      <c r="H166" s="13" t="s">
        <v>991</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971</v>
      </c>
      <c r="E167" s="142"/>
      <c r="F167" s="1"/>
      <c r="G167" s="9" t="s">
        <v>992</v>
      </c>
      <c r="H167" s="13" t="s">
        <v>993</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971</v>
      </c>
      <c r="E168" s="142"/>
      <c r="F168" s="1"/>
      <c r="G168" s="9" t="s">
        <v>994</v>
      </c>
      <c r="H168" s="7" t="s">
        <v>995</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971</v>
      </c>
      <c r="E169" s="142"/>
      <c r="F169" s="1"/>
      <c r="G169" s="9" t="s">
        <v>996</v>
      </c>
      <c r="H169" s="13" t="s">
        <v>997</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971</v>
      </c>
      <c r="E170" s="142"/>
      <c r="F170" s="1"/>
      <c r="G170" s="9" t="s">
        <v>998</v>
      </c>
      <c r="H170" s="13" t="s">
        <v>999</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971</v>
      </c>
      <c r="E171" s="142"/>
      <c r="F171" s="1"/>
      <c r="G171" s="9" t="s">
        <v>1000</v>
      </c>
      <c r="H171" s="7" t="s">
        <v>1001</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971</v>
      </c>
      <c r="E172" s="142"/>
      <c r="F172" s="1"/>
      <c r="G172" s="9" t="s">
        <v>1002</v>
      </c>
      <c r="H172" s="13" t="s">
        <v>1003</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971</v>
      </c>
      <c r="E173" s="142"/>
      <c r="F173" s="1"/>
      <c r="G173" s="9" t="s">
        <v>1004</v>
      </c>
      <c r="H173" s="13" t="s">
        <v>1005</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971</v>
      </c>
      <c r="E174" s="142"/>
      <c r="F174" s="1"/>
      <c r="G174" s="9" t="s">
        <v>1006</v>
      </c>
      <c r="H174" s="13" t="s">
        <v>1007</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971</v>
      </c>
      <c r="E175" s="142"/>
      <c r="F175" s="1"/>
      <c r="G175" s="9" t="s">
        <v>1008</v>
      </c>
      <c r="H175" s="7" t="s">
        <v>1009</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971</v>
      </c>
      <c r="E176" s="142"/>
      <c r="F176" s="1"/>
      <c r="G176" s="9" t="s">
        <v>1010</v>
      </c>
      <c r="H176" s="13" t="s">
        <v>1011</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971</v>
      </c>
      <c r="E177" s="142"/>
      <c r="F177" s="1"/>
      <c r="G177" s="9" t="s">
        <v>1012</v>
      </c>
      <c r="H177" s="7" t="s">
        <v>1013</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971</v>
      </c>
      <c r="E178" s="142"/>
      <c r="F178" s="1"/>
      <c r="G178" s="9" t="s">
        <v>1014</v>
      </c>
      <c r="H178" s="7" t="s">
        <v>1015</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971</v>
      </c>
      <c r="E179" s="142"/>
      <c r="F179" s="1"/>
      <c r="G179" s="9" t="s">
        <v>1016</v>
      </c>
      <c r="H179" s="13" t="s">
        <v>1017</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971</v>
      </c>
      <c r="E180" s="142"/>
      <c r="F180" s="1"/>
      <c r="G180" s="9" t="s">
        <v>1018</v>
      </c>
      <c r="H180" s="13" t="s">
        <v>1019</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971</v>
      </c>
      <c r="E181" s="142"/>
      <c r="F181" s="1"/>
      <c r="G181" s="9" t="s">
        <v>1020</v>
      </c>
      <c r="H181" s="13" t="s">
        <v>1021</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971</v>
      </c>
      <c r="E182" s="142"/>
      <c r="F182" s="1"/>
      <c r="G182" s="9" t="s">
        <v>1022</v>
      </c>
      <c r="H182" s="13" t="s">
        <v>1023</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971</v>
      </c>
      <c r="E183" s="142"/>
      <c r="F183" s="1"/>
      <c r="G183" s="9" t="s">
        <v>1024</v>
      </c>
      <c r="H183" s="13" t="s">
        <v>1025</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971</v>
      </c>
      <c r="E184" s="142"/>
      <c r="F184" s="1"/>
      <c r="G184" s="9" t="s">
        <v>1026</v>
      </c>
      <c r="H184" s="13" t="s">
        <v>1027</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971</v>
      </c>
      <c r="E185" s="142"/>
      <c r="F185" s="1"/>
      <c r="G185" s="9" t="s">
        <v>1028</v>
      </c>
      <c r="H185" s="13" t="s">
        <v>1029</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971</v>
      </c>
      <c r="E186" s="142"/>
      <c r="F186" s="1"/>
      <c r="G186" s="9" t="s">
        <v>1030</v>
      </c>
      <c r="H186" s="13" t="s">
        <v>1031</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971</v>
      </c>
      <c r="E187" s="142"/>
      <c r="F187" s="1"/>
      <c r="G187" s="9" t="s">
        <v>1032</v>
      </c>
      <c r="H187" s="13" t="s">
        <v>1033</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971</v>
      </c>
      <c r="E188" s="142"/>
      <c r="F188" s="1"/>
      <c r="G188" s="9" t="s">
        <v>1034</v>
      </c>
      <c r="H188" s="13" t="s">
        <v>1035</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971</v>
      </c>
      <c r="E189" s="142"/>
      <c r="F189" s="1"/>
      <c r="G189" s="9" t="s">
        <v>1036</v>
      </c>
      <c r="H189" s="7" t="s">
        <v>1037</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971</v>
      </c>
      <c r="E190" s="142"/>
      <c r="F190" s="1"/>
      <c r="G190" s="9" t="s">
        <v>457</v>
      </c>
      <c r="H190" s="13" t="s">
        <v>1038</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971</v>
      </c>
      <c r="E191" s="142"/>
      <c r="F191" s="1"/>
      <c r="G191" s="9" t="s">
        <v>459</v>
      </c>
      <c r="H191" s="13" t="s">
        <v>1039</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971</v>
      </c>
      <c r="E192" s="142"/>
      <c r="F192" s="1"/>
      <c r="G192" s="9" t="s">
        <v>461</v>
      </c>
      <c r="H192" s="13" t="s">
        <v>1040</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971</v>
      </c>
      <c r="E193" s="142"/>
      <c r="F193" s="1"/>
      <c r="G193" s="9" t="s">
        <v>956</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971</v>
      </c>
      <c r="E194" s="142"/>
      <c r="F194" s="1"/>
      <c r="G194" s="9" t="s">
        <v>958</v>
      </c>
      <c r="H194" s="13" t="s">
        <v>697</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971</v>
      </c>
      <c r="E195" s="142"/>
      <c r="F195" s="1"/>
      <c r="G195" s="9" t="s">
        <v>1041</v>
      </c>
      <c r="H195" s="13" t="s">
        <v>1042</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1043</v>
      </c>
      <c r="D196" s="143" t="s">
        <v>1044</v>
      </c>
      <c r="E196" s="143"/>
      <c r="F196" s="5"/>
      <c r="G196" s="4" t="s">
        <v>336</v>
      </c>
      <c r="H196" s="17" t="s">
        <v>1045</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1046</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1047</v>
      </c>
      <c r="H199" s="17" t="s">
        <v>1048</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1049</v>
      </c>
      <c r="H200" s="3" t="s">
        <v>1050</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1051</v>
      </c>
      <c r="H201" s="3" t="s">
        <v>1052</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1053</v>
      </c>
      <c r="H202" s="3" t="s">
        <v>1054</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976</v>
      </c>
      <c r="H203" s="17" t="s">
        <v>1055</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1056</v>
      </c>
      <c r="H204" s="17" t="s">
        <v>1057</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1058</v>
      </c>
      <c r="H205" s="3" t="s">
        <v>1059</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1060</v>
      </c>
      <c r="H206" s="17" t="s">
        <v>1061</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1062</v>
      </c>
      <c r="H207" s="3" t="s">
        <v>1063</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1064</v>
      </c>
      <c r="H208" s="3" t="s">
        <v>1065</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1066</v>
      </c>
      <c r="H209" s="3" t="s">
        <v>1067</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1068</v>
      </c>
      <c r="H210" s="3" t="s">
        <v>1069</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1070</v>
      </c>
      <c r="H211" s="3" t="s">
        <v>1071</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1072</v>
      </c>
      <c r="H212" s="3" t="s">
        <v>1073</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1074</v>
      </c>
      <c r="H213" s="3" t="s">
        <v>1075</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747</v>
      </c>
      <c r="H214" s="3" t="s">
        <v>1076</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893</v>
      </c>
      <c r="H215" s="3" t="s">
        <v>1077</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1078</v>
      </c>
      <c r="H216" s="17" t="s">
        <v>1079</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1080</v>
      </c>
      <c r="H217" s="17" t="s">
        <v>1081</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1082</v>
      </c>
      <c r="H218" s="17" t="s">
        <v>1083</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1084</v>
      </c>
      <c r="H219" s="3" t="s">
        <v>1085</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1086</v>
      </c>
      <c r="H220" s="3" t="s">
        <v>1087</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1088</v>
      </c>
      <c r="H221" s="3" t="s">
        <v>1089</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1090</v>
      </c>
      <c r="H222" s="3" t="s">
        <v>1091</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1092</v>
      </c>
      <c r="H223" s="3" t="s">
        <v>1093</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1094</v>
      </c>
      <c r="H224" s="17" t="s">
        <v>1095</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1096</v>
      </c>
      <c r="H225" s="17" t="s">
        <v>1097</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1098</v>
      </c>
      <c r="H226" s="3" t="s">
        <v>1099</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1100</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1101</v>
      </c>
      <c r="H228" s="3" t="s">
        <v>1102</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1103</v>
      </c>
      <c r="H229" s="3" t="s">
        <v>1104</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1105</v>
      </c>
      <c r="H230" s="3" t="s">
        <v>1106</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1107</v>
      </c>
      <c r="H231" s="3" t="s">
        <v>1108</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1109</v>
      </c>
      <c r="H232" s="3" t="s">
        <v>1110</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1111</v>
      </c>
      <c r="H233" s="3" t="s">
        <v>1112</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1039</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1040</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980</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1113</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956</v>
      </c>
      <c r="H239" s="17" t="s">
        <v>1038</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958</v>
      </c>
      <c r="H240" s="3" t="s">
        <v>1114</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1041</v>
      </c>
      <c r="H241" s="3" t="s">
        <v>979</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1115</v>
      </c>
      <c r="H242" s="17" t="s">
        <v>697</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1116</v>
      </c>
      <c r="H243" s="17" t="s">
        <v>1042</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1117</v>
      </c>
      <c r="C244" s="333" t="s">
        <v>1118</v>
      </c>
      <c r="D244" s="219" t="s">
        <v>1119</v>
      </c>
      <c r="E244" s="576" t="s">
        <v>1120</v>
      </c>
      <c r="F244" s="149" t="s">
        <v>810</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889</v>
      </c>
    </row>
    <row r="245" spans="2:12" s="148" customFormat="1" ht="15" customHeight="1">
      <c r="B245" s="146" t="s">
        <v>1117</v>
      </c>
      <c r="C245" s="333" t="s">
        <v>1118</v>
      </c>
      <c r="D245" s="219" t="s">
        <v>1119</v>
      </c>
      <c r="E245" s="576" t="s">
        <v>1120</v>
      </c>
      <c r="F245" s="149" t="s">
        <v>810</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889</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1121</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1122</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1123</v>
      </c>
      <c r="D250" s="34" t="s">
        <v>1124</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1125</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1126</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1127</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1128</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1129</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1130</v>
      </c>
      <c r="H257" s="3" t="s">
        <v>820</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1131</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1132</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1133</v>
      </c>
      <c r="H260" s="17" t="s">
        <v>824</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1134</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1135</v>
      </c>
      <c r="C262" s="310" t="s">
        <v>1136</v>
      </c>
      <c r="D262" s="76" t="s">
        <v>1137</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1135</v>
      </c>
      <c r="C263" s="310" t="s">
        <v>1136</v>
      </c>
      <c r="D263" s="76" t="s">
        <v>1137</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1136</v>
      </c>
      <c r="D264" s="76" t="s">
        <v>1137</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1136</v>
      </c>
      <c r="D265" s="76" t="s">
        <v>1137</v>
      </c>
      <c r="E265" s="573"/>
      <c r="F265" s="26"/>
      <c r="G265" s="22" t="s">
        <v>862</v>
      </c>
      <c r="H265" s="28" t="s">
        <v>1138</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1136</v>
      </c>
      <c r="D266" s="76" t="s">
        <v>1137</v>
      </c>
      <c r="E266" s="573"/>
      <c r="F266" s="26"/>
      <c r="G266" s="22" t="s">
        <v>488</v>
      </c>
      <c r="H266" s="28" t="s">
        <v>831</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1136</v>
      </c>
      <c r="D267" s="76" t="s">
        <v>1137</v>
      </c>
      <c r="E267" s="573"/>
      <c r="F267" s="26"/>
      <c r="G267" s="22" t="s">
        <v>1139</v>
      </c>
      <c r="H267" s="28" t="s">
        <v>832</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1140</v>
      </c>
      <c r="D268" s="53" t="s">
        <v>1141</v>
      </c>
      <c r="E268" s="574"/>
      <c r="F268" s="5"/>
      <c r="G268" s="4" t="s">
        <v>234</v>
      </c>
      <c r="H268" s="3" t="s">
        <v>1142</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1143</v>
      </c>
      <c r="H269" s="17" t="s">
        <v>1144</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1145</v>
      </c>
      <c r="H270" s="17" t="s">
        <v>1146</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1147</v>
      </c>
      <c r="H271" s="17" t="s">
        <v>820</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1148</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1149</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1150</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935</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1151</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1152</v>
      </c>
      <c r="H277" s="17" t="s">
        <v>1153</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1154</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1155</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1156</v>
      </c>
      <c r="H280" s="17" t="s">
        <v>1157</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1158</v>
      </c>
      <c r="D281" s="40" t="s">
        <v>1159</v>
      </c>
      <c r="E281" s="102"/>
      <c r="F281" s="1"/>
      <c r="G281" s="9" t="s">
        <v>869</v>
      </c>
      <c r="H281" s="7" t="s">
        <v>918</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919</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921</v>
      </c>
      <c r="H283" s="13" t="s">
        <v>1146</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922</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924</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926</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1160</v>
      </c>
      <c r="H287" s="13" t="s">
        <v>824</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879</v>
      </c>
      <c r="H288" s="13" t="s">
        <v>1161</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932</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1162</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862</v>
      </c>
      <c r="H291" s="7" t="s">
        <v>1163</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1164</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1165</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865</v>
      </c>
      <c r="H294" s="7" t="s">
        <v>1166</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1167</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1168</v>
      </c>
      <c r="D296" s="34" t="s">
        <v>1169</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877</v>
      </c>
      <c r="H297" s="17" t="s">
        <v>691</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1160</v>
      </c>
      <c r="H298" s="17" t="s">
        <v>692</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1170</v>
      </c>
      <c r="H299" s="17" t="s">
        <v>1171</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1172</v>
      </c>
      <c r="H300" s="17" t="s">
        <v>1173</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1174</v>
      </c>
      <c r="H301" s="17" t="s">
        <v>1175</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1176</v>
      </c>
      <c r="H302" s="17" t="s">
        <v>1177</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1178</v>
      </c>
      <c r="H303" s="17" t="s">
        <v>1179</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1180</v>
      </c>
      <c r="H304" s="17" t="s">
        <v>1181</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1182</v>
      </c>
      <c r="H305" s="17" t="s">
        <v>1183</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1184</v>
      </c>
      <c r="H306" s="17" t="s">
        <v>1185</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1186</v>
      </c>
      <c r="H307" s="17" t="s">
        <v>1187</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1188</v>
      </c>
      <c r="H308" s="17" t="s">
        <v>1189</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1190</v>
      </c>
      <c r="H309" s="3" t="s">
        <v>1191</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862</v>
      </c>
      <c r="H310" s="3" t="s">
        <v>1192</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697</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1193</v>
      </c>
      <c r="H312" s="3" t="s">
        <v>1194</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1195</v>
      </c>
      <c r="H313" s="3" t="s">
        <v>1196</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865</v>
      </c>
      <c r="H314" s="3" t="s">
        <v>1197</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1198</v>
      </c>
      <c r="H315" s="3" t="s">
        <v>1199</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1200</v>
      </c>
      <c r="D316" s="37" t="s">
        <v>1201</v>
      </c>
      <c r="E316" s="20"/>
      <c r="F316" s="1"/>
      <c r="G316" s="9" t="s">
        <v>486</v>
      </c>
      <c r="H316" s="7" t="s">
        <v>1202</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862</v>
      </c>
      <c r="H317" s="28" t="s">
        <v>1203</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1204</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1205</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865</v>
      </c>
      <c r="H320" s="7" t="s">
        <v>1206</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1198</v>
      </c>
      <c r="H321" s="7" t="s">
        <v>1207</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1208</v>
      </c>
      <c r="H322" s="7" t="s">
        <v>1209</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1210</v>
      </c>
      <c r="H323" s="7" t="s">
        <v>1211</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1212</v>
      </c>
      <c r="H324" s="28" t="s">
        <v>1213</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1214</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1215</v>
      </c>
      <c r="H326" s="7" t="s">
        <v>1216</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1217</v>
      </c>
      <c r="H327" s="7" t="s">
        <v>1038</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1218</v>
      </c>
      <c r="H328" s="7" t="s">
        <v>1219</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1220</v>
      </c>
      <c r="H329" s="7" t="s">
        <v>1221</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1222</v>
      </c>
      <c r="H330" s="40" t="s">
        <v>1223</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1224</v>
      </c>
      <c r="C331" s="777" t="s">
        <v>1225</v>
      </c>
      <c r="D331" s="778" t="s">
        <v>1226</v>
      </c>
      <c r="E331" s="779"/>
      <c r="F331" s="780" t="s">
        <v>810</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1227</v>
      </c>
      <c r="D332" s="219" t="s">
        <v>1228</v>
      </c>
      <c r="E332" s="576"/>
      <c r="F332" s="149"/>
      <c r="G332" s="786" t="s">
        <v>212</v>
      </c>
      <c r="H332" s="787" t="s">
        <v>1229</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1230</v>
      </c>
      <c r="C333" s="425" t="s">
        <v>1227</v>
      </c>
      <c r="D333" s="231" t="s">
        <v>1228</v>
      </c>
      <c r="E333" s="576"/>
      <c r="F333" s="149"/>
      <c r="G333" s="538" t="s">
        <v>212</v>
      </c>
      <c r="H333" s="167" t="s">
        <v>1229</v>
      </c>
      <c r="I333" s="539">
        <v>45902</v>
      </c>
      <c r="J333" s="233">
        <v>45939</v>
      </c>
      <c r="K333" s="74" t="str" cm="1">
        <f t="array" ref="K333">IF(ISBLANK(J333), IF(ISBLANK(I333), "N/A", _xlfn.IFS(L333="AS", I333+15, L333="NCR", I333+30, L333="submitted", I333+30, TRUE, "N/A")), _xlfn.IFS(L333="AS", J333+15, L333="NCR", J333+30, L333="submitted", J333+30, TRUE, "N/A"))</f>
        <v>N/A</v>
      </c>
      <c r="L333" s="233" t="s">
        <v>639</v>
      </c>
    </row>
    <row r="334" spans="2:12" ht="15" customHeight="1">
      <c r="B334" s="140"/>
      <c r="C334" s="32" t="s">
        <v>1227</v>
      </c>
      <c r="D334" s="39"/>
      <c r="E334" s="20"/>
      <c r="F334" s="1"/>
      <c r="G334" s="9" t="s">
        <v>240</v>
      </c>
      <c r="H334" s="13" t="s">
        <v>1231</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1227</v>
      </c>
      <c r="D335" s="231" t="s">
        <v>1228</v>
      </c>
      <c r="E335" s="576"/>
      <c r="F335" s="149"/>
      <c r="G335" s="146" t="s">
        <v>242</v>
      </c>
      <c r="H335" s="193" t="s">
        <v>1232</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1230</v>
      </c>
      <c r="C336" s="425" t="s">
        <v>1227</v>
      </c>
      <c r="D336" s="231" t="s">
        <v>1228</v>
      </c>
      <c r="E336" s="576"/>
      <c r="F336" s="149"/>
      <c r="G336" s="146" t="s">
        <v>242</v>
      </c>
      <c r="H336" s="193" t="s">
        <v>1232</v>
      </c>
      <c r="I336" s="539">
        <v>45902</v>
      </c>
      <c r="J336" s="233">
        <v>45939</v>
      </c>
      <c r="K336" s="74" t="str" cm="1">
        <f t="array" ref="K336">IF(ISBLANK(J336), IF(ISBLANK(I336), "N/A", _xlfn.IFS(L336="AS", I336+15, L336="NCR", I336+30, L336="submitted", I336+30, TRUE, "N/A")), _xlfn.IFS(L336="AS", J336+15, L336="NCR", J336+30, L336="submitted", J336+30, TRUE, "N/A"))</f>
        <v>N/A</v>
      </c>
      <c r="L336" s="233" t="s">
        <v>639</v>
      </c>
    </row>
    <row r="337" spans="2:12" ht="53.25">
      <c r="B337" s="21"/>
      <c r="C337" s="32" t="s">
        <v>1227</v>
      </c>
      <c r="D337" s="39"/>
      <c r="E337" s="20"/>
      <c r="F337" s="1"/>
      <c r="G337" s="9" t="s">
        <v>1233</v>
      </c>
      <c r="H337" s="7" t="s">
        <v>1234</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1227</v>
      </c>
      <c r="D338" s="39"/>
      <c r="E338" s="20"/>
      <c r="F338" s="1"/>
      <c r="G338" s="9" t="s">
        <v>1235</v>
      </c>
      <c r="H338" s="7" t="s">
        <v>1236</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1227</v>
      </c>
      <c r="D339" s="39"/>
      <c r="E339" s="20"/>
      <c r="F339" s="1"/>
      <c r="G339" s="9" t="s">
        <v>1237</v>
      </c>
      <c r="H339" s="13" t="s">
        <v>1238</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1227</v>
      </c>
      <c r="D340" s="39"/>
      <c r="E340" s="20"/>
      <c r="F340" s="1"/>
      <c r="G340" s="9" t="s">
        <v>1239</v>
      </c>
      <c r="H340" s="7" t="s">
        <v>1240</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1227</v>
      </c>
      <c r="D341" s="39"/>
      <c r="E341" s="20"/>
      <c r="F341" s="1"/>
      <c r="G341" s="9" t="s">
        <v>1241</v>
      </c>
      <c r="H341" s="7" t="s">
        <v>1242</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1227</v>
      </c>
      <c r="D342" s="39"/>
      <c r="E342" s="20"/>
      <c r="F342" s="1"/>
      <c r="G342" s="9" t="s">
        <v>1243</v>
      </c>
      <c r="H342" s="13" t="s">
        <v>1244</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1227</v>
      </c>
      <c r="D343" s="39"/>
      <c r="E343" s="20"/>
      <c r="F343" s="1"/>
      <c r="G343" s="9" t="s">
        <v>1245</v>
      </c>
      <c r="H343" s="7" t="s">
        <v>1246</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1227</v>
      </c>
      <c r="D344" s="39"/>
      <c r="E344" s="20"/>
      <c r="F344" s="1"/>
      <c r="G344" s="9" t="s">
        <v>1247</v>
      </c>
      <c r="H344" s="13" t="s">
        <v>1248</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1227</v>
      </c>
      <c r="D345" s="39"/>
      <c r="E345" s="20"/>
      <c r="F345" s="1"/>
      <c r="G345" s="9" t="s">
        <v>1249</v>
      </c>
      <c r="H345" s="7" t="s">
        <v>1250</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1227</v>
      </c>
      <c r="D346" s="39"/>
      <c r="E346" s="20"/>
      <c r="F346" s="1"/>
      <c r="G346" s="9" t="s">
        <v>1251</v>
      </c>
      <c r="H346" s="7" t="s">
        <v>1252</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1227</v>
      </c>
      <c r="D347" s="39"/>
      <c r="E347" s="20"/>
      <c r="F347" s="1"/>
      <c r="G347" s="9" t="s">
        <v>1253</v>
      </c>
      <c r="H347" s="7" t="s">
        <v>1254</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1227</v>
      </c>
      <c r="D348" s="39"/>
      <c r="E348" s="20"/>
      <c r="F348" s="1"/>
      <c r="G348" s="9" t="s">
        <v>1255</v>
      </c>
      <c r="H348" s="13" t="s">
        <v>1256</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1227</v>
      </c>
      <c r="D349" s="39"/>
      <c r="E349" s="20"/>
      <c r="F349" s="1"/>
      <c r="G349" s="9" t="s">
        <v>1257</v>
      </c>
      <c r="H349" s="7" t="s">
        <v>1258</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1227</v>
      </c>
      <c r="D350" s="39"/>
      <c r="E350" s="20"/>
      <c r="F350" s="1"/>
      <c r="G350" s="9" t="s">
        <v>1259</v>
      </c>
      <c r="H350" s="7" t="s">
        <v>1260</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1227</v>
      </c>
      <c r="D351" s="39"/>
      <c r="E351" s="20"/>
      <c r="F351" s="1"/>
      <c r="G351" s="9" t="s">
        <v>1261</v>
      </c>
      <c r="H351" s="7" t="s">
        <v>1262</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1227</v>
      </c>
      <c r="D352" s="39"/>
      <c r="E352" s="20"/>
      <c r="F352" s="1"/>
      <c r="G352" s="9" t="s">
        <v>1263</v>
      </c>
      <c r="H352" s="13" t="s">
        <v>1264</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1227</v>
      </c>
      <c r="D353" s="39"/>
      <c r="E353" s="20"/>
      <c r="F353" s="1"/>
      <c r="G353" s="9" t="s">
        <v>338</v>
      </c>
      <c r="H353" s="7" t="s">
        <v>1265</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1227</v>
      </c>
      <c r="D354" s="39"/>
      <c r="E354" s="20"/>
      <c r="F354" s="1"/>
      <c r="G354" s="9" t="s">
        <v>1266</v>
      </c>
      <c r="H354" s="7" t="s">
        <v>1267</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1227</v>
      </c>
      <c r="D355" s="39"/>
      <c r="E355" s="20"/>
      <c r="F355" s="1"/>
      <c r="G355" s="9" t="s">
        <v>1268</v>
      </c>
      <c r="H355" s="13" t="s">
        <v>1269</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1227</v>
      </c>
      <c r="D356" s="39"/>
      <c r="E356" s="20"/>
      <c r="F356" s="1"/>
      <c r="G356" s="9" t="s">
        <v>1270</v>
      </c>
      <c r="H356" s="13" t="s">
        <v>1271</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1227</v>
      </c>
      <c r="D357" s="39"/>
      <c r="E357" s="20"/>
      <c r="F357" s="1"/>
      <c r="G357" s="9" t="s">
        <v>405</v>
      </c>
      <c r="H357" s="7" t="s">
        <v>1272</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1227</v>
      </c>
      <c r="D358" s="39"/>
      <c r="E358" s="20"/>
      <c r="F358" s="1"/>
      <c r="G358" s="9" t="s">
        <v>406</v>
      </c>
      <c r="H358" s="7" t="s">
        <v>1273</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1227</v>
      </c>
      <c r="D359" s="76" t="s">
        <v>1228</v>
      </c>
      <c r="E359" s="573"/>
      <c r="F359" s="26"/>
      <c r="G359" s="22" t="s">
        <v>408</v>
      </c>
      <c r="H359" s="24" t="s">
        <v>1274</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1230</v>
      </c>
      <c r="C360" s="310" t="s">
        <v>1227</v>
      </c>
      <c r="D360" s="76" t="s">
        <v>1228</v>
      </c>
      <c r="E360" s="573"/>
      <c r="F360" s="26"/>
      <c r="G360" s="22" t="s">
        <v>408</v>
      </c>
      <c r="H360" s="24" t="s">
        <v>1274</v>
      </c>
      <c r="I360" s="251">
        <v>45903</v>
      </c>
      <c r="J360" s="25">
        <v>45939</v>
      </c>
      <c r="K360" s="74" t="str" cm="1">
        <f t="array" ref="K360">IF(ISBLANK(J360), IF(ISBLANK(I360), "N/A", _xlfn.IFS(L360="AS", I360+15, L360="NCR", I360+30, L360="submitted", I360+30, TRUE, "N/A")), _xlfn.IFS(L360="AS", J360+15, L360="NCR", J360+30, L360="submitted", J360+30, TRUE, "N/A"))</f>
        <v>N/A</v>
      </c>
      <c r="L360" s="25" t="s">
        <v>639</v>
      </c>
    </row>
    <row r="361" spans="2:12" ht="15" customHeight="1">
      <c r="B361" s="1"/>
      <c r="C361" s="32" t="s">
        <v>1227</v>
      </c>
      <c r="D361" s="46"/>
      <c r="E361" s="20"/>
      <c r="F361" s="1"/>
      <c r="G361" s="9" t="s">
        <v>441</v>
      </c>
      <c r="H361" s="13" t="s">
        <v>1275</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1276</v>
      </c>
      <c r="C362" s="239" t="s">
        <v>1277</v>
      </c>
      <c r="D362" s="168" t="s">
        <v>1278</v>
      </c>
      <c r="E362" s="623" t="s">
        <v>1279</v>
      </c>
      <c r="F362" s="138" t="s">
        <v>810</v>
      </c>
      <c r="G362" s="151" t="s">
        <v>240</v>
      </c>
      <c r="H362" s="153" t="s">
        <v>1280</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1276</v>
      </c>
      <c r="C363" s="239" t="s">
        <v>1277</v>
      </c>
      <c r="D363" s="168" t="s">
        <v>1278</v>
      </c>
      <c r="E363" s="623" t="s">
        <v>1279</v>
      </c>
      <c r="F363" s="138" t="s">
        <v>810</v>
      </c>
      <c r="G363" s="151" t="s">
        <v>242</v>
      </c>
      <c r="H363" s="153" t="s">
        <v>1232</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1276</v>
      </c>
      <c r="C364" s="239" t="s">
        <v>1277</v>
      </c>
      <c r="D364" s="168" t="s">
        <v>1278</v>
      </c>
      <c r="E364" s="623" t="s">
        <v>1279</v>
      </c>
      <c r="F364" s="138" t="s">
        <v>810</v>
      </c>
      <c r="G364" s="151" t="s">
        <v>1233</v>
      </c>
      <c r="H364" s="153" t="s">
        <v>1234</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1276</v>
      </c>
      <c r="C365" s="239" t="s">
        <v>1277</v>
      </c>
      <c r="D365" s="168" t="s">
        <v>1278</v>
      </c>
      <c r="E365" s="623" t="s">
        <v>1279</v>
      </c>
      <c r="F365" s="138" t="s">
        <v>810</v>
      </c>
      <c r="G365" s="151" t="s">
        <v>1235</v>
      </c>
      <c r="H365" s="153" t="s">
        <v>1236</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1276</v>
      </c>
      <c r="C366" s="239" t="s">
        <v>1277</v>
      </c>
      <c r="D366" s="168" t="s">
        <v>1278</v>
      </c>
      <c r="E366" s="623" t="s">
        <v>1279</v>
      </c>
      <c r="F366" s="138" t="s">
        <v>810</v>
      </c>
      <c r="G366" s="151" t="s">
        <v>1237</v>
      </c>
      <c r="H366" s="152" t="s">
        <v>1238</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1276</v>
      </c>
      <c r="C367" s="239" t="s">
        <v>1277</v>
      </c>
      <c r="D367" s="168" t="s">
        <v>1278</v>
      </c>
      <c r="E367" s="623" t="s">
        <v>1279</v>
      </c>
      <c r="F367" s="138" t="s">
        <v>810</v>
      </c>
      <c r="G367" s="151" t="s">
        <v>1239</v>
      </c>
      <c r="H367" s="153" t="s">
        <v>1240</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1276</v>
      </c>
      <c r="C368" s="239" t="s">
        <v>1277</v>
      </c>
      <c r="D368" s="168" t="s">
        <v>1278</v>
      </c>
      <c r="E368" s="623" t="s">
        <v>1279</v>
      </c>
      <c r="F368" s="138" t="s">
        <v>810</v>
      </c>
      <c r="G368" s="151" t="s">
        <v>1241</v>
      </c>
      <c r="H368" s="153" t="s">
        <v>1242</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1276</v>
      </c>
      <c r="C369" s="239" t="s">
        <v>1277</v>
      </c>
      <c r="D369" s="168" t="s">
        <v>1278</v>
      </c>
      <c r="E369" s="623" t="s">
        <v>1279</v>
      </c>
      <c r="F369" s="138" t="s">
        <v>810</v>
      </c>
      <c r="G369" s="151" t="s">
        <v>1243</v>
      </c>
      <c r="H369" s="152" t="s">
        <v>1281</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1276</v>
      </c>
      <c r="C370" s="239" t="s">
        <v>1277</v>
      </c>
      <c r="D370" s="168" t="s">
        <v>1278</v>
      </c>
      <c r="E370" s="623" t="s">
        <v>1279</v>
      </c>
      <c r="F370" s="138" t="s">
        <v>810</v>
      </c>
      <c r="G370" s="151" t="s">
        <v>1245</v>
      </c>
      <c r="H370" s="153" t="s">
        <v>1246</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1276</v>
      </c>
      <c r="C371" s="239" t="s">
        <v>1277</v>
      </c>
      <c r="D371" s="168" t="s">
        <v>1278</v>
      </c>
      <c r="E371" s="623" t="s">
        <v>1279</v>
      </c>
      <c r="F371" s="138" t="s">
        <v>810</v>
      </c>
      <c r="G371" s="151" t="s">
        <v>1247</v>
      </c>
      <c r="H371" s="152" t="s">
        <v>1282</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1276</v>
      </c>
      <c r="C372" s="239" t="s">
        <v>1277</v>
      </c>
      <c r="D372" s="168" t="s">
        <v>1278</v>
      </c>
      <c r="E372" s="623" t="s">
        <v>1279</v>
      </c>
      <c r="F372" s="138" t="s">
        <v>810</v>
      </c>
      <c r="G372" s="151" t="s">
        <v>1249</v>
      </c>
      <c r="H372" s="153" t="s">
        <v>1283</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1276</v>
      </c>
      <c r="C373" s="239" t="s">
        <v>1277</v>
      </c>
      <c r="D373" s="168" t="s">
        <v>1278</v>
      </c>
      <c r="E373" s="623" t="s">
        <v>1279</v>
      </c>
      <c r="F373" s="138" t="s">
        <v>810</v>
      </c>
      <c r="G373" s="151" t="s">
        <v>1251</v>
      </c>
      <c r="H373" s="152" t="s">
        <v>1284</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1276</v>
      </c>
      <c r="C374" s="239" t="s">
        <v>1277</v>
      </c>
      <c r="D374" s="168" t="s">
        <v>1278</v>
      </c>
      <c r="E374" s="623" t="s">
        <v>1279</v>
      </c>
      <c r="F374" s="138" t="s">
        <v>810</v>
      </c>
      <c r="G374" s="151" t="s">
        <v>1253</v>
      </c>
      <c r="H374" s="153" t="s">
        <v>1285</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1276</v>
      </c>
      <c r="C375" s="239" t="s">
        <v>1277</v>
      </c>
      <c r="D375" s="168" t="s">
        <v>1278</v>
      </c>
      <c r="E375" s="623" t="s">
        <v>1279</v>
      </c>
      <c r="F375" s="138" t="s">
        <v>810</v>
      </c>
      <c r="G375" s="151" t="s">
        <v>1255</v>
      </c>
      <c r="H375" s="152" t="s">
        <v>1286</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1276</v>
      </c>
      <c r="C376" s="239" t="s">
        <v>1277</v>
      </c>
      <c r="D376" s="168" t="s">
        <v>1278</v>
      </c>
      <c r="E376" s="623" t="s">
        <v>1279</v>
      </c>
      <c r="F376" s="138" t="s">
        <v>810</v>
      </c>
      <c r="G376" s="151" t="s">
        <v>1257</v>
      </c>
      <c r="H376" s="153" t="s">
        <v>1287</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1276</v>
      </c>
      <c r="C377" s="239" t="s">
        <v>1277</v>
      </c>
      <c r="D377" s="168" t="s">
        <v>1278</v>
      </c>
      <c r="E377" s="623" t="s">
        <v>1279</v>
      </c>
      <c r="F377" s="138" t="s">
        <v>810</v>
      </c>
      <c r="G377" s="151" t="s">
        <v>1259</v>
      </c>
      <c r="H377" s="153" t="s">
        <v>1288</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1276</v>
      </c>
      <c r="C378" s="239" t="s">
        <v>1277</v>
      </c>
      <c r="D378" s="168" t="s">
        <v>1278</v>
      </c>
      <c r="E378" s="623" t="s">
        <v>1279</v>
      </c>
      <c r="F378" s="138" t="s">
        <v>810</v>
      </c>
      <c r="G378" s="151" t="s">
        <v>1261</v>
      </c>
      <c r="H378" s="153" t="s">
        <v>1289</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1276</v>
      </c>
      <c r="C379" s="611"/>
      <c r="D379" s="168" t="s">
        <v>1278</v>
      </c>
      <c r="E379" s="623" t="s">
        <v>1279</v>
      </c>
      <c r="F379" s="138" t="s">
        <v>810</v>
      </c>
      <c r="G379" s="151" t="s">
        <v>1263</v>
      </c>
      <c r="H379" s="152" t="s">
        <v>1264</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1265</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1266</v>
      </c>
      <c r="H381" s="3" t="s">
        <v>1267</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1268</v>
      </c>
      <c r="H382" s="17" t="s">
        <v>1290</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1270</v>
      </c>
      <c r="H383" s="17" t="s">
        <v>1271</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1272</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1291</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1274</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1275</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1292</v>
      </c>
      <c r="C388" s="425" t="s">
        <v>1293</v>
      </c>
      <c r="D388" s="231" t="s">
        <v>1294</v>
      </c>
      <c r="E388" s="576"/>
      <c r="F388" s="149"/>
      <c r="G388" s="146" t="s">
        <v>240</v>
      </c>
      <c r="H388" s="193" t="s">
        <v>1295</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1292</v>
      </c>
      <c r="C389" s="425" t="s">
        <v>1293</v>
      </c>
      <c r="D389" s="231" t="s">
        <v>1294</v>
      </c>
      <c r="E389" s="576"/>
      <c r="F389" s="149"/>
      <c r="G389" s="146" t="s">
        <v>242</v>
      </c>
      <c r="H389" s="193" t="s">
        <v>1296</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1292</v>
      </c>
      <c r="C390" s="425" t="s">
        <v>1293</v>
      </c>
      <c r="D390" s="231" t="s">
        <v>1294</v>
      </c>
      <c r="E390" s="576"/>
      <c r="F390" s="149"/>
      <c r="G390" s="146" t="s">
        <v>1233</v>
      </c>
      <c r="H390" s="193" t="s">
        <v>1297</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1292</v>
      </c>
      <c r="C391" s="425" t="s">
        <v>1293</v>
      </c>
      <c r="D391" s="231" t="s">
        <v>1294</v>
      </c>
      <c r="E391" s="576"/>
      <c r="F391" s="149"/>
      <c r="G391" s="146" t="s">
        <v>1235</v>
      </c>
      <c r="H391" s="193" t="s">
        <v>1298</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1292</v>
      </c>
      <c r="C392" s="425" t="s">
        <v>1293</v>
      </c>
      <c r="D392" s="231" t="s">
        <v>1294</v>
      </c>
      <c r="E392" s="576"/>
      <c r="F392" s="149"/>
      <c r="G392" s="146" t="s">
        <v>1237</v>
      </c>
      <c r="H392" s="193" t="s">
        <v>1299</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1292</v>
      </c>
      <c r="C393" s="425" t="s">
        <v>1293</v>
      </c>
      <c r="D393" s="231" t="s">
        <v>1294</v>
      </c>
      <c r="E393" s="576"/>
      <c r="F393" s="149"/>
      <c r="G393" s="599" t="s">
        <v>1239</v>
      </c>
      <c r="H393" s="193" t="s">
        <v>1300</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1292</v>
      </c>
      <c r="C394" s="425" t="s">
        <v>1293</v>
      </c>
      <c r="D394" s="231" t="s">
        <v>1294</v>
      </c>
      <c r="E394" s="576"/>
      <c r="F394" s="149"/>
      <c r="G394" s="538" t="s">
        <v>1241</v>
      </c>
      <c r="H394" s="626" t="s">
        <v>1301</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1292</v>
      </c>
      <c r="C395" s="425" t="s">
        <v>1293</v>
      </c>
      <c r="D395" s="231" t="s">
        <v>1294</v>
      </c>
      <c r="E395" s="576"/>
      <c r="F395" s="149"/>
      <c r="G395" s="538" t="s">
        <v>1243</v>
      </c>
      <c r="H395" s="626" t="s">
        <v>1281</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1292</v>
      </c>
      <c r="C396" s="425" t="s">
        <v>1293</v>
      </c>
      <c r="D396" s="231" t="s">
        <v>1294</v>
      </c>
      <c r="E396" s="576"/>
      <c r="F396" s="149"/>
      <c r="G396" s="538" t="s">
        <v>1245</v>
      </c>
      <c r="H396" s="626" t="s">
        <v>1302</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1292</v>
      </c>
      <c r="C397" s="425" t="s">
        <v>1293</v>
      </c>
      <c r="D397" s="231" t="s">
        <v>1294</v>
      </c>
      <c r="E397" s="576"/>
      <c r="F397" s="149"/>
      <c r="G397" s="538" t="s">
        <v>1247</v>
      </c>
      <c r="H397" s="626" t="s">
        <v>1282</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1292</v>
      </c>
      <c r="C398" s="425" t="s">
        <v>1293</v>
      </c>
      <c r="D398" s="231" t="s">
        <v>1294</v>
      </c>
      <c r="E398" s="576"/>
      <c r="F398" s="149"/>
      <c r="G398" s="538" t="s">
        <v>1249</v>
      </c>
      <c r="H398" s="626" t="s">
        <v>1250</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1292</v>
      </c>
      <c r="C399" s="425" t="s">
        <v>1293</v>
      </c>
      <c r="D399" s="231" t="s">
        <v>1294</v>
      </c>
      <c r="E399" s="576"/>
      <c r="F399" s="149"/>
      <c r="G399" s="538" t="s">
        <v>1251</v>
      </c>
      <c r="H399" s="626" t="s">
        <v>1284</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1292</v>
      </c>
      <c r="C400" s="425" t="s">
        <v>1293</v>
      </c>
      <c r="D400" s="231" t="s">
        <v>1294</v>
      </c>
      <c r="E400" s="576"/>
      <c r="F400" s="149"/>
      <c r="G400" s="538" t="s">
        <v>1253</v>
      </c>
      <c r="H400" s="626" t="s">
        <v>1303</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1292</v>
      </c>
      <c r="C401" s="425" t="s">
        <v>1293</v>
      </c>
      <c r="D401" s="231" t="s">
        <v>1294</v>
      </c>
      <c r="E401" s="576"/>
      <c r="F401" s="149"/>
      <c r="G401" s="538" t="s">
        <v>1255</v>
      </c>
      <c r="H401" s="626" t="s">
        <v>1256</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1292</v>
      </c>
      <c r="C402" s="425" t="s">
        <v>1293</v>
      </c>
      <c r="D402" s="231" t="s">
        <v>1294</v>
      </c>
      <c r="E402" s="576"/>
      <c r="F402" s="149"/>
      <c r="G402" s="538" t="s">
        <v>1257</v>
      </c>
      <c r="H402" s="626" t="s">
        <v>1304</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1292</v>
      </c>
      <c r="C403" s="425" t="s">
        <v>1293</v>
      </c>
      <c r="D403" s="231" t="s">
        <v>1294</v>
      </c>
      <c r="E403" s="576"/>
      <c r="F403" s="149"/>
      <c r="G403" s="538" t="s">
        <v>1259</v>
      </c>
      <c r="H403" s="626" t="s">
        <v>1305</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1292</v>
      </c>
      <c r="C404" s="425" t="s">
        <v>1293</v>
      </c>
      <c r="D404" s="231" t="s">
        <v>1294</v>
      </c>
      <c r="E404" s="576"/>
      <c r="F404" s="149"/>
      <c r="G404" s="538" t="s">
        <v>1261</v>
      </c>
      <c r="H404" s="626" t="s">
        <v>1306</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1307</v>
      </c>
      <c r="C405" s="537" t="s">
        <v>1293</v>
      </c>
      <c r="D405" s="524" t="s">
        <v>1294</v>
      </c>
      <c r="E405" s="575" t="s">
        <v>156</v>
      </c>
      <c r="F405" s="525"/>
      <c r="G405" s="523" t="s">
        <v>240</v>
      </c>
      <c r="H405" s="540" t="s">
        <v>1295</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1307</v>
      </c>
      <c r="C406" s="537" t="s">
        <v>1293</v>
      </c>
      <c r="D406" s="524" t="s">
        <v>1294</v>
      </c>
      <c r="E406" s="575" t="s">
        <v>156</v>
      </c>
      <c r="F406" s="525"/>
      <c r="G406" s="523" t="s">
        <v>242</v>
      </c>
      <c r="H406" s="540" t="s">
        <v>1296</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1307</v>
      </c>
      <c r="C407" s="537" t="s">
        <v>1293</v>
      </c>
      <c r="D407" s="524" t="s">
        <v>1294</v>
      </c>
      <c r="E407" s="575" t="s">
        <v>156</v>
      </c>
      <c r="F407" s="525"/>
      <c r="G407" s="523" t="s">
        <v>1233</v>
      </c>
      <c r="H407" s="540" t="s">
        <v>1297</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1307</v>
      </c>
      <c r="C408" s="537" t="s">
        <v>1293</v>
      </c>
      <c r="D408" s="524" t="s">
        <v>1294</v>
      </c>
      <c r="E408" s="575" t="s">
        <v>156</v>
      </c>
      <c r="F408" s="525"/>
      <c r="G408" s="523" t="s">
        <v>1235</v>
      </c>
      <c r="H408" s="540" t="s">
        <v>1298</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1307</v>
      </c>
      <c r="C409" s="537" t="s">
        <v>1293</v>
      </c>
      <c r="D409" s="524" t="s">
        <v>1294</v>
      </c>
      <c r="E409" s="575" t="s">
        <v>156</v>
      </c>
      <c r="F409" s="525"/>
      <c r="G409" s="523" t="s">
        <v>1237</v>
      </c>
      <c r="H409" s="540" t="s">
        <v>1299</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1307</v>
      </c>
      <c r="C410" s="537" t="s">
        <v>1293</v>
      </c>
      <c r="D410" s="524" t="s">
        <v>1294</v>
      </c>
      <c r="E410" s="575" t="s">
        <v>156</v>
      </c>
      <c r="F410" s="525"/>
      <c r="G410" s="612" t="s">
        <v>1239</v>
      </c>
      <c r="H410" s="540" t="s">
        <v>1300</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1307</v>
      </c>
      <c r="C411" s="537" t="s">
        <v>1293</v>
      </c>
      <c r="D411" s="524" t="s">
        <v>1294</v>
      </c>
      <c r="E411" s="575" t="s">
        <v>156</v>
      </c>
      <c r="F411" s="525"/>
      <c r="G411" s="655" t="s">
        <v>1241</v>
      </c>
      <c r="H411" s="699" t="s">
        <v>1301</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1307</v>
      </c>
      <c r="C412" s="537" t="s">
        <v>1293</v>
      </c>
      <c r="D412" s="524" t="s">
        <v>1294</v>
      </c>
      <c r="E412" s="575" t="s">
        <v>156</v>
      </c>
      <c r="F412" s="525"/>
      <c r="G412" s="655" t="s">
        <v>1243</v>
      </c>
      <c r="H412" s="699" t="s">
        <v>1281</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1307</v>
      </c>
      <c r="C413" s="537" t="s">
        <v>1293</v>
      </c>
      <c r="D413" s="524" t="s">
        <v>1294</v>
      </c>
      <c r="E413" s="575" t="s">
        <v>156</v>
      </c>
      <c r="F413" s="525"/>
      <c r="G413" s="655" t="s">
        <v>1245</v>
      </c>
      <c r="H413" s="699" t="s">
        <v>1302</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1307</v>
      </c>
      <c r="C414" s="537" t="s">
        <v>1293</v>
      </c>
      <c r="D414" s="524" t="s">
        <v>1294</v>
      </c>
      <c r="E414" s="575" t="s">
        <v>156</v>
      </c>
      <c r="F414" s="525"/>
      <c r="G414" s="655" t="s">
        <v>1247</v>
      </c>
      <c r="H414" s="699" t="s">
        <v>1282</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1307</v>
      </c>
      <c r="C415" s="537" t="s">
        <v>1293</v>
      </c>
      <c r="D415" s="524" t="s">
        <v>1294</v>
      </c>
      <c r="E415" s="575" t="s">
        <v>156</v>
      </c>
      <c r="F415" s="525"/>
      <c r="G415" s="655" t="s">
        <v>1249</v>
      </c>
      <c r="H415" s="699" t="s">
        <v>1250</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1307</v>
      </c>
      <c r="C416" s="537" t="s">
        <v>1293</v>
      </c>
      <c r="D416" s="524" t="s">
        <v>1294</v>
      </c>
      <c r="E416" s="575" t="s">
        <v>156</v>
      </c>
      <c r="F416" s="525"/>
      <c r="G416" s="655" t="s">
        <v>1251</v>
      </c>
      <c r="H416" s="699" t="s">
        <v>1284</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1307</v>
      </c>
      <c r="C417" s="537" t="s">
        <v>1293</v>
      </c>
      <c r="D417" s="524" t="s">
        <v>1294</v>
      </c>
      <c r="E417" s="575" t="s">
        <v>156</v>
      </c>
      <c r="F417" s="525"/>
      <c r="G417" s="655" t="s">
        <v>1253</v>
      </c>
      <c r="H417" s="699" t="s">
        <v>1303</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1307</v>
      </c>
      <c r="C418" s="537" t="s">
        <v>1293</v>
      </c>
      <c r="D418" s="524" t="s">
        <v>1294</v>
      </c>
      <c r="E418" s="575" t="s">
        <v>156</v>
      </c>
      <c r="F418" s="525"/>
      <c r="G418" s="655" t="s">
        <v>1255</v>
      </c>
      <c r="H418" s="699" t="s">
        <v>1256</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1307</v>
      </c>
      <c r="C419" s="537" t="s">
        <v>1293</v>
      </c>
      <c r="D419" s="524" t="s">
        <v>1294</v>
      </c>
      <c r="E419" s="575" t="s">
        <v>156</v>
      </c>
      <c r="F419" s="525"/>
      <c r="G419" s="655" t="s">
        <v>1257</v>
      </c>
      <c r="H419" s="699" t="s">
        <v>1304</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1307</v>
      </c>
      <c r="C420" s="537" t="s">
        <v>1293</v>
      </c>
      <c r="D420" s="524" t="s">
        <v>1294</v>
      </c>
      <c r="E420" s="575" t="s">
        <v>156</v>
      </c>
      <c r="F420" s="525"/>
      <c r="G420" s="655" t="s">
        <v>1259</v>
      </c>
      <c r="H420" s="699" t="s">
        <v>1305</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1307</v>
      </c>
      <c r="C421" s="537" t="s">
        <v>1293</v>
      </c>
      <c r="D421" s="524" t="s">
        <v>1294</v>
      </c>
      <c r="E421" s="575" t="s">
        <v>156</v>
      </c>
      <c r="F421" s="525"/>
      <c r="G421" s="655" t="s">
        <v>1261</v>
      </c>
      <c r="H421" s="699" t="s">
        <v>1306</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1293</v>
      </c>
      <c r="D422" s="76" t="s">
        <v>1294</v>
      </c>
      <c r="E422" s="20"/>
      <c r="F422" s="1" t="s">
        <v>1308</v>
      </c>
      <c r="G422" s="21" t="s">
        <v>1263</v>
      </c>
      <c r="H422" s="7" t="s">
        <v>1264</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1293</v>
      </c>
      <c r="D423" s="76" t="s">
        <v>1294</v>
      </c>
      <c r="E423" s="20"/>
      <c r="F423" s="1" t="s">
        <v>161</v>
      </c>
      <c r="G423" s="9" t="s">
        <v>338</v>
      </c>
      <c r="H423" s="7" t="s">
        <v>1309</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1293</v>
      </c>
      <c r="D424" s="76" t="s">
        <v>1294</v>
      </c>
      <c r="E424" s="775"/>
      <c r="F424" s="1" t="s">
        <v>161</v>
      </c>
      <c r="G424" s="9" t="s">
        <v>1266</v>
      </c>
      <c r="H424" s="7" t="s">
        <v>1267</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1293</v>
      </c>
      <c r="D425" s="76" t="s">
        <v>1294</v>
      </c>
      <c r="E425" s="20"/>
      <c r="F425" s="1" t="s">
        <v>161</v>
      </c>
      <c r="G425" s="9" t="s">
        <v>1268</v>
      </c>
      <c r="H425" s="13" t="s">
        <v>1290</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1293</v>
      </c>
      <c r="D426" s="76" t="s">
        <v>1294</v>
      </c>
      <c r="E426" s="20"/>
      <c r="F426" s="1" t="s">
        <v>161</v>
      </c>
      <c r="G426" s="9" t="s">
        <v>1270</v>
      </c>
      <c r="H426" s="13" t="s">
        <v>1271</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1293</v>
      </c>
      <c r="D427" s="76" t="s">
        <v>1294</v>
      </c>
      <c r="E427" s="20"/>
      <c r="F427" s="1"/>
      <c r="G427" s="9" t="s">
        <v>405</v>
      </c>
      <c r="H427" s="7" t="s">
        <v>1272</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1293</v>
      </c>
      <c r="D428" s="76" t="s">
        <v>1294</v>
      </c>
      <c r="E428" s="20"/>
      <c r="F428" s="1"/>
      <c r="G428" s="9" t="s">
        <v>406</v>
      </c>
      <c r="H428" s="7" t="s">
        <v>1291</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1293</v>
      </c>
      <c r="D429" s="76" t="s">
        <v>1294</v>
      </c>
      <c r="E429" s="20"/>
      <c r="F429" s="1"/>
      <c r="G429" s="9" t="s">
        <v>408</v>
      </c>
      <c r="H429" s="13" t="s">
        <v>1274</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1293</v>
      </c>
      <c r="D430" s="76" t="s">
        <v>1294</v>
      </c>
      <c r="E430" s="20"/>
      <c r="F430" s="1"/>
      <c r="G430" s="9" t="s">
        <v>441</v>
      </c>
      <c r="H430" s="13" t="s">
        <v>1310</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1311</v>
      </c>
      <c r="C431" s="310" t="s">
        <v>1312</v>
      </c>
      <c r="D431" s="76" t="s">
        <v>1313</v>
      </c>
      <c r="E431" s="573" t="s">
        <v>1314</v>
      </c>
      <c r="F431" s="26" t="s">
        <v>1315</v>
      </c>
      <c r="G431" s="22" t="s">
        <v>281</v>
      </c>
      <c r="H431" s="24" t="s">
        <v>1316</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1311</v>
      </c>
      <c r="C432" s="310" t="s">
        <v>1312</v>
      </c>
      <c r="D432" s="76" t="s">
        <v>1313</v>
      </c>
      <c r="E432" s="573" t="s">
        <v>1314</v>
      </c>
      <c r="F432" s="26" t="s">
        <v>1315</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1312</v>
      </c>
      <c r="D433" s="34" t="s">
        <v>1313</v>
      </c>
      <c r="E433" s="103" t="s">
        <v>1314</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1311</v>
      </c>
      <c r="C434" s="310" t="s">
        <v>1312</v>
      </c>
      <c r="D434" s="76" t="s">
        <v>1313</v>
      </c>
      <c r="E434" s="573" t="s">
        <v>1314</v>
      </c>
      <c r="F434" s="26" t="s">
        <v>1315</v>
      </c>
      <c r="G434" s="22" t="s">
        <v>352</v>
      </c>
      <c r="H434" s="24" t="s">
        <v>1317</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1312</v>
      </c>
      <c r="D435" s="34" t="s">
        <v>1313</v>
      </c>
      <c r="E435" s="103" t="s">
        <v>1314</v>
      </c>
      <c r="F435" s="5"/>
      <c r="G435" s="4" t="s">
        <v>354</v>
      </c>
      <c r="H435" s="17" t="s">
        <v>1318</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1312</v>
      </c>
      <c r="D436" s="34" t="s">
        <v>1313</v>
      </c>
      <c r="E436" s="103" t="s">
        <v>1314</v>
      </c>
      <c r="F436" s="5"/>
      <c r="G436" s="4" t="s">
        <v>356</v>
      </c>
      <c r="H436" s="17" t="s">
        <v>708</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1312</v>
      </c>
      <c r="D437" s="34" t="s">
        <v>1313</v>
      </c>
      <c r="E437" s="103" t="s">
        <v>1314</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1312</v>
      </c>
      <c r="D438" s="34" t="s">
        <v>1313</v>
      </c>
      <c r="E438" s="103" t="s">
        <v>1314</v>
      </c>
      <c r="F438" s="5"/>
      <c r="G438" s="4" t="s">
        <v>1319</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1312</v>
      </c>
      <c r="D439" s="34" t="s">
        <v>1313</v>
      </c>
      <c r="E439" s="103" t="s">
        <v>1314</v>
      </c>
      <c r="F439" s="5"/>
      <c r="G439" s="4" t="s">
        <v>1320</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1312</v>
      </c>
      <c r="D440" s="34" t="s">
        <v>1313</v>
      </c>
      <c r="E440" s="103" t="s">
        <v>1314</v>
      </c>
      <c r="F440" s="5"/>
      <c r="G440" s="4" t="s">
        <v>1321</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1322</v>
      </c>
      <c r="C441" s="310" t="s">
        <v>1323</v>
      </c>
      <c r="D441" s="76" t="s">
        <v>1324</v>
      </c>
      <c r="E441" s="573" t="s">
        <v>1325</v>
      </c>
      <c r="F441" s="26" t="s">
        <v>810</v>
      </c>
      <c r="G441" s="22" t="s">
        <v>222</v>
      </c>
      <c r="H441" s="28" t="s">
        <v>1326</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1323</v>
      </c>
      <c r="D442" s="76" t="s">
        <v>1324</v>
      </c>
      <c r="E442" s="20"/>
      <c r="F442" s="1"/>
      <c r="G442" s="9" t="s">
        <v>543</v>
      </c>
      <c r="H442" s="13" t="s">
        <v>1327</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1323</v>
      </c>
      <c r="D443" s="76" t="s">
        <v>1324</v>
      </c>
      <c r="E443" s="20"/>
      <c r="F443" s="1"/>
      <c r="G443" s="9" t="s">
        <v>545</v>
      </c>
      <c r="H443" s="13" t="s">
        <v>1328</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1323</v>
      </c>
      <c r="D444" s="76" t="s">
        <v>1324</v>
      </c>
      <c r="E444" s="20"/>
      <c r="F444" s="1"/>
      <c r="G444" s="9" t="s">
        <v>694</v>
      </c>
      <c r="H444" s="7" t="s">
        <v>1329</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1323</v>
      </c>
      <c r="D445" s="76" t="s">
        <v>1324</v>
      </c>
      <c r="E445" s="20"/>
      <c r="F445" s="1"/>
      <c r="G445" s="9" t="s">
        <v>1330</v>
      </c>
      <c r="H445" s="7" t="s">
        <v>1331</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1323</v>
      </c>
      <c r="D446" s="76" t="s">
        <v>1324</v>
      </c>
      <c r="E446" s="20"/>
      <c r="F446" s="1"/>
      <c r="G446" s="9" t="s">
        <v>1332</v>
      </c>
      <c r="H446" s="7" t="s">
        <v>1333</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1323</v>
      </c>
      <c r="D447" s="76" t="s">
        <v>1324</v>
      </c>
      <c r="E447" s="20"/>
      <c r="F447" s="1"/>
      <c r="G447" s="9" t="s">
        <v>1334</v>
      </c>
      <c r="H447" s="13" t="s">
        <v>1335</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1323</v>
      </c>
      <c r="D448" s="76" t="s">
        <v>1324</v>
      </c>
      <c r="E448" s="20"/>
      <c r="F448" s="1"/>
      <c r="G448" s="9" t="s">
        <v>1336</v>
      </c>
      <c r="H448" s="13" t="s">
        <v>1337</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1323</v>
      </c>
      <c r="D449" s="76" t="s">
        <v>1324</v>
      </c>
      <c r="E449" s="20"/>
      <c r="F449" s="1"/>
      <c r="G449" s="9" t="s">
        <v>1338</v>
      </c>
      <c r="H449" s="13" t="s">
        <v>1339</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1323</v>
      </c>
      <c r="D450" s="76" t="s">
        <v>1324</v>
      </c>
      <c r="E450" s="20"/>
      <c r="F450" s="1"/>
      <c r="G450" s="9" t="s">
        <v>329</v>
      </c>
      <c r="H450" s="7" t="s">
        <v>1340</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1323</v>
      </c>
      <c r="D451" s="76" t="s">
        <v>1324</v>
      </c>
      <c r="E451" s="20"/>
      <c r="F451" s="1"/>
      <c r="G451" s="9" t="s">
        <v>601</v>
      </c>
      <c r="H451" s="13" t="s">
        <v>1341</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1342</v>
      </c>
      <c r="D452" s="17" t="s">
        <v>1343</v>
      </c>
      <c r="E452" s="103"/>
      <c r="F452" s="5"/>
      <c r="G452" s="4" t="s">
        <v>486</v>
      </c>
      <c r="H452" s="17" t="s">
        <v>1344</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1345</v>
      </c>
      <c r="D453" s="37" t="s">
        <v>1346</v>
      </c>
      <c r="E453" s="20"/>
      <c r="F453" s="1"/>
      <c r="G453" s="9" t="s">
        <v>759</v>
      </c>
      <c r="H453" s="7" t="s">
        <v>1347</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869</v>
      </c>
      <c r="H454" s="37" t="s">
        <v>1348</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871</v>
      </c>
      <c r="H455" s="37" t="s">
        <v>1349</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873</v>
      </c>
      <c r="H456" s="37" t="s">
        <v>1350</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875</v>
      </c>
      <c r="H457" s="40" t="s">
        <v>1351</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1352</v>
      </c>
      <c r="H458" s="40" t="s">
        <v>1353</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1354</v>
      </c>
      <c r="H459" s="37" t="s">
        <v>1355</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1356</v>
      </c>
      <c r="H460" s="40" t="s">
        <v>1357</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1358</v>
      </c>
      <c r="H461" s="40" t="s">
        <v>1359</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1360</v>
      </c>
      <c r="H462" s="40" t="s">
        <v>1361</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1362</v>
      </c>
      <c r="H463" s="40" t="s">
        <v>1363</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877</v>
      </c>
      <c r="H464" s="40" t="s">
        <v>1364</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1160</v>
      </c>
      <c r="H465" s="40" t="s">
        <v>1365</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1170</v>
      </c>
      <c r="H466" s="40" t="s">
        <v>1366</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1367</v>
      </c>
      <c r="D467" s="635" t="s">
        <v>1368</v>
      </c>
      <c r="E467" s="628" t="s">
        <v>1369</v>
      </c>
      <c r="F467" s="627"/>
      <c r="G467" s="629" t="s">
        <v>336</v>
      </c>
      <c r="H467" s="342" t="s">
        <v>1370</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1367</v>
      </c>
      <c r="D468" s="635" t="s">
        <v>1368</v>
      </c>
      <c r="E468" s="628" t="s">
        <v>1369</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1371</v>
      </c>
      <c r="C469" s="632" t="s">
        <v>1367</v>
      </c>
      <c r="D469" s="637" t="s">
        <v>1368</v>
      </c>
      <c r="E469" s="636" t="s">
        <v>1369</v>
      </c>
      <c r="F469" s="639"/>
      <c r="G469" s="630" t="s">
        <v>336</v>
      </c>
      <c r="H469" s="613" t="s">
        <v>1370</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1371</v>
      </c>
      <c r="C470" s="632" t="s">
        <v>1367</v>
      </c>
      <c r="D470" s="637" t="s">
        <v>1368</v>
      </c>
      <c r="E470" s="636" t="s">
        <v>1369</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1368</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1368</v>
      </c>
      <c r="E472" s="627"/>
      <c r="F472" s="640"/>
      <c r="G472" s="629" t="s">
        <v>340</v>
      </c>
      <c r="H472" s="342" t="s">
        <v>1372</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1368</v>
      </c>
      <c r="E473" s="627"/>
      <c r="F473" s="640"/>
      <c r="G473" s="629" t="s">
        <v>346</v>
      </c>
      <c r="H473" s="342" t="s">
        <v>831</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1368</v>
      </c>
      <c r="E474" s="627"/>
      <c r="F474" s="640"/>
      <c r="G474" s="629" t="s">
        <v>746</v>
      </c>
      <c r="H474" s="342" t="s">
        <v>832</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1368</v>
      </c>
      <c r="E475" s="627"/>
      <c r="F475" s="640"/>
      <c r="G475" s="629" t="s">
        <v>747</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1373</v>
      </c>
      <c r="C476" s="845">
        <v>11635</v>
      </c>
      <c r="D476" s="847" t="s">
        <v>1374</v>
      </c>
      <c r="E476" s="567"/>
      <c r="F476" s="568"/>
      <c r="G476" s="375" t="s">
        <v>134</v>
      </c>
      <c r="H476" s="300" t="s">
        <v>1375</v>
      </c>
      <c r="I476" s="377">
        <v>45782</v>
      </c>
      <c r="J476" s="377">
        <v>45799</v>
      </c>
      <c r="K476" s="74" t="str" cm="1">
        <f t="array" ref="K476">IF(ISBLANK(J476), IF(ISBLANK(I476), "N/A", _xlfn.IFS(L476="AS", I476+15, L476="NCR", I476+30, L476="submitted", I476+30, TRUE, "N/A")), _xlfn.IFS(L476="AS", J476+15, L476="NCR", J476+30, L476="submitted", J476+30, TRUE, "N/A"))</f>
        <v>N/A</v>
      </c>
      <c r="L476" s="377" t="s">
        <v>151</v>
      </c>
      <c r="M476" s="378"/>
      <c r="N476" s="856"/>
      <c r="O476" s="857"/>
      <c r="P476" s="857"/>
      <c r="Q476" s="858"/>
    </row>
    <row r="477" spans="1:17">
      <c r="B477" s="375"/>
      <c r="C477" s="845"/>
      <c r="D477" s="848"/>
      <c r="E477" s="567"/>
      <c r="F477" s="376"/>
      <c r="G477" s="375" t="s">
        <v>136</v>
      </c>
      <c r="H477" s="300" t="s">
        <v>1279</v>
      </c>
      <c r="I477" s="377">
        <v>45782</v>
      </c>
      <c r="J477" s="377">
        <v>45799</v>
      </c>
      <c r="K477" s="74" t="str" cm="1">
        <f t="array" ref="K477">IF(ISBLANK(J477), IF(ISBLANK(I477), "N/A", _xlfn.IFS(L477="AS", I477+15, L477="NCR", I477+30, L477="submitted", I477+30, TRUE, "N/A")), _xlfn.IFS(L477="AS", J477+15, L477="NCR", J477+30, L477="submitted", J477+30, TRUE, "N/A"))</f>
        <v>N/A</v>
      </c>
      <c r="L477" s="377" t="s">
        <v>151</v>
      </c>
      <c r="M477" s="378"/>
      <c r="N477" s="856"/>
      <c r="O477" s="857"/>
      <c r="P477" s="857"/>
      <c r="Q477" s="858"/>
    </row>
    <row r="478" spans="1:17">
      <c r="B478" s="375"/>
      <c r="C478" s="845"/>
      <c r="D478" s="848"/>
      <c r="E478" s="567"/>
      <c r="F478" s="376"/>
      <c r="G478" s="375" t="s">
        <v>138</v>
      </c>
      <c r="H478" s="300" t="s">
        <v>1376</v>
      </c>
      <c r="I478" s="377">
        <v>45782</v>
      </c>
      <c r="J478" s="377">
        <v>45799</v>
      </c>
      <c r="K478" s="74" t="str" cm="1">
        <f t="array" ref="K478">IF(ISBLANK(J478), IF(ISBLANK(I478), "N/A", _xlfn.IFS(L478="AS", I478+15, L478="NCR", I478+30, L478="submitted", I478+30, TRUE, "N/A")), _xlfn.IFS(L478="AS", J478+15, L478="NCR", J478+30, L478="submitted", J478+30, TRUE, "N/A"))</f>
        <v>N/A</v>
      </c>
      <c r="L478" s="377" t="s">
        <v>151</v>
      </c>
      <c r="M478" s="378"/>
      <c r="N478" s="856"/>
      <c r="O478" s="857"/>
      <c r="P478" s="857"/>
      <c r="Q478" s="858"/>
    </row>
    <row r="479" spans="1:17">
      <c r="B479" s="375"/>
      <c r="C479" s="846"/>
      <c r="D479" s="849"/>
      <c r="E479" s="568"/>
      <c r="F479" s="376"/>
      <c r="G479" s="375" t="s">
        <v>166</v>
      </c>
      <c r="H479" s="300" t="s">
        <v>1377</v>
      </c>
      <c r="I479" s="377">
        <v>45782</v>
      </c>
      <c r="J479" s="377">
        <v>45799</v>
      </c>
      <c r="K479" s="74" t="str" cm="1">
        <f t="array" ref="K479">IF(ISBLANK(J479), IF(ISBLANK(I479), "N/A", _xlfn.IFS(L479="AS", I479+15, L479="NCR", I479+30, L479="submitted", I479+30, TRUE, "N/A")), _xlfn.IFS(L479="AS", J479+15, L479="NCR", J479+30, L479="submitted", J479+30, TRUE, "N/A"))</f>
        <v>N/A</v>
      </c>
      <c r="L479" s="377" t="s">
        <v>151</v>
      </c>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44" activePane="bottomLeft" state="frozen"/>
      <selection pane="bottomLeft" activeCell="L51" sqref="L51"/>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1378</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1379</v>
      </c>
      <c r="C3" s="843" t="s">
        <v>1380</v>
      </c>
      <c r="D3" s="862" t="s">
        <v>1381</v>
      </c>
      <c r="E3" s="163"/>
      <c r="F3" s="278" t="s">
        <v>1382</v>
      </c>
      <c r="G3" s="180" t="s">
        <v>1383</v>
      </c>
      <c r="H3" s="279" t="s">
        <v>1384</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63"/>
      <c r="E4" s="161"/>
      <c r="F4" s="142" t="s">
        <v>54</v>
      </c>
      <c r="G4" s="141" t="s">
        <v>136</v>
      </c>
      <c r="H4" s="13" t="s">
        <v>1385</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1386</v>
      </c>
      <c r="C5" s="192" t="s">
        <v>1387</v>
      </c>
      <c r="D5" s="211" t="s">
        <v>1388</v>
      </c>
      <c r="E5" s="212" t="s">
        <v>1389</v>
      </c>
      <c r="F5" s="213" t="s">
        <v>54</v>
      </c>
      <c r="G5" s="179" t="s">
        <v>208</v>
      </c>
      <c r="H5" s="214" t="s">
        <v>1390</v>
      </c>
      <c r="I5" s="215"/>
      <c r="J5" s="337"/>
      <c r="K5" s="697" t="str" cm="1">
        <f t="array" ref="K5">IF(ISBLANK(J5), IF(ISBLANK(I5), "N/A", _xlfn.IFS(L5="AS", I5+15, L5="NCR", I5+30, L5="submitted", I5+30, TRUE, "N/A")), _xlfn.IFS(L5="AS", J5+15, L5="NCR", J5+30, L5="submitted", J5+30, TRUE, "N/A"))</f>
        <v>N/A</v>
      </c>
      <c r="L5" s="146" t="s">
        <v>1391</v>
      </c>
      <c r="M5" s="317"/>
      <c r="N5" s="799"/>
      <c r="O5" s="800"/>
      <c r="P5" s="800"/>
      <c r="Q5" s="801"/>
    </row>
    <row r="6" spans="1:17" s="1" customFormat="1" ht="12.75" customHeight="1">
      <c r="B6" s="9"/>
      <c r="C6" s="840" t="s">
        <v>1392</v>
      </c>
      <c r="D6" s="859" t="s">
        <v>1393</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1394</v>
      </c>
      <c r="C7" s="843"/>
      <c r="D7" s="860"/>
      <c r="E7" s="156"/>
      <c r="F7" s="155"/>
      <c r="G7" s="178" t="s">
        <v>877</v>
      </c>
      <c r="H7" s="162" t="s">
        <v>1395</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43"/>
      <c r="D8" s="860"/>
      <c r="E8" s="164"/>
      <c r="F8" s="247" t="s">
        <v>54</v>
      </c>
      <c r="G8" s="225" t="s">
        <v>1160</v>
      </c>
      <c r="H8" s="223" t="s">
        <v>1396</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1397</v>
      </c>
      <c r="C9" s="843"/>
      <c r="D9" s="860"/>
      <c r="E9" s="156" t="s">
        <v>1398</v>
      </c>
      <c r="F9" s="155"/>
      <c r="G9" s="178" t="s">
        <v>1170</v>
      </c>
      <c r="H9" s="162" t="s">
        <v>1399</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43"/>
      <c r="D10" s="860"/>
      <c r="E10" s="164"/>
      <c r="F10" s="159" t="s">
        <v>54</v>
      </c>
      <c r="G10" s="141" t="s">
        <v>1172</v>
      </c>
      <c r="H10" s="161" t="s">
        <v>1400</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61"/>
      <c r="E11" s="164"/>
      <c r="F11" s="159" t="s">
        <v>54</v>
      </c>
      <c r="G11" s="141" t="s">
        <v>1174</v>
      </c>
      <c r="H11" s="161" t="s">
        <v>1401</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1402</v>
      </c>
      <c r="D12" s="16" t="s">
        <v>1403</v>
      </c>
      <c r="E12" s="16" t="s">
        <v>1404</v>
      </c>
      <c r="F12" s="17" t="s">
        <v>1405</v>
      </c>
      <c r="G12" s="4" t="s">
        <v>208</v>
      </c>
      <c r="H12" s="3" t="s">
        <v>1406</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1402</v>
      </c>
      <c r="D13" s="16" t="s">
        <v>1403</v>
      </c>
      <c r="E13" s="16"/>
      <c r="F13" s="17" t="s">
        <v>287</v>
      </c>
      <c r="G13" s="4" t="s">
        <v>281</v>
      </c>
      <c r="H13" s="17" t="s">
        <v>1407</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1402</v>
      </c>
      <c r="D14" s="16" t="s">
        <v>1403</v>
      </c>
      <c r="E14" s="16"/>
      <c r="F14" s="17" t="s">
        <v>287</v>
      </c>
      <c r="G14" s="4" t="s">
        <v>269</v>
      </c>
      <c r="H14" s="17" t="s">
        <v>1408</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1402</v>
      </c>
      <c r="D15" s="16" t="s">
        <v>1403</v>
      </c>
      <c r="E15" s="17"/>
      <c r="F15" s="17"/>
      <c r="G15" s="4" t="s">
        <v>259</v>
      </c>
      <c r="H15" s="17" t="s">
        <v>1409</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1410</v>
      </c>
      <c r="C16" s="134" t="s">
        <v>1411</v>
      </c>
      <c r="D16" s="135" t="s">
        <v>1412</v>
      </c>
      <c r="E16" s="173" t="s">
        <v>1413</v>
      </c>
      <c r="F16" s="158" t="s">
        <v>1382</v>
      </c>
      <c r="G16" s="180" t="s">
        <v>1414</v>
      </c>
      <c r="H16" s="163" t="s">
        <v>1415</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1416</v>
      </c>
      <c r="C17" s="134" t="s">
        <v>1411</v>
      </c>
      <c r="D17" s="135" t="s">
        <v>1412</v>
      </c>
      <c r="E17" s="173" t="s">
        <v>1413</v>
      </c>
      <c r="F17" s="158" t="s">
        <v>1382</v>
      </c>
      <c r="G17" s="180" t="s">
        <v>1414</v>
      </c>
      <c r="H17" s="163" t="s">
        <v>1415</v>
      </c>
      <c r="I17" s="274">
        <v>45807</v>
      </c>
      <c r="J17" s="216">
        <v>45813</v>
      </c>
      <c r="K17" s="697" t="str" cm="1">
        <f t="array" ref="K17">IF(ISBLANK(J17), IF(ISBLANK(I17), "N/A", _xlfn.IFS(L17="AS", I17+15, L17="NCR", I17+30, L17="submitted", I17+30, TRUE, "N/A")), _xlfn.IFS(L17="AS", J17+15, L17="NCR", J17+30, L17="submitted", J17+30, TRUE, "N/A"))</f>
        <v>N/A</v>
      </c>
      <c r="L17" s="136" t="s">
        <v>639</v>
      </c>
      <c r="M17" s="317"/>
      <c r="N17" s="802"/>
      <c r="O17" s="803"/>
      <c r="P17" s="803"/>
      <c r="Q17" s="804"/>
    </row>
    <row r="18" spans="2:17" s="5" customFormat="1" ht="15" customHeight="1">
      <c r="B18" s="4"/>
      <c r="C18" s="829" t="s">
        <v>1417</v>
      </c>
      <c r="D18" s="832" t="s">
        <v>1418</v>
      </c>
      <c r="E18" s="130"/>
      <c r="F18" s="143" t="s">
        <v>1382</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31"/>
      <c r="D19" s="834"/>
      <c r="E19" s="144"/>
      <c r="F19" s="143" t="s">
        <v>1382</v>
      </c>
      <c r="G19" s="145" t="s">
        <v>269</v>
      </c>
      <c r="H19" s="160" t="s">
        <v>1419</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1420</v>
      </c>
      <c r="D20" s="230" t="s">
        <v>1421</v>
      </c>
      <c r="E20" s="223"/>
      <c r="F20" s="224" t="s">
        <v>54</v>
      </c>
      <c r="G20" s="225" t="s">
        <v>131</v>
      </c>
      <c r="H20" s="223" t="s">
        <v>1422</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1423</v>
      </c>
      <c r="C21" s="169" t="s">
        <v>1424</v>
      </c>
      <c r="D21" s="260" t="s">
        <v>1425</v>
      </c>
      <c r="E21" s="426" t="s">
        <v>1426</v>
      </c>
      <c r="F21" s="158" t="s">
        <v>161</v>
      </c>
      <c r="G21" s="178" t="s">
        <v>281</v>
      </c>
      <c r="H21" s="156" t="s">
        <v>1427</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1424</v>
      </c>
      <c r="D22" s="332" t="s">
        <v>1425</v>
      </c>
      <c r="E22" s="220" t="s">
        <v>1428</v>
      </c>
      <c r="F22" s="167" t="s">
        <v>54</v>
      </c>
      <c r="G22" s="179" t="s">
        <v>269</v>
      </c>
      <c r="H22" s="166" t="s">
        <v>1429</v>
      </c>
      <c r="I22" s="275">
        <v>45867</v>
      </c>
      <c r="J22" s="234">
        <v>45895</v>
      </c>
      <c r="K22" s="697" cm="1">
        <f t="array" ref="K22">IF(ISBLANK(J22), IF(ISBLANK(I22), "N/A", _xlfn.IFS(L22="AS", I22+15, L22="NCR", I22+30, L22="submitted", I22+30, TRUE, "N/A")), _xlfn.IFS(L22="AS", J22+15, L22="NCR", J22+30, L22="submitted", J22+30, TRUE, "N/A"))</f>
        <v>45910</v>
      </c>
      <c r="L22" s="219" t="s">
        <v>753</v>
      </c>
      <c r="M22" s="317"/>
      <c r="N22" s="802"/>
      <c r="O22" s="803"/>
      <c r="P22" s="803"/>
      <c r="Q22" s="804"/>
    </row>
    <row r="23" spans="2:17" s="5" customFormat="1" ht="15" customHeight="1">
      <c r="B23" s="4"/>
      <c r="C23" s="54" t="s">
        <v>1424</v>
      </c>
      <c r="D23" s="55" t="s">
        <v>1425</v>
      </c>
      <c r="E23" s="144"/>
      <c r="F23" s="143" t="s">
        <v>161</v>
      </c>
      <c r="G23" s="145" t="s">
        <v>259</v>
      </c>
      <c r="H23" s="132" t="s">
        <v>1430</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40" t="s">
        <v>1431</v>
      </c>
      <c r="D24" s="2" t="s">
        <v>1432</v>
      </c>
      <c r="E24" s="174"/>
      <c r="F24" s="142" t="s">
        <v>1382</v>
      </c>
      <c r="G24" s="141" t="s">
        <v>212</v>
      </c>
      <c r="H24" s="161" t="s">
        <v>1433</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43"/>
      <c r="D25" s="2" t="s">
        <v>1432</v>
      </c>
      <c r="E25" s="201"/>
      <c r="F25" s="142" t="s">
        <v>1382</v>
      </c>
      <c r="G25" s="141" t="s">
        <v>234</v>
      </c>
      <c r="H25" s="164" t="s">
        <v>1434</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43"/>
      <c r="D26" s="2" t="s">
        <v>1432</v>
      </c>
      <c r="E26" s="175"/>
      <c r="F26" s="142" t="s">
        <v>1382</v>
      </c>
      <c r="G26" s="141" t="s">
        <v>236</v>
      </c>
      <c r="H26" s="161" t="s">
        <v>1435</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43"/>
      <c r="D27" s="2" t="s">
        <v>1432</v>
      </c>
      <c r="E27" s="175"/>
      <c r="F27" s="142" t="s">
        <v>1382</v>
      </c>
      <c r="G27" s="141" t="s">
        <v>337</v>
      </c>
      <c r="H27" s="161" t="s">
        <v>1436</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43"/>
      <c r="D28" s="260" t="s">
        <v>1432</v>
      </c>
      <c r="E28" s="356" t="s">
        <v>58</v>
      </c>
      <c r="F28" s="158" t="s">
        <v>1382</v>
      </c>
      <c r="G28" s="178" t="s">
        <v>338</v>
      </c>
      <c r="H28" s="162" t="s">
        <v>1437</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43"/>
      <c r="D29" s="260" t="s">
        <v>1432</v>
      </c>
      <c r="E29" s="356" t="s">
        <v>58</v>
      </c>
      <c r="F29" s="158" t="s">
        <v>1382</v>
      </c>
      <c r="G29" s="178" t="s">
        <v>1266</v>
      </c>
      <c r="H29" s="162" t="s">
        <v>1438</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43"/>
      <c r="D30" s="351" t="s">
        <v>1432</v>
      </c>
      <c r="E30" s="512" t="s">
        <v>1439</v>
      </c>
      <c r="F30" s="513" t="s">
        <v>161</v>
      </c>
      <c r="G30" s="514" t="s">
        <v>1268</v>
      </c>
      <c r="H30" s="353" t="s">
        <v>1440</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1432</v>
      </c>
      <c r="E31" s="175"/>
      <c r="F31" s="142" t="s">
        <v>1382</v>
      </c>
      <c r="G31" s="141" t="s">
        <v>406</v>
      </c>
      <c r="H31" s="164" t="s">
        <v>1441</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9" t="s">
        <v>1442</v>
      </c>
      <c r="D32" s="864" t="s">
        <v>1443</v>
      </c>
      <c r="E32" s="206"/>
      <c r="F32" s="584" t="s">
        <v>1382</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1444</v>
      </c>
      <c r="C33" s="830"/>
      <c r="D33" s="865"/>
      <c r="E33" s="167" t="s">
        <v>1445</v>
      </c>
      <c r="F33" s="585" t="s">
        <v>1382</v>
      </c>
      <c r="G33" s="179" t="s">
        <v>1446</v>
      </c>
      <c r="H33" s="214" t="s">
        <v>1447</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1444</v>
      </c>
      <c r="C34" s="831"/>
      <c r="D34" s="866"/>
      <c r="E34" s="167" t="s">
        <v>1445</v>
      </c>
      <c r="F34" s="585" t="s">
        <v>1382</v>
      </c>
      <c r="G34" s="179" t="s">
        <v>1448</v>
      </c>
      <c r="H34" s="214" t="s">
        <v>1449</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1450</v>
      </c>
      <c r="D35" s="2" t="s">
        <v>1451</v>
      </c>
      <c r="E35" s="175"/>
      <c r="F35" s="142" t="s">
        <v>1452</v>
      </c>
      <c r="G35" s="141" t="s">
        <v>212</v>
      </c>
      <c r="H35" s="164" t="s">
        <v>1453</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1454</v>
      </c>
      <c r="C36" s="169" t="s">
        <v>1450</v>
      </c>
      <c r="D36" s="260" t="s">
        <v>1451</v>
      </c>
      <c r="E36" s="356" t="s">
        <v>1455</v>
      </c>
      <c r="F36" s="158" t="s">
        <v>161</v>
      </c>
      <c r="G36" s="178" t="s">
        <v>336</v>
      </c>
      <c r="H36" s="156" t="s">
        <v>1456</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1457</v>
      </c>
      <c r="C37" s="47" t="s">
        <v>1450</v>
      </c>
      <c r="D37" s="2" t="s">
        <v>1451</v>
      </c>
      <c r="E37" s="175" t="s">
        <v>1458</v>
      </c>
      <c r="F37" s="142" t="s">
        <v>161</v>
      </c>
      <c r="G37" s="141" t="s">
        <v>240</v>
      </c>
      <c r="H37" s="164" t="s">
        <v>1459</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1450</v>
      </c>
      <c r="D38" s="2" t="s">
        <v>1451</v>
      </c>
      <c r="E38" s="177"/>
      <c r="F38" s="142" t="s">
        <v>1452</v>
      </c>
      <c r="G38" s="141" t="s">
        <v>404</v>
      </c>
      <c r="H38" s="164" t="s">
        <v>1460</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1461</v>
      </c>
      <c r="D39" s="332" t="s">
        <v>1462</v>
      </c>
      <c r="E39" s="176" t="s">
        <v>1463</v>
      </c>
      <c r="F39" s="167" t="s">
        <v>1382</v>
      </c>
      <c r="G39" s="179" t="s">
        <v>208</v>
      </c>
      <c r="H39" s="214" t="s">
        <v>1464</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1461</v>
      </c>
      <c r="D40" s="31"/>
      <c r="F40" s="143" t="s">
        <v>161</v>
      </c>
      <c r="G40" s="145" t="s">
        <v>543</v>
      </c>
      <c r="H40" s="160" t="s">
        <v>1465</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40" t="s">
        <v>1466</v>
      </c>
      <c r="D41" s="841" t="s">
        <v>1467</v>
      </c>
      <c r="F41" s="142" t="s">
        <v>1382</v>
      </c>
      <c r="G41" s="141" t="s">
        <v>208</v>
      </c>
      <c r="H41" s="161" t="s">
        <v>1468</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43"/>
      <c r="D42" s="844"/>
      <c r="F42" s="142" t="s">
        <v>1382</v>
      </c>
      <c r="G42" s="141" t="s">
        <v>281</v>
      </c>
      <c r="H42" s="161" t="s">
        <v>1469</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965</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9" t="s">
        <v>1470</v>
      </c>
      <c r="D44" s="832" t="s">
        <v>1471</v>
      </c>
      <c r="E44" s="130"/>
      <c r="F44" s="143" t="s">
        <v>1382</v>
      </c>
      <c r="G44" s="145" t="s">
        <v>336</v>
      </c>
      <c r="H44" s="132" t="s">
        <v>1472</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30"/>
      <c r="D45" s="833"/>
      <c r="E45" s="131"/>
      <c r="F45" s="143" t="s">
        <v>1382</v>
      </c>
      <c r="G45" s="145" t="s">
        <v>240</v>
      </c>
      <c r="H45" s="132" t="s">
        <v>1473</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30"/>
      <c r="D46" s="833"/>
      <c r="E46" s="131"/>
      <c r="F46" s="143" t="s">
        <v>161</v>
      </c>
      <c r="G46" s="145" t="s">
        <v>338</v>
      </c>
      <c r="H46" s="132" t="s">
        <v>1474</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31"/>
      <c r="D47" s="834"/>
      <c r="E47" s="144"/>
      <c r="F47" s="143" t="s">
        <v>161</v>
      </c>
      <c r="G47" s="145" t="s">
        <v>1266</v>
      </c>
      <c r="H47" s="132" t="s">
        <v>1475</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1476</v>
      </c>
      <c r="C48" s="172" t="s">
        <v>1477</v>
      </c>
      <c r="D48" s="152" t="s">
        <v>1478</v>
      </c>
      <c r="E48" s="162"/>
      <c r="F48" s="158" t="s">
        <v>1382</v>
      </c>
      <c r="G48" s="178" t="s">
        <v>131</v>
      </c>
      <c r="H48" s="162" t="s">
        <v>1479</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1477</v>
      </c>
      <c r="D49" s="152" t="s">
        <v>1478</v>
      </c>
      <c r="E49" s="426"/>
      <c r="F49" s="158" t="s">
        <v>1382</v>
      </c>
      <c r="G49" s="178" t="s">
        <v>131</v>
      </c>
      <c r="H49" s="162" t="s">
        <v>1479</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1480</v>
      </c>
      <c r="C50" s="829" t="s">
        <v>1481</v>
      </c>
      <c r="D50" s="832" t="s">
        <v>1482</v>
      </c>
      <c r="E50" s="700" t="s">
        <v>1482</v>
      </c>
      <c r="F50" s="526" t="s">
        <v>1382</v>
      </c>
      <c r="G50" s="527" t="s">
        <v>281</v>
      </c>
      <c r="H50" s="701" t="s">
        <v>282</v>
      </c>
      <c r="I50" s="702">
        <v>45924</v>
      </c>
      <c r="J50" s="703">
        <v>45944</v>
      </c>
      <c r="K50" s="697" cm="1">
        <f t="array" ref="K50">IF(ISBLANK(J50), IF(ISBLANK(I50), "N/A", _xlfn.IFS(L50="AS", I50+15, L50="NCR", I50+30, L50="submitted", I50+30, TRUE, "N/A")), _xlfn.IFS(L50="AS", J50+15, L50="NCR", J50+30, L50="submitted", J50+30, TRUE, "N/A"))</f>
        <v>45974</v>
      </c>
      <c r="L50" s="524" t="s">
        <v>157</v>
      </c>
      <c r="M50" s="317"/>
      <c r="N50" s="802"/>
      <c r="O50" s="803"/>
      <c r="P50" s="803"/>
      <c r="Q50" s="804"/>
    </row>
    <row r="51" spans="2:17" s="5" customFormat="1" ht="27" customHeight="1">
      <c r="B51" s="4"/>
      <c r="C51" s="830"/>
      <c r="D51" s="833"/>
      <c r="E51" s="131"/>
      <c r="F51" s="143" t="s">
        <v>1382</v>
      </c>
      <c r="G51" s="145" t="s">
        <v>269</v>
      </c>
      <c r="H51" s="160" t="s">
        <v>1483</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30"/>
      <c r="D52" s="833"/>
      <c r="E52" s="131"/>
      <c r="F52" s="143" t="s">
        <v>1382</v>
      </c>
      <c r="G52" s="145" t="s">
        <v>259</v>
      </c>
      <c r="H52" s="160" t="s">
        <v>1484</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30"/>
      <c r="D53" s="833"/>
      <c r="E53" s="131"/>
      <c r="F53" s="143" t="s">
        <v>1382</v>
      </c>
      <c r="G53" s="145" t="s">
        <v>1485</v>
      </c>
      <c r="H53" s="160" t="s">
        <v>1486</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30"/>
      <c r="D54" s="833"/>
      <c r="E54" s="131"/>
      <c r="F54" s="143" t="s">
        <v>1382</v>
      </c>
      <c r="G54" s="145" t="s">
        <v>382</v>
      </c>
      <c r="H54" s="160" t="s">
        <v>1487</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31"/>
      <c r="D55" s="834"/>
      <c r="E55" s="131"/>
      <c r="F55" s="143" t="s">
        <v>1382</v>
      </c>
      <c r="G55" s="145" t="s">
        <v>384</v>
      </c>
      <c r="H55" s="132" t="s">
        <v>1488</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1489</v>
      </c>
      <c r="C56" s="873" t="s">
        <v>1490</v>
      </c>
      <c r="D56" s="876" t="s">
        <v>1491</v>
      </c>
      <c r="E56" s="869" t="s">
        <v>1492</v>
      </c>
      <c r="F56" s="872"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76" t="s">
        <v>151</v>
      </c>
      <c r="M56" s="317"/>
      <c r="N56" s="802"/>
      <c r="O56" s="803"/>
      <c r="P56" s="803"/>
      <c r="Q56" s="804"/>
    </row>
    <row r="57" spans="2:17" s="138" customFormat="1" ht="15" customHeight="1">
      <c r="B57" s="298"/>
      <c r="C57" s="874"/>
      <c r="D57" s="877"/>
      <c r="E57" s="870"/>
      <c r="F57" s="868"/>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77"/>
      <c r="M57" s="317"/>
      <c r="N57" s="802"/>
      <c r="O57" s="803"/>
      <c r="P57" s="803"/>
      <c r="Q57" s="804"/>
    </row>
    <row r="58" spans="2:17" s="138" customFormat="1" ht="15" customHeight="1">
      <c r="B58" s="298"/>
      <c r="C58" s="874"/>
      <c r="D58" s="877"/>
      <c r="E58" s="870"/>
      <c r="F58" s="868"/>
      <c r="G58" s="178" t="s">
        <v>240</v>
      </c>
      <c r="H58" s="162" t="s">
        <v>1493</v>
      </c>
      <c r="I58" s="274">
        <v>45762</v>
      </c>
      <c r="J58" s="216">
        <v>45772</v>
      </c>
      <c r="K58" s="697" t="str" cm="1">
        <f t="array" ref="K58">IF(ISBLANK(J58), IF(ISBLANK(I58), "N/A", _xlfn.IFS(L58="AS", I58+15, L58="NCR", I58+30, L58="submitted", I58+30, TRUE, "N/A")), _xlfn.IFS(L58="AS", J58+15, L58="NCR", J58+30, L58="submitted", J58+30, TRUE, "N/A"))</f>
        <v>N/A</v>
      </c>
      <c r="L58" s="877"/>
      <c r="M58" s="317"/>
      <c r="N58" s="802"/>
      <c r="O58" s="803"/>
      <c r="P58" s="803"/>
      <c r="Q58" s="804"/>
    </row>
    <row r="59" spans="2:17" s="138" customFormat="1" ht="15" hidden="1" customHeight="1">
      <c r="B59" s="133"/>
      <c r="C59" s="875"/>
      <c r="D59" s="878"/>
      <c r="E59" s="871"/>
      <c r="F59" s="868"/>
      <c r="G59" s="178" t="s">
        <v>242</v>
      </c>
      <c r="H59" s="162" t="s">
        <v>1494</v>
      </c>
      <c r="I59" s="198"/>
      <c r="J59" s="216">
        <v>45772</v>
      </c>
      <c r="K59" s="697" t="str" cm="1">
        <f t="array" ref="K59">IF(ISBLANK(J59), IF(ISBLANK(I59), "N/A", _xlfn.IFS(L59="AS", I59+15, L59="NCR", I59+30, L59="submitted", I59+30, TRUE, "N/A")), _xlfn.IFS(L59="AS", J59+15, L59="NCR", J59+30, L59="submitted", J59+30, TRUE, "N/A"))</f>
        <v>N/A</v>
      </c>
      <c r="L59" s="878"/>
      <c r="M59" s="317"/>
      <c r="N59" s="802"/>
      <c r="O59" s="803"/>
      <c r="P59" s="803"/>
      <c r="Q59" s="804"/>
    </row>
    <row r="60" spans="2:17" s="138" customFormat="1" ht="15" customHeight="1">
      <c r="B60" s="297" t="s">
        <v>1495</v>
      </c>
      <c r="C60" s="873" t="s">
        <v>1496</v>
      </c>
      <c r="D60" s="876" t="s">
        <v>1497</v>
      </c>
      <c r="E60" s="869" t="s">
        <v>1498</v>
      </c>
      <c r="F60" s="867"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76" t="s">
        <v>151</v>
      </c>
      <c r="M60" s="317"/>
      <c r="N60" s="802"/>
      <c r="O60" s="803"/>
      <c r="P60" s="803"/>
      <c r="Q60" s="804"/>
    </row>
    <row r="61" spans="2:17" s="138" customFormat="1" ht="15" customHeight="1">
      <c r="B61" s="298"/>
      <c r="C61" s="874"/>
      <c r="D61" s="877"/>
      <c r="E61" s="870"/>
      <c r="F61" s="868"/>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77"/>
      <c r="M61" s="317"/>
      <c r="N61" s="802"/>
      <c r="O61" s="803"/>
      <c r="P61" s="803"/>
      <c r="Q61" s="804"/>
    </row>
    <row r="62" spans="2:17" s="138" customFormat="1" ht="15" customHeight="1">
      <c r="B62" s="298"/>
      <c r="C62" s="874"/>
      <c r="D62" s="877"/>
      <c r="E62" s="870"/>
      <c r="F62" s="868"/>
      <c r="G62" s="178" t="s">
        <v>240</v>
      </c>
      <c r="H62" s="162" t="s">
        <v>1499</v>
      </c>
      <c r="I62" s="274">
        <v>45762</v>
      </c>
      <c r="J62" s="216">
        <v>45772</v>
      </c>
      <c r="K62" s="697" t="str" cm="1">
        <f t="array" ref="K62">IF(ISBLANK(J62), IF(ISBLANK(I62), "N/A", _xlfn.IFS(L62="AS", I62+15, L62="NCR", I62+30, L62="submitted", I62+30, TRUE, "N/A")), _xlfn.IFS(L62="AS", J62+15, L62="NCR", J62+30, L62="submitted", J62+30, TRUE, "N/A"))</f>
        <v>N/A</v>
      </c>
      <c r="L62" s="877"/>
      <c r="M62" s="317"/>
      <c r="N62" s="802"/>
      <c r="O62" s="803"/>
      <c r="P62" s="803"/>
      <c r="Q62" s="804"/>
    </row>
    <row r="63" spans="2:17" s="138" customFormat="1" ht="15" hidden="1" customHeight="1">
      <c r="B63" s="133"/>
      <c r="C63" s="875"/>
      <c r="D63" s="878"/>
      <c r="E63" s="871"/>
      <c r="F63" s="868"/>
      <c r="G63" s="178" t="s">
        <v>242</v>
      </c>
      <c r="H63" s="162" t="s">
        <v>444</v>
      </c>
      <c r="I63" s="198"/>
      <c r="J63" s="216"/>
      <c r="K63" s="697" t="str" cm="1">
        <f t="array" ref="K63">IF(ISBLANK(J63), IF(ISBLANK(I63), "N/A", _xlfn.IFS(L63="AS", I63+15, L63="NCR", I63+30, L63="submitted", I63+30, TRUE, "N/A")), _xlfn.IFS(L63="AS", J63+15, L63="NCR", J63+30, L63="submitted", J63+30, TRUE, "N/A"))</f>
        <v>N/A</v>
      </c>
      <c r="L63" s="878"/>
      <c r="M63" s="317"/>
      <c r="N63" s="802"/>
      <c r="O63" s="803"/>
      <c r="P63" s="803"/>
      <c r="Q63" s="804"/>
    </row>
    <row r="64" spans="2:17" s="5" customFormat="1" ht="15" customHeight="1">
      <c r="C64" s="829" t="s">
        <v>1500</v>
      </c>
      <c r="D64" s="832" t="s">
        <v>1501</v>
      </c>
      <c r="E64" s="130"/>
      <c r="F64" s="143" t="s">
        <v>1502</v>
      </c>
      <c r="G64" s="145" t="s">
        <v>208</v>
      </c>
      <c r="H64" s="132" t="s">
        <v>1503</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31"/>
      <c r="D65" s="834"/>
      <c r="E65" s="144"/>
      <c r="F65" s="143" t="s">
        <v>1502</v>
      </c>
      <c r="G65" s="145" t="s">
        <v>222</v>
      </c>
      <c r="H65" s="132" t="s">
        <v>1504</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1505</v>
      </c>
      <c r="C66" s="47" t="s">
        <v>1506</v>
      </c>
      <c r="D66" s="2" t="s">
        <v>1507</v>
      </c>
      <c r="E66" s="176" t="s">
        <v>1508</v>
      </c>
      <c r="F66" s="167" t="s">
        <v>1509</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1506</v>
      </c>
      <c r="D67" s="129" t="s">
        <v>1507</v>
      </c>
      <c r="E67" s="232" t="s">
        <v>1508</v>
      </c>
      <c r="F67" s="202" t="s">
        <v>1510</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1506</v>
      </c>
      <c r="D68" s="2" t="s">
        <v>1507</v>
      </c>
      <c r="E68" s="177"/>
      <c r="F68" s="142" t="s">
        <v>1382</v>
      </c>
      <c r="G68" s="141" t="s">
        <v>134</v>
      </c>
      <c r="H68" s="161" t="s">
        <v>1511</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9" t="s">
        <v>1512</v>
      </c>
      <c r="D69" s="832" t="s">
        <v>1513</v>
      </c>
      <c r="E69" s="130"/>
      <c r="F69" s="143" t="s">
        <v>1382</v>
      </c>
      <c r="G69" s="145" t="s">
        <v>131</v>
      </c>
      <c r="H69" s="132" t="s">
        <v>1514</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31"/>
      <c r="D70" s="834"/>
      <c r="E70" s="144"/>
      <c r="F70" s="143" t="s">
        <v>1382</v>
      </c>
      <c r="G70" s="145" t="s">
        <v>134</v>
      </c>
      <c r="H70" s="132" t="s">
        <v>1515</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1516</v>
      </c>
      <c r="C71" s="823" t="s">
        <v>1517</v>
      </c>
      <c r="D71" s="826" t="s">
        <v>1518</v>
      </c>
      <c r="E71" s="176"/>
      <c r="F71" s="167" t="s">
        <v>1519</v>
      </c>
      <c r="G71" s="179" t="s">
        <v>208</v>
      </c>
      <c r="H71" s="166" t="s">
        <v>1514</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1516</v>
      </c>
      <c r="C72" s="824"/>
      <c r="D72" s="827"/>
      <c r="E72" s="220"/>
      <c r="F72" s="167" t="s">
        <v>1519</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1516</v>
      </c>
      <c r="C73" s="824"/>
      <c r="D73" s="827"/>
      <c r="E73" s="220"/>
      <c r="F73" s="167" t="s">
        <v>1519</v>
      </c>
      <c r="G73" s="179" t="s">
        <v>329</v>
      </c>
      <c r="H73" s="214" t="s">
        <v>1520</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1516</v>
      </c>
      <c r="C74" s="825"/>
      <c r="D74" s="828"/>
      <c r="E74" s="218"/>
      <c r="F74" s="167" t="s">
        <v>1519</v>
      </c>
      <c r="G74" s="179" t="s">
        <v>601</v>
      </c>
      <c r="H74" s="166" t="s">
        <v>1521</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23" t="s">
        <v>1517</v>
      </c>
      <c r="D75" s="826" t="s">
        <v>1518</v>
      </c>
      <c r="E75" s="176"/>
      <c r="F75" s="167" t="s">
        <v>1519</v>
      </c>
      <c r="G75" s="179" t="s">
        <v>208</v>
      </c>
      <c r="H75" s="166" t="s">
        <v>1514</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24"/>
      <c r="D76" s="827"/>
      <c r="E76" s="220"/>
      <c r="F76" s="167" t="s">
        <v>1519</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24"/>
      <c r="D77" s="827"/>
      <c r="E77" s="220"/>
      <c r="F77" s="167" t="s">
        <v>1519</v>
      </c>
      <c r="G77" s="179" t="s">
        <v>329</v>
      </c>
      <c r="H77" s="214" t="s">
        <v>1520</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25"/>
      <c r="D78" s="828"/>
      <c r="E78" s="218"/>
      <c r="F78" s="167" t="s">
        <v>1519</v>
      </c>
      <c r="G78" s="179" t="s">
        <v>601</v>
      </c>
      <c r="H78" s="166" t="s">
        <v>1521</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1522</v>
      </c>
      <c r="C79" s="873" t="s">
        <v>1517</v>
      </c>
      <c r="D79" s="879" t="s">
        <v>1518</v>
      </c>
      <c r="E79" s="426" t="s">
        <v>1523</v>
      </c>
      <c r="F79" s="158" t="s">
        <v>1519</v>
      </c>
      <c r="G79" s="178" t="s">
        <v>208</v>
      </c>
      <c r="H79" s="162" t="s">
        <v>1514</v>
      </c>
      <c r="I79" s="274">
        <v>45896</v>
      </c>
      <c r="J79" s="216">
        <v>45919</v>
      </c>
      <c r="K79" s="697" t="str" cm="1">
        <f t="array" ref="K79">IF(ISBLANK(J79), IF(ISBLANK(I79), "N/A", _xlfn.IFS(L79="AS", I79+15, L79="NCR", I79+30, L79="submitted", I79+30, TRUE, "N/A")), _xlfn.IFS(L79="AS", J79+15, L79="NCR", J79+30, L79="submitted", J79+30, TRUE, "N/A"))</f>
        <v>N/A</v>
      </c>
      <c r="L79" s="138" t="s">
        <v>639</v>
      </c>
      <c r="M79" s="317"/>
      <c r="N79" s="802"/>
      <c r="O79" s="803"/>
      <c r="P79" s="803"/>
      <c r="Q79" s="804"/>
    </row>
    <row r="80" spans="2:17" s="138" customFormat="1" ht="15" customHeight="1">
      <c r="B80" s="151" t="s">
        <v>1522</v>
      </c>
      <c r="C80" s="874"/>
      <c r="D80" s="880"/>
      <c r="E80" s="356"/>
      <c r="F80" s="158" t="s">
        <v>1519</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639</v>
      </c>
      <c r="M80" s="317"/>
      <c r="N80" s="802"/>
      <c r="O80" s="803"/>
      <c r="P80" s="803"/>
      <c r="Q80" s="804"/>
    </row>
    <row r="81" spans="1:17" s="138" customFormat="1" ht="27" customHeight="1">
      <c r="B81" s="151" t="s">
        <v>1522</v>
      </c>
      <c r="C81" s="874"/>
      <c r="D81" s="880"/>
      <c r="E81" s="356"/>
      <c r="F81" s="158" t="s">
        <v>1519</v>
      </c>
      <c r="G81" s="178" t="s">
        <v>329</v>
      </c>
      <c r="H81" s="156" t="s">
        <v>1520</v>
      </c>
      <c r="I81" s="274">
        <v>45896</v>
      </c>
      <c r="J81" s="216">
        <v>45919</v>
      </c>
      <c r="K81" s="697" t="str" cm="1">
        <f t="array" ref="K81">IF(ISBLANK(J81), IF(ISBLANK(I81), "N/A", _xlfn.IFS(L81="AS", I81+15, L81="NCR", I81+30, L81="submitted", I81+30, TRUE, "N/A")), _xlfn.IFS(L81="AS", J81+15, L81="NCR", J81+30, L81="submitted", J81+30, TRUE, "N/A"))</f>
        <v>N/A</v>
      </c>
      <c r="L81" s="138" t="s">
        <v>639</v>
      </c>
      <c r="M81" s="317"/>
      <c r="N81" s="802"/>
      <c r="O81" s="803"/>
      <c r="P81" s="803"/>
      <c r="Q81" s="804"/>
    </row>
    <row r="82" spans="1:17" s="138" customFormat="1" ht="15" customHeight="1">
      <c r="B82" s="151" t="s">
        <v>1522</v>
      </c>
      <c r="C82" s="875"/>
      <c r="D82" s="881"/>
      <c r="E82" s="163"/>
      <c r="F82" s="158" t="s">
        <v>1519</v>
      </c>
      <c r="G82" s="178" t="s">
        <v>601</v>
      </c>
      <c r="H82" s="162" t="s">
        <v>1521</v>
      </c>
      <c r="I82" s="274">
        <v>45896</v>
      </c>
      <c r="J82" s="216">
        <v>45919</v>
      </c>
      <c r="K82" s="697" t="str" cm="1">
        <f t="array" ref="K82">IF(ISBLANK(J82), IF(ISBLANK(I82), "N/A", _xlfn.IFS(L82="AS", I82+15, L82="NCR", I82+30, L82="submitted", I82+30, TRUE, "N/A")), _xlfn.IFS(L82="AS", J82+15, L82="NCR", J82+30, L82="submitted", J82+30, TRUE, "N/A"))</f>
        <v>N/A</v>
      </c>
      <c r="L82" s="138" t="s">
        <v>639</v>
      </c>
      <c r="M82" s="317"/>
      <c r="N82" s="802"/>
      <c r="O82" s="803"/>
      <c r="P82" s="803"/>
      <c r="Q82" s="804"/>
    </row>
    <row r="83" spans="1:17" s="45" customFormat="1" ht="27" customHeight="1">
      <c r="C83" s="829" t="s">
        <v>1524</v>
      </c>
      <c r="D83" s="832" t="s">
        <v>1525</v>
      </c>
      <c r="E83" s="130"/>
      <c r="F83" s="143" t="s">
        <v>1382</v>
      </c>
      <c r="G83" s="145" t="s">
        <v>291</v>
      </c>
      <c r="H83" s="160" t="s">
        <v>1526</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30"/>
      <c r="D84" s="833"/>
      <c r="E84" s="131"/>
      <c r="F84" s="143" t="s">
        <v>1382</v>
      </c>
      <c r="G84" s="145" t="s">
        <v>293</v>
      </c>
      <c r="H84" s="132" t="s">
        <v>1527</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82"/>
      <c r="D85" s="883"/>
      <c r="E85" s="131"/>
      <c r="F85" s="143" t="s">
        <v>1382</v>
      </c>
      <c r="G85" s="181" t="s">
        <v>1528</v>
      </c>
      <c r="H85" s="165" t="s">
        <v>1529</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 ref="F60:F63"/>
    <mergeCell ref="E60:E63"/>
    <mergeCell ref="F56:F59"/>
    <mergeCell ref="C50:C55"/>
    <mergeCell ref="D50:D55"/>
    <mergeCell ref="C56:C59"/>
    <mergeCell ref="D56:D59"/>
    <mergeCell ref="E56:E59"/>
    <mergeCell ref="C44:C47"/>
    <mergeCell ref="D44:D47"/>
    <mergeCell ref="C41:C43"/>
    <mergeCell ref="D41:D43"/>
    <mergeCell ref="C32:C34"/>
    <mergeCell ref="D32:D34"/>
    <mergeCell ref="C24:C31"/>
    <mergeCell ref="B1:H1"/>
    <mergeCell ref="C18:C19"/>
    <mergeCell ref="D18:D19"/>
    <mergeCell ref="D6:D11"/>
    <mergeCell ref="D3:D4"/>
    <mergeCell ref="C3:C4"/>
    <mergeCell ref="C6:C11"/>
    <mergeCell ref="N128:Q202"/>
    <mergeCell ref="N203:Q210"/>
    <mergeCell ref="N3:Q6"/>
    <mergeCell ref="N7:Q39"/>
    <mergeCell ref="N40:Q47"/>
    <mergeCell ref="N48:Q119"/>
    <mergeCell ref="N120:Q127"/>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5"/>
  <sheetViews>
    <sheetView tabSelected="1" zoomScale="80" zoomScaleNormal="80" workbookViewId="0">
      <pane ySplit="2" topLeftCell="C148" activePane="bottomLeft" state="frozen"/>
      <selection pane="bottomLeft" activeCell="L153" sqref="L153"/>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10.140625" style="508" bestFit="1" customWidth="1"/>
    <col min="11" max="11" width="14.28515625" customWidth="1"/>
    <col min="13" max="13" width="2" customWidth="1"/>
    <col min="18" max="18" width="1.5703125" customWidth="1"/>
  </cols>
  <sheetData>
    <row r="1" spans="1:17" ht="47.45" customHeight="1">
      <c r="B1" s="805" t="s">
        <v>1530</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1531</v>
      </c>
      <c r="D3" s="890" t="s">
        <v>1532</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1531</v>
      </c>
      <c r="D4" s="890"/>
      <c r="E4" s="413"/>
      <c r="F4" s="222" t="s">
        <v>161</v>
      </c>
      <c r="G4" s="221" t="s">
        <v>281</v>
      </c>
      <c r="H4" s="223" t="s">
        <v>1533</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1531</v>
      </c>
      <c r="D5" s="890"/>
      <c r="E5" s="413"/>
      <c r="F5" s="222" t="s">
        <v>161</v>
      </c>
      <c r="G5" s="221" t="s">
        <v>329</v>
      </c>
      <c r="H5" s="223" t="s">
        <v>1534</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1531</v>
      </c>
      <c r="D6" s="891"/>
      <c r="E6" s="12"/>
      <c r="F6" s="13"/>
      <c r="G6" s="9" t="s">
        <v>601</v>
      </c>
      <c r="H6" s="161" t="s">
        <v>1535</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1536</v>
      </c>
      <c r="D7" s="517" t="s">
        <v>1537</v>
      </c>
      <c r="E7" s="518" t="s">
        <v>1538</v>
      </c>
      <c r="F7" s="518" t="s">
        <v>1539</v>
      </c>
      <c r="G7" s="133" t="s">
        <v>212</v>
      </c>
      <c r="H7" s="137" t="s">
        <v>1540</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1536</v>
      </c>
      <c r="D8" s="360" t="s">
        <v>1537</v>
      </c>
      <c r="E8" s="50"/>
      <c r="F8" s="50" t="s">
        <v>1541</v>
      </c>
      <c r="G8" s="21" t="s">
        <v>234</v>
      </c>
      <c r="H8" s="52" t="s">
        <v>1542</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1536</v>
      </c>
      <c r="D9" s="360" t="s">
        <v>1537</v>
      </c>
      <c r="E9" s="50"/>
      <c r="F9" s="50" t="s">
        <v>1539</v>
      </c>
      <c r="G9" s="21" t="s">
        <v>236</v>
      </c>
      <c r="H9" s="52" t="s">
        <v>1543</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1536</v>
      </c>
      <c r="D10" s="360" t="s">
        <v>1537</v>
      </c>
      <c r="E10" s="50"/>
      <c r="F10" s="50" t="s">
        <v>1539</v>
      </c>
      <c r="G10" s="21" t="s">
        <v>238</v>
      </c>
      <c r="H10" s="46" t="s">
        <v>1544</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1536</v>
      </c>
      <c r="D11" s="417" t="s">
        <v>1537</v>
      </c>
      <c r="E11" s="418"/>
      <c r="F11" s="418" t="s">
        <v>1545</v>
      </c>
      <c r="G11" s="415" t="s">
        <v>337</v>
      </c>
      <c r="H11" s="339" t="s">
        <v>1546</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892" t="s">
        <v>1547</v>
      </c>
      <c r="D12" s="894" t="s">
        <v>1548</v>
      </c>
      <c r="E12" s="480"/>
      <c r="F12" s="480" t="s">
        <v>1539</v>
      </c>
      <c r="G12" s="348" t="s">
        <v>281</v>
      </c>
      <c r="H12" s="481" t="s">
        <v>1549</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893"/>
      <c r="D13" s="895"/>
      <c r="E13" s="484"/>
      <c r="F13" s="484" t="s">
        <v>1539</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1550</v>
      </c>
      <c r="D14" s="420" t="s">
        <v>1551</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9" t="s">
        <v>1552</v>
      </c>
      <c r="D15" s="832" t="s">
        <v>1553</v>
      </c>
      <c r="E15" s="34"/>
      <c r="F15" s="34" t="s">
        <v>1539</v>
      </c>
      <c r="G15" s="4" t="s">
        <v>229</v>
      </c>
      <c r="H15" s="3" t="s">
        <v>1554</v>
      </c>
      <c r="I15" s="18"/>
      <c r="J15" s="18"/>
      <c r="K15" s="288" t="str" cm="1">
        <f t="array" ref="K15">IF(ISBLANK(J15), IF(ISBLANK(I15), "N/A", _xlfn.IFS(L15="AS", I15+15, L15="NCR", I15+30, L15="submitted", I15+30, TRUE, "N/A")), _xlfn.IFS(L15="AS", J15+15, L15="NCR", J15+30, L15="submitted", J15+30, TRUE, "N/A"))</f>
        <v>N/A</v>
      </c>
      <c r="L15" s="4" t="s">
        <v>1555</v>
      </c>
      <c r="M15" s="317"/>
      <c r="N15" s="802"/>
      <c r="O15" s="803"/>
      <c r="P15" s="803"/>
      <c r="Q15" s="804"/>
    </row>
    <row r="16" spans="1:17" s="5" customFormat="1" ht="27" customHeight="1">
      <c r="B16" s="4"/>
      <c r="C16" s="830"/>
      <c r="D16" s="833"/>
      <c r="E16" s="35"/>
      <c r="F16" s="35" t="s">
        <v>1539</v>
      </c>
      <c r="G16" s="4" t="s">
        <v>232</v>
      </c>
      <c r="H16" s="3" t="s">
        <v>1556</v>
      </c>
      <c r="I16" s="18"/>
      <c r="J16" s="18"/>
      <c r="K16" s="288" t="str" cm="1">
        <f t="array" ref="K16">IF(ISBLANK(J16), IF(ISBLANK(I16), "N/A", _xlfn.IFS(L16="AS", I16+15, L16="NCR", I16+30, L16="submitted", I16+30, TRUE, "N/A")), _xlfn.IFS(L16="AS", J16+15, L16="NCR", J16+30, L16="submitted", J16+30, TRUE, "N/A"))</f>
        <v>N/A</v>
      </c>
      <c r="L16" s="4" t="s">
        <v>1557</v>
      </c>
      <c r="M16" s="317"/>
      <c r="N16" s="802"/>
      <c r="O16" s="803"/>
      <c r="P16" s="803"/>
      <c r="Q16" s="804"/>
    </row>
    <row r="17" spans="2:17" s="5" customFormat="1" ht="27" customHeight="1">
      <c r="B17" s="4"/>
      <c r="C17" s="830"/>
      <c r="D17" s="833"/>
      <c r="E17" s="35"/>
      <c r="F17" s="35" t="s">
        <v>1539</v>
      </c>
      <c r="G17" s="19" t="s">
        <v>1558</v>
      </c>
      <c r="H17" s="53" t="s">
        <v>1559</v>
      </c>
      <c r="I17" s="18"/>
      <c r="J17" s="18"/>
      <c r="K17" s="288" t="str" cm="1">
        <f t="array" ref="K17">IF(ISBLANK(J17), IF(ISBLANK(I17), "N/A", _xlfn.IFS(L17="AS", I17+15, L17="NCR", I17+30, L17="submitted", I17+30, TRUE, "N/A")), _xlfn.IFS(L17="AS", J17+15, L17="NCR", J17+30, L17="submitted", J17+30, TRUE, "N/A"))</f>
        <v>N/A</v>
      </c>
      <c r="L17" s="4" t="s">
        <v>1555</v>
      </c>
      <c r="M17" s="317"/>
      <c r="N17" s="802"/>
      <c r="O17" s="803"/>
      <c r="P17" s="803"/>
      <c r="Q17" s="804"/>
    </row>
    <row r="18" spans="2:17" s="138" customFormat="1" ht="27" customHeight="1">
      <c r="B18" s="151" t="s">
        <v>11</v>
      </c>
      <c r="C18" s="873" t="s">
        <v>1560</v>
      </c>
      <c r="D18" s="879" t="s">
        <v>1561</v>
      </c>
      <c r="E18" s="529" t="s">
        <v>1562</v>
      </c>
      <c r="F18" s="168" t="s">
        <v>1563</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75"/>
      <c r="D19" s="881"/>
      <c r="E19" s="520" t="s">
        <v>1562</v>
      </c>
      <c r="F19" s="137" t="s">
        <v>1564</v>
      </c>
      <c r="G19" s="151" t="s">
        <v>281</v>
      </c>
      <c r="H19" s="152" t="s">
        <v>1565</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1566</v>
      </c>
      <c r="C20" s="873" t="s">
        <v>1560</v>
      </c>
      <c r="D20" s="879" t="s">
        <v>1561</v>
      </c>
      <c r="E20" s="529" t="s">
        <v>1562</v>
      </c>
      <c r="F20" s="168" t="s">
        <v>1563</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1566</v>
      </c>
      <c r="C21" s="875"/>
      <c r="D21" s="881"/>
      <c r="E21" s="520" t="s">
        <v>1562</v>
      </c>
      <c r="F21" s="137" t="s">
        <v>1564</v>
      </c>
      <c r="G21" s="151" t="s">
        <v>281</v>
      </c>
      <c r="H21" s="152" t="s">
        <v>1565</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6" t="s">
        <v>1560</v>
      </c>
      <c r="D22" s="898" t="s">
        <v>1561</v>
      </c>
      <c r="E22" s="509" t="s">
        <v>1562</v>
      </c>
      <c r="F22" s="231" t="s">
        <v>1563</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97"/>
      <c r="D23" s="899"/>
      <c r="E23" s="510" t="s">
        <v>1562</v>
      </c>
      <c r="F23" s="217" t="s">
        <v>1564</v>
      </c>
      <c r="G23" s="146" t="s">
        <v>281</v>
      </c>
      <c r="H23" s="147" t="s">
        <v>1565</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1567</v>
      </c>
      <c r="C24" s="896" t="s">
        <v>1560</v>
      </c>
      <c r="D24" s="898" t="s">
        <v>1561</v>
      </c>
      <c r="E24" s="23" t="s">
        <v>1562</v>
      </c>
      <c r="F24" s="76" t="s">
        <v>1563</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1567</v>
      </c>
      <c r="C25" s="897"/>
      <c r="D25" s="899"/>
      <c r="E25" s="101" t="s">
        <v>1562</v>
      </c>
      <c r="F25" s="29" t="s">
        <v>1564</v>
      </c>
      <c r="G25" s="22" t="s">
        <v>281</v>
      </c>
      <c r="H25" s="24" t="s">
        <v>1565</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1568</v>
      </c>
      <c r="D26" s="260" t="s">
        <v>1569</v>
      </c>
      <c r="E26" s="168" t="s">
        <v>1570</v>
      </c>
      <c r="F26" s="168" t="s">
        <v>1563</v>
      </c>
      <c r="G26" s="151" t="s">
        <v>208</v>
      </c>
      <c r="H26" s="152" t="s">
        <v>1571</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1568</v>
      </c>
      <c r="D27" s="332" t="s">
        <v>1569</v>
      </c>
      <c r="E27" s="219" t="s">
        <v>1572</v>
      </c>
      <c r="F27" s="231"/>
      <c r="G27" s="146" t="s">
        <v>208</v>
      </c>
      <c r="H27" s="147" t="s">
        <v>1573</v>
      </c>
      <c r="I27" s="233" t="s">
        <v>1574</v>
      </c>
      <c r="J27" s="233">
        <v>45894</v>
      </c>
      <c r="K27" s="288" cm="1">
        <f t="array" ref="K27">IF(ISBLANK(J27), IF(ISBLANK(I27), "N/A", _xlfn.IFS(L27="AS", I27+15, L27="NCR", I27+30, L27="submitted", I27+30, TRUE, "N/A")), _xlfn.IFS(L27="AS", J27+15, L27="NCR", J27+30, L27="submitted", J27+30, TRUE, "N/A"))</f>
        <v>45909</v>
      </c>
      <c r="L27" s="146" t="s">
        <v>753</v>
      </c>
      <c r="M27" s="317"/>
      <c r="N27" s="802"/>
      <c r="O27" s="803"/>
      <c r="P27" s="803"/>
      <c r="Q27" s="804"/>
    </row>
    <row r="28" spans="2:17" s="26" customFormat="1" ht="15" customHeight="1">
      <c r="B28" s="391"/>
      <c r="C28" s="392" t="s">
        <v>1568</v>
      </c>
      <c r="D28" s="393" t="s">
        <v>1569</v>
      </c>
      <c r="E28" s="394"/>
      <c r="F28" s="395" t="s">
        <v>1539</v>
      </c>
      <c r="G28" s="391" t="s">
        <v>222</v>
      </c>
      <c r="H28" s="396" t="s">
        <v>1575</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1568</v>
      </c>
      <c r="D29" s="332" t="s">
        <v>1569</v>
      </c>
      <c r="E29" s="219" t="s">
        <v>1572</v>
      </c>
      <c r="F29" s="231" t="s">
        <v>1545</v>
      </c>
      <c r="G29" s="146" t="s">
        <v>269</v>
      </c>
      <c r="H29" s="193" t="s">
        <v>1576</v>
      </c>
      <c r="I29" s="233" t="s">
        <v>1574</v>
      </c>
      <c r="J29" s="233">
        <v>45894</v>
      </c>
      <c r="K29" s="288" cm="1">
        <f t="array" ref="K29">IF(ISBLANK(J29), IF(ISBLANK(I29), "N/A", _xlfn.IFS(L29="AS", I29+15, L29="NCR", I29+30, L29="submitted", I29+30, TRUE, "N/A")), _xlfn.IFS(L29="AS", J29+15, L29="NCR", J29+30, L29="submitted", J29+30, TRUE, "N/A"))</f>
        <v>45909</v>
      </c>
      <c r="L29" s="146" t="s">
        <v>753</v>
      </c>
      <c r="M29" s="317"/>
      <c r="N29" s="802"/>
      <c r="O29" s="803"/>
      <c r="P29" s="803"/>
      <c r="Q29" s="804"/>
    </row>
    <row r="30" spans="2:17" s="149" customFormat="1" ht="40.5" customHeight="1">
      <c r="B30" s="146" t="s">
        <v>24</v>
      </c>
      <c r="C30" s="245" t="s">
        <v>1568</v>
      </c>
      <c r="D30" s="332" t="s">
        <v>1569</v>
      </c>
      <c r="E30" s="219" t="s">
        <v>1572</v>
      </c>
      <c r="F30" s="231" t="s">
        <v>1539</v>
      </c>
      <c r="G30" s="146" t="s">
        <v>1577</v>
      </c>
      <c r="H30" s="193" t="s">
        <v>1578</v>
      </c>
      <c r="I30" s="233" t="s">
        <v>1574</v>
      </c>
      <c r="J30" s="233">
        <v>45894</v>
      </c>
      <c r="K30" s="288" cm="1">
        <f t="array" ref="K30">IF(ISBLANK(J30), IF(ISBLANK(I30), "N/A", _xlfn.IFS(L30="AS", I30+15, L30="NCR", I30+30, L30="submitted", I30+30, TRUE, "N/A")), _xlfn.IFS(L30="AS", J30+15, L30="NCR", J30+30, L30="submitted", J30+30, TRUE, "N/A"))</f>
        <v>45909</v>
      </c>
      <c r="L30" s="146" t="s">
        <v>753</v>
      </c>
      <c r="M30" s="317"/>
      <c r="N30" s="802"/>
      <c r="O30" s="803"/>
      <c r="P30" s="803"/>
      <c r="Q30" s="804"/>
    </row>
    <row r="31" spans="2:17" s="149" customFormat="1" ht="27" customHeight="1">
      <c r="B31" s="146" t="s">
        <v>24</v>
      </c>
      <c r="C31" s="245" t="s">
        <v>1568</v>
      </c>
      <c r="D31" s="332" t="s">
        <v>1569</v>
      </c>
      <c r="E31" s="219" t="s">
        <v>1572</v>
      </c>
      <c r="F31" s="231" t="s">
        <v>1539</v>
      </c>
      <c r="G31" s="146" t="s">
        <v>374</v>
      </c>
      <c r="H31" s="193" t="s">
        <v>1579</v>
      </c>
      <c r="I31" s="233" t="s">
        <v>1574</v>
      </c>
      <c r="J31" s="233">
        <v>45894</v>
      </c>
      <c r="K31" s="288" cm="1">
        <f t="array" ref="K31">IF(ISBLANK(J31), IF(ISBLANK(I31), "N/A", _xlfn.IFS(L31="AS", I31+15, L31="NCR", I31+30, L31="submitted", I31+30, TRUE, "N/A")), _xlfn.IFS(L31="AS", J31+15, L31="NCR", J31+30, L31="submitted", J31+30, TRUE, "N/A"))</f>
        <v>45909</v>
      </c>
      <c r="L31" s="146" t="s">
        <v>753</v>
      </c>
      <c r="M31" s="317"/>
      <c r="N31" s="802"/>
      <c r="O31" s="803"/>
      <c r="P31" s="803"/>
      <c r="Q31" s="804"/>
    </row>
    <row r="32" spans="2:17" s="5" customFormat="1" ht="15" customHeight="1">
      <c r="B32" s="397"/>
      <c r="C32" s="398" t="s">
        <v>1568</v>
      </c>
      <c r="D32" s="399" t="s">
        <v>1569</v>
      </c>
      <c r="E32" s="400"/>
      <c r="F32" s="401" t="s">
        <v>161</v>
      </c>
      <c r="G32" s="221" t="s">
        <v>1580</v>
      </c>
      <c r="H32" s="402" t="s">
        <v>1581</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1:17" s="26" customFormat="1" ht="15" customHeight="1">
      <c r="B33" s="22" t="s">
        <v>1582</v>
      </c>
      <c r="C33" s="128" t="s">
        <v>1583</v>
      </c>
      <c r="D33" s="129" t="s">
        <v>1584</v>
      </c>
      <c r="E33" s="76" t="s">
        <v>1585</v>
      </c>
      <c r="F33" s="76" t="s">
        <v>1539</v>
      </c>
      <c r="G33" s="22" t="s">
        <v>1586</v>
      </c>
      <c r="H33" s="24" t="s">
        <v>1587</v>
      </c>
      <c r="I33" s="25">
        <v>45910</v>
      </c>
      <c r="J33" s="25">
        <v>45931</v>
      </c>
      <c r="K33" s="288" t="str" cm="1">
        <f t="array" ref="K33">IF(ISBLANK(J33), IF(ISBLANK(I33), "N/A", _xlfn.IFS(L33="AS", I33+15, L33="NCR", I33+30, L33="submitted", I33+30, TRUE, "N/A")), _xlfn.IFS(L33="AS", J33+15, L33="NCR", J33+30, L33="submitted", J33+30, TRUE, "N/A"))</f>
        <v>N/A</v>
      </c>
      <c r="L33" s="22" t="s">
        <v>639</v>
      </c>
      <c r="M33" s="317"/>
      <c r="N33" s="802"/>
      <c r="O33" s="803"/>
      <c r="P33" s="803"/>
      <c r="Q33" s="804"/>
    </row>
    <row r="34" spans="1:17" s="228" customFormat="1" ht="27" customHeight="1">
      <c r="C34" s="596" t="s">
        <v>1583</v>
      </c>
      <c r="D34" s="420" t="s">
        <v>1584</v>
      </c>
      <c r="E34" s="338"/>
      <c r="F34" s="338" t="s">
        <v>1545</v>
      </c>
      <c r="G34" s="221" t="s">
        <v>1588</v>
      </c>
      <c r="H34" s="402" t="s">
        <v>1589</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1:17" s="26" customFormat="1" ht="27" customHeight="1">
      <c r="B35" s="22" t="s">
        <v>1582</v>
      </c>
      <c r="C35" s="128" t="s">
        <v>1583</v>
      </c>
      <c r="D35" s="129" t="s">
        <v>1584</v>
      </c>
      <c r="E35" s="586" t="s">
        <v>1585</v>
      </c>
      <c r="F35" s="29" t="s">
        <v>1539</v>
      </c>
      <c r="G35" s="22" t="s">
        <v>1590</v>
      </c>
      <c r="H35" s="28" t="s">
        <v>1591</v>
      </c>
      <c r="I35" s="25">
        <v>45910</v>
      </c>
      <c r="J35" s="25">
        <v>45931</v>
      </c>
      <c r="K35" s="288" t="str" cm="1">
        <f t="array" ref="K35">IF(ISBLANK(J35), IF(ISBLANK(I35), "N/A", _xlfn.IFS(L35="AS", I35+15, L35="NCR", I35+30, L35="submitted", I35+30, TRUE, "N/A")), _xlfn.IFS(L35="AS", J35+15, L35="NCR", J35+30, L35="submitted", J35+30, TRUE, "N/A"))</f>
        <v>N/A</v>
      </c>
      <c r="L35" s="22" t="s">
        <v>639</v>
      </c>
      <c r="M35" s="317"/>
      <c r="N35" s="802"/>
      <c r="O35" s="803"/>
      <c r="P35" s="803"/>
      <c r="Q35" s="804"/>
    </row>
    <row r="36" spans="1:17" s="5" customFormat="1" ht="15" customHeight="1">
      <c r="B36" s="4"/>
      <c r="C36" s="390" t="s">
        <v>1592</v>
      </c>
      <c r="D36" s="345" t="s">
        <v>1593</v>
      </c>
      <c r="E36" s="143"/>
      <c r="F36" s="307" t="s">
        <v>1539</v>
      </c>
      <c r="G36" s="4" t="s">
        <v>1594</v>
      </c>
      <c r="H36" s="17" t="s">
        <v>1595</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1:17" s="138" customFormat="1" ht="27" customHeight="1">
      <c r="B37" s="151" t="s">
        <v>46</v>
      </c>
      <c r="C37" s="535" t="s">
        <v>1592</v>
      </c>
      <c r="D37" s="388" t="s">
        <v>1593</v>
      </c>
      <c r="E37" s="158" t="s">
        <v>1596</v>
      </c>
      <c r="F37" s="536" t="s">
        <v>1539</v>
      </c>
      <c r="G37" s="151" t="s">
        <v>1597</v>
      </c>
      <c r="H37" s="153" t="s">
        <v>1598</v>
      </c>
      <c r="I37" s="261">
        <v>45867</v>
      </c>
      <c r="J37" s="261">
        <v>45888</v>
      </c>
      <c r="K37" s="288" t="str" cm="1">
        <f t="array" ref="K37">IF(ISBLANK(J37), IF(ISBLANK(I37), "N/A", _xlfn.IFS(L37="AS", I37+15, L37="NCR", I37+30, L37="submitted", I37+30, TRUE, "N/A")), _xlfn.IFS(L37="AS", J37+15, L37="NCR", J37+30, L37="submitted", J37+30, TRUE, "N/A"))</f>
        <v>N/A</v>
      </c>
      <c r="L37" s="151" t="s">
        <v>639</v>
      </c>
      <c r="M37" s="317"/>
      <c r="N37" s="802"/>
      <c r="O37" s="803"/>
      <c r="P37" s="803"/>
      <c r="Q37" s="804"/>
    </row>
    <row r="38" spans="1:17" s="138" customFormat="1" ht="27" customHeight="1">
      <c r="B38" s="151" t="s">
        <v>46</v>
      </c>
      <c r="C38" s="535" t="s">
        <v>1592</v>
      </c>
      <c r="D38" s="388" t="s">
        <v>1593</v>
      </c>
      <c r="E38" s="158" t="s">
        <v>1596</v>
      </c>
      <c r="F38" s="536" t="s">
        <v>1539</v>
      </c>
      <c r="G38" s="151" t="s">
        <v>1599</v>
      </c>
      <c r="H38" s="153" t="s">
        <v>1600</v>
      </c>
      <c r="I38" s="261">
        <v>45867</v>
      </c>
      <c r="J38" s="261">
        <v>45888</v>
      </c>
      <c r="K38" s="288" t="str" cm="1">
        <f t="array" ref="K38">IF(ISBLANK(J38), IF(ISBLANK(I38), "N/A", _xlfn.IFS(L38="AS", I38+15, L38="NCR", I38+30, L38="submitted", I38+30, TRUE, "N/A")), _xlfn.IFS(L38="AS", J38+15, L38="NCR", J38+30, L38="submitted", J38+30, TRUE, "N/A"))</f>
        <v>N/A</v>
      </c>
      <c r="L38" s="151" t="s">
        <v>639</v>
      </c>
      <c r="M38" s="317"/>
      <c r="N38" s="802"/>
      <c r="O38" s="803"/>
      <c r="P38" s="803"/>
      <c r="Q38" s="804"/>
    </row>
    <row r="39" spans="1:17" s="138" customFormat="1" ht="27" customHeight="1">
      <c r="B39" s="151" t="s">
        <v>46</v>
      </c>
      <c r="C39" s="535" t="s">
        <v>1592</v>
      </c>
      <c r="D39" s="388" t="s">
        <v>1593</v>
      </c>
      <c r="E39" s="158" t="s">
        <v>1596</v>
      </c>
      <c r="F39" s="536" t="s">
        <v>1539</v>
      </c>
      <c r="G39" s="151" t="s">
        <v>1601</v>
      </c>
      <c r="H39" s="153" t="s">
        <v>1602</v>
      </c>
      <c r="I39" s="261">
        <v>45867</v>
      </c>
      <c r="J39" s="261">
        <v>45888</v>
      </c>
      <c r="K39" s="288" t="str" cm="1">
        <f t="array" ref="K39">IF(ISBLANK(J39), IF(ISBLANK(I39), "N/A", _xlfn.IFS(L39="AS", I39+15, L39="NCR", I39+30, L39="submitted", I39+30, TRUE, "N/A")), _xlfn.IFS(L39="AS", J39+15, L39="NCR", J39+30, L39="submitted", J39+30, TRUE, "N/A"))</f>
        <v>N/A</v>
      </c>
      <c r="L39" s="151" t="s">
        <v>639</v>
      </c>
      <c r="M39" s="317"/>
      <c r="N39" s="811"/>
      <c r="O39" s="812"/>
      <c r="P39" s="812"/>
      <c r="Q39" s="813"/>
    </row>
    <row r="40" spans="1:17" s="138" customFormat="1" ht="15" customHeight="1">
      <c r="B40" s="151" t="s">
        <v>46</v>
      </c>
      <c r="C40" s="535" t="s">
        <v>1592</v>
      </c>
      <c r="D40" s="388" t="s">
        <v>1593</v>
      </c>
      <c r="E40" s="158" t="s">
        <v>1596</v>
      </c>
      <c r="F40" s="536" t="s">
        <v>1539</v>
      </c>
      <c r="G40" s="151" t="s">
        <v>1603</v>
      </c>
      <c r="H40" s="153" t="s">
        <v>1604</v>
      </c>
      <c r="I40" s="261">
        <v>45867</v>
      </c>
      <c r="J40" s="261">
        <v>45888</v>
      </c>
      <c r="K40" s="288" t="str" cm="1">
        <f t="array" ref="K40">IF(ISBLANK(J40), IF(ISBLANK(I40), "N/A", _xlfn.IFS(L40="AS", I40+15, L40="NCR", I40+30, L40="submitted", I40+30, TRUE, "N/A")), _xlfn.IFS(L40="AS", J40+15, L40="NCR", J40+30, L40="submitted", J40+30, TRUE, "N/A"))</f>
        <v>N/A</v>
      </c>
      <c r="L40" s="151" t="s">
        <v>639</v>
      </c>
      <c r="M40" s="317"/>
      <c r="N40" s="745" t="s">
        <v>133</v>
      </c>
      <c r="O40" s="762"/>
      <c r="P40" s="762"/>
      <c r="Q40" s="763"/>
    </row>
    <row r="41" spans="1:17" s="138" customFormat="1" ht="40.5" customHeight="1">
      <c r="B41" s="151" t="s">
        <v>46</v>
      </c>
      <c r="C41" s="535" t="s">
        <v>1592</v>
      </c>
      <c r="D41" s="388" t="s">
        <v>1593</v>
      </c>
      <c r="E41" s="158" t="s">
        <v>1596</v>
      </c>
      <c r="F41" s="536" t="s">
        <v>1539</v>
      </c>
      <c r="G41" s="151" t="s">
        <v>1605</v>
      </c>
      <c r="H41" s="153" t="s">
        <v>1606</v>
      </c>
      <c r="I41" s="261">
        <v>45867</v>
      </c>
      <c r="J41" s="261">
        <v>45888</v>
      </c>
      <c r="K41" s="288" t="str" cm="1">
        <f t="array" ref="K41">IF(ISBLANK(J41), IF(ISBLANK(I41), "N/A", _xlfn.IFS(L41="AS", I41+15, L41="NCR", I41+30, L41="submitted", I41+30, TRUE, "N/A")), _xlfn.IFS(L41="AS", J41+15, L41="NCR", J41+30, L41="submitted", J41+30, TRUE, "N/A"))</f>
        <v>N/A</v>
      </c>
      <c r="L41" s="151" t="s">
        <v>639</v>
      </c>
      <c r="M41" s="317"/>
      <c r="N41" s="746"/>
      <c r="O41" s="764"/>
      <c r="P41" s="764"/>
      <c r="Q41" s="765"/>
    </row>
    <row r="42" spans="1:17" s="149" customFormat="1" ht="27" customHeight="1">
      <c r="B42" s="146" t="s">
        <v>28</v>
      </c>
      <c r="C42" s="641" t="s">
        <v>1592</v>
      </c>
      <c r="D42" s="642" t="s">
        <v>1593</v>
      </c>
      <c r="E42" s="644" t="s">
        <v>1607</v>
      </c>
      <c r="F42" s="643" t="s">
        <v>1539</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46"/>
      <c r="O42" s="764"/>
      <c r="P42" s="764"/>
      <c r="Q42" s="765"/>
    </row>
    <row r="43" spans="1:17" s="149" customFormat="1" ht="27" customHeight="1">
      <c r="A43" s="149" t="s">
        <v>318</v>
      </c>
      <c r="B43" s="146" t="s">
        <v>1608</v>
      </c>
      <c r="C43" s="641" t="s">
        <v>1592</v>
      </c>
      <c r="D43" s="642" t="s">
        <v>1593</v>
      </c>
      <c r="E43" s="644" t="s">
        <v>1607</v>
      </c>
      <c r="F43" s="643" t="s">
        <v>1539</v>
      </c>
      <c r="G43" s="146" t="s">
        <v>337</v>
      </c>
      <c r="H43" s="147" t="s">
        <v>282</v>
      </c>
      <c r="I43" s="233">
        <v>45933</v>
      </c>
      <c r="J43" s="233"/>
      <c r="K43" s="288" cm="1">
        <f t="array" ref="K43">IF(ISBLANK(J43), IF(ISBLANK(I43), "N/A", _xlfn.IFS(L43="AS", I43+15, L43="NCR", I43+30, L43="submitted", I43+30, TRUE, "N/A")), _xlfn.IFS(L43="AS", J43+15, L43="NCR", J43+30, L43="submitted", J43+30, TRUE, "N/A"))</f>
        <v>45963</v>
      </c>
      <c r="L43" s="146" t="s">
        <v>581</v>
      </c>
      <c r="M43" s="317"/>
      <c r="N43" s="746"/>
      <c r="O43" s="764"/>
      <c r="P43" s="764"/>
      <c r="Q43" s="765"/>
    </row>
    <row r="44" spans="1:17" s="26" customFormat="1" ht="27" customHeight="1">
      <c r="B44" s="22" t="s">
        <v>1609</v>
      </c>
      <c r="C44" s="390" t="s">
        <v>1592</v>
      </c>
      <c r="D44" s="358" t="s">
        <v>1593</v>
      </c>
      <c r="E44" s="606" t="s">
        <v>1610</v>
      </c>
      <c r="F44" s="359" t="s">
        <v>1539</v>
      </c>
      <c r="G44" s="22" t="s">
        <v>337</v>
      </c>
      <c r="H44" s="24" t="s">
        <v>282</v>
      </c>
      <c r="I44" s="25">
        <v>45917</v>
      </c>
      <c r="J44" s="25">
        <v>45926</v>
      </c>
      <c r="K44" s="288" cm="1">
        <f t="array" ref="K44">IF(ISBLANK(J44), IF(ISBLANK(I44), "N/A", _xlfn.IFS(L44="AS", I44+15, L44="NCR", I44+30, L44="submitted", I44+30, TRUE, "N/A")), _xlfn.IFS(L44="AS", J44+15, L44="NCR", J44+30, L44="submitted", J44+30, TRUE, "N/A"))</f>
        <v>45956</v>
      </c>
      <c r="L44" s="22" t="s">
        <v>157</v>
      </c>
      <c r="M44" s="317"/>
      <c r="N44" s="746"/>
      <c r="O44" s="764"/>
      <c r="P44" s="764"/>
      <c r="Q44" s="765"/>
    </row>
    <row r="45" spans="1:17" s="26" customFormat="1" ht="27" customHeight="1">
      <c r="A45" s="26" t="s">
        <v>318</v>
      </c>
      <c r="B45" s="22" t="s">
        <v>1611</v>
      </c>
      <c r="C45" s="390" t="s">
        <v>1592</v>
      </c>
      <c r="D45" s="358" t="s">
        <v>1593</v>
      </c>
      <c r="E45" s="606" t="s">
        <v>1610</v>
      </c>
      <c r="F45" s="359" t="s">
        <v>1539</v>
      </c>
      <c r="G45" s="22" t="s">
        <v>337</v>
      </c>
      <c r="H45" s="24" t="s">
        <v>282</v>
      </c>
      <c r="I45" s="25">
        <v>45940</v>
      </c>
      <c r="J45" s="25"/>
      <c r="K45" s="288"/>
      <c r="L45" s="22" t="s">
        <v>581</v>
      </c>
      <c r="M45" s="317"/>
      <c r="N45" s="746"/>
      <c r="O45" s="764"/>
      <c r="P45" s="764"/>
      <c r="Q45" s="765"/>
    </row>
    <row r="46" spans="1:17" s="26" customFormat="1" ht="27" customHeight="1">
      <c r="A46" s="26" t="s">
        <v>318</v>
      </c>
      <c r="B46" s="22" t="s">
        <v>1612</v>
      </c>
      <c r="C46" s="390" t="s">
        <v>1592</v>
      </c>
      <c r="D46" s="358" t="s">
        <v>1593</v>
      </c>
      <c r="E46" s="606" t="s">
        <v>1613</v>
      </c>
      <c r="F46" s="359" t="s">
        <v>1539</v>
      </c>
      <c r="G46" s="22" t="s">
        <v>337</v>
      </c>
      <c r="H46" s="24" t="s">
        <v>282</v>
      </c>
      <c r="I46" s="25">
        <v>45940</v>
      </c>
      <c r="J46" s="25"/>
      <c r="K46" s="288"/>
      <c r="L46" s="22" t="s">
        <v>581</v>
      </c>
      <c r="M46" s="317"/>
      <c r="N46" s="746"/>
      <c r="O46" s="764"/>
      <c r="P46" s="764"/>
      <c r="Q46" s="765"/>
    </row>
    <row r="47" spans="1:17" s="408" customFormat="1" ht="40.5" customHeight="1">
      <c r="B47" s="397"/>
      <c r="C47" s="403" t="s">
        <v>1592</v>
      </c>
      <c r="D47" s="404" t="s">
        <v>1593</v>
      </c>
      <c r="E47" s="405" t="s">
        <v>1614</v>
      </c>
      <c r="F47" s="406" t="s">
        <v>1545</v>
      </c>
      <c r="G47" s="397" t="s">
        <v>338</v>
      </c>
      <c r="H47" s="407" t="s">
        <v>1615</v>
      </c>
      <c r="I47" s="383"/>
      <c r="J47" s="383"/>
      <c r="K47" s="288" t="str" cm="1">
        <f t="array" ref="K47">IF(ISBLANK(J47), IF(ISBLANK(I47), "N/A", _xlfn.IFS(L47="AS", I47+15, L47="NCR", I47+30, L47="submitted", I47+30, TRUE, "N/A")), _xlfn.IFS(L47="AS", J47+15, L47="NCR", J47+30, L47="submitted", J47+30, TRUE, "N/A"))</f>
        <v>N/A</v>
      </c>
      <c r="L47" s="397"/>
      <c r="M47" s="317"/>
      <c r="N47" s="746"/>
      <c r="O47" s="764"/>
      <c r="P47" s="764"/>
      <c r="Q47" s="765"/>
    </row>
    <row r="48" spans="1:17" s="408" customFormat="1" ht="27" customHeight="1">
      <c r="B48" s="397"/>
      <c r="C48" s="403" t="s">
        <v>1592</v>
      </c>
      <c r="D48" s="404" t="s">
        <v>1593</v>
      </c>
      <c r="E48" s="405" t="s">
        <v>1614</v>
      </c>
      <c r="F48" s="406" t="s">
        <v>1545</v>
      </c>
      <c r="G48" s="397" t="s">
        <v>1266</v>
      </c>
      <c r="H48" s="407" t="s">
        <v>1616</v>
      </c>
      <c r="I48" s="383"/>
      <c r="J48" s="383"/>
      <c r="K48" s="288" t="str" cm="1">
        <f t="array" ref="K48">IF(ISBLANK(J48), IF(ISBLANK(I48), "N/A", _xlfn.IFS(L48="AS", I48+15, L48="NCR", I48+30, L48="submitted", I48+30, TRUE, "N/A")), _xlfn.IFS(L48="AS", J48+15, L48="NCR", J48+30, L48="submitted", J48+30, TRUE, "N/A"))</f>
        <v>N/A</v>
      </c>
      <c r="L48" s="397"/>
      <c r="M48" s="317"/>
      <c r="N48" s="746"/>
      <c r="O48" s="764"/>
      <c r="P48" s="764"/>
      <c r="Q48" s="765"/>
    </row>
    <row r="49" spans="2:17" s="5" customFormat="1" ht="27" customHeight="1">
      <c r="B49" s="4"/>
      <c r="C49" s="390" t="s">
        <v>1592</v>
      </c>
      <c r="D49" s="345" t="s">
        <v>1593</v>
      </c>
      <c r="E49" s="385" t="s">
        <v>1617</v>
      </c>
      <c r="F49" s="307" t="s">
        <v>1539</v>
      </c>
      <c r="G49" s="4" t="s">
        <v>340</v>
      </c>
      <c r="H49" s="3" t="s">
        <v>1618</v>
      </c>
      <c r="I49" s="18"/>
      <c r="J49" s="18"/>
      <c r="K49" s="288" t="str" cm="1">
        <f t="array" ref="K49">IF(ISBLANK(J49), IF(ISBLANK(I49), "N/A", _xlfn.IFS(L49="AS", I49+15, L49="NCR", I49+30, L49="submitted", I49+30, TRUE, "N/A")), _xlfn.IFS(L49="AS", J49+15, L49="NCR", J49+30, L49="submitted", J49+30, TRUE, "N/A"))</f>
        <v>N/A</v>
      </c>
      <c r="L49" s="4"/>
      <c r="M49" s="317"/>
      <c r="N49" s="746"/>
      <c r="O49" s="764"/>
      <c r="P49" s="764"/>
      <c r="Q49" s="765"/>
    </row>
    <row r="50" spans="2:17" s="5" customFormat="1" ht="40.5" customHeight="1">
      <c r="B50" s="4"/>
      <c r="C50" s="390" t="s">
        <v>1592</v>
      </c>
      <c r="D50" s="345" t="s">
        <v>1593</v>
      </c>
      <c r="E50" s="385" t="s">
        <v>1617</v>
      </c>
      <c r="F50" s="307" t="s">
        <v>1539</v>
      </c>
      <c r="G50" s="4" t="s">
        <v>1152</v>
      </c>
      <c r="H50" s="3" t="s">
        <v>1619</v>
      </c>
      <c r="I50" s="18"/>
      <c r="J50" s="18"/>
      <c r="K50" s="288" t="str" cm="1">
        <f t="array" ref="K50">IF(ISBLANK(J50), IF(ISBLANK(I50), "N/A", _xlfn.IFS(L50="AS", I50+15, L50="NCR", I50+30, L50="submitted", I50+30, TRUE, "N/A")), _xlfn.IFS(L50="AS", J50+15, L50="NCR", J50+30, L50="submitted", J50+30, TRUE, "N/A"))</f>
        <v>N/A</v>
      </c>
      <c r="L50" s="4"/>
      <c r="M50" s="317"/>
      <c r="N50" s="746"/>
      <c r="O50" s="764"/>
      <c r="P50" s="764"/>
      <c r="Q50" s="765"/>
    </row>
    <row r="51" spans="2:17" s="5" customFormat="1" ht="27" customHeight="1">
      <c r="B51" s="4"/>
      <c r="C51" s="390" t="s">
        <v>1592</v>
      </c>
      <c r="D51" s="345" t="s">
        <v>1593</v>
      </c>
      <c r="E51" s="385" t="s">
        <v>1617</v>
      </c>
      <c r="F51" s="307" t="s">
        <v>1539</v>
      </c>
      <c r="G51" s="4" t="s">
        <v>1620</v>
      </c>
      <c r="H51" s="3" t="s">
        <v>1621</v>
      </c>
      <c r="I51" s="18"/>
      <c r="J51" s="18"/>
      <c r="K51" s="288" t="str" cm="1">
        <f t="array" ref="K51">IF(ISBLANK(J51), IF(ISBLANK(I51), "N/A", _xlfn.IFS(L51="AS", I51+15, L51="NCR", I51+30, L51="submitted", I51+30, TRUE, "N/A")), _xlfn.IFS(L51="AS", J51+15, L51="NCR", J51+30, L51="submitted", J51+30, TRUE, "N/A"))</f>
        <v>N/A</v>
      </c>
      <c r="L51" s="4"/>
      <c r="M51" s="317"/>
      <c r="N51" s="802" t="s">
        <v>148</v>
      </c>
      <c r="O51" s="803"/>
      <c r="P51" s="803"/>
      <c r="Q51" s="804"/>
    </row>
    <row r="52" spans="2:17" s="5" customFormat="1" ht="27" customHeight="1">
      <c r="B52" s="4"/>
      <c r="C52" s="390" t="s">
        <v>1592</v>
      </c>
      <c r="D52" s="345" t="s">
        <v>1593</v>
      </c>
      <c r="E52" s="385" t="s">
        <v>1617</v>
      </c>
      <c r="F52" s="307" t="s">
        <v>1539</v>
      </c>
      <c r="G52" s="4" t="s">
        <v>1622</v>
      </c>
      <c r="H52" s="3" t="s">
        <v>1623</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138" customFormat="1" ht="15" customHeight="1">
      <c r="B53" s="151" t="s">
        <v>46</v>
      </c>
      <c r="C53" s="535" t="s">
        <v>1592</v>
      </c>
      <c r="D53" s="388" t="s">
        <v>1593</v>
      </c>
      <c r="E53" s="158" t="s">
        <v>1596</v>
      </c>
      <c r="F53" s="536" t="s">
        <v>1539</v>
      </c>
      <c r="G53" s="151" t="s">
        <v>1624</v>
      </c>
      <c r="H53" s="152" t="s">
        <v>1625</v>
      </c>
      <c r="I53" s="261">
        <v>45867</v>
      </c>
      <c r="J53" s="261">
        <v>45888</v>
      </c>
      <c r="K53" s="288" t="str" cm="1">
        <f t="array" ref="K53">IF(ISBLANK(J53), IF(ISBLANK(I53), "N/A", _xlfn.IFS(L53="AS", I53+15, L53="NCR", I53+30, L53="submitted", I53+30, TRUE, "N/A")), _xlfn.IFS(L53="AS", J53+15, L53="NCR", J53+30, L53="submitted", J53+30, TRUE, "N/A"))</f>
        <v>N/A</v>
      </c>
      <c r="L53" s="151" t="s">
        <v>639</v>
      </c>
      <c r="M53" s="317"/>
      <c r="N53" s="802"/>
      <c r="O53" s="803"/>
      <c r="P53" s="803"/>
      <c r="Q53" s="804"/>
    </row>
    <row r="54" spans="2:17" s="138" customFormat="1" ht="27" customHeight="1">
      <c r="B54" s="151" t="s">
        <v>46</v>
      </c>
      <c r="C54" s="535" t="s">
        <v>1592</v>
      </c>
      <c r="D54" s="388" t="s">
        <v>1593</v>
      </c>
      <c r="E54" s="158" t="s">
        <v>1596</v>
      </c>
      <c r="F54" s="536" t="s">
        <v>1539</v>
      </c>
      <c r="G54" s="151" t="s">
        <v>1626</v>
      </c>
      <c r="H54" s="153" t="s">
        <v>1627</v>
      </c>
      <c r="I54" s="261">
        <v>45867</v>
      </c>
      <c r="J54" s="261">
        <v>45888</v>
      </c>
      <c r="K54" s="288" t="str" cm="1">
        <f t="array" ref="K54">IF(ISBLANK(J54), IF(ISBLANK(I54), "N/A", _xlfn.IFS(L54="AS", I54+15, L54="NCR", I54+30, L54="submitted", I54+30, TRUE, "N/A")), _xlfn.IFS(L54="AS", J54+15, L54="NCR", J54+30, L54="submitted", J54+30, TRUE, "N/A"))</f>
        <v>N/A</v>
      </c>
      <c r="L54" s="151" t="s">
        <v>639</v>
      </c>
      <c r="M54" s="317"/>
      <c r="N54" s="802"/>
      <c r="O54" s="803"/>
      <c r="P54" s="803"/>
      <c r="Q54" s="804"/>
    </row>
    <row r="55" spans="2:17" s="5" customFormat="1" ht="27" customHeight="1">
      <c r="B55" s="4"/>
      <c r="C55" s="390" t="s">
        <v>1592</v>
      </c>
      <c r="D55" s="345" t="s">
        <v>1593</v>
      </c>
      <c r="E55" s="385" t="s">
        <v>1628</v>
      </c>
      <c r="F55" s="307" t="s">
        <v>1539</v>
      </c>
      <c r="G55" s="4" t="s">
        <v>1629</v>
      </c>
      <c r="H55" s="3" t="s">
        <v>1630</v>
      </c>
      <c r="I55" s="18"/>
      <c r="J55" s="18"/>
      <c r="K55" s="288" t="str" cm="1">
        <f t="array" ref="K55">IF(ISBLANK(J55), IF(ISBLANK(I55), "N/A", _xlfn.IFS(L55="AS", I55+15, L55="NCR", I55+30, L55="submitted", I55+30, TRUE, "N/A")), _xlfn.IFS(L55="AS", J55+15, L55="NCR", J55+30, L55="submitted", J55+30, TRUE, "N/A"))</f>
        <v>N/A</v>
      </c>
      <c r="L55" s="4"/>
      <c r="M55" s="317"/>
      <c r="N55" s="802"/>
      <c r="O55" s="803"/>
      <c r="P55" s="803"/>
      <c r="Q55" s="804"/>
    </row>
    <row r="56" spans="2:17" s="5" customFormat="1" ht="15" customHeight="1">
      <c r="B56" s="4"/>
      <c r="C56" s="390" t="s">
        <v>1592</v>
      </c>
      <c r="D56" s="345" t="s">
        <v>1593</v>
      </c>
      <c r="E56" s="385" t="s">
        <v>1628</v>
      </c>
      <c r="F56" s="307" t="s">
        <v>1539</v>
      </c>
      <c r="G56" s="4" t="s">
        <v>410</v>
      </c>
      <c r="H56" s="17" t="s">
        <v>1631</v>
      </c>
      <c r="I56" s="18"/>
      <c r="J56" s="18"/>
      <c r="K56" s="288" t="str" cm="1">
        <f t="array" ref="K56">IF(ISBLANK(J56), IF(ISBLANK(I56), "N/A", _xlfn.IFS(L56="AS", I56+15, L56="NCR", I56+30, L56="submitted", I56+30, TRUE, "N/A")), _xlfn.IFS(L56="AS", J56+15, L56="NCR", J56+30, L56="submitted", J56+30, TRUE, "N/A"))</f>
        <v>N/A</v>
      </c>
      <c r="L56" s="4"/>
      <c r="M56" s="318"/>
      <c r="N56" s="802"/>
      <c r="O56" s="803"/>
      <c r="P56" s="803"/>
      <c r="Q56" s="804"/>
    </row>
    <row r="57" spans="2:17" s="408" customFormat="1" ht="15" customHeight="1">
      <c r="B57" s="397"/>
      <c r="C57" s="403" t="s">
        <v>1592</v>
      </c>
      <c r="D57" s="404" t="s">
        <v>1593</v>
      </c>
      <c r="E57" s="227"/>
      <c r="F57" s="409" t="s">
        <v>161</v>
      </c>
      <c r="G57" s="397" t="s">
        <v>414</v>
      </c>
      <c r="H57" s="410" t="s">
        <v>1632</v>
      </c>
      <c r="I57" s="383"/>
      <c r="J57" s="383"/>
      <c r="K57" s="288" t="str" cm="1">
        <f t="array" ref="K57">IF(ISBLANK(J57), IF(ISBLANK(I57), "N/A", _xlfn.IFS(L57="AS", I57+15, L57="NCR", I57+30, L57="submitted", I57+30, TRUE, "N/A")), _xlfn.IFS(L57="AS", J57+15, L57="NCR", J57+30, L57="submitted", J57+30, TRUE, "N/A"))</f>
        <v>N/A</v>
      </c>
      <c r="L57" s="397"/>
      <c r="M57" s="317"/>
      <c r="N57" s="802"/>
      <c r="O57" s="803"/>
      <c r="P57" s="803"/>
      <c r="Q57" s="804"/>
    </row>
    <row r="58" spans="2:17" s="408" customFormat="1" ht="15" customHeight="1">
      <c r="B58" s="397"/>
      <c r="C58" s="403" t="s">
        <v>1592</v>
      </c>
      <c r="D58" s="404" t="s">
        <v>1593</v>
      </c>
      <c r="E58" s="227"/>
      <c r="F58" s="411" t="s">
        <v>161</v>
      </c>
      <c r="G58" s="397" t="s">
        <v>1633</v>
      </c>
      <c r="H58" s="410" t="s">
        <v>1634</v>
      </c>
      <c r="I58" s="383"/>
      <c r="J58" s="383"/>
      <c r="K58" s="288" t="str" cm="1">
        <f t="array" ref="K58">IF(ISBLANK(J58), IF(ISBLANK(I58), "N/A", _xlfn.IFS(L58="AS", I58+15, L58="NCR", I58+30, L58="submitted", I58+30, TRUE, "N/A")), _xlfn.IFS(L58="AS", J58+15, L58="NCR", J58+30, L58="submitted", J58+30, TRUE, "N/A"))</f>
        <v>N/A</v>
      </c>
      <c r="L58" s="397"/>
      <c r="M58" s="317"/>
      <c r="N58" s="802"/>
      <c r="O58" s="803"/>
      <c r="P58" s="803"/>
      <c r="Q58" s="804"/>
    </row>
    <row r="59" spans="2:17" s="138" customFormat="1" ht="25.5" customHeight="1">
      <c r="B59" s="151" t="s">
        <v>1635</v>
      </c>
      <c r="C59" s="169" t="s">
        <v>1636</v>
      </c>
      <c r="D59" s="260" t="s">
        <v>1637</v>
      </c>
      <c r="E59" s="346" t="s">
        <v>1638</v>
      </c>
      <c r="F59" s="168" t="s">
        <v>201</v>
      </c>
      <c r="G59" s="151" t="s">
        <v>869</v>
      </c>
      <c r="H59" s="153" t="s">
        <v>1639</v>
      </c>
      <c r="I59" s="261">
        <v>45783</v>
      </c>
      <c r="J59" s="261">
        <f>I59+14</f>
        <v>45797</v>
      </c>
      <c r="K59" s="288" t="str" cm="1">
        <f t="array" ref="K59">IF(ISBLANK(J59), IF(ISBLANK(I59), "N/A", _xlfn.IFS(L59="AS", I59+15, L59="NCR", I59+30, L59="submitted", I59+30, TRUE, "N/A")), _xlfn.IFS(L59="AS", J59+15, L59="NCR", J59+30, L59="submitted", J59+30, TRUE, "N/A"))</f>
        <v>N/A</v>
      </c>
      <c r="L59" s="151" t="s">
        <v>639</v>
      </c>
      <c r="M59" s="317"/>
      <c r="N59" s="802"/>
      <c r="O59" s="803"/>
      <c r="P59" s="803"/>
      <c r="Q59" s="804"/>
    </row>
    <row r="60" spans="2:17" s="1" customFormat="1" ht="27" customHeight="1">
      <c r="B60" s="9"/>
      <c r="C60" s="48" t="s">
        <v>1636</v>
      </c>
      <c r="D60" s="6" t="s">
        <v>1637</v>
      </c>
      <c r="E60" s="39" t="s">
        <v>1640</v>
      </c>
      <c r="F60" s="39" t="s">
        <v>1641</v>
      </c>
      <c r="G60" s="9" t="s">
        <v>871</v>
      </c>
      <c r="H60" s="7" t="s">
        <v>1642</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27" customHeight="1">
      <c r="B61" s="9"/>
      <c r="C61" s="48" t="s">
        <v>1636</v>
      </c>
      <c r="D61" s="6" t="s">
        <v>1637</v>
      </c>
      <c r="E61" s="39" t="s">
        <v>1643</v>
      </c>
      <c r="F61" s="39" t="s">
        <v>1641</v>
      </c>
      <c r="G61" s="9" t="s">
        <v>1644</v>
      </c>
      <c r="H61" s="7" t="s">
        <v>1645</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1636</v>
      </c>
      <c r="D62" s="6" t="s">
        <v>1637</v>
      </c>
      <c r="E62" s="39" t="s">
        <v>1643</v>
      </c>
      <c r="F62" s="39" t="s">
        <v>1539</v>
      </c>
      <c r="G62" s="9" t="s">
        <v>875</v>
      </c>
      <c r="H62" s="13" t="s">
        <v>1646</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15" customHeight="1">
      <c r="B63" s="9"/>
      <c r="C63" s="48" t="s">
        <v>1636</v>
      </c>
      <c r="D63" s="6" t="s">
        <v>1637</v>
      </c>
      <c r="E63" s="39" t="s">
        <v>1647</v>
      </c>
      <c r="F63" s="39" t="s">
        <v>1641</v>
      </c>
      <c r="G63" s="9" t="s">
        <v>877</v>
      </c>
      <c r="H63" s="13" t="s">
        <v>1648</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1636</v>
      </c>
      <c r="D64" s="6" t="s">
        <v>1637</v>
      </c>
      <c r="E64" s="39"/>
      <c r="F64" s="39" t="s">
        <v>1649</v>
      </c>
      <c r="G64" s="9" t="s">
        <v>1650</v>
      </c>
      <c r="H64" s="13" t="s">
        <v>1651</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1636</v>
      </c>
      <c r="D65" s="6" t="s">
        <v>1637</v>
      </c>
      <c r="E65" s="39"/>
      <c r="F65" s="39" t="s">
        <v>1649</v>
      </c>
      <c r="G65" s="9" t="s">
        <v>932</v>
      </c>
      <c r="H65" s="13" t="s">
        <v>1652</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25.5" customHeight="1">
      <c r="B66" s="9"/>
      <c r="C66" s="48" t="s">
        <v>1636</v>
      </c>
      <c r="D66" s="6" t="s">
        <v>1637</v>
      </c>
      <c r="E66" s="39"/>
      <c r="F66" s="39" t="s">
        <v>1539</v>
      </c>
      <c r="G66" s="9" t="s">
        <v>1162</v>
      </c>
      <c r="H66" s="7" t="s">
        <v>1653</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1" customFormat="1" ht="15" customHeight="1">
      <c r="B67" s="9"/>
      <c r="C67" s="48" t="s">
        <v>1636</v>
      </c>
      <c r="D67" s="6" t="s">
        <v>1637</v>
      </c>
      <c r="E67" s="39" t="s">
        <v>1654</v>
      </c>
      <c r="F67" s="39" t="s">
        <v>1641</v>
      </c>
      <c r="G67" s="9" t="s">
        <v>494</v>
      </c>
      <c r="H67" s="13" t="s">
        <v>1655</v>
      </c>
      <c r="I67" s="14"/>
      <c r="J67" s="14"/>
      <c r="K67" s="288"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48" t="s">
        <v>1636</v>
      </c>
      <c r="D68" s="6" t="s">
        <v>1637</v>
      </c>
      <c r="E68" s="39" t="s">
        <v>1654</v>
      </c>
      <c r="F68" s="39" t="s">
        <v>1641</v>
      </c>
      <c r="G68" s="9" t="s">
        <v>496</v>
      </c>
      <c r="H68" s="13" t="s">
        <v>1656</v>
      </c>
      <c r="I68" s="14"/>
      <c r="J68" s="14"/>
      <c r="K68" s="288"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48" t="s">
        <v>1636</v>
      </c>
      <c r="D69" s="6" t="s">
        <v>1637</v>
      </c>
      <c r="E69" s="39" t="s">
        <v>1654</v>
      </c>
      <c r="F69" s="39" t="s">
        <v>1641</v>
      </c>
      <c r="G69" s="9" t="s">
        <v>1657</v>
      </c>
      <c r="H69" s="13" t="s">
        <v>1658</v>
      </c>
      <c r="I69" s="14"/>
      <c r="J69" s="14"/>
      <c r="K69" s="288" t="str" cm="1">
        <f t="array" ref="K69">IF(ISBLANK(J69), IF(ISBLANK(I69), "N/A", _xlfn.IFS(L69="AS", I69+15, L69="NCR", I69+30, L69="submitted", I69+30, TRUE, "N/A")), _xlfn.IFS(L69="AS", J69+15, L69="NCR", J69+30, L69="submitted", J69+30, TRUE, "N/A"))</f>
        <v>N/A</v>
      </c>
      <c r="L69" s="9"/>
      <c r="M69" s="317"/>
      <c r="N69" s="802"/>
      <c r="O69" s="803"/>
      <c r="P69" s="803"/>
      <c r="Q69" s="804"/>
    </row>
    <row r="70" spans="2:17" s="228" customFormat="1" ht="25.5" customHeight="1">
      <c r="B70" s="221"/>
      <c r="C70" s="412" t="s">
        <v>1636</v>
      </c>
      <c r="D70" s="422" t="s">
        <v>1637</v>
      </c>
      <c r="E70" s="338"/>
      <c r="F70" s="338" t="s">
        <v>1641</v>
      </c>
      <c r="G70" s="221" t="s">
        <v>488</v>
      </c>
      <c r="H70" s="402" t="s">
        <v>1659</v>
      </c>
      <c r="I70" s="421"/>
      <c r="J70" s="421"/>
      <c r="K70" s="288" t="str" cm="1">
        <f t="array" ref="K70">IF(ISBLANK(J70), IF(ISBLANK(I70), "N/A", _xlfn.IFS(L70="AS", I70+15, L70="NCR", I70+30, L70="submitted", I70+30, TRUE, "N/A")), _xlfn.IFS(L70="AS", J70+15, L70="NCR", J70+30, L70="submitted", J70+30, TRUE, "N/A"))</f>
        <v>N/A</v>
      </c>
      <c r="L70" s="221"/>
      <c r="M70" s="317"/>
      <c r="N70" s="802"/>
      <c r="O70" s="803"/>
      <c r="P70" s="803"/>
      <c r="Q70" s="804"/>
    </row>
    <row r="71" spans="2:17" s="228" customFormat="1" ht="25.5" customHeight="1">
      <c r="B71" s="221"/>
      <c r="C71" s="412" t="s">
        <v>1636</v>
      </c>
      <c r="D71" s="422" t="s">
        <v>1637</v>
      </c>
      <c r="E71" s="338"/>
      <c r="F71" s="338" t="s">
        <v>161</v>
      </c>
      <c r="G71" s="221" t="s">
        <v>1193</v>
      </c>
      <c r="H71" s="402" t="s">
        <v>1660</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228" customFormat="1" ht="15" customHeight="1">
      <c r="B72" s="221"/>
      <c r="C72" s="412" t="s">
        <v>1636</v>
      </c>
      <c r="D72" s="422" t="s">
        <v>1637</v>
      </c>
      <c r="E72" s="338"/>
      <c r="F72" s="338" t="s">
        <v>161</v>
      </c>
      <c r="G72" s="221" t="s">
        <v>1195</v>
      </c>
      <c r="H72" s="222" t="s">
        <v>1661</v>
      </c>
      <c r="I72" s="421"/>
      <c r="J72" s="421"/>
      <c r="K72" s="288" t="str" cm="1">
        <f t="array" ref="K72">IF(ISBLANK(J72), IF(ISBLANK(I72), "N/A", _xlfn.IFS(L72="AS", I72+15, L72="NCR", I72+30, L72="submitted", I72+30, TRUE, "N/A")), _xlfn.IFS(L72="AS", J72+15, L72="NCR", J72+30, L72="submitted", J72+30, TRUE, "N/A"))</f>
        <v>N/A</v>
      </c>
      <c r="L72" s="221"/>
      <c r="M72" s="317"/>
      <c r="N72" s="802"/>
      <c r="O72" s="803"/>
      <c r="P72" s="803"/>
      <c r="Q72" s="804"/>
    </row>
    <row r="73" spans="2:17" s="1" customFormat="1" ht="15" customHeight="1">
      <c r="B73" s="9"/>
      <c r="C73" s="48" t="s">
        <v>1636</v>
      </c>
      <c r="D73" s="6" t="s">
        <v>1637</v>
      </c>
      <c r="E73" s="39"/>
      <c r="F73" s="39"/>
      <c r="G73" s="9" t="s">
        <v>499</v>
      </c>
      <c r="H73" s="13" t="s">
        <v>1662</v>
      </c>
      <c r="I73" s="14"/>
      <c r="J73" s="14"/>
      <c r="K73" s="288" t="str" cm="1">
        <f t="array" ref="K73">IF(ISBLANK(J73), IF(ISBLANK(I73), "N/A", _xlfn.IFS(L73="AS", I73+15, L73="NCR", I73+30, L73="submitted", I73+30, TRUE, "N/A")), _xlfn.IFS(L73="AS", J73+15, L73="NCR", J73+30, L73="submitted", J73+30, TRUE, "N/A"))</f>
        <v>N/A</v>
      </c>
      <c r="L73" s="9"/>
      <c r="M73" s="317"/>
      <c r="N73" s="802"/>
      <c r="O73" s="803"/>
      <c r="P73" s="803"/>
      <c r="Q73" s="804"/>
    </row>
    <row r="74" spans="2:17" s="228" customFormat="1" ht="51.75" customHeight="1">
      <c r="B74" s="221"/>
      <c r="C74" s="412" t="s">
        <v>1636</v>
      </c>
      <c r="D74" s="422" t="s">
        <v>1637</v>
      </c>
      <c r="E74" s="338"/>
      <c r="F74" s="338" t="s">
        <v>161</v>
      </c>
      <c r="G74" s="221" t="s">
        <v>1663</v>
      </c>
      <c r="H74" s="222" t="s">
        <v>1664</v>
      </c>
      <c r="I74" s="421"/>
      <c r="J74" s="421"/>
      <c r="K74" s="288" t="str" cm="1">
        <f t="array" ref="K74">IF(ISBLANK(J74), IF(ISBLANK(I74), "N/A", _xlfn.IFS(L74="AS", I74+15, L74="NCR", I74+30, L74="submitted", I74+30, TRUE, "N/A")), _xlfn.IFS(L74="AS", J74+15, L74="NCR", J74+30, L74="submitted", J74+30, TRUE, "N/A"))</f>
        <v>N/A</v>
      </c>
      <c r="L74" s="221"/>
      <c r="M74" s="317"/>
      <c r="N74" s="802"/>
      <c r="O74" s="803"/>
      <c r="P74" s="803"/>
      <c r="Q74" s="804"/>
    </row>
    <row r="75" spans="2:17" s="1" customFormat="1" ht="51.75" customHeight="1">
      <c r="B75" s="9"/>
      <c r="C75" s="48" t="s">
        <v>1636</v>
      </c>
      <c r="D75" s="6" t="s">
        <v>1637</v>
      </c>
      <c r="E75" s="39"/>
      <c r="F75" s="39" t="s">
        <v>1539</v>
      </c>
      <c r="G75" s="9" t="s">
        <v>1167</v>
      </c>
      <c r="H75" s="13" t="s">
        <v>1665</v>
      </c>
      <c r="I75" s="14"/>
      <c r="J75" s="14"/>
      <c r="K75" s="288" t="str" cm="1">
        <f t="array" ref="K75">IF(ISBLANK(J75), IF(ISBLANK(I75), "N/A", _xlfn.IFS(L75="AS", I75+15, L75="NCR", I75+30, L75="submitted", I75+30, TRUE, "N/A")), _xlfn.IFS(L75="AS", J75+15, L75="NCR", J75+30, L75="submitted", J75+30, TRUE, "N/A"))</f>
        <v>N/A</v>
      </c>
      <c r="L75" s="9"/>
      <c r="M75" s="317"/>
      <c r="N75" s="802"/>
      <c r="O75" s="803"/>
      <c r="P75" s="803"/>
      <c r="Q75" s="804"/>
    </row>
    <row r="76" spans="2:17" s="551" customFormat="1" ht="51.75" customHeight="1">
      <c r="B76" s="545" t="s">
        <v>1666</v>
      </c>
      <c r="C76" s="546" t="s">
        <v>1636</v>
      </c>
      <c r="D76" s="547" t="s">
        <v>1637</v>
      </c>
      <c r="E76" s="548" t="s">
        <v>1667</v>
      </c>
      <c r="F76" s="548" t="s">
        <v>1539</v>
      </c>
      <c r="G76" s="545" t="s">
        <v>1668</v>
      </c>
      <c r="H76" s="549" t="s">
        <v>1669</v>
      </c>
      <c r="I76" s="550">
        <v>45783</v>
      </c>
      <c r="J76" s="550">
        <v>45810</v>
      </c>
      <c r="K76" s="288" t="str" cm="1">
        <f t="array" ref="K76">IF(ISBLANK(J76), IF(ISBLANK(I76), "N/A", _xlfn.IFS(L76="AS", I76+15, L76="NCR", I76+30, L76="submitted", I76+30, TRUE, "N/A")), _xlfn.IFS(L76="AS", J76+15, L76="NCR", J76+30, L76="submitted", J76+30, TRUE, "N/A"))</f>
        <v>N/A</v>
      </c>
      <c r="L76" s="545" t="s">
        <v>147</v>
      </c>
      <c r="M76" s="317"/>
      <c r="N76" s="802"/>
      <c r="O76" s="803"/>
      <c r="P76" s="803"/>
      <c r="Q76" s="804"/>
    </row>
    <row r="77" spans="2:17" s="1" customFormat="1" ht="15" customHeight="1">
      <c r="B77" s="9"/>
      <c r="C77" s="48" t="s">
        <v>1636</v>
      </c>
      <c r="D77" s="10" t="s">
        <v>1637</v>
      </c>
      <c r="E77" s="46"/>
      <c r="F77" s="46" t="s">
        <v>1539</v>
      </c>
      <c r="G77" s="9" t="s">
        <v>1670</v>
      </c>
      <c r="H77" s="13" t="s">
        <v>1671</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25" customFormat="1" ht="15" customHeight="1">
      <c r="B78" s="523" t="s">
        <v>1672</v>
      </c>
      <c r="C78" s="751">
        <v>3300</v>
      </c>
      <c r="D78" s="730" t="s">
        <v>1673</v>
      </c>
      <c r="E78" s="752" t="s">
        <v>1674</v>
      </c>
      <c r="F78" s="752" t="s">
        <v>54</v>
      </c>
      <c r="G78" s="523">
        <v>1.04</v>
      </c>
      <c r="H78" s="532" t="s">
        <v>1675</v>
      </c>
      <c r="I78" s="533">
        <v>45926</v>
      </c>
      <c r="J78" s="533"/>
      <c r="K78" s="753" cm="1">
        <f t="array" ref="K78">IF(ISBLANK(J78), IF(ISBLANK(I78), "N/A", _xlfn.IFS(L78="AS", I78+15, L78="NCR", I78+30, L78="submitted", I78+30, TRUE, "N/A")), _xlfn.IFS(L78="AS", J78+15, L78="NCR", J78+30, L78="submitted", J78+30, TRUE, "N/A"))</f>
        <v>45956</v>
      </c>
      <c r="L78" s="523" t="s">
        <v>581</v>
      </c>
      <c r="M78" s="528"/>
      <c r="N78" s="802"/>
      <c r="O78" s="803"/>
      <c r="P78" s="803"/>
      <c r="Q78" s="804"/>
    </row>
    <row r="79" spans="2:17" s="5" customFormat="1" ht="15" customHeight="1">
      <c r="B79" s="4"/>
      <c r="C79" s="15" t="s">
        <v>1676</v>
      </c>
      <c r="D79" s="17" t="s">
        <v>1677</v>
      </c>
      <c r="E79" s="17"/>
      <c r="F79" s="17"/>
      <c r="G79" s="4" t="s">
        <v>145</v>
      </c>
      <c r="H79" s="17"/>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1" customFormat="1" ht="15" customHeight="1">
      <c r="B80" s="9"/>
      <c r="C80" s="11" t="s">
        <v>1678</v>
      </c>
      <c r="D80" s="13" t="s">
        <v>1679</v>
      </c>
      <c r="E80" s="13"/>
      <c r="F80" s="13"/>
      <c r="G80" s="9" t="s">
        <v>212</v>
      </c>
      <c r="H80" s="13" t="s">
        <v>1511</v>
      </c>
      <c r="I80" s="14"/>
      <c r="J80" s="14"/>
      <c r="K80" s="288" t="str" cm="1">
        <f t="array" ref="K80">IF(ISBLANK(J80), IF(ISBLANK(I80), "N/A", _xlfn.IFS(L80="AS", I80+15, L80="NCR", I80+30, L80="submitted", I80+30, TRUE, "N/A")), _xlfn.IFS(L80="AS", J80+15, L80="NCR", J80+30, L80="submitted", J80+30, TRUE, "N/A"))</f>
        <v>N/A</v>
      </c>
      <c r="L80" s="9"/>
      <c r="M80" s="317"/>
      <c r="N80" s="802"/>
      <c r="O80" s="803"/>
      <c r="P80" s="803"/>
      <c r="Q80" s="804"/>
    </row>
    <row r="81" spans="2:17" s="5" customFormat="1" ht="15" customHeight="1">
      <c r="B81" s="4"/>
      <c r="C81" s="54" t="s">
        <v>1680</v>
      </c>
      <c r="D81" s="55" t="s">
        <v>1681</v>
      </c>
      <c r="E81" s="34"/>
      <c r="F81" s="34" t="s">
        <v>1539</v>
      </c>
      <c r="G81" s="4" t="s">
        <v>278</v>
      </c>
      <c r="H81" s="17" t="s">
        <v>1682</v>
      </c>
      <c r="I81" s="18"/>
      <c r="J81" s="18"/>
      <c r="K81" s="288"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54" t="s">
        <v>1680</v>
      </c>
      <c r="D82" s="55" t="s">
        <v>1681</v>
      </c>
      <c r="E82" s="35"/>
      <c r="F82" s="34" t="s">
        <v>1539</v>
      </c>
      <c r="G82" s="4" t="s">
        <v>265</v>
      </c>
      <c r="H82" s="17" t="s">
        <v>1683</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1680</v>
      </c>
      <c r="D83" s="55" t="s">
        <v>1681</v>
      </c>
      <c r="E83" s="35"/>
      <c r="F83" s="34" t="s">
        <v>1539</v>
      </c>
      <c r="G83" s="4" t="s">
        <v>222</v>
      </c>
      <c r="H83" s="17" t="s">
        <v>1684</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t="s">
        <v>1685</v>
      </c>
      <c r="C84" s="54" t="s">
        <v>1680</v>
      </c>
      <c r="D84" s="55" t="s">
        <v>1681</v>
      </c>
      <c r="E84" s="35" t="s">
        <v>1686</v>
      </c>
      <c r="F84" s="34" t="s">
        <v>1539</v>
      </c>
      <c r="G84" s="4" t="s">
        <v>329</v>
      </c>
      <c r="H84" s="17" t="s">
        <v>1687</v>
      </c>
      <c r="I84" s="18">
        <v>45932</v>
      </c>
      <c r="J84" s="18">
        <v>45939</v>
      </c>
      <c r="K84" s="288" t="str" cm="1">
        <f t="array" ref="K84">IF(ISBLANK(J84), IF(ISBLANK(I84), "N/A", _xlfn.IFS(L84="AS", I84+15, L84="NCR", I84+30, L84="submitted", I84+30, TRUE, "N/A")), _xlfn.IFS(L84="AS", J84+15, L84="NCR", J84+30, L84="submitted", J84+30, TRUE, "N/A"))</f>
        <v>N/A</v>
      </c>
      <c r="L84" s="4" t="s">
        <v>151</v>
      </c>
      <c r="M84" s="317"/>
      <c r="N84" s="802"/>
      <c r="O84" s="803"/>
      <c r="P84" s="803"/>
      <c r="Q84" s="804"/>
    </row>
    <row r="85" spans="2:17" s="5" customFormat="1" ht="15" customHeight="1">
      <c r="B85" s="4"/>
      <c r="C85" s="54" t="s">
        <v>1680</v>
      </c>
      <c r="D85" s="55" t="s">
        <v>1681</v>
      </c>
      <c r="E85" s="35"/>
      <c r="F85" s="34" t="s">
        <v>1649</v>
      </c>
      <c r="G85" s="4" t="s">
        <v>601</v>
      </c>
      <c r="H85" s="17" t="s">
        <v>1688</v>
      </c>
      <c r="I85" s="18"/>
      <c r="J85" s="18"/>
      <c r="K85" s="288"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54" t="s">
        <v>1680</v>
      </c>
      <c r="D86" s="55" t="s">
        <v>1681</v>
      </c>
      <c r="E86" s="35"/>
      <c r="F86" s="34" t="s">
        <v>1539</v>
      </c>
      <c r="G86" s="4" t="s">
        <v>372</v>
      </c>
      <c r="H86" s="17" t="s">
        <v>1689</v>
      </c>
      <c r="I86" s="18"/>
      <c r="J86" s="18"/>
      <c r="K86" s="288"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54" t="s">
        <v>1680</v>
      </c>
      <c r="D87" s="55" t="s">
        <v>1681</v>
      </c>
      <c r="E87" s="36"/>
      <c r="F87" s="36" t="s">
        <v>1690</v>
      </c>
      <c r="G87" s="4" t="s">
        <v>374</v>
      </c>
      <c r="H87" s="17" t="s">
        <v>1691</v>
      </c>
      <c r="I87" s="18"/>
      <c r="J87" s="18"/>
      <c r="K87" s="288" t="str" cm="1">
        <f t="array" ref="K87">IF(ISBLANK(J87), IF(ISBLANK(I87), "N/A", _xlfn.IFS(L87="AS", I87+15, L87="NCR", I87+30, L87="submitted", I87+30, TRUE, "N/A")), _xlfn.IFS(L87="AS", J87+15, L87="NCR", J87+30, L87="submitted", J87+30, TRUE, "N/A"))</f>
        <v>N/A</v>
      </c>
      <c r="L87" s="4"/>
      <c r="M87" s="317"/>
      <c r="N87" s="802"/>
      <c r="O87" s="803"/>
      <c r="P87" s="803"/>
      <c r="Q87" s="804"/>
    </row>
    <row r="88" spans="2:17" s="1" customFormat="1" ht="15" customHeight="1">
      <c r="B88" s="9"/>
      <c r="C88" s="840" t="s">
        <v>1692</v>
      </c>
      <c r="D88" s="841" t="s">
        <v>1693</v>
      </c>
      <c r="E88" s="37"/>
      <c r="F88" s="37" t="s">
        <v>1641</v>
      </c>
      <c r="G88" s="9" t="s">
        <v>208</v>
      </c>
      <c r="H88" s="13" t="s">
        <v>484</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15" customHeight="1">
      <c r="B89" s="9"/>
      <c r="C89" s="843"/>
      <c r="D89" s="844"/>
      <c r="E89" s="39"/>
      <c r="F89" s="39" t="s">
        <v>1641</v>
      </c>
      <c r="G89" s="9" t="s">
        <v>281</v>
      </c>
      <c r="H89" s="13" t="s">
        <v>1694</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 customFormat="1" ht="15" customHeight="1">
      <c r="B90" s="9"/>
      <c r="C90" s="843"/>
      <c r="D90" s="844"/>
      <c r="E90" s="39"/>
      <c r="F90" s="39" t="s">
        <v>1641</v>
      </c>
      <c r="G90" s="9" t="s">
        <v>269</v>
      </c>
      <c r="H90" s="13" t="s">
        <v>1695</v>
      </c>
      <c r="I90" s="14"/>
      <c r="J90" s="14"/>
      <c r="K90" s="288" t="str" cm="1">
        <f t="array" ref="K90">IF(ISBLANK(J90), IF(ISBLANK(I90), "N/A", _xlfn.IFS(L90="AS", I90+15, L90="NCR", I90+30, L90="submitted", I90+30, TRUE, "N/A")), _xlfn.IFS(L90="AS", J90+15, L90="NCR", J90+30, L90="submitted", J90+30, TRUE, "N/A"))</f>
        <v>N/A</v>
      </c>
      <c r="L90" s="9"/>
      <c r="M90" s="317"/>
      <c r="N90" s="802"/>
      <c r="O90" s="803"/>
      <c r="P90" s="803"/>
      <c r="Q90" s="804"/>
    </row>
    <row r="91" spans="2:17" s="1" customFormat="1" ht="15" customHeight="1">
      <c r="B91" s="9"/>
      <c r="C91" s="843"/>
      <c r="D91" s="844"/>
      <c r="E91" s="39"/>
      <c r="F91" s="39" t="s">
        <v>1641</v>
      </c>
      <c r="G91" s="9" t="s">
        <v>259</v>
      </c>
      <c r="H91" s="13" t="s">
        <v>1696</v>
      </c>
      <c r="I91" s="14"/>
      <c r="J91" s="14"/>
      <c r="K91" s="288" t="str" cm="1">
        <f t="array" ref="K91">IF(ISBLANK(J91), IF(ISBLANK(I91), "N/A", _xlfn.IFS(L91="AS", I91+15, L91="NCR", I91+30, L91="submitted", I91+30, TRUE, "N/A")), _xlfn.IFS(L91="AS", J91+15, L91="NCR", J91+30, L91="submitted", J91+30, TRUE, "N/A"))</f>
        <v>N/A</v>
      </c>
      <c r="L91" s="9"/>
      <c r="M91" s="317"/>
      <c r="N91" s="802"/>
      <c r="O91" s="803"/>
      <c r="P91" s="803"/>
      <c r="Q91" s="804"/>
    </row>
    <row r="92" spans="2:17" s="1" customFormat="1" ht="40.5" customHeight="1">
      <c r="B92" s="9"/>
      <c r="C92" s="807"/>
      <c r="D92" s="809"/>
      <c r="E92" s="46"/>
      <c r="F92" s="46" t="s">
        <v>1641</v>
      </c>
      <c r="G92" s="9" t="s">
        <v>352</v>
      </c>
      <c r="H92" s="7" t="s">
        <v>1697</v>
      </c>
      <c r="I92" s="14"/>
      <c r="J92" s="14"/>
      <c r="K92" s="288" t="str" cm="1">
        <f t="array" ref="K92">IF(ISBLANK(J92), IF(ISBLANK(I92), "N/A", _xlfn.IFS(L92="AS", I92+15, L92="NCR", I92+30, L92="submitted", I92+30, TRUE, "N/A")), _xlfn.IFS(L92="AS", J92+15, L92="NCR", J92+30, L92="submitted", J92+30, TRUE, "N/A"))</f>
        <v>N/A</v>
      </c>
      <c r="L92" s="9"/>
      <c r="M92" s="317"/>
      <c r="N92" s="802"/>
      <c r="O92" s="803"/>
      <c r="P92" s="803"/>
      <c r="Q92" s="804"/>
    </row>
    <row r="93" spans="2:17" s="138" customFormat="1" ht="45" customHeight="1">
      <c r="B93" s="151" t="s">
        <v>1698</v>
      </c>
      <c r="C93" s="169" t="s">
        <v>1699</v>
      </c>
      <c r="D93" s="260" t="s">
        <v>1700</v>
      </c>
      <c r="E93" s="168" t="s">
        <v>1701</v>
      </c>
      <c r="F93" s="168" t="s">
        <v>1539</v>
      </c>
      <c r="G93" s="151" t="s">
        <v>208</v>
      </c>
      <c r="H93" s="153" t="s">
        <v>1702</v>
      </c>
      <c r="I93" s="261">
        <v>45786</v>
      </c>
      <c r="J93" s="261">
        <v>45791</v>
      </c>
      <c r="K93" s="288" t="str" cm="1">
        <f t="array" ref="K93">IF(ISBLANK(J93), IF(ISBLANK(I93), "N/A", _xlfn.IFS(L93="AS", I93+15, L93="NCR", I93+30, L93="submitted", I93+30, TRUE, "N/A")), _xlfn.IFS(L93="AS", J93+15, L93="NCR", J93+30, L93="submitted", J93+30, TRUE, "N/A"))</f>
        <v>N/A</v>
      </c>
      <c r="L93" s="151" t="s">
        <v>151</v>
      </c>
      <c r="M93" s="317"/>
      <c r="N93" s="802"/>
      <c r="O93" s="803"/>
      <c r="P93" s="803"/>
      <c r="Q93" s="804"/>
    </row>
    <row r="94" spans="2:17" s="5" customFormat="1" ht="15" customHeight="1">
      <c r="B94" s="4"/>
      <c r="C94" s="56" t="s">
        <v>1699</v>
      </c>
      <c r="D94" s="57" t="s">
        <v>1700</v>
      </c>
      <c r="E94" s="35"/>
      <c r="F94" s="35" t="s">
        <v>1641</v>
      </c>
      <c r="G94" s="4" t="s">
        <v>281</v>
      </c>
      <c r="H94" s="17" t="s">
        <v>668</v>
      </c>
      <c r="I94" s="18"/>
      <c r="J94" s="18"/>
      <c r="K94" s="288" t="str" cm="1">
        <f t="array" ref="K94">IF(ISBLANK(J94), IF(ISBLANK(I94), "N/A", _xlfn.IFS(L94="AS", I94+15, L94="NCR", I94+30, L94="submitted", I94+30, TRUE, "N/A")), _xlfn.IFS(L94="AS", J94+15, L94="NCR", J94+30, L94="submitted", J94+30, TRUE, "N/A"))</f>
        <v>N/A</v>
      </c>
      <c r="L94" s="4"/>
      <c r="M94" s="317"/>
      <c r="N94" s="802"/>
      <c r="O94" s="803"/>
      <c r="P94" s="803"/>
      <c r="Q94" s="804"/>
    </row>
    <row r="95" spans="2:17" s="5" customFormat="1" ht="15" customHeight="1">
      <c r="B95" s="4"/>
      <c r="C95" s="58" t="s">
        <v>1699</v>
      </c>
      <c r="D95" s="31" t="s">
        <v>1700</v>
      </c>
      <c r="E95" s="36"/>
      <c r="F95" s="36" t="s">
        <v>1641</v>
      </c>
      <c r="G95" s="4" t="s">
        <v>269</v>
      </c>
      <c r="H95" s="17" t="s">
        <v>1703</v>
      </c>
      <c r="I95" s="18"/>
      <c r="J95" s="18"/>
      <c r="K95" s="288" t="str" cm="1">
        <f t="array" ref="K95">IF(ISBLANK(J95), IF(ISBLANK(I95), "N/A", _xlfn.IFS(L95="AS", I95+15, L95="NCR", I95+30, L95="submitted", I95+30, TRUE, "N/A")), _xlfn.IFS(L95="AS", J95+15, L95="NCR", J95+30, L95="submitted", J95+30, TRUE, "N/A"))</f>
        <v>N/A</v>
      </c>
      <c r="L95" s="4"/>
      <c r="M95" s="317"/>
      <c r="N95" s="802"/>
      <c r="O95" s="803"/>
      <c r="P95" s="803"/>
      <c r="Q95" s="804"/>
    </row>
    <row r="96" spans="2:17" s="266" customFormat="1" ht="15" customHeight="1">
      <c r="B96" s="262" t="s">
        <v>17</v>
      </c>
      <c r="C96" s="340" t="s">
        <v>1704</v>
      </c>
      <c r="D96" s="341" t="s">
        <v>1705</v>
      </c>
      <c r="E96" s="267" t="s">
        <v>18</v>
      </c>
      <c r="F96" s="267" t="s">
        <v>1539</v>
      </c>
      <c r="G96" s="262" t="s">
        <v>281</v>
      </c>
      <c r="H96" s="264" t="s">
        <v>235</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1" customFormat="1" ht="15" customHeight="1">
      <c r="B97" s="262" t="s">
        <v>17</v>
      </c>
      <c r="C97" s="47" t="s">
        <v>1704</v>
      </c>
      <c r="D97" s="2" t="s">
        <v>1705</v>
      </c>
      <c r="E97" s="39"/>
      <c r="F97" s="39" t="s">
        <v>161</v>
      </c>
      <c r="G97" s="38" t="s">
        <v>329</v>
      </c>
      <c r="H97" s="37" t="s">
        <v>1706</v>
      </c>
      <c r="I97" s="265">
        <v>45784</v>
      </c>
      <c r="J97" s="265">
        <v>45790</v>
      </c>
      <c r="K97" s="288" cm="1">
        <f t="array" ref="K97">IF(ISBLANK(J97), IF(ISBLANK(I97), "N/A", _xlfn.IFS(L97="AS", I97+15, L97="NCR", I97+30, L97="submitted", I97+30, TRUE, "N/A")), _xlfn.IFS(L97="AS", J97+15, L97="NCR", J97+30, L97="submitted", J97+30, TRUE, "N/A"))</f>
        <v>45820</v>
      </c>
      <c r="L97" s="262" t="s">
        <v>157</v>
      </c>
      <c r="M97" s="317"/>
      <c r="N97" s="802"/>
      <c r="O97" s="803"/>
      <c r="P97" s="803"/>
      <c r="Q97" s="804"/>
    </row>
    <row r="98" spans="2:17" s="1" customFormat="1" ht="15" customHeight="1">
      <c r="B98" s="262" t="s">
        <v>17</v>
      </c>
      <c r="C98" s="47" t="s">
        <v>1704</v>
      </c>
      <c r="D98" s="2" t="s">
        <v>1705</v>
      </c>
      <c r="E98" s="39"/>
      <c r="F98" s="39" t="s">
        <v>161</v>
      </c>
      <c r="G98" s="38" t="s">
        <v>601</v>
      </c>
      <c r="H98" s="37" t="s">
        <v>1707</v>
      </c>
      <c r="I98" s="265">
        <v>45784</v>
      </c>
      <c r="J98" s="265">
        <v>45790</v>
      </c>
      <c r="K98" s="288" cm="1">
        <f t="array" ref="K98">IF(ISBLANK(J98), IF(ISBLANK(I98), "N/A", _xlfn.IFS(L98="AS", I98+15, L98="NCR", I98+30, L98="submitted", I98+30, TRUE, "N/A")), _xlfn.IFS(L98="AS", J98+15, L98="NCR", J98+30, L98="submitted", J98+30, TRUE, "N/A"))</f>
        <v>45820</v>
      </c>
      <c r="L98" s="262" t="s">
        <v>157</v>
      </c>
      <c r="M98" s="317"/>
      <c r="N98" s="802"/>
      <c r="O98" s="803"/>
      <c r="P98" s="803"/>
      <c r="Q98" s="804"/>
    </row>
    <row r="99" spans="2:17" s="1" customFormat="1" ht="15" customHeight="1">
      <c r="B99" s="262" t="s">
        <v>17</v>
      </c>
      <c r="C99" s="47" t="s">
        <v>1704</v>
      </c>
      <c r="D99" s="2" t="s">
        <v>1705</v>
      </c>
      <c r="E99" s="39"/>
      <c r="F99" s="39" t="s">
        <v>1545</v>
      </c>
      <c r="G99" s="38" t="s">
        <v>372</v>
      </c>
      <c r="H99" s="40" t="s">
        <v>1708</v>
      </c>
      <c r="I99" s="265">
        <v>45784</v>
      </c>
      <c r="J99" s="265">
        <v>45790</v>
      </c>
      <c r="K99" s="288" cm="1">
        <f t="array" ref="K99">IF(ISBLANK(J99), IF(ISBLANK(I99), "N/A", _xlfn.IFS(L99="AS", I99+15, L99="NCR", I99+30, L99="submitted", I99+30, TRUE, "N/A")), _xlfn.IFS(L99="AS", J99+15, L99="NCR", J99+30, L99="submitted", J99+30, TRUE, "N/A"))</f>
        <v>45820</v>
      </c>
      <c r="L99" s="262" t="s">
        <v>157</v>
      </c>
      <c r="M99" s="317"/>
      <c r="N99" s="802"/>
      <c r="O99" s="803"/>
      <c r="P99" s="803"/>
      <c r="Q99" s="804"/>
    </row>
    <row r="100" spans="2:17" s="5" customFormat="1" ht="27" customHeight="1">
      <c r="B100" s="297" t="s">
        <v>1709</v>
      </c>
      <c r="C100" s="169" t="s">
        <v>1710</v>
      </c>
      <c r="D100" s="597" t="s">
        <v>1711</v>
      </c>
      <c r="E100" s="529"/>
      <c r="F100" s="529" t="s">
        <v>1539</v>
      </c>
      <c r="G100" s="297" t="s">
        <v>281</v>
      </c>
      <c r="H100" s="529" t="s">
        <v>1712</v>
      </c>
      <c r="I100" s="598">
        <v>45908</v>
      </c>
      <c r="J100" s="598">
        <v>45909</v>
      </c>
      <c r="K100" s="288" t="str" cm="1">
        <f t="array" ref="K100">IF(ISBLANK(J100), IF(ISBLANK(I100), "N/A", _xlfn.IFS(L100="AS", I100+15, L100="NCR", I100+30, L100="submitted", I100+30, TRUE, "N/A")), _xlfn.IFS(L100="AS", J100+15, L100="NCR", J100+30, L100="submitted", J100+30, TRUE, "N/A"))</f>
        <v>N/A</v>
      </c>
      <c r="L100" s="297" t="s">
        <v>151</v>
      </c>
      <c r="M100" s="317"/>
      <c r="N100" s="802"/>
      <c r="O100" s="803"/>
      <c r="P100" s="803"/>
      <c r="Q100" s="804"/>
    </row>
    <row r="101" spans="2:17" s="5" customFormat="1" ht="24" customHeight="1">
      <c r="B101" s="19"/>
      <c r="C101" s="54" t="s">
        <v>1710</v>
      </c>
      <c r="D101" s="423" t="s">
        <v>1711</v>
      </c>
      <c r="E101" s="59"/>
      <c r="F101" s="79" t="s">
        <v>161</v>
      </c>
      <c r="G101" s="99" t="s">
        <v>329</v>
      </c>
      <c r="H101" s="53" t="s">
        <v>1706</v>
      </c>
      <c r="I101" s="30"/>
      <c r="J101" s="30"/>
      <c r="K101" s="288" t="str" cm="1">
        <f t="array" ref="K101">IF(ISBLANK(J101), IF(ISBLANK(I101), "N/A", _xlfn.IFS(L101="AS", I101+15, L101="NCR", I101+30, L101="submitted", I101+30, TRUE, "N/A")), _xlfn.IFS(L101="AS", J101+15, L101="NCR", J101+30, L101="submitted", J101+30, TRUE, "N/A"))</f>
        <v>N/A</v>
      </c>
      <c r="L101" s="19"/>
      <c r="M101" s="317"/>
      <c r="N101" s="802"/>
      <c r="O101" s="803"/>
      <c r="P101" s="803"/>
      <c r="Q101" s="804"/>
    </row>
    <row r="102" spans="2:17" s="5" customFormat="1" ht="24" customHeight="1">
      <c r="B102" s="19"/>
      <c r="C102" s="54" t="s">
        <v>1710</v>
      </c>
      <c r="D102" s="423" t="s">
        <v>1711</v>
      </c>
      <c r="E102" s="59"/>
      <c r="F102" s="79" t="s">
        <v>161</v>
      </c>
      <c r="G102" s="99" t="s">
        <v>601</v>
      </c>
      <c r="H102" s="53" t="s">
        <v>1707</v>
      </c>
      <c r="I102" s="30"/>
      <c r="J102" s="30"/>
      <c r="K102" s="288" t="str" cm="1">
        <f t="array" ref="K102">IF(ISBLANK(J102), IF(ISBLANK(I102), "N/A", _xlfn.IFS(L102="AS", I102+15, L102="NCR", I102+30, L102="submitted", I102+30, TRUE, "N/A")), _xlfn.IFS(L102="AS", J102+15, L102="NCR", J102+30, L102="submitted", J102+30, TRUE, "N/A"))</f>
        <v>N/A</v>
      </c>
      <c r="L102" s="19"/>
      <c r="M102" s="317"/>
      <c r="N102" s="802"/>
      <c r="O102" s="803"/>
      <c r="P102" s="803"/>
      <c r="Q102" s="804"/>
    </row>
    <row r="103" spans="2:17" s="45" customFormat="1" ht="27" customHeight="1">
      <c r="B103" s="42"/>
      <c r="C103" s="54" t="s">
        <v>1710</v>
      </c>
      <c r="D103" s="423" t="s">
        <v>1711</v>
      </c>
      <c r="E103" s="60"/>
      <c r="F103" s="431" t="s">
        <v>1649</v>
      </c>
      <c r="G103" s="82" t="s">
        <v>1713</v>
      </c>
      <c r="H103" s="61" t="s">
        <v>1714</v>
      </c>
      <c r="I103" s="44"/>
      <c r="J103" s="44"/>
      <c r="K103" s="288" t="str" cm="1">
        <f t="array" ref="K103">IF(ISBLANK(J103), IF(ISBLANK(I103), "N/A", _xlfn.IFS(L103="AS", I103+15, L103="NCR", I103+30, L103="submitted", I103+30, TRUE, "N/A")), _xlfn.IFS(L103="AS", J103+15, L103="NCR", J103+30, L103="submitted", J103+30, TRUE, "N/A"))</f>
        <v>N/A</v>
      </c>
      <c r="L103" s="42"/>
      <c r="M103" s="317"/>
      <c r="N103" s="802"/>
      <c r="O103" s="803"/>
      <c r="P103" s="803"/>
      <c r="Q103" s="804"/>
    </row>
    <row r="104" spans="2:17" s="138" customFormat="1" ht="40.5" customHeight="1">
      <c r="B104" s="133" t="s">
        <v>32</v>
      </c>
      <c r="C104" s="516" t="s">
        <v>1715</v>
      </c>
      <c r="D104" s="517" t="s">
        <v>1716</v>
      </c>
      <c r="E104" s="518" t="s">
        <v>33</v>
      </c>
      <c r="F104" s="518" t="s">
        <v>1539</v>
      </c>
      <c r="G104" s="133" t="s">
        <v>229</v>
      </c>
      <c r="H104" s="520" t="s">
        <v>1717</v>
      </c>
      <c r="I104" s="519">
        <v>45834</v>
      </c>
      <c r="J104" s="519">
        <v>45894</v>
      </c>
      <c r="K104" s="288" t="str" cm="1">
        <f t="array" ref="K104">IF(ISBLANK(J104), IF(ISBLANK(I104), "N/A", _xlfn.IFS(L104="AS", I104+15, L104="NCR", I104+30, L104="submitted", I104+30, TRUE, "N/A")), _xlfn.IFS(L104="AS", J104+15, L104="NCR", J104+30, L104="submitted", J104+30, TRUE, "N/A"))</f>
        <v>N/A</v>
      </c>
      <c r="L104" s="133" t="s">
        <v>639</v>
      </c>
      <c r="M104" s="317"/>
      <c r="N104" s="802"/>
      <c r="O104" s="803"/>
      <c r="P104" s="803"/>
      <c r="Q104" s="804"/>
    </row>
    <row r="105" spans="2:17" s="138" customFormat="1" ht="27" customHeight="1">
      <c r="B105" s="133" t="s">
        <v>32</v>
      </c>
      <c r="C105" s="516" t="s">
        <v>1715</v>
      </c>
      <c r="D105" s="517" t="s">
        <v>1716</v>
      </c>
      <c r="E105" s="518" t="s">
        <v>33</v>
      </c>
      <c r="F105" s="518" t="s">
        <v>1539</v>
      </c>
      <c r="G105" s="133" t="s">
        <v>232</v>
      </c>
      <c r="H105" s="137" t="s">
        <v>1718</v>
      </c>
      <c r="I105" s="519">
        <v>45834</v>
      </c>
      <c r="J105" s="519">
        <v>45894</v>
      </c>
      <c r="K105" s="288" t="str" cm="1">
        <f t="array" ref="K105">IF(ISBLANK(J105), IF(ISBLANK(I105), "N/A", _xlfn.IFS(L105="AS", I105+15, L105="NCR", I105+30, L105="submitted", I105+30, TRUE, "N/A")), _xlfn.IFS(L105="AS", J105+15, L105="NCR", J105+30, L105="submitted", J105+30, TRUE, "N/A"))</f>
        <v>N/A</v>
      </c>
      <c r="L105" s="133" t="s">
        <v>639</v>
      </c>
      <c r="M105" s="317"/>
      <c r="N105" s="802"/>
      <c r="O105" s="803"/>
      <c r="P105" s="803"/>
      <c r="Q105" s="804"/>
    </row>
    <row r="106" spans="2:17" s="138" customFormat="1" ht="27" customHeight="1">
      <c r="B106" s="133" t="s">
        <v>32</v>
      </c>
      <c r="C106" s="516" t="s">
        <v>1715</v>
      </c>
      <c r="D106" s="517" t="s">
        <v>1716</v>
      </c>
      <c r="E106" s="518" t="s">
        <v>33</v>
      </c>
      <c r="F106" s="518" t="s">
        <v>1539</v>
      </c>
      <c r="G106" s="133" t="s">
        <v>1558</v>
      </c>
      <c r="H106" s="137" t="s">
        <v>1719</v>
      </c>
      <c r="I106" s="519">
        <v>45834</v>
      </c>
      <c r="J106" s="519">
        <v>45894</v>
      </c>
      <c r="K106" s="288" t="str" cm="1">
        <f t="array" ref="K106">IF(ISBLANK(J106), IF(ISBLANK(I106), "N/A", _xlfn.IFS(L106="AS", I106+15, L106="NCR", I106+30, L106="submitted", I106+30, TRUE, "N/A")), _xlfn.IFS(L106="AS", J106+15, L106="NCR", J106+30, L106="submitted", J106+30, TRUE, "N/A"))</f>
        <v>N/A</v>
      </c>
      <c r="L106" s="133" t="s">
        <v>639</v>
      </c>
      <c r="M106" s="317"/>
      <c r="N106" s="802"/>
      <c r="O106" s="803"/>
      <c r="P106" s="803"/>
      <c r="Q106" s="804"/>
    </row>
    <row r="107" spans="2:17" s="1" customFormat="1" ht="36.75" customHeight="1">
      <c r="B107" s="21"/>
      <c r="C107" s="361" t="s">
        <v>1715</v>
      </c>
      <c r="D107" s="360" t="s">
        <v>1716</v>
      </c>
      <c r="E107" s="50"/>
      <c r="F107" s="432" t="s">
        <v>1545</v>
      </c>
      <c r="G107" s="433" t="s">
        <v>234</v>
      </c>
      <c r="H107" s="52" t="s">
        <v>1720</v>
      </c>
      <c r="I107" s="51"/>
      <c r="J107" s="51"/>
      <c r="K107" s="288" t="str" cm="1">
        <f t="array" ref="K107">IF(ISBLANK(J107), IF(ISBLANK(I107), "N/A", _xlfn.IFS(L107="AS", I107+15, L107="NCR", I107+30, L107="submitted", I107+30, TRUE, "N/A")), _xlfn.IFS(L107="AS", J107+15, L107="NCR", J107+30, L107="submitted", J107+30, TRUE, "N/A"))</f>
        <v>N/A</v>
      </c>
      <c r="L107" s="21"/>
      <c r="M107" s="317"/>
      <c r="N107" s="802"/>
      <c r="O107" s="803"/>
      <c r="P107" s="803"/>
      <c r="Q107" s="804"/>
    </row>
    <row r="108" spans="2:17" s="1" customFormat="1" ht="27" customHeight="1">
      <c r="B108" s="21"/>
      <c r="C108" s="361" t="s">
        <v>1715</v>
      </c>
      <c r="D108" s="360" t="s">
        <v>1716</v>
      </c>
      <c r="E108" s="52"/>
      <c r="F108" s="432" t="s">
        <v>1545</v>
      </c>
      <c r="G108" s="21" t="s">
        <v>236</v>
      </c>
      <c r="H108" s="52" t="s">
        <v>1721</v>
      </c>
      <c r="I108" s="51"/>
      <c r="J108" s="51"/>
      <c r="K108" s="288" t="str" cm="1">
        <f t="array" ref="K108">IF(ISBLANK(J108), IF(ISBLANK(I108), "N/A", _xlfn.IFS(L108="AS", I108+15, L108="NCR", I108+30, L108="submitted", I108+30, TRUE, "N/A")), _xlfn.IFS(L108="AS", J108+15, L108="NCR", J108+30, L108="submitted", J108+30, TRUE, "N/A"))</f>
        <v>N/A</v>
      </c>
      <c r="L108" s="21"/>
      <c r="M108" s="317"/>
      <c r="N108" s="802"/>
      <c r="O108" s="803"/>
      <c r="P108" s="803"/>
      <c r="Q108" s="804"/>
    </row>
    <row r="109" spans="2:17" s="5" customFormat="1" ht="27" customHeight="1">
      <c r="B109" s="4"/>
      <c r="C109" s="54" t="s">
        <v>1722</v>
      </c>
      <c r="D109" s="55" t="s">
        <v>1723</v>
      </c>
      <c r="E109" s="34"/>
      <c r="F109" s="34" t="s">
        <v>1539</v>
      </c>
      <c r="G109" s="4" t="s">
        <v>1724</v>
      </c>
      <c r="H109" s="3" t="s">
        <v>1725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35.25" customHeight="1">
      <c r="B110" s="4"/>
      <c r="C110" s="54" t="s">
        <v>1722</v>
      </c>
      <c r="D110" s="55" t="s">
        <v>1723</v>
      </c>
      <c r="E110" s="35"/>
      <c r="F110" s="34" t="s">
        <v>1539</v>
      </c>
      <c r="G110" s="4" t="s">
        <v>1726</v>
      </c>
      <c r="H110" s="3" t="s">
        <v>1727</v>
      </c>
      <c r="I110" s="18"/>
      <c r="J110" s="18"/>
      <c r="K110" s="288"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5" customFormat="1" ht="35.25" customHeight="1">
      <c r="B111" s="4"/>
      <c r="C111" s="54" t="s">
        <v>1722</v>
      </c>
      <c r="D111" s="55" t="s">
        <v>1723</v>
      </c>
      <c r="E111" s="35"/>
      <c r="F111" s="34" t="s">
        <v>1539</v>
      </c>
      <c r="G111" s="4" t="s">
        <v>1728</v>
      </c>
      <c r="H111" s="3" t="s">
        <v>1729</v>
      </c>
      <c r="I111" s="18"/>
      <c r="J111" s="18"/>
      <c r="K111" s="288" t="str" cm="1">
        <f t="array" ref="K111">IF(ISBLANK(J111), IF(ISBLANK(I111), "N/A", _xlfn.IFS(L111="AS", I111+15, L111="NCR", I111+30, L111="submitted", I111+30, TRUE, "N/A")), _xlfn.IFS(L111="AS", J111+15, L111="NCR", J111+30, L111="submitted", J111+30, TRUE, "N/A"))</f>
        <v>N/A</v>
      </c>
      <c r="L111" s="4"/>
      <c r="M111" s="317"/>
      <c r="N111" s="802"/>
      <c r="O111" s="803"/>
      <c r="P111" s="803"/>
      <c r="Q111" s="804"/>
    </row>
    <row r="112" spans="2:17" s="5" customFormat="1" ht="15" customHeight="1">
      <c r="B112" s="4"/>
      <c r="C112" s="54" t="s">
        <v>1722</v>
      </c>
      <c r="D112" s="55" t="s">
        <v>1723</v>
      </c>
      <c r="E112" s="36"/>
      <c r="F112" s="34" t="s">
        <v>1539</v>
      </c>
      <c r="G112" s="4" t="s">
        <v>281</v>
      </c>
      <c r="H112" s="17" t="s">
        <v>235</v>
      </c>
      <c r="I112" s="18"/>
      <c r="J112" s="18"/>
      <c r="K112" s="288" t="str" cm="1">
        <f t="array" ref="K112">IF(ISBLANK(J112), IF(ISBLANK(I112), "N/A", _xlfn.IFS(L112="AS", I112+15, L112="NCR", I112+30, L112="submitted", I112+30, TRUE, "N/A")), _xlfn.IFS(L112="AS", J112+15, L112="NCR", J112+30, L112="submitted", J112+30, TRUE, "N/A"))</f>
        <v>N/A</v>
      </c>
      <c r="L112" s="4"/>
      <c r="M112" s="317"/>
      <c r="N112" s="802"/>
      <c r="O112" s="803"/>
      <c r="P112" s="803"/>
      <c r="Q112" s="804"/>
    </row>
    <row r="113" spans="2:17" s="1" customFormat="1" ht="15" customHeight="1">
      <c r="B113" s="9"/>
      <c r="C113" s="840" t="s">
        <v>1730</v>
      </c>
      <c r="D113" s="841" t="s">
        <v>1731</v>
      </c>
      <c r="E113" s="37"/>
      <c r="F113" s="37" t="s">
        <v>1641</v>
      </c>
      <c r="G113" s="9" t="s">
        <v>212</v>
      </c>
      <c r="H113" s="13" t="s">
        <v>484</v>
      </c>
      <c r="I113" s="14"/>
      <c r="J113" s="14"/>
      <c r="K113" s="288"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15" customHeight="1">
      <c r="B114" s="38"/>
      <c r="C114" s="843"/>
      <c r="D114" s="844"/>
      <c r="E114" s="39"/>
      <c r="F114" s="37" t="s">
        <v>1641</v>
      </c>
      <c r="G114" s="38" t="s">
        <v>336</v>
      </c>
      <c r="H114" s="37" t="s">
        <v>274</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43"/>
      <c r="D115" s="844"/>
      <c r="E115" s="39"/>
      <c r="F115" s="37" t="s">
        <v>1641</v>
      </c>
      <c r="G115" s="38" t="s">
        <v>337</v>
      </c>
      <c r="H115" s="37" t="s">
        <v>1732</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1" customFormat="1" ht="15" customHeight="1">
      <c r="B116" s="38"/>
      <c r="C116" s="843"/>
      <c r="D116" s="844"/>
      <c r="E116" s="39"/>
      <c r="F116" s="37" t="s">
        <v>1641</v>
      </c>
      <c r="G116" s="38" t="s">
        <v>404</v>
      </c>
      <c r="H116" s="37" t="s">
        <v>1733</v>
      </c>
      <c r="I116" s="41"/>
      <c r="J116" s="41"/>
      <c r="K116" s="288" t="str" cm="1">
        <f t="array" ref="K116">IF(ISBLANK(J116), IF(ISBLANK(I116), "N/A", _xlfn.IFS(L116="AS", I116+15, L116="NCR", I116+30, L116="submitted", I116+30, TRUE, "N/A")), _xlfn.IFS(L116="AS", J116+15, L116="NCR", J116+30, L116="submitted", J116+30, TRUE, "N/A"))</f>
        <v>N/A</v>
      </c>
      <c r="L116" s="38"/>
      <c r="M116" s="317"/>
      <c r="N116" s="802"/>
      <c r="O116" s="803"/>
      <c r="P116" s="803"/>
      <c r="Q116" s="804"/>
    </row>
    <row r="117" spans="2:17" s="1" customFormat="1" ht="15" customHeight="1">
      <c r="B117" s="38"/>
      <c r="C117" s="843"/>
      <c r="D117" s="844"/>
      <c r="E117" s="39"/>
      <c r="F117" s="39" t="s">
        <v>161</v>
      </c>
      <c r="G117" s="38" t="s">
        <v>340</v>
      </c>
      <c r="H117" s="37" t="s">
        <v>1734</v>
      </c>
      <c r="I117" s="41"/>
      <c r="J117" s="41"/>
      <c r="K117" s="288" t="str" cm="1">
        <f t="array" ref="K117">IF(ISBLANK(J117), IF(ISBLANK(I117), "N/A", _xlfn.IFS(L117="AS", I117+15, L117="NCR", I117+30, L117="submitted", I117+30, TRUE, "N/A")), _xlfn.IFS(L117="AS", J117+15, L117="NCR", J117+30, L117="submitted", J117+30, TRUE, "N/A"))</f>
        <v>N/A</v>
      </c>
      <c r="L117" s="38"/>
      <c r="M117" s="317"/>
      <c r="N117" s="802"/>
      <c r="O117" s="803"/>
      <c r="P117" s="803"/>
      <c r="Q117" s="804"/>
    </row>
    <row r="118" spans="2:17" s="1" customFormat="1" ht="15" customHeight="1">
      <c r="B118" s="38"/>
      <c r="C118" s="807"/>
      <c r="D118" s="809"/>
      <c r="E118" s="39"/>
      <c r="F118" s="39" t="s">
        <v>161</v>
      </c>
      <c r="G118" s="38" t="s">
        <v>342</v>
      </c>
      <c r="H118" s="37" t="s">
        <v>1735</v>
      </c>
      <c r="I118" s="41"/>
      <c r="J118" s="41"/>
      <c r="K118" s="288" t="str" cm="1">
        <f t="array" ref="K118">IF(ISBLANK(J118), IF(ISBLANK(I118), "N/A", _xlfn.IFS(L118="AS", I118+15, L118="NCR", I118+30, L118="submitted", I118+30, TRUE, "N/A")), _xlfn.IFS(L118="AS", J118+15, L118="NCR", J118+30, L118="submitted", J118+30, TRUE, "N/A"))</f>
        <v>N/A</v>
      </c>
      <c r="L118" s="38"/>
      <c r="M118" s="317"/>
      <c r="N118" s="802"/>
      <c r="O118" s="803"/>
      <c r="P118" s="803"/>
      <c r="Q118" s="804"/>
    </row>
    <row r="119" spans="2:17" s="5" customFormat="1" ht="15" customHeight="1">
      <c r="B119" s="19"/>
      <c r="C119" s="829" t="s">
        <v>1736</v>
      </c>
      <c r="D119" s="832" t="s">
        <v>1737</v>
      </c>
      <c r="E119" s="34"/>
      <c r="F119" s="34" t="s">
        <v>1539</v>
      </c>
      <c r="G119" s="19" t="s">
        <v>234</v>
      </c>
      <c r="H119" s="34" t="s">
        <v>1738</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75" customHeight="1">
      <c r="B120" s="19"/>
      <c r="C120" s="830"/>
      <c r="D120" s="833"/>
      <c r="E120" s="35"/>
      <c r="F120" s="34" t="s">
        <v>1539</v>
      </c>
      <c r="G120" s="19" t="s">
        <v>236</v>
      </c>
      <c r="H120" s="34" t="s">
        <v>1739</v>
      </c>
      <c r="I120" s="30"/>
      <c r="J120" s="30"/>
      <c r="K120" s="288" t="str" cm="1">
        <f t="array" ref="K120">IF(ISBLANK(J120), IF(ISBLANK(I120), "N/A", _xlfn.IFS(L120="AS", I120+15, L120="NCR", I120+30, L120="submitted", I120+30, TRUE, "N/A")), _xlfn.IFS(L120="AS", J120+15, L120="NCR", J120+30, L120="submitted", J120+30, TRUE, "N/A"))</f>
        <v>N/A</v>
      </c>
      <c r="L120" s="19"/>
      <c r="M120" s="317"/>
      <c r="N120" s="802"/>
      <c r="O120" s="803"/>
      <c r="P120" s="803"/>
      <c r="Q120" s="804"/>
    </row>
    <row r="121" spans="2:17" s="5" customFormat="1" ht="15" customHeight="1">
      <c r="B121" s="19"/>
      <c r="C121" s="830"/>
      <c r="D121" s="833"/>
      <c r="E121" s="35"/>
      <c r="F121" s="34" t="s">
        <v>1539</v>
      </c>
      <c r="G121" s="19" t="s">
        <v>337</v>
      </c>
      <c r="H121" s="34" t="s">
        <v>282</v>
      </c>
      <c r="I121" s="30"/>
      <c r="J121" s="30"/>
      <c r="K121" s="288" t="str" cm="1">
        <f t="array" ref="K121">IF(ISBLANK(J121), IF(ISBLANK(I121), "N/A", _xlfn.IFS(L121="AS", I121+15, L121="NCR", I121+30, L121="submitted", I121+30, TRUE, "N/A")), _xlfn.IFS(L121="AS", J121+15, L121="NCR", J121+30, L121="submitted", J121+30, TRUE, "N/A"))</f>
        <v>N/A</v>
      </c>
      <c r="L121" s="19"/>
      <c r="M121" s="317"/>
      <c r="N121" s="802"/>
      <c r="O121" s="803"/>
      <c r="P121" s="803"/>
      <c r="Q121" s="804"/>
    </row>
    <row r="122" spans="2:17" s="5" customFormat="1" ht="15" customHeight="1">
      <c r="B122" s="19"/>
      <c r="C122" s="830"/>
      <c r="D122" s="833"/>
      <c r="E122" s="35"/>
      <c r="F122" s="34" t="s">
        <v>1539</v>
      </c>
      <c r="G122" s="19" t="s">
        <v>404</v>
      </c>
      <c r="H122" s="53" t="s">
        <v>1740</v>
      </c>
      <c r="I122" s="30"/>
      <c r="J122" s="30"/>
      <c r="K122" s="288" t="str" cm="1">
        <f t="array" ref="K122">IF(ISBLANK(J122), IF(ISBLANK(I122), "N/A", _xlfn.IFS(L122="AS", I122+15, L122="NCR", I122+30, L122="submitted", I122+30, TRUE, "N/A")), _xlfn.IFS(L122="AS", J122+15, L122="NCR", J122+30, L122="submitted", J122+30, TRUE, "N/A"))</f>
        <v>N/A</v>
      </c>
      <c r="L122" s="19"/>
      <c r="M122" s="317"/>
      <c r="N122" s="802"/>
      <c r="O122" s="803"/>
      <c r="P122" s="803"/>
      <c r="Q122" s="804"/>
    </row>
    <row r="123" spans="2:17" s="5" customFormat="1" ht="15" customHeight="1">
      <c r="B123" s="19"/>
      <c r="C123" s="830"/>
      <c r="D123" s="833"/>
      <c r="E123" s="35"/>
      <c r="F123" s="35" t="s">
        <v>161</v>
      </c>
      <c r="G123" s="19" t="s">
        <v>340</v>
      </c>
      <c r="H123" s="53" t="s">
        <v>1741</v>
      </c>
      <c r="I123" s="30"/>
      <c r="J123" s="30"/>
      <c r="K123" s="288" t="str" cm="1">
        <f t="array" ref="K123">IF(ISBLANK(J123), IF(ISBLANK(I123), "N/A", _xlfn.IFS(L123="AS", I123+15, L123="NCR", I123+30, L123="submitted", I123+30, TRUE, "N/A")), _xlfn.IFS(L123="AS", J123+15, L123="NCR", J123+30, L123="submitted", J123+30, TRUE, "N/A"))</f>
        <v>N/A</v>
      </c>
      <c r="L123" s="19"/>
      <c r="M123" s="317"/>
      <c r="N123" s="796" t="s">
        <v>133</v>
      </c>
      <c r="O123" s="797"/>
      <c r="P123" s="797"/>
      <c r="Q123" s="798"/>
    </row>
    <row r="124" spans="2:17" s="5" customFormat="1" ht="15" customHeight="1">
      <c r="B124" s="19"/>
      <c r="C124" s="830"/>
      <c r="D124" s="833"/>
      <c r="E124" s="35"/>
      <c r="F124" s="35" t="s">
        <v>161</v>
      </c>
      <c r="G124" s="19" t="s">
        <v>342</v>
      </c>
      <c r="H124" s="53" t="s">
        <v>1742</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30"/>
      <c r="D125" s="833"/>
      <c r="E125" s="35"/>
      <c r="F125" s="35" t="s">
        <v>161</v>
      </c>
      <c r="G125" s="19" t="s">
        <v>344</v>
      </c>
      <c r="H125" s="53" t="s">
        <v>1743</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15" customHeight="1">
      <c r="B126" s="19"/>
      <c r="C126" s="830"/>
      <c r="D126" s="833"/>
      <c r="E126" s="35"/>
      <c r="F126" s="35" t="s">
        <v>161</v>
      </c>
      <c r="G126" s="19" t="s">
        <v>1155</v>
      </c>
      <c r="H126" s="53" t="s">
        <v>1744</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5" customFormat="1" ht="15" customHeight="1">
      <c r="B127" s="19"/>
      <c r="C127" s="830"/>
      <c r="D127" s="833"/>
      <c r="E127" s="35"/>
      <c r="F127" s="35" t="s">
        <v>161</v>
      </c>
      <c r="G127" s="19" t="s">
        <v>1156</v>
      </c>
      <c r="H127" s="34" t="s">
        <v>1745</v>
      </c>
      <c r="I127" s="30"/>
      <c r="J127" s="30"/>
      <c r="K127" s="288" t="str" cm="1">
        <f t="array" ref="K127">IF(ISBLANK(J127), IF(ISBLANK(I127), "N/A", _xlfn.IFS(L127="AS", I127+15, L127="NCR", I127+30, L127="submitted", I127+30, TRUE, "N/A")), _xlfn.IFS(L127="AS", J127+15, L127="NCR", J127+30, L127="submitted", J127+30, TRUE, "N/A"))</f>
        <v>N/A</v>
      </c>
      <c r="L127" s="19"/>
      <c r="M127" s="317"/>
      <c r="N127" s="799"/>
      <c r="O127" s="800"/>
      <c r="P127" s="800"/>
      <c r="Q127" s="801"/>
    </row>
    <row r="128" spans="2:17" s="5" customFormat="1" ht="15" customHeight="1">
      <c r="B128" s="19"/>
      <c r="C128" s="830"/>
      <c r="D128" s="833"/>
      <c r="E128" s="35"/>
      <c r="F128" s="35" t="s">
        <v>1641</v>
      </c>
      <c r="G128" s="19" t="s">
        <v>406</v>
      </c>
      <c r="H128" s="34" t="s">
        <v>1746</v>
      </c>
      <c r="I128" s="30"/>
      <c r="J128" s="30"/>
      <c r="K128" s="288" t="str" cm="1">
        <f t="array" ref="K128">IF(ISBLANK(J128), IF(ISBLANK(I128), "N/A", _xlfn.IFS(L128="AS", I128+15, L128="NCR", I128+30, L128="submitted", I128+30, TRUE, "N/A")), _xlfn.IFS(L128="AS", J128+15, L128="NCR", J128+30, L128="submitted", J128+30, TRUE, "N/A"))</f>
        <v>N/A</v>
      </c>
      <c r="L128" s="19"/>
      <c r="M128" s="317"/>
      <c r="N128" s="799"/>
      <c r="O128" s="800"/>
      <c r="P128" s="800"/>
      <c r="Q128" s="801"/>
    </row>
    <row r="129" spans="1:17" s="5" customFormat="1" ht="27" customHeight="1">
      <c r="B129" s="19"/>
      <c r="C129" s="830"/>
      <c r="D129" s="833"/>
      <c r="E129" s="35"/>
      <c r="F129" s="35" t="s">
        <v>1541</v>
      </c>
      <c r="G129" s="19" t="s">
        <v>747</v>
      </c>
      <c r="H129" s="53" t="s">
        <v>1747</v>
      </c>
      <c r="I129" s="30"/>
      <c r="J129" s="30"/>
      <c r="K129" s="288" t="str" cm="1">
        <f t="array" ref="K129">IF(ISBLANK(J129), IF(ISBLANK(I129), "N/A", _xlfn.IFS(L129="AS", I129+15, L129="NCR", I129+30, L129="submitted", I129+30, TRUE, "N/A")), _xlfn.IFS(L129="AS", J129+15, L129="NCR", J129+30, L129="submitted", J129+30, TRUE, "N/A"))</f>
        <v>N/A</v>
      </c>
      <c r="L129" s="19"/>
      <c r="M129" s="317"/>
      <c r="N129" s="799"/>
      <c r="O129" s="800"/>
      <c r="P129" s="800"/>
      <c r="Q129" s="801"/>
    </row>
    <row r="130" spans="1:17" s="45" customFormat="1" ht="27" customHeight="1">
      <c r="B130" s="42"/>
      <c r="C130" s="882"/>
      <c r="D130" s="883"/>
      <c r="E130" s="49"/>
      <c r="F130" s="49" t="s">
        <v>1541</v>
      </c>
      <c r="G130" s="42" t="s">
        <v>893</v>
      </c>
      <c r="H130" s="61" t="s">
        <v>1748</v>
      </c>
      <c r="I130" s="44"/>
      <c r="J130" s="44"/>
      <c r="K130" s="288" t="str" cm="1">
        <f t="array" ref="K130">IF(ISBLANK(J130), IF(ISBLANK(I130), "N/A", _xlfn.IFS(L130="AS", I130+15, L130="NCR", I130+30, L130="submitted", I130+30, TRUE, "N/A")), _xlfn.IFS(L130="AS", J130+15, L130="NCR", J130+30, L130="submitted", J130+30, TRUE, "N/A"))</f>
        <v>N/A</v>
      </c>
      <c r="L130" s="42"/>
      <c r="M130" s="317"/>
      <c r="N130" s="799"/>
      <c r="O130" s="800"/>
      <c r="P130" s="800"/>
      <c r="Q130" s="801"/>
    </row>
    <row r="131" spans="1:17" s="1" customFormat="1" ht="15" customHeight="1">
      <c r="B131" s="21"/>
      <c r="C131" s="903" t="s">
        <v>1749</v>
      </c>
      <c r="D131" s="904" t="s">
        <v>1750</v>
      </c>
      <c r="E131" s="50"/>
      <c r="F131" s="50" t="s">
        <v>1641</v>
      </c>
      <c r="G131" s="21" t="s">
        <v>229</v>
      </c>
      <c r="H131" s="46" t="s">
        <v>1751</v>
      </c>
      <c r="I131" s="51"/>
      <c r="J131" s="51"/>
      <c r="K131" s="288" t="str" cm="1">
        <f t="array" ref="K131">IF(ISBLANK(J131), IF(ISBLANK(I131), "N/A", _xlfn.IFS(L131="AS", I131+15, L131="NCR", I131+30, L131="submitted", I131+30, TRUE, "N/A")), _xlfn.IFS(L131="AS", J131+15, L131="NCR", J131+30, L131="submitted", J131+30, TRUE, "N/A"))</f>
        <v>N/A</v>
      </c>
      <c r="L131" s="21"/>
      <c r="M131" s="317"/>
      <c r="N131" s="802" t="s">
        <v>148</v>
      </c>
      <c r="O131" s="803"/>
      <c r="P131" s="803"/>
      <c r="Q131" s="804"/>
    </row>
    <row r="132" spans="1:17" s="1" customFormat="1" ht="15" customHeight="1">
      <c r="B132" s="21"/>
      <c r="C132" s="843"/>
      <c r="D132" s="844"/>
      <c r="E132" s="39"/>
      <c r="F132" s="50" t="s">
        <v>1641</v>
      </c>
      <c r="G132" s="21" t="s">
        <v>232</v>
      </c>
      <c r="H132" s="52" t="s">
        <v>1752</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B133" s="21"/>
      <c r="C133" s="843"/>
      <c r="D133" s="844"/>
      <c r="E133" s="39"/>
      <c r="F133" s="50" t="s">
        <v>1641</v>
      </c>
      <c r="G133" s="21" t="s">
        <v>1558</v>
      </c>
      <c r="H133" s="46" t="s">
        <v>1753</v>
      </c>
      <c r="I133" s="51"/>
      <c r="J133" s="51"/>
      <c r="K133" s="288" t="str" cm="1">
        <f t="array" ref="K133">IF(ISBLANK(J133), IF(ISBLANK(I133), "N/A", _xlfn.IFS(L133="AS", I133+15, L133="NCR", I133+30, L133="submitted", I133+30, TRUE, "N/A")), _xlfn.IFS(L133="AS", J133+15, L133="NCR", J133+30, L133="submitted", J133+30, TRUE, "N/A"))</f>
        <v>N/A</v>
      </c>
      <c r="L133" s="21"/>
      <c r="M133" s="317"/>
      <c r="N133" s="802"/>
      <c r="O133" s="803"/>
      <c r="P133" s="803"/>
      <c r="Q133" s="804"/>
    </row>
    <row r="134" spans="1:17" s="1" customFormat="1" ht="15" customHeight="1">
      <c r="A134" s="1" t="s">
        <v>318</v>
      </c>
      <c r="B134" s="21" t="s">
        <v>1754</v>
      </c>
      <c r="C134" s="843"/>
      <c r="D134" s="844"/>
      <c r="E134" s="39"/>
      <c r="F134" s="50" t="s">
        <v>322</v>
      </c>
      <c r="G134" s="21" t="s">
        <v>336</v>
      </c>
      <c r="H134" s="46" t="s">
        <v>282</v>
      </c>
      <c r="I134" s="51">
        <v>45939</v>
      </c>
      <c r="J134" s="51"/>
      <c r="K134" s="288" cm="1">
        <f t="array" ref="K134">IF(ISBLANK(J134), IF(ISBLANK(I134), "N/A", _xlfn.IFS(L134="AS", I134+15, L134="NCR", I134+30, L134="submitted", I134+30, TRUE, "N/A")), _xlfn.IFS(L134="AS", J134+15, L134="NCR", J134+30, L134="submitted", J134+30, TRUE, "N/A"))</f>
        <v>45969</v>
      </c>
      <c r="L134" s="21" t="s">
        <v>581</v>
      </c>
      <c r="M134" s="317"/>
      <c r="N134" s="802"/>
      <c r="O134" s="803"/>
      <c r="P134" s="803"/>
      <c r="Q134" s="804"/>
    </row>
    <row r="135" spans="1:17" s="1" customFormat="1" ht="27" customHeight="1">
      <c r="B135" s="21"/>
      <c r="C135" s="843"/>
      <c r="D135" s="844"/>
      <c r="E135" s="39"/>
      <c r="F135" s="39" t="s">
        <v>1649</v>
      </c>
      <c r="G135" s="21" t="s">
        <v>240</v>
      </c>
      <c r="H135" s="52" t="s">
        <v>1755</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1:17" s="1" customFormat="1" ht="15" customHeight="1">
      <c r="B136" s="21"/>
      <c r="C136" s="843"/>
      <c r="D136" s="844"/>
      <c r="E136" s="39"/>
      <c r="F136" s="39" t="s">
        <v>1649</v>
      </c>
      <c r="G136" s="21" t="s">
        <v>242</v>
      </c>
      <c r="H136" s="46" t="s">
        <v>1756</v>
      </c>
      <c r="I136" s="51"/>
      <c r="J136" s="51"/>
      <c r="K136" s="288" t="str" cm="1">
        <f t="array" ref="K136">IF(ISBLANK(J136), IF(ISBLANK(I136), "N/A", _xlfn.IFS(L136="AS", I136+15, L136="NCR", I136+30, L136="submitted", I136+30, TRUE, "N/A")), _xlfn.IFS(L136="AS", J136+15, L136="NCR", J136+30, L136="submitted", J136+30, TRUE, "N/A"))</f>
        <v>N/A</v>
      </c>
      <c r="L136" s="21"/>
      <c r="M136" s="318"/>
      <c r="N136" s="802"/>
      <c r="O136" s="803"/>
      <c r="P136" s="803"/>
      <c r="Q136" s="804"/>
    </row>
    <row r="137" spans="1:17" s="1" customFormat="1" ht="15" customHeight="1">
      <c r="B137" s="21"/>
      <c r="C137" s="843"/>
      <c r="D137" s="844"/>
      <c r="E137" s="39"/>
      <c r="F137" s="39" t="s">
        <v>1649</v>
      </c>
      <c r="G137" s="21" t="s">
        <v>1233</v>
      </c>
      <c r="H137" s="46" t="s">
        <v>1757</v>
      </c>
      <c r="I137" s="51"/>
      <c r="J137" s="51"/>
      <c r="K137" s="288" t="str" cm="1">
        <f t="array" ref="K137">IF(ISBLANK(J137), IF(ISBLANK(I137), "N/A", _xlfn.IFS(L137="AS", I137+15, L137="NCR", I137+30, L137="submitted", I137+30, TRUE, "N/A")), _xlfn.IFS(L137="AS", J137+15, L137="NCR", J137+30, L137="submitted", J137+30, TRUE, "N/A"))</f>
        <v>N/A</v>
      </c>
      <c r="L137" s="21"/>
      <c r="M137" s="317"/>
      <c r="N137" s="802"/>
      <c r="O137" s="803"/>
      <c r="P137" s="803"/>
      <c r="Q137" s="804"/>
    </row>
    <row r="138" spans="1:17" s="1" customFormat="1" ht="40.5" customHeight="1">
      <c r="B138" s="21"/>
      <c r="C138" s="807"/>
      <c r="D138" s="809"/>
      <c r="E138" s="46"/>
      <c r="F138" s="46" t="s">
        <v>1649</v>
      </c>
      <c r="G138" s="21" t="s">
        <v>338</v>
      </c>
      <c r="H138" s="52" t="s">
        <v>1758</v>
      </c>
      <c r="I138" s="51"/>
      <c r="J138" s="51"/>
      <c r="K138" s="288" t="str" cm="1">
        <f t="array" ref="K138">IF(ISBLANK(J138), IF(ISBLANK(I138), "N/A", _xlfn.IFS(L138="AS", I138+15, L138="NCR", I138+30, L138="submitted", I138+30, TRUE, "N/A")), _xlfn.IFS(L138="AS", J138+15, L138="NCR", J138+30, L138="submitted", J138+30, TRUE, "N/A"))</f>
        <v>N/A</v>
      </c>
      <c r="L138" s="21"/>
      <c r="M138" s="317"/>
      <c r="N138" s="802"/>
      <c r="O138" s="803"/>
      <c r="P138" s="803"/>
      <c r="Q138" s="804"/>
    </row>
    <row r="139" spans="1:17" s="5" customFormat="1" ht="53.25">
      <c r="B139" s="4"/>
      <c r="C139" s="829" t="s">
        <v>1759</v>
      </c>
      <c r="D139" s="832" t="s">
        <v>1760</v>
      </c>
      <c r="E139" s="34"/>
      <c r="F139" s="34" t="s">
        <v>1649</v>
      </c>
      <c r="G139" s="4" t="s">
        <v>278</v>
      </c>
      <c r="H139" s="3" t="s">
        <v>1761</v>
      </c>
      <c r="I139" s="18"/>
      <c r="J139" s="18"/>
      <c r="K139" s="288" t="str" cm="1">
        <f t="array" ref="K139">IF(ISBLANK(J139), IF(ISBLANK(I139), "N/A", _xlfn.IFS(L139="AS", I139+15, L139="NCR", I139+30, L139="submitted", I139+30, TRUE, "N/A")), _xlfn.IFS(L139="AS", J139+15, L139="NCR", J139+30, L139="submitted", J139+30, TRUE, "N/A"))</f>
        <v>N/A</v>
      </c>
      <c r="L139" s="4"/>
      <c r="M139" s="317"/>
      <c r="N139" s="802"/>
      <c r="O139" s="803"/>
      <c r="P139" s="803"/>
      <c r="Q139" s="804"/>
    </row>
    <row r="140" spans="1:17" s="5" customFormat="1" ht="15" customHeight="1">
      <c r="B140" s="4"/>
      <c r="C140" s="831"/>
      <c r="D140" s="834"/>
      <c r="E140" s="36"/>
      <c r="F140" s="36" t="s">
        <v>1649</v>
      </c>
      <c r="G140" s="4" t="s">
        <v>265</v>
      </c>
      <c r="H140" s="17" t="s">
        <v>1762</v>
      </c>
      <c r="I140" s="18"/>
      <c r="J140" s="18"/>
      <c r="K140" s="288" t="str" cm="1">
        <f t="array" ref="K140">IF(ISBLANK(J140), IF(ISBLANK(I140), "N/A", _xlfn.IFS(L140="AS", I140+15, L140="NCR", I140+30, L140="submitted", I140+30, TRUE, "N/A")), _xlfn.IFS(L140="AS", J140+15, L140="NCR", J140+30, L140="submitted", J140+30, TRUE, "N/A"))</f>
        <v>N/A</v>
      </c>
      <c r="L140" s="4"/>
      <c r="M140" s="317"/>
      <c r="N140" s="802"/>
      <c r="O140" s="803"/>
      <c r="P140" s="803"/>
      <c r="Q140" s="804"/>
    </row>
    <row r="141" spans="1:17" s="1" customFormat="1" ht="25.5" customHeight="1">
      <c r="B141" s="9"/>
      <c r="C141" s="840" t="s">
        <v>1763</v>
      </c>
      <c r="D141" s="900" t="s">
        <v>1764</v>
      </c>
      <c r="E141" s="40"/>
      <c r="F141" s="40" t="s">
        <v>1539</v>
      </c>
      <c r="G141" s="9" t="s">
        <v>1765</v>
      </c>
      <c r="H141" s="13" t="s">
        <v>1766</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43"/>
      <c r="D142" s="901"/>
      <c r="E142" s="50"/>
      <c r="F142" s="40" t="s">
        <v>1539</v>
      </c>
      <c r="G142" s="9" t="s">
        <v>869</v>
      </c>
      <c r="H142" s="13" t="s">
        <v>235</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43"/>
      <c r="D143" s="901"/>
      <c r="E143" s="50"/>
      <c r="F143" s="40" t="s">
        <v>1539</v>
      </c>
      <c r="G143" s="9" t="s">
        <v>871</v>
      </c>
      <c r="H143" s="13" t="s">
        <v>544</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43"/>
      <c r="D144" s="901"/>
      <c r="E144" s="50"/>
      <c r="F144" s="40" t="s">
        <v>1539</v>
      </c>
      <c r="G144" s="9" t="s">
        <v>873</v>
      </c>
      <c r="H144" s="13" t="s">
        <v>490</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15" customHeight="1">
      <c r="B145" s="9"/>
      <c r="C145" s="843"/>
      <c r="D145" s="901"/>
      <c r="E145" s="50"/>
      <c r="F145" s="50" t="s">
        <v>1545</v>
      </c>
      <c r="G145" s="9" t="s">
        <v>875</v>
      </c>
      <c r="H145" s="13" t="s">
        <v>1767</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1" customFormat="1" ht="15" customHeight="1">
      <c r="B146" s="9"/>
      <c r="C146" s="843"/>
      <c r="D146" s="901"/>
      <c r="E146" s="50"/>
      <c r="F146" s="50" t="s">
        <v>1539</v>
      </c>
      <c r="G146" s="9" t="s">
        <v>1352</v>
      </c>
      <c r="H146" s="13" t="s">
        <v>1768</v>
      </c>
      <c r="I146" s="14"/>
      <c r="J146" s="14"/>
      <c r="K146" s="288"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1:17" s="1" customFormat="1" ht="15" customHeight="1">
      <c r="B147" s="9"/>
      <c r="C147" s="843"/>
      <c r="D147" s="901"/>
      <c r="E147" s="50"/>
      <c r="F147" s="50" t="s">
        <v>1539</v>
      </c>
      <c r="G147" s="9" t="s">
        <v>1354</v>
      </c>
      <c r="H147" s="13" t="s">
        <v>1769</v>
      </c>
      <c r="I147" s="14"/>
      <c r="J147" s="14"/>
      <c r="K147" s="288"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1:17" s="1" customFormat="1" ht="53.25">
      <c r="B148" s="9"/>
      <c r="C148" s="807"/>
      <c r="D148" s="902"/>
      <c r="E148" s="52"/>
      <c r="F148" s="50" t="s">
        <v>1539</v>
      </c>
      <c r="G148" s="9" t="s">
        <v>1770</v>
      </c>
      <c r="H148" s="7" t="s">
        <v>1771</v>
      </c>
      <c r="I148" s="14"/>
      <c r="J148" s="14"/>
      <c r="K148" s="288"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1:17" s="5" customFormat="1" ht="15" customHeight="1">
      <c r="B149" s="4"/>
      <c r="C149" s="829" t="s">
        <v>1772</v>
      </c>
      <c r="D149" s="832" t="s">
        <v>1773</v>
      </c>
      <c r="E149" s="34"/>
      <c r="F149" s="34" t="s">
        <v>1539</v>
      </c>
      <c r="G149" s="4" t="s">
        <v>208</v>
      </c>
      <c r="H149" s="17" t="s">
        <v>484</v>
      </c>
      <c r="I149" s="18"/>
      <c r="J149" s="18"/>
      <c r="K149" s="288" t="str" cm="1">
        <f t="array" ref="K149">IF(ISBLANK(J149), IF(ISBLANK(I149), "N/A", _xlfn.IFS(L149="AS", I149+15, L149="NCR", I149+30, L149="submitted", I149+30, TRUE, "N/A")), _xlfn.IFS(L149="AS", J149+15, L149="NCR", J149+30, L149="submitted", J149+30, TRUE, "N/A"))</f>
        <v>N/A</v>
      </c>
      <c r="L149" s="4"/>
      <c r="M149" s="317"/>
      <c r="N149" s="802"/>
      <c r="O149" s="803"/>
      <c r="P149" s="803"/>
      <c r="Q149" s="804"/>
    </row>
    <row r="150" spans="1:17" s="5" customFormat="1" ht="15" customHeight="1">
      <c r="B150" s="19"/>
      <c r="C150" s="831"/>
      <c r="D150" s="834"/>
      <c r="E150" s="35"/>
      <c r="F150" s="34" t="s">
        <v>1539</v>
      </c>
      <c r="G150" s="19" t="s">
        <v>281</v>
      </c>
      <c r="H150" s="34" t="s">
        <v>274</v>
      </c>
      <c r="I150" s="30"/>
      <c r="J150" s="30"/>
      <c r="K150" s="288" t="str" cm="1">
        <f t="array" ref="K150">IF(ISBLANK(J150), IF(ISBLANK(I150), "N/A", _xlfn.IFS(L150="AS", I150+15, L150="NCR", I150+30, L150="submitted", I150+30, TRUE, "N/A")), _xlfn.IFS(L150="AS", J150+15, L150="NCR", J150+30, L150="submitted", J150+30, TRUE, "N/A"))</f>
        <v>N/A</v>
      </c>
      <c r="L150" s="19"/>
      <c r="M150" s="317"/>
      <c r="N150" s="802"/>
      <c r="O150" s="803"/>
      <c r="P150" s="803"/>
      <c r="Q150" s="804"/>
    </row>
    <row r="151" spans="1:17" s="1" customFormat="1" ht="15" customHeight="1">
      <c r="A151" s="1" t="s">
        <v>318</v>
      </c>
      <c r="B151" s="38" t="s">
        <v>1774</v>
      </c>
      <c r="C151" s="47" t="s">
        <v>1775</v>
      </c>
      <c r="D151" s="2" t="s">
        <v>1776</v>
      </c>
      <c r="E151" s="37"/>
      <c r="F151" s="34" t="s">
        <v>1539</v>
      </c>
      <c r="G151" s="38" t="s">
        <v>212</v>
      </c>
      <c r="H151" s="37" t="s">
        <v>1777</v>
      </c>
      <c r="I151" s="600">
        <v>45939</v>
      </c>
      <c r="J151" s="41"/>
      <c r="K151" s="288" cm="1">
        <f t="array" ref="K151">IF(ISBLANK(J151), IF(ISBLANK(I151), "N/A", _xlfn.IFS(L151="AS", I151+15, L151="NCR", I151+30, L151="submitted", I151+30, TRUE, "N/A")), _xlfn.IFS(L151="AS", J151+15, L151="NCR", J151+30, L151="submitted", J151+30, TRUE, "N/A"))</f>
        <v>45969</v>
      </c>
      <c r="L151" s="38" t="s">
        <v>581</v>
      </c>
      <c r="M151" s="317"/>
      <c r="N151" s="802"/>
      <c r="O151" s="803"/>
      <c r="P151" s="803"/>
      <c r="Q151" s="804"/>
    </row>
    <row r="152" spans="1:17" s="149" customFormat="1" ht="15.75" customHeight="1">
      <c r="A152" s="149" t="s">
        <v>318</v>
      </c>
      <c r="B152" s="599" t="s">
        <v>1774</v>
      </c>
      <c r="C152" s="245" t="s">
        <v>1775</v>
      </c>
      <c r="D152" s="332" t="s">
        <v>1776</v>
      </c>
      <c r="E152" s="219" t="s">
        <v>1778</v>
      </c>
      <c r="F152" s="231" t="s">
        <v>1779</v>
      </c>
      <c r="G152" s="599" t="s">
        <v>336</v>
      </c>
      <c r="H152" s="231" t="s">
        <v>282</v>
      </c>
      <c r="I152" s="600">
        <v>45939</v>
      </c>
      <c r="J152" s="600">
        <v>45944</v>
      </c>
      <c r="K152" s="288" t="str" cm="1">
        <f t="array" ref="K152">IF(ISBLANK(J152), IF(ISBLANK(I152), "N/A", _xlfn.IFS(L152="AS", I152+15, L152="NCR", I152+30, L152="submitted", I152+30, TRUE, "N/A")), _xlfn.IFS(L152="AS", J152+15, L152="NCR", J152+30, L152="submitted", J152+30, TRUE, "N/A"))</f>
        <v>N/A</v>
      </c>
      <c r="L152" s="599" t="s">
        <v>889</v>
      </c>
      <c r="M152" s="317"/>
      <c r="N152" s="802"/>
      <c r="O152" s="803"/>
      <c r="P152" s="803"/>
      <c r="Q152" s="804"/>
    </row>
    <row r="153" spans="1:17" s="149" customFormat="1" ht="15.75" customHeight="1">
      <c r="B153" s="599" t="s">
        <v>1780</v>
      </c>
      <c r="C153" s="245" t="s">
        <v>1775</v>
      </c>
      <c r="D153" s="332" t="s">
        <v>1776</v>
      </c>
      <c r="E153" s="219" t="s">
        <v>1778</v>
      </c>
      <c r="F153" s="231" t="s">
        <v>1779</v>
      </c>
      <c r="G153" s="599" t="s">
        <v>336</v>
      </c>
      <c r="H153" s="231" t="s">
        <v>282</v>
      </c>
      <c r="I153" s="600">
        <v>45908</v>
      </c>
      <c r="J153" s="600">
        <v>45910</v>
      </c>
      <c r="K153" s="288" t="str" cm="1">
        <f t="array" ref="K153">IF(ISBLANK(J153), IF(ISBLANK(I153), "N/A", _xlfn.IFS(L153="AS", I153+15, L153="NCR", I153+30, L153="submitted", I153+30, TRUE, "N/A")), _xlfn.IFS(L153="AS", J153+15, L153="NCR", J153+30, L153="submitted", J153+30, TRUE, "N/A"))</f>
        <v>N/A</v>
      </c>
      <c r="L153" s="599" t="s">
        <v>147</v>
      </c>
      <c r="M153" s="317"/>
      <c r="N153" s="802"/>
      <c r="O153" s="803"/>
      <c r="P153" s="803"/>
      <c r="Q153" s="804"/>
    </row>
    <row r="154" spans="1:17" s="774" customFormat="1" ht="15.75" customHeight="1">
      <c r="B154" s="766" t="s">
        <v>1781</v>
      </c>
      <c r="C154" s="767" t="s">
        <v>1775</v>
      </c>
      <c r="D154" s="768" t="s">
        <v>1776</v>
      </c>
      <c r="E154" s="769" t="s">
        <v>1778</v>
      </c>
      <c r="F154" s="770" t="s">
        <v>1779</v>
      </c>
      <c r="G154" s="766" t="s">
        <v>336</v>
      </c>
      <c r="H154" s="770" t="s">
        <v>282</v>
      </c>
      <c r="I154" s="771">
        <v>45922</v>
      </c>
      <c r="J154" s="771">
        <v>45931</v>
      </c>
      <c r="K154" s="772" cm="1">
        <f t="array" ref="K154">IF(ISBLANK(J154), IF(ISBLANK(I154), "N/A", _xlfn.IFS(L154="AS", I154+15, L154="NCR", I154+30, L154="submitted", I154+30, TRUE, "N/A")), _xlfn.IFS(L154="AS", J154+15, L154="NCR", J154+30, L154="submitted", J154+30, TRUE, "N/A"))</f>
        <v>45946</v>
      </c>
      <c r="L154" s="766" t="s">
        <v>753</v>
      </c>
      <c r="M154" s="773"/>
      <c r="N154" s="802"/>
      <c r="O154" s="803"/>
      <c r="P154" s="803"/>
      <c r="Q154" s="804"/>
    </row>
    <row r="155" spans="1:17" s="1" customFormat="1" ht="15" customHeight="1">
      <c r="B155" s="38"/>
      <c r="C155" s="47" t="s">
        <v>1775</v>
      </c>
      <c r="D155" s="2" t="s">
        <v>1776</v>
      </c>
      <c r="E155" s="39"/>
      <c r="F155" s="34" t="s">
        <v>1539</v>
      </c>
      <c r="G155" s="38" t="s">
        <v>240</v>
      </c>
      <c r="H155" s="37" t="s">
        <v>1782</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15" customHeight="1">
      <c r="B156" s="38"/>
      <c r="C156" s="47" t="s">
        <v>1775</v>
      </c>
      <c r="D156" s="2" t="s">
        <v>1776</v>
      </c>
      <c r="E156" s="39"/>
      <c r="F156" s="34" t="s">
        <v>1539</v>
      </c>
      <c r="G156" s="38" t="s">
        <v>338</v>
      </c>
      <c r="H156" s="37" t="s">
        <v>1783</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1" customFormat="1" ht="15" customHeight="1">
      <c r="B157" s="38"/>
      <c r="C157" s="47" t="s">
        <v>1775</v>
      </c>
      <c r="D157" s="2" t="s">
        <v>1776</v>
      </c>
      <c r="E157" s="39"/>
      <c r="F157" s="39" t="s">
        <v>161</v>
      </c>
      <c r="G157" s="38" t="s">
        <v>1784</v>
      </c>
      <c r="H157" s="37" t="s">
        <v>1785</v>
      </c>
      <c r="I157" s="41"/>
      <c r="J157" s="41"/>
      <c r="K157" s="288" t="str" cm="1">
        <f t="array" ref="K157">IF(ISBLANK(J157), IF(ISBLANK(I157), "N/A", _xlfn.IFS(L157="AS", I157+15, L157="NCR", I157+30, L157="submitted", I157+30, TRUE, "N/A")), _xlfn.IFS(L157="AS", J157+15, L157="NCR", J157+30, L157="submitted", J157+30, TRUE, "N/A"))</f>
        <v>N/A</v>
      </c>
      <c r="L157" s="38"/>
      <c r="M157" s="317"/>
      <c r="N157" s="802"/>
      <c r="O157" s="803"/>
      <c r="P157" s="803"/>
      <c r="Q157" s="804"/>
    </row>
    <row r="158" spans="1:17" s="1" customFormat="1" ht="15" customHeight="1">
      <c r="B158" s="38"/>
      <c r="C158" s="47" t="s">
        <v>1775</v>
      </c>
      <c r="D158" s="2" t="s">
        <v>1776</v>
      </c>
      <c r="E158" s="39"/>
      <c r="F158" s="39" t="s">
        <v>161</v>
      </c>
      <c r="G158" s="38" t="s">
        <v>1786</v>
      </c>
      <c r="H158" s="37" t="s">
        <v>1787</v>
      </c>
      <c r="I158" s="41"/>
      <c r="J158" s="41"/>
      <c r="K158" s="288" t="str" cm="1">
        <f t="array" ref="K158">IF(ISBLANK(J158), IF(ISBLANK(I158), "N/A", _xlfn.IFS(L158="AS", I158+15, L158="NCR", I158+30, L158="submitted", I158+30, TRUE, "N/A")), _xlfn.IFS(L158="AS", J158+15, L158="NCR", J158+30, L158="submitted", J158+30, TRUE, "N/A"))</f>
        <v>N/A</v>
      </c>
      <c r="L158" s="38"/>
      <c r="M158" s="317"/>
      <c r="N158" s="802"/>
      <c r="O158" s="803"/>
      <c r="P158" s="803"/>
      <c r="Q158" s="804"/>
    </row>
    <row r="159" spans="1:17" s="1" customFormat="1" ht="36" customHeight="1">
      <c r="B159" s="38"/>
      <c r="C159" s="47" t="s">
        <v>1775</v>
      </c>
      <c r="D159" s="2" t="s">
        <v>1776</v>
      </c>
      <c r="E159" s="39"/>
      <c r="F159" s="39" t="s">
        <v>161</v>
      </c>
      <c r="G159" s="38" t="s">
        <v>1788</v>
      </c>
      <c r="H159" s="37" t="s">
        <v>1789</v>
      </c>
      <c r="I159" s="41"/>
      <c r="J159" s="41"/>
      <c r="K159" s="288" t="str" cm="1">
        <f t="array" ref="K159">IF(ISBLANK(J159), IF(ISBLANK(I159), "N/A", _xlfn.IFS(L159="AS", I159+15, L159="NCR", I159+30, L159="submitted", I159+30, TRUE, "N/A")), _xlfn.IFS(L159="AS", J159+15, L159="NCR", J159+30, L159="submitted", J159+30, TRUE, "N/A"))</f>
        <v>N/A</v>
      </c>
      <c r="L159" s="38"/>
      <c r="M159" s="317"/>
      <c r="N159" s="802"/>
      <c r="O159" s="803"/>
      <c r="P159" s="803"/>
      <c r="Q159" s="804"/>
    </row>
    <row r="160" spans="1:17" s="66" customFormat="1" ht="42.75" customHeight="1">
      <c r="B160" s="62"/>
      <c r="C160" s="884" t="s">
        <v>1790</v>
      </c>
      <c r="D160" s="887" t="s">
        <v>1791</v>
      </c>
      <c r="E160" s="63"/>
      <c r="F160" s="63" t="s">
        <v>1539</v>
      </c>
      <c r="G160" s="62" t="s">
        <v>212</v>
      </c>
      <c r="H160" s="64" t="s">
        <v>1792</v>
      </c>
      <c r="I160" s="65"/>
      <c r="J160" s="65"/>
      <c r="K160" s="288" t="str" cm="1">
        <f t="array" ref="K160">IF(ISBLANK(J160), IF(ISBLANK(I160), "N/A", _xlfn.IFS(L160="AS", I160+15, L160="NCR", I160+30, L160="submitted", I160+30, TRUE, "N/A")), _xlfn.IFS(L160="AS", J160+15, L160="NCR", J160+30, L160="submitted", J160+30, TRUE, "N/A"))</f>
        <v>N/A</v>
      </c>
      <c r="L160" s="62"/>
      <c r="M160" s="317"/>
      <c r="N160" s="802"/>
      <c r="O160" s="803"/>
      <c r="P160" s="803"/>
      <c r="Q160" s="804"/>
    </row>
    <row r="161" spans="2:17" s="71" customFormat="1" ht="15.75" customHeight="1">
      <c r="B161" s="67"/>
      <c r="C161" s="885"/>
      <c r="D161" s="888"/>
      <c r="E161" s="68"/>
      <c r="F161" s="63" t="s">
        <v>1539</v>
      </c>
      <c r="G161" s="67" t="s">
        <v>336</v>
      </c>
      <c r="H161" s="69" t="s">
        <v>1793</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71" customFormat="1" ht="40.5" customHeight="1">
      <c r="B162" s="67"/>
      <c r="C162" s="885"/>
      <c r="D162" s="888"/>
      <c r="E162" s="68"/>
      <c r="F162" s="63" t="s">
        <v>1539</v>
      </c>
      <c r="G162" s="67" t="s">
        <v>337</v>
      </c>
      <c r="H162" s="72" t="s">
        <v>1794</v>
      </c>
      <c r="I162" s="70"/>
      <c r="J162" s="70"/>
      <c r="K162" s="288" t="str" cm="1">
        <f t="array" ref="K162">IF(ISBLANK(J162), IF(ISBLANK(I162), "N/A", _xlfn.IFS(L162="AS", I162+15, L162="NCR", I162+30, L162="submitted", I162+30, TRUE, "N/A")), _xlfn.IFS(L162="AS", J162+15, L162="NCR", J162+30, L162="submitted", J162+30, TRUE, "N/A"))</f>
        <v>N/A</v>
      </c>
      <c r="L162" s="67"/>
      <c r="M162" s="317"/>
      <c r="N162" s="802"/>
      <c r="O162" s="803"/>
      <c r="P162" s="803"/>
      <c r="Q162" s="804"/>
    </row>
    <row r="163" spans="2:17" s="71" customFormat="1" ht="15.75" customHeight="1">
      <c r="B163" s="67"/>
      <c r="C163" s="885"/>
      <c r="D163" s="888"/>
      <c r="E163" s="68"/>
      <c r="F163" s="63" t="s">
        <v>1539</v>
      </c>
      <c r="G163" s="67" t="s">
        <v>404</v>
      </c>
      <c r="H163" s="69" t="s">
        <v>1795</v>
      </c>
      <c r="I163" s="70"/>
      <c r="J163" s="70"/>
      <c r="K163" s="288" t="str" cm="1">
        <f t="array" ref="K163">IF(ISBLANK(J163), IF(ISBLANK(I163), "N/A", _xlfn.IFS(L163="AS", I163+15, L163="NCR", I163+30, L163="submitted", I163+30, TRUE, "N/A")), _xlfn.IFS(L163="AS", J163+15, L163="NCR", J163+30, L163="submitted", J163+30, TRUE, "N/A"))</f>
        <v>N/A</v>
      </c>
      <c r="L163" s="67"/>
      <c r="M163" s="317"/>
      <c r="N163" s="802"/>
      <c r="O163" s="803"/>
      <c r="P163" s="803"/>
      <c r="Q163" s="804"/>
    </row>
    <row r="164" spans="2:17" s="71" customFormat="1" ht="15.75" customHeight="1">
      <c r="B164" s="67"/>
      <c r="C164" s="886"/>
      <c r="D164" s="889"/>
      <c r="E164" s="69"/>
      <c r="F164" s="63" t="s">
        <v>1539</v>
      </c>
      <c r="G164" s="67" t="s">
        <v>405</v>
      </c>
      <c r="H164" s="69" t="s">
        <v>1796</v>
      </c>
      <c r="I164" s="70"/>
      <c r="J164" s="70"/>
      <c r="K164" s="288" t="str" cm="1">
        <f t="array" ref="K164">IF(ISBLANK(J164), IF(ISBLANK(I164), "N/A", _xlfn.IFS(L164="AS", I164+15, L164="NCR", I164+30, L164="submitted", I164+30, TRUE, "N/A")), _xlfn.IFS(L164="AS", J164+15, L164="NCR", J164+30, L164="submitted", J164+30, TRUE, "N/A"))</f>
        <v>N/A</v>
      </c>
      <c r="L164" s="67"/>
      <c r="M164" s="317"/>
      <c r="N164" s="802"/>
      <c r="O164" s="803"/>
      <c r="P164" s="803"/>
      <c r="Q164" s="804"/>
    </row>
    <row r="165" spans="2:17" s="4" customFormat="1" ht="15" customHeight="1">
      <c r="C165" s="829" t="s">
        <v>1797</v>
      </c>
      <c r="D165" s="832" t="s">
        <v>1798</v>
      </c>
      <c r="E165" s="34"/>
      <c r="F165" s="34" t="s">
        <v>1539</v>
      </c>
      <c r="G165" s="4" t="s">
        <v>208</v>
      </c>
      <c r="H165" s="17" t="s">
        <v>1799</v>
      </c>
      <c r="I165" s="18"/>
      <c r="J165" s="18"/>
      <c r="K165" s="288" t="str" cm="1">
        <f t="array" ref="K165">IF(ISBLANK(J165), IF(ISBLANK(I165), "N/A", _xlfn.IFS(L165="AS", I165+15, L165="NCR", I165+30, L165="submitted", I165+30, TRUE, "N/A")), _xlfn.IFS(L165="AS", J165+15, L165="NCR", J165+30, L165="submitted", J165+30, TRUE, "N/A"))</f>
        <v>N/A</v>
      </c>
      <c r="M165" s="317"/>
      <c r="N165" s="802"/>
      <c r="O165" s="803"/>
      <c r="P165" s="803"/>
      <c r="Q165" s="804"/>
    </row>
    <row r="166" spans="2:17" s="5" customFormat="1" ht="15" customHeight="1">
      <c r="B166" s="73"/>
      <c r="C166" s="830"/>
      <c r="D166" s="833"/>
      <c r="E166" s="35"/>
      <c r="F166" s="34" t="s">
        <v>1539</v>
      </c>
      <c r="G166" s="73" t="s">
        <v>281</v>
      </c>
      <c r="H166" s="36" t="s">
        <v>1800</v>
      </c>
      <c r="I166" s="74"/>
      <c r="J166" s="74"/>
      <c r="K166" s="288" t="str" cm="1">
        <f t="array" ref="K166">IF(ISBLANK(J166), IF(ISBLANK(I166), "N/A", _xlfn.IFS(L166="AS", I166+15, L166="NCR", I166+30, L166="submitted", I166+30, TRUE, "N/A")), _xlfn.IFS(L166="AS", J166+15, L166="NCR", J166+30, L166="submitted", J166+30, TRUE, "N/A"))</f>
        <v>N/A</v>
      </c>
      <c r="L166" s="73"/>
      <c r="M166" s="317"/>
      <c r="N166" s="802"/>
      <c r="O166" s="803"/>
      <c r="P166" s="803"/>
      <c r="Q166" s="804"/>
    </row>
    <row r="167" spans="2:17" s="5" customFormat="1" ht="27" customHeight="1">
      <c r="B167" s="73"/>
      <c r="C167" s="831"/>
      <c r="D167" s="834"/>
      <c r="E167" s="36"/>
      <c r="F167" s="34" t="s">
        <v>1539</v>
      </c>
      <c r="G167" s="73" t="s">
        <v>269</v>
      </c>
      <c r="H167" s="75" t="s">
        <v>1801</v>
      </c>
      <c r="I167" s="74"/>
      <c r="J167" s="74"/>
      <c r="K167" s="288" t="str" cm="1">
        <f t="array" ref="K167">IF(ISBLANK(J167), IF(ISBLANK(I167), "N/A", _xlfn.IFS(L167="AS", I167+15, L167="NCR", I167+30, L167="submitted", I167+30, TRUE, "N/A")), _xlfn.IFS(L167="AS", J167+15, L167="NCR", J167+30, L167="submitted", J167+30, TRUE, "N/A"))</f>
        <v>N/A</v>
      </c>
      <c r="L167" s="73"/>
      <c r="M167" s="317"/>
      <c r="N167" s="802"/>
      <c r="O167" s="803"/>
      <c r="P167" s="803"/>
      <c r="Q167" s="804"/>
    </row>
    <row r="168" spans="2:17" s="1" customFormat="1" ht="15" customHeight="1">
      <c r="B168" s="9"/>
      <c r="C168" s="840" t="s">
        <v>1802</v>
      </c>
      <c r="D168" s="841" t="s">
        <v>1803</v>
      </c>
      <c r="E168" s="37"/>
      <c r="F168" s="37" t="s">
        <v>1539</v>
      </c>
      <c r="G168" s="9" t="s">
        <v>278</v>
      </c>
      <c r="H168" s="13" t="s">
        <v>328</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43"/>
      <c r="D169" s="844"/>
      <c r="E169" s="39"/>
      <c r="F169" s="37" t="s">
        <v>1539</v>
      </c>
      <c r="G169" s="9" t="s">
        <v>265</v>
      </c>
      <c r="H169" s="13" t="s">
        <v>484</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43"/>
      <c r="D170" s="844"/>
      <c r="E170" s="39"/>
      <c r="F170" s="37" t="s">
        <v>1539</v>
      </c>
      <c r="G170" s="9" t="s">
        <v>1804</v>
      </c>
      <c r="H170" s="13" t="s">
        <v>1805</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43"/>
      <c r="D171" s="844"/>
      <c r="E171" s="39"/>
      <c r="F171" s="37" t="s">
        <v>1539</v>
      </c>
      <c r="G171" s="9" t="s">
        <v>1806</v>
      </c>
      <c r="H171" s="13" t="s">
        <v>1807</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43"/>
      <c r="D172" s="844"/>
      <c r="E172" s="39"/>
      <c r="F172" s="37" t="s">
        <v>1539</v>
      </c>
      <c r="G172" s="9" t="s">
        <v>1808</v>
      </c>
      <c r="H172" s="13" t="s">
        <v>1809</v>
      </c>
      <c r="I172" s="14"/>
      <c r="J172" s="14"/>
      <c r="K172" s="288"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1" customFormat="1" ht="15" customHeight="1">
      <c r="B173" s="9"/>
      <c r="C173" s="843"/>
      <c r="D173" s="844"/>
      <c r="E173" s="39"/>
      <c r="F173" s="37" t="s">
        <v>1539</v>
      </c>
      <c r="G173" s="9" t="s">
        <v>1810</v>
      </c>
      <c r="H173" s="13" t="s">
        <v>444</v>
      </c>
      <c r="I173" s="14"/>
      <c r="J173" s="14"/>
      <c r="K173" s="288" t="str" cm="1">
        <f t="array" ref="K173">IF(ISBLANK(J173), IF(ISBLANK(I173), "N/A", _xlfn.IFS(L173="AS", I173+15, L173="NCR", I173+30, L173="submitted", I173+30, TRUE, "N/A")), _xlfn.IFS(L173="AS", J173+15, L173="NCR", J173+30, L173="submitted", J173+30, TRUE, "N/A"))</f>
        <v>N/A</v>
      </c>
      <c r="L173" s="9"/>
      <c r="M173" s="317"/>
      <c r="N173" s="802"/>
      <c r="O173" s="803"/>
      <c r="P173" s="803"/>
      <c r="Q173" s="804"/>
    </row>
    <row r="174" spans="2:17" s="1" customFormat="1" ht="15" customHeight="1">
      <c r="B174" s="9"/>
      <c r="C174" s="807"/>
      <c r="D174" s="809"/>
      <c r="E174" s="46"/>
      <c r="F174" s="37" t="s">
        <v>1539</v>
      </c>
      <c r="G174" s="9" t="s">
        <v>1811</v>
      </c>
      <c r="H174" s="13" t="s">
        <v>365</v>
      </c>
      <c r="I174" s="14"/>
      <c r="J174" s="14"/>
      <c r="K174" s="288" t="str" cm="1">
        <f t="array" ref="K174">IF(ISBLANK(J174), IF(ISBLANK(I174), "N/A", _xlfn.IFS(L174="AS", I174+15, L174="NCR", I174+30, L174="submitted", I174+30, TRUE, "N/A")), _xlfn.IFS(L174="AS", J174+15, L174="NCR", J174+30, L174="submitted", J174+30, TRUE, "N/A"))</f>
        <v>N/A</v>
      </c>
      <c r="L174" s="9"/>
      <c r="M174" s="317"/>
      <c r="N174" s="802"/>
      <c r="O174" s="803"/>
      <c r="P174" s="803"/>
      <c r="Q174" s="804"/>
    </row>
    <row r="175" spans="2:17" s="26" customFormat="1" ht="15" customHeight="1">
      <c r="B175" s="22"/>
      <c r="C175" s="896" t="s">
        <v>1812</v>
      </c>
      <c r="D175" s="898" t="s">
        <v>1813</v>
      </c>
      <c r="E175" s="76"/>
      <c r="F175" s="76" t="s">
        <v>1539</v>
      </c>
      <c r="G175" s="22" t="s">
        <v>281</v>
      </c>
      <c r="H175" s="24" t="s">
        <v>1814</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27" customHeight="1">
      <c r="B176" s="22"/>
      <c r="C176" s="905"/>
      <c r="D176" s="906"/>
      <c r="E176" s="27"/>
      <c r="F176" s="76" t="s">
        <v>1539</v>
      </c>
      <c r="G176" s="22" t="s">
        <v>269</v>
      </c>
      <c r="H176" s="28" t="s">
        <v>1815</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97"/>
      <c r="D177" s="899"/>
      <c r="E177" s="29"/>
      <c r="F177" s="76" t="s">
        <v>1539</v>
      </c>
      <c r="G177" s="22" t="s">
        <v>259</v>
      </c>
      <c r="H177" s="24" t="s">
        <v>1816</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48.75" customHeight="1">
      <c r="B178" s="22"/>
      <c r="C178" s="896" t="s">
        <v>1817</v>
      </c>
      <c r="D178" s="898" t="s">
        <v>1818</v>
      </c>
      <c r="E178" s="76"/>
      <c r="F178" s="76" t="s">
        <v>1539</v>
      </c>
      <c r="G178" s="22" t="s">
        <v>234</v>
      </c>
      <c r="H178" s="28" t="s">
        <v>1372</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905"/>
      <c r="D179" s="906"/>
      <c r="E179" s="27"/>
      <c r="F179" s="76" t="s">
        <v>1539</v>
      </c>
      <c r="G179" s="22" t="s">
        <v>1143</v>
      </c>
      <c r="H179" s="24" t="s">
        <v>920</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905"/>
      <c r="D180" s="906"/>
      <c r="E180" s="27"/>
      <c r="F180" s="76" t="s">
        <v>1539</v>
      </c>
      <c r="G180" s="22" t="s">
        <v>1145</v>
      </c>
      <c r="H180" s="24" t="s">
        <v>966</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26" customFormat="1" ht="15" customHeight="1">
      <c r="B181" s="22"/>
      <c r="C181" s="905"/>
      <c r="D181" s="906"/>
      <c r="E181" s="27"/>
      <c r="F181" s="27" t="s">
        <v>1545</v>
      </c>
      <c r="G181" s="22" t="s">
        <v>1147</v>
      </c>
      <c r="H181" s="24" t="s">
        <v>1819</v>
      </c>
      <c r="I181" s="25"/>
      <c r="J181" s="25"/>
      <c r="K181" s="288" t="str" cm="1">
        <f t="array" ref="K181">IF(ISBLANK(J181), IF(ISBLANK(I181), "N/A", _xlfn.IFS(L181="AS", I181+15, L181="NCR", I181+30, L181="submitted", I181+30, TRUE, "N/A")), _xlfn.IFS(L181="AS", J181+15, L181="NCR", J181+30, L181="submitted", J181+30, TRUE, "N/A"))</f>
        <v>N/A</v>
      </c>
      <c r="L181" s="22"/>
      <c r="M181" s="317"/>
      <c r="N181" s="802"/>
      <c r="O181" s="803"/>
      <c r="P181" s="803"/>
      <c r="Q181" s="804"/>
    </row>
    <row r="182" spans="1:17" s="26" customFormat="1" ht="15" customHeight="1">
      <c r="B182" s="22"/>
      <c r="C182" s="905"/>
      <c r="D182" s="906"/>
      <c r="E182" s="27"/>
      <c r="F182" s="27" t="s">
        <v>1539</v>
      </c>
      <c r="G182" s="22" t="s">
        <v>1148</v>
      </c>
      <c r="H182" s="24" t="s">
        <v>927</v>
      </c>
      <c r="I182" s="25"/>
      <c r="J182" s="25"/>
      <c r="K182" s="288" t="str" cm="1">
        <f t="array" ref="K182">IF(ISBLANK(J182), IF(ISBLANK(I182), "N/A", _xlfn.IFS(L182="AS", I182+15, L182="NCR", I182+30, L182="submitted", I182+30, TRUE, "N/A")), _xlfn.IFS(L182="AS", J182+15, L182="NCR", J182+30, L182="submitted", J182+30, TRUE, "N/A"))</f>
        <v>N/A</v>
      </c>
      <c r="L182" s="22"/>
      <c r="M182" s="317"/>
      <c r="N182" s="802"/>
      <c r="O182" s="803"/>
      <c r="P182" s="803"/>
      <c r="Q182" s="804"/>
    </row>
    <row r="183" spans="1:17" s="26" customFormat="1" ht="15" customHeight="1">
      <c r="B183" s="22"/>
      <c r="C183" s="897"/>
      <c r="D183" s="899"/>
      <c r="E183" s="29"/>
      <c r="F183" s="29" t="s">
        <v>1539</v>
      </c>
      <c r="G183" s="22" t="s">
        <v>338</v>
      </c>
      <c r="H183" s="24" t="s">
        <v>1229</v>
      </c>
      <c r="I183" s="25"/>
      <c r="J183" s="25"/>
      <c r="K183" s="288" t="str" cm="1">
        <f t="array" ref="K183">IF(ISBLANK(J183), IF(ISBLANK(I183), "N/A", _xlfn.IFS(L183="AS", I183+15, L183="NCR", I183+30, L183="submitted", I183+30, TRUE, "N/A")), _xlfn.IFS(L183="AS", J183+15, L183="NCR", J183+30, L183="submitted", J183+30, TRUE, "N/A"))</f>
        <v>N/A</v>
      </c>
      <c r="L183" s="22"/>
      <c r="M183" s="317"/>
      <c r="N183" s="802"/>
      <c r="O183" s="803"/>
      <c r="P183" s="803"/>
      <c r="Q183" s="804"/>
    </row>
    <row r="184" spans="1:17" s="5" customFormat="1" ht="15" customHeight="1">
      <c r="B184" s="4"/>
      <c r="C184" s="829" t="s">
        <v>1820</v>
      </c>
      <c r="D184" s="832" t="s">
        <v>1821</v>
      </c>
      <c r="E184" s="34"/>
      <c r="F184" s="34"/>
      <c r="G184" s="4" t="s">
        <v>229</v>
      </c>
      <c r="H184" s="3" t="s">
        <v>1822</v>
      </c>
      <c r="I184" s="18"/>
      <c r="J184" s="18"/>
      <c r="K184" s="288"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1:17" s="5" customFormat="1" ht="15" customHeight="1">
      <c r="B185" s="4"/>
      <c r="C185" s="830"/>
      <c r="D185" s="833"/>
      <c r="E185" s="35"/>
      <c r="F185" s="35"/>
      <c r="G185" s="4" t="s">
        <v>336</v>
      </c>
      <c r="H185" s="17" t="s">
        <v>1823</v>
      </c>
      <c r="I185" s="18"/>
      <c r="J185" s="18"/>
      <c r="K185" s="288" t="str" cm="1">
        <f t="array" ref="K185">IF(ISBLANK(J185), IF(ISBLANK(I185), "N/A", _xlfn.IFS(L185="AS", I185+15, L185="NCR", I185+30, L185="submitted", I185+30, TRUE, "N/A")), _xlfn.IFS(L185="AS", J185+15, L185="NCR", J185+30, L185="submitted", J185+30, TRUE, "N/A"))</f>
        <v>N/A</v>
      </c>
      <c r="L185" s="4"/>
      <c r="M185" s="317"/>
      <c r="N185" s="802"/>
      <c r="O185" s="803"/>
      <c r="P185" s="803"/>
      <c r="Q185" s="804"/>
    </row>
    <row r="186" spans="1:17" s="5" customFormat="1" ht="15" customHeight="1">
      <c r="B186" s="4"/>
      <c r="C186" s="831"/>
      <c r="D186" s="834"/>
      <c r="E186" s="36"/>
      <c r="F186" s="36"/>
      <c r="G186" s="4" t="s">
        <v>337</v>
      </c>
      <c r="H186" s="17" t="s">
        <v>506</v>
      </c>
      <c r="I186" s="18"/>
      <c r="J186" s="18"/>
      <c r="K186" s="288" t="str" cm="1">
        <f t="array" ref="K186">IF(ISBLANK(J186), IF(ISBLANK(I186), "N/A", _xlfn.IFS(L186="AS", I186+15, L186="NCR", I186+30, L186="submitted", I186+30, TRUE, "N/A")), _xlfn.IFS(L186="AS", J186+15, L186="NCR", J186+30, L186="submitted", J186+30, TRUE, "N/A"))</f>
        <v>N/A</v>
      </c>
      <c r="L186" s="4"/>
      <c r="M186" s="317"/>
      <c r="N186" s="802"/>
      <c r="O186" s="803"/>
      <c r="P186" s="803"/>
      <c r="Q186" s="804"/>
    </row>
    <row r="187" spans="1:17" s="1" customFormat="1" ht="15" customHeight="1">
      <c r="A187" s="1" t="s">
        <v>318</v>
      </c>
      <c r="B187" s="38" t="s">
        <v>1824</v>
      </c>
      <c r="C187" s="47" t="s">
        <v>1825</v>
      </c>
      <c r="D187" s="2" t="s">
        <v>1826</v>
      </c>
      <c r="E187" s="37"/>
      <c r="F187" s="37" t="s">
        <v>765</v>
      </c>
      <c r="G187" s="9" t="s">
        <v>208</v>
      </c>
      <c r="H187" s="13" t="s">
        <v>328</v>
      </c>
      <c r="I187" s="14">
        <v>45930</v>
      </c>
      <c r="J187" s="14"/>
      <c r="K187" s="288" cm="1">
        <f t="array" ref="K187">IF(ISBLANK(J187), IF(ISBLANK(I187), "N/A", _xlfn.IFS(L187="AS", I187+15, L187="NCR", I187+30, L187="submitted", I187+30, TRUE, "N/A")), _xlfn.IFS(L187="AS", J187+15, L187="NCR", J187+30, L187="submitted", J187+30, TRUE, "N/A"))</f>
        <v>45960</v>
      </c>
      <c r="L187" s="9" t="s">
        <v>581</v>
      </c>
      <c r="M187" s="317"/>
      <c r="N187" s="802"/>
      <c r="O187" s="803"/>
      <c r="P187" s="803"/>
      <c r="Q187" s="804"/>
    </row>
    <row r="188" spans="1:17" s="1" customFormat="1" ht="27" customHeight="1">
      <c r="A188" s="1" t="s">
        <v>318</v>
      </c>
      <c r="B188" s="38" t="s">
        <v>1824</v>
      </c>
      <c r="C188" s="47" t="s">
        <v>1825</v>
      </c>
      <c r="D188" s="2" t="s">
        <v>1826</v>
      </c>
      <c r="E188" s="39"/>
      <c r="F188" s="37" t="s">
        <v>765</v>
      </c>
      <c r="G188" s="38" t="s">
        <v>281</v>
      </c>
      <c r="H188" s="40" t="s">
        <v>1827</v>
      </c>
      <c r="I188" s="14">
        <v>45930</v>
      </c>
      <c r="J188" s="41"/>
      <c r="K188" s="288" cm="1">
        <f t="array" ref="K188">IF(ISBLANK(J188), IF(ISBLANK(I188), "N/A", _xlfn.IFS(L188="AS", I188+15, L188="NCR", I188+30, L188="submitted", I188+30, TRUE, "N/A")), _xlfn.IFS(L188="AS", J188+15, L188="NCR", J188+30, L188="submitted", J188+30, TRUE, "N/A"))</f>
        <v>45960</v>
      </c>
      <c r="L188" s="38" t="s">
        <v>581</v>
      </c>
      <c r="M188" s="317"/>
      <c r="N188" s="802"/>
      <c r="O188" s="803"/>
      <c r="P188" s="803"/>
      <c r="Q188" s="804"/>
    </row>
    <row r="189" spans="1:17" s="1" customFormat="1" ht="15" customHeight="1">
      <c r="C189" s="47" t="s">
        <v>1825</v>
      </c>
      <c r="D189" s="2" t="s">
        <v>1826</v>
      </c>
      <c r="E189" s="39"/>
      <c r="F189" s="39"/>
      <c r="G189" s="38" t="s">
        <v>269</v>
      </c>
      <c r="H189" s="37" t="s">
        <v>1828</v>
      </c>
      <c r="I189" s="41"/>
      <c r="J189" s="41"/>
      <c r="K189" s="288" t="str" cm="1">
        <f t="array" ref="K189">IF(ISBLANK(J189), IF(ISBLANK(I189), "N/A", _xlfn.IFS(L189="AS", I189+15, L189="NCR", I189+30, L189="submitted", I189+30, TRUE, "N/A")), _xlfn.IFS(L189="AS", J189+15, L189="NCR", J189+30, L189="submitted", J189+30, TRUE, "N/A"))</f>
        <v>N/A</v>
      </c>
      <c r="L189" s="38"/>
      <c r="M189" s="317"/>
      <c r="N189" s="802"/>
      <c r="O189" s="803"/>
      <c r="P189" s="803"/>
      <c r="Q189" s="804"/>
    </row>
    <row r="190" spans="1:17" s="1" customFormat="1" ht="15" customHeight="1">
      <c r="B190" s="38"/>
      <c r="C190" s="47" t="s">
        <v>1825</v>
      </c>
      <c r="D190" s="2" t="s">
        <v>1826</v>
      </c>
      <c r="E190" s="39"/>
      <c r="F190" s="39"/>
      <c r="G190" s="38" t="s">
        <v>259</v>
      </c>
      <c r="H190" s="37" t="s">
        <v>444</v>
      </c>
      <c r="I190" s="41"/>
      <c r="J190" s="41"/>
      <c r="K190" s="288" t="str" cm="1">
        <f t="array" ref="K190">IF(ISBLANK(J190), IF(ISBLANK(I190), "N/A", _xlfn.IFS(L190="AS", I190+15, L190="NCR", I190+30, L190="submitted", I190+30, TRUE, "N/A")), _xlfn.IFS(L190="AS", J190+15, L190="NCR", J190+30, L190="submitted", J190+30, TRUE, "N/A"))</f>
        <v>N/A</v>
      </c>
      <c r="L190" s="38"/>
      <c r="M190" s="317"/>
      <c r="N190" s="802"/>
      <c r="O190" s="803"/>
      <c r="P190" s="803"/>
      <c r="Q190" s="804"/>
    </row>
    <row r="191" spans="1:17" s="1" customFormat="1" ht="27" customHeight="1">
      <c r="B191" s="38"/>
      <c r="C191" s="47" t="s">
        <v>1825</v>
      </c>
      <c r="D191" s="2" t="s">
        <v>1826</v>
      </c>
      <c r="E191" s="39"/>
      <c r="F191" s="39"/>
      <c r="G191" s="38" t="s">
        <v>503</v>
      </c>
      <c r="H191" s="40" t="s">
        <v>1829</v>
      </c>
      <c r="I191" s="41"/>
      <c r="J191" s="41"/>
      <c r="K191" s="288" t="str" cm="1">
        <f t="array" ref="K191">IF(ISBLANK(J191), IF(ISBLANK(I191), "N/A", _xlfn.IFS(L191="AS", I191+15, L191="NCR", I191+30, L191="submitted", I191+30, TRUE, "N/A")), _xlfn.IFS(L191="AS", J191+15, L191="NCR", J191+30, L191="submitted", J191+30, TRUE, "N/A"))</f>
        <v>N/A</v>
      </c>
      <c r="L191" s="38"/>
      <c r="M191" s="317"/>
      <c r="N191" s="802"/>
      <c r="O191" s="803"/>
      <c r="P191" s="803"/>
      <c r="Q191" s="804"/>
    </row>
    <row r="192" spans="1:17" s="5" customFormat="1" ht="15" customHeight="1">
      <c r="B192" s="19"/>
      <c r="C192" s="829" t="s">
        <v>1830</v>
      </c>
      <c r="D192" s="832" t="s">
        <v>1831</v>
      </c>
      <c r="E192" s="34"/>
      <c r="F192" s="34"/>
      <c r="G192" s="19" t="s">
        <v>208</v>
      </c>
      <c r="H192" s="53" t="s">
        <v>1832</v>
      </c>
      <c r="I192" s="30"/>
      <c r="J192" s="30"/>
      <c r="K192" s="288" t="str" cm="1">
        <f t="array" ref="K192">IF(ISBLANK(J192), IF(ISBLANK(I192), "N/A", _xlfn.IFS(L192="AS", I192+15, L192="NCR", I192+30, L192="submitted", I192+30, TRUE, "N/A")), _xlfn.IFS(L192="AS", J192+15, L192="NCR", J192+30, L192="submitted", J192+30, TRUE, "N/A"))</f>
        <v>N/A</v>
      </c>
      <c r="L192" s="19"/>
      <c r="M192" s="317"/>
      <c r="N192" s="802"/>
      <c r="O192" s="803"/>
      <c r="P192" s="803"/>
      <c r="Q192" s="804"/>
    </row>
    <row r="193" spans="2:17" s="77" customFormat="1" ht="40.5" customHeight="1">
      <c r="B193" s="4"/>
      <c r="C193" s="831"/>
      <c r="D193" s="834"/>
      <c r="E193" s="36"/>
      <c r="F193" s="36"/>
      <c r="G193" s="4" t="s">
        <v>281</v>
      </c>
      <c r="H193" s="3" t="s">
        <v>1833</v>
      </c>
      <c r="I193" s="18"/>
      <c r="J193" s="18"/>
      <c r="K193" s="288" t="str" cm="1">
        <f t="array" ref="K193">IF(ISBLANK(J193), IF(ISBLANK(I193), "N/A", _xlfn.IFS(L193="AS", I193+15, L193="NCR", I193+30, L193="submitted", I193+30, TRUE, "N/A")), _xlfn.IFS(L193="AS", J193+15, L193="NCR", J193+30, L193="submitted", J193+30, TRUE, "N/A"))</f>
        <v>N/A</v>
      </c>
      <c r="L193" s="4"/>
      <c r="M193" s="317"/>
      <c r="N193" s="802"/>
      <c r="O193" s="803"/>
      <c r="P193" s="803"/>
      <c r="Q193" s="804"/>
    </row>
    <row r="194" spans="2:17" s="26" customFormat="1" ht="15" customHeight="1">
      <c r="B194" s="78"/>
      <c r="C194" s="905" t="s">
        <v>1834</v>
      </c>
      <c r="D194" s="908" t="s">
        <v>1835</v>
      </c>
      <c r="E194" s="78"/>
      <c r="F194" s="78"/>
      <c r="G194" s="78" t="s">
        <v>212</v>
      </c>
      <c r="H194" s="79" t="s">
        <v>328</v>
      </c>
      <c r="I194" s="80"/>
      <c r="J194" s="80"/>
      <c r="K194" s="288" t="str" cm="1">
        <f t="array" ref="K194">IF(ISBLANK(J194), IF(ISBLANK(I194), "N/A", _xlfn.IFS(L194="AS", I194+15, L194="NCR", I194+30, L194="submitted", I194+30, TRUE, "N/A")), _xlfn.IFS(L194="AS", J194+15, L194="NCR", J194+30, L194="submitted", J194+30, TRUE, "N/A"))</f>
        <v>N/A</v>
      </c>
      <c r="L194" s="78"/>
      <c r="M194" s="317"/>
      <c r="N194" s="802"/>
      <c r="O194" s="803"/>
      <c r="P194" s="803"/>
      <c r="Q194" s="804"/>
    </row>
    <row r="195" spans="2:17" s="26" customFormat="1" ht="27" customHeight="1">
      <c r="B195" s="78"/>
      <c r="C195" s="905"/>
      <c r="D195" s="908"/>
      <c r="E195" s="78"/>
      <c r="F195" s="78"/>
      <c r="G195" s="22" t="s">
        <v>336</v>
      </c>
      <c r="H195" s="28" t="s">
        <v>1836</v>
      </c>
      <c r="I195" s="80"/>
      <c r="J195" s="80"/>
      <c r="K195" s="288" t="str" cm="1">
        <f t="array" ref="K195">IF(ISBLANK(J195), IF(ISBLANK(I195), "N/A", _xlfn.IFS(L195="AS", I195+15, L195="NCR", I195+30, L195="submitted", I195+30, TRUE, "N/A")), _xlfn.IFS(L195="AS", J195+15, L195="NCR", J195+30, L195="submitted", J195+30, TRUE, "N/A"))</f>
        <v>N/A</v>
      </c>
      <c r="L195" s="78"/>
      <c r="M195" s="317"/>
      <c r="N195" s="802"/>
      <c r="O195" s="803"/>
      <c r="P195" s="803"/>
      <c r="Q195" s="804"/>
    </row>
    <row r="196" spans="2:17" s="85" customFormat="1" ht="31.5" customHeight="1">
      <c r="B196" s="81"/>
      <c r="C196" s="907"/>
      <c r="D196" s="909"/>
      <c r="E196" s="81"/>
      <c r="F196" s="81"/>
      <c r="G196" s="82" t="s">
        <v>337</v>
      </c>
      <c r="H196" s="83" t="s">
        <v>1837</v>
      </c>
      <c r="I196" s="84"/>
      <c r="J196" s="84"/>
      <c r="K196" s="288" t="str" cm="1">
        <f t="array" ref="K196">IF(ISBLANK(J196), IF(ISBLANK(I196), "N/A", _xlfn.IFS(L196="AS", I196+15, L196="NCR", I196+30, L196="submitted", I196+30, TRUE, "N/A")), _xlfn.IFS(L196="AS", J196+15, L196="NCR", J196+30, L196="submitted", J196+30, TRUE, "N/A"))</f>
        <v>N/A</v>
      </c>
      <c r="L196" s="81"/>
      <c r="M196" s="317"/>
      <c r="N196" s="802"/>
      <c r="O196" s="803"/>
      <c r="P196" s="803"/>
      <c r="Q196" s="804"/>
    </row>
    <row r="197" spans="2:17" s="21" customFormat="1" ht="15" customHeight="1">
      <c r="C197" s="808" t="s">
        <v>1838</v>
      </c>
      <c r="D197" s="810" t="s">
        <v>1839</v>
      </c>
      <c r="E197" s="46"/>
      <c r="F197" s="46"/>
      <c r="G197" s="21" t="s">
        <v>208</v>
      </c>
      <c r="H197" s="46" t="s">
        <v>235</v>
      </c>
      <c r="I197" s="51"/>
      <c r="J197" s="51"/>
      <c r="K197" s="288" t="str" cm="1">
        <f t="array" ref="K197">IF(ISBLANK(J197), IF(ISBLANK(I197), "N/A", _xlfn.IFS(L197="AS", I197+15, L197="NCR", I197+30, L197="submitted", I197+30, TRUE, "N/A")), _xlfn.IFS(L197="AS", J197+15, L197="NCR", J197+30, L197="submitted", J197+30, TRUE, "N/A"))</f>
        <v>N/A</v>
      </c>
      <c r="M197" s="317"/>
      <c r="N197" s="802"/>
      <c r="O197" s="803"/>
      <c r="P197" s="803"/>
      <c r="Q197" s="804"/>
    </row>
    <row r="198" spans="2:17" s="1" customFormat="1" ht="15" customHeight="1">
      <c r="B198" s="21"/>
      <c r="C198" s="808"/>
      <c r="D198" s="810"/>
      <c r="E198" s="46"/>
      <c r="F198" s="46"/>
      <c r="G198" s="21" t="s">
        <v>281</v>
      </c>
      <c r="H198" s="46" t="s">
        <v>274</v>
      </c>
      <c r="I198" s="51"/>
      <c r="J198" s="51"/>
      <c r="K198" s="288" t="str" cm="1">
        <f t="array" ref="K198">IF(ISBLANK(J198), IF(ISBLANK(I198), "N/A", _xlfn.IFS(L198="AS", I198+15, L198="NCR", I198+30, L198="submitted", I198+30, TRUE, "N/A")), _xlfn.IFS(L198="AS", J198+15, L198="NCR", J198+30, L198="submitted", J198+30, TRUE, "N/A"))</f>
        <v>N/A</v>
      </c>
      <c r="L198" s="21"/>
      <c r="M198" s="317"/>
      <c r="N198" s="802"/>
      <c r="O198" s="803"/>
      <c r="P198" s="803"/>
      <c r="Q198" s="804"/>
    </row>
    <row r="199" spans="2:17" s="1" customFormat="1" ht="15" customHeight="1">
      <c r="B199" s="21"/>
      <c r="C199" s="808"/>
      <c r="D199" s="810"/>
      <c r="E199" s="46"/>
      <c r="F199" s="46"/>
      <c r="G199" s="21" t="s">
        <v>269</v>
      </c>
      <c r="H199" s="46" t="s">
        <v>444</v>
      </c>
      <c r="I199" s="51"/>
      <c r="J199" s="51"/>
      <c r="K199" s="288" t="str" cm="1">
        <f t="array" ref="K199">IF(ISBLANK(J199), IF(ISBLANK(I199), "N/A", _xlfn.IFS(L199="AS", I199+15, L199="NCR", I199+30, L199="submitted", I199+30, TRUE, "N/A")), _xlfn.IFS(L199="AS", J199+15, L199="NCR", J199+30, L199="submitted", J199+30, TRUE, "N/A"))</f>
        <v>N/A</v>
      </c>
      <c r="L199" s="21"/>
      <c r="M199" s="317"/>
      <c r="N199" s="802"/>
      <c r="O199" s="803"/>
      <c r="P199" s="803"/>
      <c r="Q199" s="804"/>
    </row>
    <row r="200" spans="2:17" s="1" customFormat="1" ht="15" customHeight="1">
      <c r="B200" s="21"/>
      <c r="C200" s="808"/>
      <c r="D200" s="810"/>
      <c r="E200" s="46"/>
      <c r="F200" s="46"/>
      <c r="G200" s="21" t="s">
        <v>259</v>
      </c>
      <c r="H200" s="46" t="s">
        <v>506</v>
      </c>
      <c r="I200" s="51"/>
      <c r="J200" s="51"/>
      <c r="K200" s="288" t="str" cm="1">
        <f t="array" ref="K200">IF(ISBLANK(J200), IF(ISBLANK(I200), "N/A", _xlfn.IFS(L200="AS", I200+15, L200="NCR", I200+30, L200="submitted", I200+30, TRUE, "N/A")), _xlfn.IFS(L200="AS", J200+15, L200="NCR", J200+30, L200="submitted", J200+30, TRUE, "N/A"))</f>
        <v>N/A</v>
      </c>
      <c r="L200" s="21"/>
      <c r="M200" s="317"/>
      <c r="N200" s="802"/>
      <c r="O200" s="803"/>
      <c r="P200" s="803"/>
      <c r="Q200" s="804"/>
    </row>
    <row r="201" spans="2:17" s="5" customFormat="1" ht="15" customHeight="1">
      <c r="B201" s="4"/>
      <c r="C201" s="829" t="s">
        <v>1840</v>
      </c>
      <c r="D201" s="832" t="s">
        <v>1841</v>
      </c>
      <c r="E201" s="34"/>
      <c r="F201" s="34"/>
      <c r="G201" s="4" t="s">
        <v>208</v>
      </c>
      <c r="H201" s="17" t="s">
        <v>1842</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27" customHeight="1">
      <c r="B202" s="4"/>
      <c r="C202" s="830"/>
      <c r="D202" s="833"/>
      <c r="E202" s="35"/>
      <c r="F202" s="35"/>
      <c r="G202" s="4" t="s">
        <v>222</v>
      </c>
      <c r="H202" s="3" t="s">
        <v>1843</v>
      </c>
      <c r="I202" s="18"/>
      <c r="J202" s="18"/>
      <c r="K202" s="288"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40.5" customHeight="1">
      <c r="B203" s="4"/>
      <c r="C203" s="830"/>
      <c r="D203" s="833"/>
      <c r="E203" s="35"/>
      <c r="F203" s="35"/>
      <c r="G203" s="4" t="s">
        <v>543</v>
      </c>
      <c r="H203" s="3" t="s">
        <v>1844</v>
      </c>
      <c r="I203" s="18"/>
      <c r="J203" s="18"/>
      <c r="K203" s="288"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831"/>
      <c r="D204" s="834"/>
      <c r="E204" s="36"/>
      <c r="F204" s="36" t="s">
        <v>1545</v>
      </c>
      <c r="G204" s="4" t="s">
        <v>269</v>
      </c>
      <c r="H204" s="17" t="s">
        <v>1845</v>
      </c>
      <c r="I204" s="18"/>
      <c r="J204" s="18"/>
      <c r="K204" s="288"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1" customFormat="1" ht="15" customHeight="1">
      <c r="B205" s="9"/>
      <c r="C205" s="840" t="s">
        <v>1846</v>
      </c>
      <c r="D205" s="841" t="s">
        <v>1847</v>
      </c>
      <c r="E205" s="37"/>
      <c r="F205" s="37"/>
      <c r="G205" s="9" t="s">
        <v>212</v>
      </c>
      <c r="H205" s="13" t="s">
        <v>437</v>
      </c>
      <c r="I205" s="14"/>
      <c r="J205" s="14"/>
      <c r="K205" s="288" t="str" cm="1">
        <f t="array" ref="K205">IF(ISBLANK(J205), IF(ISBLANK(I205), "N/A", _xlfn.IFS(L205="AS", I205+15, L205="NCR", I205+30, L205="submitted", I205+30, TRUE, "N/A")), _xlfn.IFS(L205="AS", J205+15, L205="NCR", J205+30, L205="submitted", J205+30, TRUE, "N/A"))</f>
        <v>N/A</v>
      </c>
      <c r="L205" s="9"/>
      <c r="M205" s="317"/>
      <c r="N205" s="802"/>
      <c r="O205" s="803"/>
      <c r="P205" s="803"/>
      <c r="Q205" s="804"/>
    </row>
    <row r="206" spans="2:17" s="1" customFormat="1" ht="27" customHeight="1">
      <c r="B206" s="9"/>
      <c r="C206" s="843"/>
      <c r="D206" s="844"/>
      <c r="E206" s="39"/>
      <c r="F206" s="39"/>
      <c r="G206" s="9" t="s">
        <v>336</v>
      </c>
      <c r="H206" s="7" t="s">
        <v>1848</v>
      </c>
      <c r="I206" s="14"/>
      <c r="J206" s="14"/>
      <c r="K206" s="288" t="str" cm="1">
        <f t="array" ref="K206">IF(ISBLANK(J206), IF(ISBLANK(I206), "N/A", _xlfn.IFS(L206="AS", I206+15, L206="NCR", I206+30, L206="submitted", I206+30, TRUE, "N/A")), _xlfn.IFS(L206="AS", J206+15, L206="NCR", J206+30, L206="submitted", J206+30, TRUE, "N/A"))</f>
        <v>N/A</v>
      </c>
      <c r="L206" s="9"/>
      <c r="M206" s="317"/>
      <c r="N206" s="802"/>
      <c r="O206" s="803"/>
      <c r="P206" s="803"/>
      <c r="Q206" s="804"/>
    </row>
    <row r="207" spans="2:17" s="1" customFormat="1" ht="15" customHeight="1">
      <c r="B207" s="9"/>
      <c r="C207" s="807"/>
      <c r="D207" s="809"/>
      <c r="E207" s="46"/>
      <c r="F207" s="46"/>
      <c r="G207" s="9" t="s">
        <v>337</v>
      </c>
      <c r="H207" s="13" t="s">
        <v>1849</v>
      </c>
      <c r="I207" s="14"/>
      <c r="J207" s="14"/>
      <c r="K207" s="288" t="str" cm="1">
        <f t="array" ref="K207">IF(ISBLANK(J207), IF(ISBLANK(I207), "N/A", _xlfn.IFS(L207="AS", I207+15, L207="NCR", I207+30, L207="submitted", I207+30, TRUE, "N/A")), _xlfn.IFS(L207="AS", J207+15, L207="NCR", J207+30, L207="submitted", J207+30, TRUE, "N/A"))</f>
        <v>N/A</v>
      </c>
      <c r="L207" s="9"/>
      <c r="M207" s="317"/>
      <c r="N207" s="802"/>
      <c r="O207" s="803"/>
      <c r="P207" s="803"/>
      <c r="Q207" s="804"/>
    </row>
    <row r="208" spans="2:17" s="138" customFormat="1" ht="40.5" customHeight="1">
      <c r="B208" s="151" t="s">
        <v>36</v>
      </c>
      <c r="C208" s="896" t="s">
        <v>1850</v>
      </c>
      <c r="D208" s="898" t="s">
        <v>1851</v>
      </c>
      <c r="E208" s="589" t="s">
        <v>37</v>
      </c>
      <c r="F208" s="589" t="s">
        <v>1545</v>
      </c>
      <c r="G208" s="151" t="s">
        <v>281</v>
      </c>
      <c r="H208" s="153" t="s">
        <v>1852</v>
      </c>
      <c r="I208" s="261">
        <v>45869</v>
      </c>
      <c r="J208" s="261">
        <v>45905</v>
      </c>
      <c r="K208" s="288" t="str" cm="1">
        <f t="array" ref="K208">IF(ISBLANK(J208), IF(ISBLANK(I208), "N/A", _xlfn.IFS(L208="AS", I208+15, L208="NCR", I208+30, L208="submitted", I208+30, TRUE, "N/A")), _xlfn.IFS(L208="AS", J208+15, L208="NCR", J208+30, L208="submitted", J208+30, TRUE, "N/A"))</f>
        <v>N/A</v>
      </c>
      <c r="L208" s="151" t="s">
        <v>151</v>
      </c>
      <c r="M208" s="317"/>
      <c r="N208" s="796" t="s">
        <v>133</v>
      </c>
      <c r="O208" s="797"/>
      <c r="P208" s="797"/>
      <c r="Q208" s="798"/>
    </row>
    <row r="209" spans="2:17" s="26" customFormat="1" ht="15" customHeight="1">
      <c r="B209" s="22"/>
      <c r="C209" s="897"/>
      <c r="D209" s="899"/>
      <c r="E209" s="29"/>
      <c r="F209" s="29"/>
      <c r="G209" s="22" t="s">
        <v>269</v>
      </c>
      <c r="H209" s="24" t="s">
        <v>1853</v>
      </c>
      <c r="I209" s="25"/>
      <c r="J209" s="25"/>
      <c r="K209" s="288" t="str" cm="1">
        <f t="array" ref="K209">IF(ISBLANK(J209), IF(ISBLANK(I209), "N/A", _xlfn.IFS(L209="AS", I209+15, L209="NCR", I209+30, L209="submitted", I209+30, TRUE, "N/A")), _xlfn.IFS(L209="AS", J209+15, L209="NCR", J209+30, L209="submitted", J209+30, TRUE, "N/A"))</f>
        <v>N/A</v>
      </c>
      <c r="L209" s="22"/>
      <c r="M209" s="317"/>
      <c r="N209" s="799"/>
      <c r="O209" s="800"/>
      <c r="P209" s="800"/>
      <c r="Q209" s="801"/>
    </row>
    <row r="210" spans="2:17" s="26" customFormat="1" ht="15" customHeight="1">
      <c r="B210" s="22"/>
      <c r="C210" s="896" t="s">
        <v>1854</v>
      </c>
      <c r="D210" s="898" t="s">
        <v>1855</v>
      </c>
      <c r="E210" s="76"/>
      <c r="F210" s="76"/>
      <c r="G210" s="22" t="s">
        <v>208</v>
      </c>
      <c r="H210" s="24" t="s">
        <v>484</v>
      </c>
      <c r="I210" s="25"/>
      <c r="J210" s="25"/>
      <c r="K210" s="288" t="str" cm="1">
        <f t="array" ref="K210">IF(ISBLANK(J210), IF(ISBLANK(I210), "N/A", _xlfn.IFS(L210="AS", I210+15, L210="NCR", I210+30, L210="submitted", I210+30, TRUE, "N/A")), _xlfn.IFS(L210="AS", J210+15, L210="NCR", J210+30, L210="submitted", J210+30, TRUE, "N/A"))</f>
        <v>N/A</v>
      </c>
      <c r="L210" s="22"/>
      <c r="M210" s="317"/>
      <c r="N210" s="799"/>
      <c r="O210" s="800"/>
      <c r="P210" s="800"/>
      <c r="Q210" s="801"/>
    </row>
    <row r="211" spans="2:17" s="26" customFormat="1" ht="15" customHeight="1">
      <c r="B211" s="22"/>
      <c r="C211" s="897"/>
      <c r="D211" s="899"/>
      <c r="E211" s="29"/>
      <c r="F211" s="29"/>
      <c r="G211" s="22" t="s">
        <v>281</v>
      </c>
      <c r="H211" s="24" t="s">
        <v>341</v>
      </c>
      <c r="I211" s="25"/>
      <c r="J211" s="25"/>
      <c r="K211" s="288" t="str" cm="1">
        <f t="array" ref="K211">IF(ISBLANK(J211), IF(ISBLANK(I211), "N/A", _xlfn.IFS(L211="AS", I211+15, L211="NCR", I211+30, L211="submitted", I211+30, TRUE, "N/A")), _xlfn.IFS(L211="AS", J211+15, L211="NCR", J211+30, L211="submitted", J211+30, TRUE, "N/A"))</f>
        <v>N/A</v>
      </c>
      <c r="L211" s="22"/>
      <c r="M211" s="317"/>
      <c r="N211" s="799"/>
      <c r="O211" s="800"/>
      <c r="P211" s="800"/>
      <c r="Q211" s="801"/>
    </row>
    <row r="212" spans="2:17" s="5" customFormat="1" ht="15" customHeight="1">
      <c r="B212" s="4"/>
      <c r="C212" s="829" t="s">
        <v>1856</v>
      </c>
      <c r="D212" s="832" t="s">
        <v>1857</v>
      </c>
      <c r="E212" s="34"/>
      <c r="F212" s="34"/>
      <c r="G212" s="4" t="s">
        <v>208</v>
      </c>
      <c r="H212" s="17" t="s">
        <v>484</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27" customHeight="1">
      <c r="B213" s="4"/>
      <c r="C213" s="830"/>
      <c r="D213" s="833"/>
      <c r="E213" s="35"/>
      <c r="F213" s="35"/>
      <c r="G213" s="4" t="s">
        <v>281</v>
      </c>
      <c r="H213" s="3" t="s">
        <v>1858</v>
      </c>
      <c r="I213" s="18"/>
      <c r="J213" s="18"/>
      <c r="K213" s="288" t="str" cm="1">
        <f t="array" ref="K213">IF(ISBLANK(J213), IF(ISBLANK(I213), "N/A", _xlfn.IFS(L213="AS", I213+15, L213="NCR", I213+30, L213="submitted", I213+30, TRUE, "N/A")), _xlfn.IFS(L213="AS", J213+15, L213="NCR", J213+30, L213="submitted", J213+30, TRUE, "N/A"))</f>
        <v>N/A</v>
      </c>
      <c r="L213" s="4"/>
      <c r="M213" s="317"/>
      <c r="N213" s="799"/>
      <c r="O213" s="800"/>
      <c r="P213" s="800"/>
      <c r="Q213" s="801"/>
    </row>
    <row r="214" spans="2:17" s="5" customFormat="1" ht="15" customHeight="1">
      <c r="B214" s="4"/>
      <c r="C214" s="830"/>
      <c r="D214" s="833"/>
      <c r="E214" s="35"/>
      <c r="F214" s="35"/>
      <c r="G214" s="4" t="s">
        <v>269</v>
      </c>
      <c r="H214" s="17" t="s">
        <v>1859</v>
      </c>
      <c r="I214" s="18"/>
      <c r="J214" s="18"/>
      <c r="K214" s="288" t="str" cm="1">
        <f t="array" ref="K214">IF(ISBLANK(J214), IF(ISBLANK(I214), "N/A", _xlfn.IFS(L214="AS", I214+15, L214="NCR", I214+30, L214="submitted", I214+30, TRUE, "N/A")), _xlfn.IFS(L214="AS", J214+15, L214="NCR", J214+30, L214="submitted", J214+30, TRUE, "N/A"))</f>
        <v>N/A</v>
      </c>
      <c r="L214" s="4"/>
      <c r="M214" s="317"/>
      <c r="N214" s="799"/>
      <c r="O214" s="800"/>
      <c r="P214" s="800"/>
      <c r="Q214" s="801"/>
    </row>
    <row r="215" spans="2:17" s="5" customFormat="1" ht="15" customHeight="1">
      <c r="B215" s="4"/>
      <c r="C215" s="830"/>
      <c r="D215" s="833"/>
      <c r="E215" s="35"/>
      <c r="F215" s="35"/>
      <c r="G215" s="4" t="s">
        <v>259</v>
      </c>
      <c r="H215" s="17" t="s">
        <v>444</v>
      </c>
      <c r="I215" s="18"/>
      <c r="J215" s="18"/>
      <c r="K215" s="288" t="str" cm="1">
        <f t="array" ref="K215">IF(ISBLANK(J215), IF(ISBLANK(I215), "N/A", _xlfn.IFS(L215="AS", I215+15, L215="NCR", I215+30, L215="submitted", I215+30, TRUE, "N/A")), _xlfn.IFS(L215="AS", J215+15, L215="NCR", J215+30, L215="submitted", J215+30, TRUE, "N/A"))</f>
        <v>N/A</v>
      </c>
      <c r="L215" s="4"/>
      <c r="M215" s="317"/>
      <c r="N215" s="799"/>
      <c r="O215" s="800"/>
      <c r="P215" s="800"/>
      <c r="Q215" s="801"/>
    </row>
    <row r="216" spans="2:17" s="5" customFormat="1" ht="15" customHeight="1">
      <c r="B216" s="4"/>
      <c r="C216" s="830"/>
      <c r="D216" s="833"/>
      <c r="E216" s="35"/>
      <c r="F216" s="35"/>
      <c r="G216" s="4" t="s">
        <v>503</v>
      </c>
      <c r="H216" s="17" t="s">
        <v>1860</v>
      </c>
      <c r="I216" s="18"/>
      <c r="J216" s="18"/>
      <c r="K216" s="288" t="str" cm="1">
        <f t="array" ref="K216">IF(ISBLANK(J216), IF(ISBLANK(I216), "N/A", _xlfn.IFS(L216="AS", I216+15, L216="NCR", I216+30, L216="submitted", I216+30, TRUE, "N/A")), _xlfn.IFS(L216="AS", J216+15, L216="NCR", J216+30, L216="submitted", J216+30, TRUE, "N/A"))</f>
        <v>N/A</v>
      </c>
      <c r="L216" s="4"/>
      <c r="M216" s="317"/>
      <c r="N216" s="747" t="s">
        <v>148</v>
      </c>
      <c r="O216" s="748"/>
      <c r="P216" s="748"/>
      <c r="Q216" s="749"/>
    </row>
    <row r="217" spans="2:17" s="5" customFormat="1" ht="27" customHeight="1">
      <c r="B217" s="4"/>
      <c r="C217" s="830"/>
      <c r="D217" s="833"/>
      <c r="E217" s="35"/>
      <c r="F217" s="35"/>
      <c r="G217" s="4" t="s">
        <v>1121</v>
      </c>
      <c r="H217" s="3" t="s">
        <v>1861</v>
      </c>
      <c r="I217" s="18"/>
      <c r="J217" s="18"/>
      <c r="K217" s="288" t="str" cm="1">
        <f t="array" ref="K217">IF(ISBLANK(J217), IF(ISBLANK(I217), "N/A", _xlfn.IFS(L217="AS", I217+15, L217="NCR", I217+30, L217="submitted", I217+30, TRUE, "N/A")), _xlfn.IFS(L217="AS", J217+15, L217="NCR", J217+30, L217="submitted", J217+30, TRUE, "N/A"))</f>
        <v>N/A</v>
      </c>
      <c r="L217" s="4"/>
      <c r="M217" s="317"/>
      <c r="N217" s="747"/>
      <c r="O217" s="748"/>
      <c r="P217" s="748"/>
      <c r="Q217" s="749"/>
    </row>
    <row r="218" spans="2:17" s="5" customFormat="1" ht="15" customHeight="1">
      <c r="B218" s="4"/>
      <c r="C218" s="830"/>
      <c r="D218" s="833"/>
      <c r="E218" s="35"/>
      <c r="F218" s="35"/>
      <c r="G218" s="4" t="s">
        <v>354</v>
      </c>
      <c r="H218" s="17" t="s">
        <v>1862</v>
      </c>
      <c r="I218" s="18"/>
      <c r="J218" s="18"/>
      <c r="K218" s="288" t="str" cm="1">
        <f t="array" ref="K218">IF(ISBLANK(J218), IF(ISBLANK(I218), "N/A", _xlfn.IFS(L218="AS", I218+15, L218="NCR", I218+30, L218="submitted", I218+30, TRUE, "N/A")), _xlfn.IFS(L218="AS", J218+15, L218="NCR", J218+30, L218="submitted", J218+30, TRUE, "N/A"))</f>
        <v>N/A</v>
      </c>
      <c r="L218" s="4"/>
      <c r="M218" s="317"/>
      <c r="N218" s="747"/>
      <c r="O218" s="748"/>
      <c r="P218" s="748"/>
      <c r="Q218" s="749"/>
    </row>
    <row r="219" spans="2:17" s="5" customFormat="1" ht="15" customHeight="1">
      <c r="B219" s="4"/>
      <c r="C219" s="831"/>
      <c r="D219" s="834"/>
      <c r="E219" s="36"/>
      <c r="F219" s="36"/>
      <c r="G219" s="4" t="s">
        <v>356</v>
      </c>
      <c r="H219" s="17" t="s">
        <v>365</v>
      </c>
      <c r="I219" s="18"/>
      <c r="J219" s="18"/>
      <c r="K219" s="288" t="str" cm="1">
        <f t="array" ref="K219">IF(ISBLANK(J219), IF(ISBLANK(I219), "N/A", _xlfn.IFS(L219="AS", I219+15, L219="NCR", I219+30, L219="submitted", I219+30, TRUE, "N/A")), _xlfn.IFS(L219="AS", J219+15, L219="NCR", J219+30, L219="submitted", J219+30, TRUE, "N/A"))</f>
        <v>N/A</v>
      </c>
      <c r="L219" s="4"/>
      <c r="M219" s="317"/>
      <c r="N219" s="747"/>
      <c r="O219" s="748"/>
      <c r="P219" s="748"/>
      <c r="Q219" s="749"/>
    </row>
    <row r="220" spans="2:17" s="483" customFormat="1" ht="53.25">
      <c r="B220" s="348" t="s">
        <v>40</v>
      </c>
      <c r="C220" s="552" t="s">
        <v>1863</v>
      </c>
      <c r="D220" s="351" t="s">
        <v>1864</v>
      </c>
      <c r="E220" s="544" t="s">
        <v>1865</v>
      </c>
      <c r="F220" s="544" t="s">
        <v>1545</v>
      </c>
      <c r="G220" s="348" t="s">
        <v>281</v>
      </c>
      <c r="H220" s="481" t="s">
        <v>1866</v>
      </c>
      <c r="I220" s="482">
        <v>45869</v>
      </c>
      <c r="J220" s="482">
        <v>45903</v>
      </c>
      <c r="K220" s="288" t="str" cm="1">
        <f t="array" ref="K220">IF(ISBLANK(J220), IF(ISBLANK(I220), "N/A", _xlfn.IFS(L220="AS", I220+15, L220="NCR", I220+30, L220="submitted", I220+30, TRUE, "N/A")), _xlfn.IFS(L220="AS", J220+15, L220="NCR", J220+30, L220="submitted", J220+30, TRUE, "N/A"))</f>
        <v>N/A</v>
      </c>
      <c r="L220" s="348" t="s">
        <v>639</v>
      </c>
      <c r="M220" s="317"/>
      <c r="N220" s="747"/>
      <c r="O220" s="748"/>
      <c r="P220" s="748"/>
      <c r="Q220" s="749"/>
    </row>
    <row r="221" spans="2:17" s="26" customFormat="1" ht="15" customHeight="1">
      <c r="B221" s="22"/>
      <c r="C221" s="128" t="s">
        <v>1863</v>
      </c>
      <c r="D221" s="129" t="s">
        <v>1864</v>
      </c>
      <c r="E221" s="27"/>
      <c r="F221" s="27"/>
      <c r="G221" s="22" t="s">
        <v>269</v>
      </c>
      <c r="H221" s="24" t="s">
        <v>328</v>
      </c>
      <c r="I221" s="25"/>
      <c r="J221" s="25"/>
      <c r="K221" s="288" t="str" cm="1">
        <f t="array" ref="K221">IF(ISBLANK(J221), IF(ISBLANK(I221), "N/A", _xlfn.IFS(L221="AS", I221+15, L221="NCR", I221+30, L221="submitted", I221+30, TRUE, "N/A")), _xlfn.IFS(L221="AS", J221+15, L221="NCR", J221+30, L221="submitted", J221+30, TRUE, "N/A"))</f>
        <v>N/A</v>
      </c>
      <c r="L221" s="22"/>
      <c r="M221" s="318"/>
      <c r="N221" s="747"/>
      <c r="O221" s="748"/>
      <c r="P221" s="748"/>
      <c r="Q221" s="749"/>
    </row>
    <row r="222" spans="2:17" s="26" customFormat="1" ht="15" customHeight="1">
      <c r="B222" s="22"/>
      <c r="C222" s="128" t="s">
        <v>1863</v>
      </c>
      <c r="D222" s="129" t="s">
        <v>1864</v>
      </c>
      <c r="E222" s="27"/>
      <c r="F222" s="27"/>
      <c r="G222" s="22" t="s">
        <v>259</v>
      </c>
      <c r="H222" s="24" t="s">
        <v>1867</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26" customFormat="1" ht="36.75" customHeight="1">
      <c r="B223" s="22"/>
      <c r="C223" s="128" t="s">
        <v>1863</v>
      </c>
      <c r="D223" s="129" t="s">
        <v>1864</v>
      </c>
      <c r="E223" s="27"/>
      <c r="F223" s="27" t="s">
        <v>1545</v>
      </c>
      <c r="G223" s="22" t="s">
        <v>352</v>
      </c>
      <c r="H223" s="28" t="s">
        <v>1868</v>
      </c>
      <c r="I223" s="25"/>
      <c r="J223" s="25"/>
      <c r="K223" s="288" t="str" cm="1">
        <f t="array" ref="K223">IF(ISBLANK(J223), IF(ISBLANK(I223), "N/A", _xlfn.IFS(L223="AS", I223+15, L223="NCR", I223+30, L223="submitted", I223+30, TRUE, "N/A")), _xlfn.IFS(L223="AS", J223+15, L223="NCR", J223+30, L223="submitted", J223+30, TRUE, "N/A"))</f>
        <v>N/A</v>
      </c>
      <c r="L223" s="22"/>
      <c r="M223" s="317"/>
      <c r="N223" s="747"/>
      <c r="O223" s="748"/>
      <c r="P223" s="748"/>
      <c r="Q223" s="749"/>
    </row>
    <row r="224" spans="2:17" s="26" customFormat="1" ht="42" customHeight="1">
      <c r="B224" s="22"/>
      <c r="C224" s="128" t="s">
        <v>1863</v>
      </c>
      <c r="D224" s="129" t="s">
        <v>1864</v>
      </c>
      <c r="E224" s="27"/>
      <c r="F224" s="27"/>
      <c r="G224" s="22" t="s">
        <v>354</v>
      </c>
      <c r="H224" s="28" t="s">
        <v>1869</v>
      </c>
      <c r="I224" s="25"/>
      <c r="J224" s="25"/>
      <c r="K224" s="288" t="str" cm="1">
        <f t="array" ref="K224">IF(ISBLANK(J224), IF(ISBLANK(I224), "N/A", _xlfn.IFS(L224="AS", I224+15, L224="NCR", I224+30, L224="submitted", I224+30, TRUE, "N/A")), _xlfn.IFS(L224="AS", J224+15, L224="NCR", J224+30, L224="submitted", J224+30, TRUE, "N/A"))</f>
        <v>N/A</v>
      </c>
      <c r="L224" s="22"/>
      <c r="M224" s="317"/>
      <c r="N224" s="747"/>
      <c r="O224" s="748"/>
      <c r="P224" s="748"/>
      <c r="Q224" s="749"/>
    </row>
    <row r="225" spans="2:17" s="26" customFormat="1" ht="15" customHeight="1">
      <c r="B225" s="22"/>
      <c r="C225" s="128" t="s">
        <v>1863</v>
      </c>
      <c r="D225" s="129" t="s">
        <v>1864</v>
      </c>
      <c r="E225" s="29"/>
      <c r="F225" s="29"/>
      <c r="G225" s="22" t="s">
        <v>356</v>
      </c>
      <c r="H225" s="24" t="s">
        <v>1870</v>
      </c>
      <c r="I225" s="25"/>
      <c r="J225" s="25"/>
      <c r="K225" s="288" t="str" cm="1">
        <f t="array" ref="K225">IF(ISBLANK(J225), IF(ISBLANK(I225), "N/A", _xlfn.IFS(L225="AS", I225+15, L225="NCR", I225+30, L225="submitted", I225+30, TRUE, "N/A")), _xlfn.IFS(L225="AS", J225+15, L225="NCR", J225+30, L225="submitted", J225+30, TRUE, "N/A"))</f>
        <v>N/A</v>
      </c>
      <c r="L225" s="22"/>
      <c r="M225" s="317"/>
      <c r="N225" s="747"/>
      <c r="O225" s="748"/>
      <c r="P225" s="748"/>
      <c r="Q225" s="749"/>
    </row>
    <row r="226" spans="2:17" s="1" customFormat="1" ht="15" customHeight="1">
      <c r="B226" s="9"/>
      <c r="C226" s="840" t="s">
        <v>1871</v>
      </c>
      <c r="D226" s="841" t="s">
        <v>1872</v>
      </c>
      <c r="E226" s="37"/>
      <c r="F226" s="37"/>
      <c r="G226" s="9" t="s">
        <v>208</v>
      </c>
      <c r="H226" s="13" t="s">
        <v>1873</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43"/>
      <c r="D227" s="844"/>
      <c r="E227" s="39"/>
      <c r="F227" s="39"/>
      <c r="G227" s="9" t="s">
        <v>281</v>
      </c>
      <c r="H227" s="13" t="s">
        <v>1874</v>
      </c>
      <c r="I227" s="14"/>
      <c r="J227" s="14"/>
      <c r="K227" s="288" t="str" cm="1">
        <f t="array" ref="K227">IF(ISBLANK(J227), IF(ISBLANK(I227), "N/A", _xlfn.IFS(L227="AS", I227+15, L227="NCR", I227+30, L227="submitted", I227+30, TRUE, "N/A")), _xlfn.IFS(L227="AS", J227+15, L227="NCR", J227+30, L227="submitted", J227+30, TRUE, "N/A"))</f>
        <v>N/A</v>
      </c>
      <c r="L227" s="9"/>
      <c r="M227" s="317"/>
      <c r="N227" s="747"/>
      <c r="O227" s="748"/>
      <c r="P227" s="748"/>
      <c r="Q227" s="749"/>
    </row>
    <row r="228" spans="2:17" s="1" customFormat="1" ht="15" customHeight="1">
      <c r="B228" s="9"/>
      <c r="C228" s="843"/>
      <c r="D228" s="844"/>
      <c r="E228" s="39"/>
      <c r="F228" s="39"/>
      <c r="G228" s="9" t="s">
        <v>269</v>
      </c>
      <c r="H228" s="13" t="s">
        <v>1875</v>
      </c>
      <c r="I228" s="14"/>
      <c r="J228" s="14"/>
      <c r="K228" s="288" t="str" cm="1">
        <f t="array" ref="K228">IF(ISBLANK(J228), IF(ISBLANK(I228), "N/A", _xlfn.IFS(L228="AS", I228+15, L228="NCR", I228+30, L228="submitted", I228+30, TRUE, "N/A")), _xlfn.IFS(L228="AS", J228+15, L228="NCR", J228+30, L228="submitted", J228+30, TRUE, "N/A"))</f>
        <v>N/A</v>
      </c>
      <c r="L228" s="9"/>
      <c r="M228" s="317"/>
      <c r="N228" s="747"/>
      <c r="O228" s="748"/>
      <c r="P228" s="748"/>
      <c r="Q228" s="749"/>
    </row>
    <row r="229" spans="2:17" s="1" customFormat="1" ht="15" customHeight="1">
      <c r="B229" s="9"/>
      <c r="C229" s="843"/>
      <c r="D229" s="844"/>
      <c r="E229" s="39"/>
      <c r="F229" s="39"/>
      <c r="G229" s="9" t="s">
        <v>259</v>
      </c>
      <c r="H229" s="13" t="s">
        <v>444</v>
      </c>
      <c r="I229" s="14"/>
      <c r="J229" s="14"/>
      <c r="K229" s="288" t="str" cm="1">
        <f t="array" ref="K229">IF(ISBLANK(J229), IF(ISBLANK(I229), "N/A", _xlfn.IFS(L229="AS", I229+15, L229="NCR", I229+30, L229="submitted", I229+30, TRUE, "N/A")), _xlfn.IFS(L229="AS", J229+15, L229="NCR", J229+30, L229="submitted", J229+30, TRUE, "N/A"))</f>
        <v>N/A</v>
      </c>
      <c r="L229" s="9"/>
      <c r="M229" s="317"/>
      <c r="N229" s="747"/>
      <c r="O229" s="748"/>
      <c r="P229" s="748"/>
      <c r="Q229" s="749"/>
    </row>
    <row r="230" spans="2:17" s="1" customFormat="1" ht="15" customHeight="1">
      <c r="B230" s="9"/>
      <c r="C230" s="843"/>
      <c r="D230" s="844"/>
      <c r="E230" s="39"/>
      <c r="F230" s="39"/>
      <c r="G230" s="9" t="s">
        <v>503</v>
      </c>
      <c r="H230" s="13" t="s">
        <v>1876</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27" customHeight="1">
      <c r="B231" s="9"/>
      <c r="C231" s="843"/>
      <c r="D231" s="844"/>
      <c r="E231" s="39"/>
      <c r="F231" s="39"/>
      <c r="G231" s="9" t="s">
        <v>1121</v>
      </c>
      <c r="H231" s="7" t="s">
        <v>1877</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43"/>
      <c r="D232" s="844"/>
      <c r="E232" s="39"/>
      <c r="F232" s="39"/>
      <c r="G232" s="9" t="s">
        <v>1878</v>
      </c>
      <c r="H232" s="13" t="s">
        <v>1879</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43"/>
      <c r="D233" s="844"/>
      <c r="E233" s="39"/>
      <c r="F233" s="39"/>
      <c r="G233" s="9" t="s">
        <v>354</v>
      </c>
      <c r="H233" s="7" t="s">
        <v>1880</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43"/>
      <c r="D234" s="844"/>
      <c r="E234" s="39"/>
      <c r="F234" s="39"/>
      <c r="G234" s="9" t="s">
        <v>356</v>
      </c>
      <c r="H234" s="13" t="s">
        <v>1881</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43"/>
      <c r="D235" s="844"/>
      <c r="E235" s="39"/>
      <c r="F235" s="39"/>
      <c r="G235" s="9" t="s">
        <v>1134</v>
      </c>
      <c r="H235" s="13" t="s">
        <v>1882</v>
      </c>
      <c r="I235" s="14"/>
      <c r="J235" s="14"/>
      <c r="K235" s="288" t="str" cm="1">
        <f t="array" ref="K235">IF(ISBLANK(J235), IF(ISBLANK(I235), "N/A", _xlfn.IFS(L235="AS", I235+15, L235="NCR", I235+30, L235="submitted", I235+30, TRUE, "N/A")), _xlfn.IFS(L235="AS", J235+15, L235="NCR", J235+30, L235="submitted", J235+30, TRUE, "N/A"))</f>
        <v>N/A</v>
      </c>
      <c r="L235" s="9"/>
    </row>
    <row r="236" spans="2:17" s="1" customFormat="1" ht="27" customHeight="1">
      <c r="B236" s="9"/>
      <c r="C236" s="843"/>
      <c r="D236" s="844"/>
      <c r="E236" s="39"/>
      <c r="F236" s="39"/>
      <c r="G236" s="9" t="s">
        <v>1883</v>
      </c>
      <c r="H236" s="7" t="s">
        <v>1884</v>
      </c>
      <c r="I236" s="14"/>
      <c r="J236" s="14"/>
      <c r="K236" s="288" t="str" cm="1">
        <f t="array" ref="K236">IF(ISBLANK(J236), IF(ISBLANK(I236), "N/A", _xlfn.IFS(L236="AS", I236+15, L236="NCR", I236+30, L236="submitted", I236+30, TRUE, "N/A")), _xlfn.IFS(L236="AS", J236+15, L236="NCR", J236+30, L236="submitted", J236+30, TRUE, "N/A"))</f>
        <v>N/A</v>
      </c>
      <c r="L236" s="9"/>
    </row>
    <row r="237" spans="2:17" s="1" customFormat="1" ht="27" customHeight="1">
      <c r="B237" s="9"/>
      <c r="C237" s="843"/>
      <c r="D237" s="844"/>
      <c r="E237" s="39"/>
      <c r="F237" s="39"/>
      <c r="G237" s="9" t="s">
        <v>1885</v>
      </c>
      <c r="H237" s="7" t="s">
        <v>1886</v>
      </c>
      <c r="I237" s="14"/>
      <c r="J237" s="14"/>
      <c r="K237" s="288" t="str" cm="1">
        <f t="array" ref="K237">IF(ISBLANK(J237), IF(ISBLANK(I237), "N/A", _xlfn.IFS(L237="AS", I237+15, L237="NCR", I237+30, L237="submitted", I237+30, TRUE, "N/A")), _xlfn.IFS(L237="AS", J237+15, L237="NCR", J237+30, L237="submitted", J237+30, TRUE, "N/A"))</f>
        <v>N/A</v>
      </c>
      <c r="L237" s="9"/>
    </row>
    <row r="238" spans="2:17" s="1" customFormat="1" ht="15" customHeight="1">
      <c r="B238" s="9"/>
      <c r="C238" s="807"/>
      <c r="D238" s="809"/>
      <c r="E238" s="46"/>
      <c r="F238" s="46"/>
      <c r="G238" s="9" t="s">
        <v>1319</v>
      </c>
      <c r="H238" s="13" t="s">
        <v>1887</v>
      </c>
      <c r="I238" s="14"/>
      <c r="J238" s="14"/>
      <c r="K238" s="288" t="str" cm="1">
        <f t="array" ref="K238">IF(ISBLANK(J238), IF(ISBLANK(I238), "N/A", _xlfn.IFS(L238="AS", I238+15, L238="NCR", I238+30, L238="submitted", I238+30, TRUE, "N/A")), _xlfn.IFS(L238="AS", J238+15, L238="NCR", J238+30, L238="submitted", J238+30, TRUE, "N/A"))</f>
        <v>N/A</v>
      </c>
      <c r="L238" s="9"/>
    </row>
    <row r="239" spans="2:17" s="5" customFormat="1" ht="15" customHeight="1">
      <c r="B239" s="4"/>
      <c r="C239" s="829" t="s">
        <v>1888</v>
      </c>
      <c r="D239" s="832" t="s">
        <v>1889</v>
      </c>
      <c r="E239" s="34"/>
      <c r="F239" s="34"/>
      <c r="G239" s="4" t="s">
        <v>208</v>
      </c>
      <c r="H239" s="17" t="s">
        <v>1890</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30"/>
      <c r="D240" s="833"/>
      <c r="E240" s="35"/>
      <c r="F240" s="35"/>
      <c r="G240" s="4" t="s">
        <v>281</v>
      </c>
      <c r="H240" s="17" t="s">
        <v>1891</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27" customHeight="1">
      <c r="B241" s="4"/>
      <c r="C241" s="830"/>
      <c r="D241" s="833"/>
      <c r="E241" s="35"/>
      <c r="F241" s="35"/>
      <c r="G241" s="4" t="s">
        <v>269</v>
      </c>
      <c r="H241" s="3" t="s">
        <v>1892</v>
      </c>
      <c r="I241" s="18"/>
      <c r="J241" s="18"/>
      <c r="K241" s="288"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259</v>
      </c>
      <c r="H242" s="17" t="s">
        <v>1893</v>
      </c>
      <c r="I242" s="18"/>
      <c r="J242" s="18"/>
      <c r="K242" s="288"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30"/>
      <c r="D243" s="833"/>
      <c r="E243" s="35"/>
      <c r="F243" s="35"/>
      <c r="G243" s="4" t="s">
        <v>352</v>
      </c>
      <c r="H243" s="17" t="s">
        <v>444</v>
      </c>
      <c r="I243" s="18"/>
      <c r="J243" s="18"/>
      <c r="K243" s="288"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31"/>
      <c r="D244" s="834"/>
      <c r="E244" s="36"/>
      <c r="F244" s="36"/>
      <c r="G244" s="4" t="s">
        <v>354</v>
      </c>
      <c r="H244" s="17" t="s">
        <v>697</v>
      </c>
      <c r="I244" s="18"/>
      <c r="J244" s="18"/>
      <c r="K244" s="288"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40" t="s">
        <v>1894</v>
      </c>
      <c r="D245" s="841" t="s">
        <v>1895</v>
      </c>
      <c r="E245" s="37"/>
      <c r="F245" s="37"/>
      <c r="G245" s="9" t="s">
        <v>208</v>
      </c>
      <c r="H245" s="13" t="s">
        <v>1896</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43"/>
      <c r="D246" s="844"/>
      <c r="E246" s="39"/>
      <c r="F246" s="39"/>
      <c r="G246" s="9" t="s">
        <v>281</v>
      </c>
      <c r="H246" s="13" t="s">
        <v>1897</v>
      </c>
      <c r="I246" s="14"/>
      <c r="J246" s="14"/>
      <c r="K246" s="288"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07"/>
      <c r="D247" s="809"/>
      <c r="E247" s="46"/>
      <c r="F247" s="46"/>
      <c r="G247" s="9" t="s">
        <v>269</v>
      </c>
      <c r="H247" s="13" t="s">
        <v>444</v>
      </c>
      <c r="I247" s="14"/>
      <c r="J247" s="14"/>
      <c r="K247" s="288" t="str" cm="1">
        <f t="array" ref="K247">IF(ISBLANK(J247), IF(ISBLANK(I247), "N/A", _xlfn.IFS(L247="AS", I247+15, L247="NCR", I247+30, L247="submitted", I247+30, TRUE, "N/A")), _xlfn.IFS(L247="AS", J247+15, L247="NCR", J247+30, L247="submitted", J247+30, TRUE, "N/A"))</f>
        <v>N/A</v>
      </c>
      <c r="L247" s="9"/>
    </row>
    <row r="248" spans="2:12" s="5" customFormat="1" ht="15" customHeight="1">
      <c r="B248" s="4"/>
      <c r="C248" s="15" t="s">
        <v>1898</v>
      </c>
      <c r="D248" s="17" t="s">
        <v>1899</v>
      </c>
      <c r="E248" s="17"/>
      <c r="F248" s="17" t="s">
        <v>1900</v>
      </c>
      <c r="G248" s="4" t="s">
        <v>208</v>
      </c>
      <c r="H248" s="17" t="s">
        <v>1901</v>
      </c>
      <c r="I248" s="18"/>
      <c r="J248" s="18"/>
      <c r="K248" s="288" t="str" cm="1">
        <f t="array" ref="K248">IF(ISBLANK(J248), IF(ISBLANK(I248), "N/A", _xlfn.IFS(L248="AS", I248+15, L248="NCR", I248+30, L248="submitted", I248+30, TRUE, "N/A")), _xlfn.IFS(L248="AS", J248+15, L248="NCR", J248+30, L248="submitted", J248+30, TRUE, "N/A"))</f>
        <v>N/A</v>
      </c>
      <c r="L248" s="4"/>
    </row>
    <row r="249" spans="2:12" s="1" customFormat="1" ht="15" customHeight="1">
      <c r="B249" s="9"/>
      <c r="C249" s="840" t="s">
        <v>1902</v>
      </c>
      <c r="D249" s="841" t="s">
        <v>1903</v>
      </c>
      <c r="E249" s="37"/>
      <c r="F249" s="37"/>
      <c r="G249" s="9" t="s">
        <v>208</v>
      </c>
      <c r="H249" s="13" t="s">
        <v>484</v>
      </c>
      <c r="I249" s="14"/>
      <c r="J249" s="14"/>
      <c r="K249" s="288" t="str" cm="1">
        <f t="array" ref="K249">IF(ISBLANK(J249), IF(ISBLANK(I249), "N/A", _xlfn.IFS(L249="AS", I249+15, L249="NCR", I249+30, L249="submitted", I249+30, TRUE, "N/A")), _xlfn.IFS(L249="AS", J249+15, L249="NCR", J249+30, L249="submitted", J249+30, TRUE, "N/A"))</f>
        <v>N/A</v>
      </c>
      <c r="L249" s="9"/>
    </row>
    <row r="250" spans="2:12" s="1" customFormat="1" ht="15" customHeight="1">
      <c r="B250" s="38"/>
      <c r="C250" s="843"/>
      <c r="D250" s="844"/>
      <c r="E250" s="39"/>
      <c r="F250" s="39"/>
      <c r="G250" s="38" t="s">
        <v>281</v>
      </c>
      <c r="H250" s="37" t="s">
        <v>1904</v>
      </c>
      <c r="I250" s="41"/>
      <c r="J250" s="41"/>
      <c r="K250" s="288" t="str" cm="1">
        <f t="array" ref="K250">IF(ISBLANK(J250), IF(ISBLANK(I250), "N/A", _xlfn.IFS(L250="AS", I250+15, L250="NCR", I250+30, L250="submitted", I250+30, TRUE, "N/A")), _xlfn.IFS(L250="AS", J250+15, L250="NCR", J250+30, L250="submitted", J250+30, TRUE, "N/A"))</f>
        <v>N/A</v>
      </c>
      <c r="L250" s="38"/>
    </row>
    <row r="251" spans="2:12" s="1" customFormat="1" ht="15" customHeight="1">
      <c r="B251" s="38"/>
      <c r="C251" s="843"/>
      <c r="D251" s="844"/>
      <c r="E251" s="39"/>
      <c r="F251" s="39"/>
      <c r="G251" s="38" t="s">
        <v>269</v>
      </c>
      <c r="H251" s="37" t="s">
        <v>444</v>
      </c>
      <c r="I251" s="41"/>
      <c r="J251" s="41"/>
      <c r="K251" s="288" t="str" cm="1">
        <f t="array" ref="K251">IF(ISBLANK(J251), IF(ISBLANK(I251), "N/A", _xlfn.IFS(L251="AS", I251+15, L251="NCR", I251+30, L251="submitted", I251+30, TRUE, "N/A")), _xlfn.IFS(L251="AS", J251+15, L251="NCR", J251+30, L251="submitted", J251+30, TRUE, "N/A"))</f>
        <v>N/A</v>
      </c>
      <c r="L251" s="38"/>
    </row>
    <row r="252" spans="2:12" s="1" customFormat="1" ht="15" customHeight="1">
      <c r="B252" s="38"/>
      <c r="C252" s="807"/>
      <c r="D252" s="809"/>
      <c r="E252" s="39"/>
      <c r="F252" s="39"/>
      <c r="G252" s="38" t="s">
        <v>259</v>
      </c>
      <c r="H252" s="37" t="s">
        <v>506</v>
      </c>
      <c r="I252" s="41"/>
      <c r="J252" s="41"/>
      <c r="K252" s="288" t="str" cm="1">
        <f t="array" ref="K252">IF(ISBLANK(J252), IF(ISBLANK(I252), "N/A", _xlfn.IFS(L252="AS", I252+15, L252="NCR", I252+30, L252="submitted", I252+30, TRUE, "N/A")), _xlfn.IFS(L252="AS", J252+15, L252="NCR", J252+30, L252="submitted", J252+30, TRUE, "N/A"))</f>
        <v>N/A</v>
      </c>
      <c r="L252" s="38"/>
    </row>
    <row r="253" spans="2:12" s="5" customFormat="1" ht="15" customHeight="1">
      <c r="B253" s="19"/>
      <c r="C253" s="86" t="s">
        <v>1905</v>
      </c>
      <c r="D253" s="34" t="s">
        <v>1906</v>
      </c>
      <c r="E253" s="34"/>
      <c r="F253" s="34"/>
      <c r="G253" s="19" t="s">
        <v>145</v>
      </c>
      <c r="H253" s="34"/>
      <c r="I253" s="30"/>
      <c r="J253" s="30"/>
      <c r="K253" s="288" t="str" cm="1">
        <f t="array" ref="K253">IF(ISBLANK(J253), IF(ISBLANK(I253), "N/A", _xlfn.IFS(L253="AS", I253+15, L253="NCR", I253+30, L253="submitted", I253+30, TRUE, "N/A")), _xlfn.IFS(L253="AS", J253+15, L253="NCR", J253+30, L253="submitted", J253+30, TRUE, "N/A"))</f>
        <v>N/A</v>
      </c>
      <c r="L253" s="19"/>
    </row>
    <row r="254" spans="2:12" s="82" customFormat="1" ht="53.25" customHeight="1">
      <c r="C254" s="87" t="s">
        <v>1907</v>
      </c>
      <c r="D254" s="88" t="s">
        <v>1908</v>
      </c>
      <c r="E254" s="88"/>
      <c r="F254" s="88"/>
      <c r="G254" s="82" t="s">
        <v>145</v>
      </c>
      <c r="H254" s="88"/>
      <c r="I254" s="89"/>
      <c r="J254" s="89"/>
      <c r="K254" s="288" t="str" cm="1">
        <f t="array" ref="K254">IF(ISBLANK(J254), IF(ISBLANK(I254), "N/A", _xlfn.IFS(L254="AS", I254+15, L254="NCR", I254+30, L254="submitted", I254+30, TRUE, "N/A")), _xlfn.IFS(L254="AS", J254+15, L254="NCR", J254+30, L254="submitted", J254+30, TRUE, "N/A"))</f>
        <v>N/A</v>
      </c>
    </row>
    <row r="255" spans="2:12" s="21" customFormat="1" ht="15" customHeight="1">
      <c r="C255" s="840" t="s">
        <v>1909</v>
      </c>
      <c r="D255" s="841" t="s">
        <v>1910</v>
      </c>
      <c r="E255" s="39"/>
      <c r="F255" s="39"/>
      <c r="G255" s="21" t="s">
        <v>1911</v>
      </c>
      <c r="H255" s="46" t="s">
        <v>1912</v>
      </c>
      <c r="I255" s="51"/>
      <c r="J255" s="51"/>
      <c r="K255" s="288" t="str" cm="1">
        <f t="array" ref="K255">IF(ISBLANK(J255), IF(ISBLANK(I255), "N/A", _xlfn.IFS(L255="AS", I255+15, L255="NCR", I255+30, L255="submitted", I255+30, TRUE, "N/A")), _xlfn.IFS(L255="AS", J255+15, L255="NCR", J255+30, L255="submitted", J255+30, TRUE, "N/A"))</f>
        <v>N/A</v>
      </c>
    </row>
    <row r="256" spans="2:12" s="1" customFormat="1" ht="15" customHeight="1">
      <c r="B256" s="21"/>
      <c r="C256" s="843"/>
      <c r="D256" s="844"/>
      <c r="E256" s="39"/>
      <c r="F256" s="39"/>
      <c r="G256" s="21" t="s">
        <v>134</v>
      </c>
      <c r="H256" s="46" t="s">
        <v>282</v>
      </c>
      <c r="I256" s="51"/>
      <c r="J256" s="51"/>
      <c r="K256" s="288" t="str" cm="1">
        <f t="array" ref="K256">IF(ISBLANK(J256), IF(ISBLANK(I256), "N/A", _xlfn.IFS(L256="AS", I256+15, L256="NCR", I256+30, L256="submitted", I256+30, TRUE, "N/A")), _xlfn.IFS(L256="AS", J256+15, L256="NCR", J256+30, L256="submitted", J256+30, TRUE, "N/A"))</f>
        <v>N/A</v>
      </c>
      <c r="L256" s="21"/>
    </row>
    <row r="257" spans="2:12" s="1" customFormat="1" ht="27" customHeight="1">
      <c r="B257" s="21"/>
      <c r="C257" s="843"/>
      <c r="D257" s="844"/>
      <c r="E257" s="39"/>
      <c r="F257" s="39"/>
      <c r="G257" s="21" t="s">
        <v>136</v>
      </c>
      <c r="H257" s="52" t="s">
        <v>1913</v>
      </c>
      <c r="I257" s="51"/>
      <c r="J257" s="51"/>
      <c r="K257" s="288" t="str" cm="1">
        <f t="array" ref="K257">IF(ISBLANK(J257), IF(ISBLANK(I257), "N/A", _xlfn.IFS(L257="AS", I257+15, L257="NCR", I257+30, L257="submitted", I257+30, TRUE, "N/A")), _xlfn.IFS(L257="AS", J257+15, L257="NCR", J257+30, L257="submitted", J257+30, TRUE, "N/A"))</f>
        <v>N/A</v>
      </c>
      <c r="L257" s="21"/>
    </row>
    <row r="258" spans="2:12" s="1" customFormat="1" ht="15" customHeight="1">
      <c r="B258" s="21"/>
      <c r="C258" s="807"/>
      <c r="D258" s="809"/>
      <c r="E258" s="46"/>
      <c r="F258" s="46"/>
      <c r="G258" s="21" t="s">
        <v>138</v>
      </c>
      <c r="H258" s="46" t="s">
        <v>1914</v>
      </c>
      <c r="I258" s="51"/>
      <c r="J258" s="51"/>
      <c r="K258" s="288" t="str" cm="1">
        <f t="array" ref="K258">IF(ISBLANK(J258), IF(ISBLANK(I258), "N/A", _xlfn.IFS(L258="AS", I258+15, L258="NCR", I258+30, L258="submitted", I258+30, TRUE, "N/A")), _xlfn.IFS(L258="AS", J258+15, L258="NCR", J258+30, L258="submitted", J258+30, TRUE, "N/A"))</f>
        <v>N/A</v>
      </c>
      <c r="L258" s="21"/>
    </row>
    <row r="259" spans="2:12" s="5" customFormat="1" ht="15" customHeight="1">
      <c r="B259" s="4"/>
      <c r="C259" s="829" t="s">
        <v>1915</v>
      </c>
      <c r="D259" s="832" t="s">
        <v>1916</v>
      </c>
      <c r="E259" s="34"/>
      <c r="F259" s="34"/>
      <c r="G259" s="4" t="s">
        <v>208</v>
      </c>
      <c r="H259" s="17" t="s">
        <v>484</v>
      </c>
      <c r="I259" s="18"/>
      <c r="J259" s="18"/>
      <c r="K259" s="288" t="str" cm="1">
        <f t="array" ref="K259">IF(ISBLANK(J259), IF(ISBLANK(I259), "N/A", _xlfn.IFS(L259="AS", I259+15, L259="NCR", I259+30, L259="submitted", I259+30, TRUE, "N/A")), _xlfn.IFS(L259="AS", J259+15, L259="NCR", J259+30, L259="submitted", J259+30, TRUE, "N/A"))</f>
        <v>N/A</v>
      </c>
      <c r="L259" s="4"/>
    </row>
    <row r="260" spans="2:12" s="5" customFormat="1" ht="15" customHeight="1">
      <c r="B260" s="4"/>
      <c r="C260" s="831"/>
      <c r="D260" s="834"/>
      <c r="E260" s="36"/>
      <c r="F260" s="36"/>
      <c r="G260" s="4" t="s">
        <v>281</v>
      </c>
      <c r="H260" s="17" t="s">
        <v>282</v>
      </c>
      <c r="I260" s="18"/>
      <c r="J260" s="18"/>
      <c r="K260" s="288" t="str" cm="1">
        <f t="array" ref="K260">IF(ISBLANK(J260), IF(ISBLANK(I260), "N/A", _xlfn.IFS(L260="AS", I260+15, L260="NCR", I260+30, L260="submitted", I260+30, TRUE, "N/A")), _xlfn.IFS(L260="AS", J260+15, L260="NCR", J260+30, L260="submitted", J260+30, TRUE, "N/A"))</f>
        <v>N/A</v>
      </c>
      <c r="L260" s="4"/>
    </row>
    <row r="261" spans="2:12" s="1" customFormat="1" ht="15" customHeight="1">
      <c r="B261" s="9"/>
      <c r="C261" s="840" t="s">
        <v>1917</v>
      </c>
      <c r="D261" s="841" t="s">
        <v>1918</v>
      </c>
      <c r="E261" s="37"/>
      <c r="F261" s="37"/>
      <c r="G261" s="9" t="s">
        <v>208</v>
      </c>
      <c r="H261" s="13" t="s">
        <v>235</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43"/>
      <c r="D262" s="844"/>
      <c r="E262" s="39"/>
      <c r="F262" s="39"/>
      <c r="G262" s="9" t="s">
        <v>281</v>
      </c>
      <c r="H262" s="13" t="s">
        <v>282</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43"/>
      <c r="D263" s="844"/>
      <c r="E263" s="39"/>
      <c r="F263" s="39"/>
      <c r="G263" s="9" t="s">
        <v>269</v>
      </c>
      <c r="H263" s="13" t="s">
        <v>1919</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259</v>
      </c>
      <c r="H264" s="7" t="s">
        <v>1920</v>
      </c>
      <c r="I264" s="14"/>
      <c r="J264" s="14"/>
      <c r="K264" s="288"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43"/>
      <c r="D265" s="844"/>
      <c r="E265" s="39"/>
      <c r="F265" s="39"/>
      <c r="G265" s="9" t="s">
        <v>503</v>
      </c>
      <c r="H265" s="13" t="s">
        <v>1154</v>
      </c>
      <c r="I265" s="14"/>
      <c r="J265" s="14"/>
      <c r="K265" s="288"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43"/>
      <c r="D266" s="844"/>
      <c r="E266" s="39"/>
      <c r="F266" s="39"/>
      <c r="G266" s="9" t="s">
        <v>817</v>
      </c>
      <c r="H266" s="13" t="s">
        <v>1921</v>
      </c>
      <c r="I266" s="14"/>
      <c r="J266" s="14"/>
      <c r="K266" s="288" t="str" cm="1">
        <f t="array" ref="K266">IF(ISBLANK(J266), IF(ISBLANK(I266), "N/A", _xlfn.IFS(L266="AS", I266+15, L266="NCR", I266+30, L266="submitted", I266+30, TRUE, "N/A")), _xlfn.IFS(L266="AS", J266+15, L266="NCR", J266+30, L266="submitted", J266+30, TRUE, "N/A"))</f>
        <v>N/A</v>
      </c>
      <c r="L266" s="9"/>
    </row>
    <row r="267" spans="2:12" s="1" customFormat="1" ht="15" customHeight="1">
      <c r="B267" s="9"/>
      <c r="C267" s="807"/>
      <c r="D267" s="809"/>
      <c r="E267" s="46"/>
      <c r="F267" s="46"/>
      <c r="G267" s="9" t="s">
        <v>818</v>
      </c>
      <c r="H267" s="13" t="s">
        <v>1922</v>
      </c>
      <c r="I267" s="14"/>
      <c r="J267" s="14"/>
      <c r="K267" s="288" t="str" cm="1">
        <f t="array" ref="K267">IF(ISBLANK(J267), IF(ISBLANK(I267), "N/A", _xlfn.IFS(L267="AS", I267+15, L267="NCR", I267+30, L267="submitted", I267+30, TRUE, "N/A")), _xlfn.IFS(L267="AS", J267+15, L267="NCR", J267+30, L267="submitted", J267+30, TRUE, "N/A"))</f>
        <v>N/A</v>
      </c>
      <c r="L267" s="9"/>
    </row>
    <row r="268" spans="2:12" s="5" customFormat="1" ht="15" customHeight="1">
      <c r="B268" s="4"/>
      <c r="C268" s="829" t="s">
        <v>1923</v>
      </c>
      <c r="D268" s="832" t="s">
        <v>1924</v>
      </c>
      <c r="E268" s="34"/>
      <c r="F268" s="34"/>
      <c r="G268" s="4" t="s">
        <v>1446</v>
      </c>
      <c r="H268" s="17" t="s">
        <v>1777</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15" customHeight="1">
      <c r="B269" s="4"/>
      <c r="C269" s="830"/>
      <c r="D269" s="833"/>
      <c r="E269" s="35"/>
      <c r="F269" s="35"/>
      <c r="G269" s="4" t="s">
        <v>1448</v>
      </c>
      <c r="H269" s="17" t="s">
        <v>1157</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30"/>
      <c r="D270" s="833"/>
      <c r="E270" s="35"/>
      <c r="F270" s="35"/>
      <c r="G270" s="4" t="s">
        <v>1925</v>
      </c>
      <c r="H270" s="17" t="s">
        <v>1926</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30"/>
      <c r="D271" s="833"/>
      <c r="E271" s="35"/>
      <c r="F271" s="35"/>
      <c r="G271" s="4" t="s">
        <v>1927</v>
      </c>
      <c r="H271" s="17" t="s">
        <v>282</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30"/>
      <c r="D272" s="833"/>
      <c r="E272" s="35"/>
      <c r="F272" s="35"/>
      <c r="G272" s="4" t="s">
        <v>1928</v>
      </c>
      <c r="H272" s="3" t="s">
        <v>1929</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30"/>
      <c r="D273" s="833"/>
      <c r="E273" s="35"/>
      <c r="F273" s="35"/>
      <c r="G273" s="4" t="s">
        <v>512</v>
      </c>
      <c r="H273" s="3" t="s">
        <v>1930</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30"/>
      <c r="D274" s="833"/>
      <c r="E274" s="35"/>
      <c r="F274" s="35"/>
      <c r="G274" s="4" t="s">
        <v>1931</v>
      </c>
      <c r="H274" s="17" t="s">
        <v>1932</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0"/>
      <c r="D275" s="833"/>
      <c r="E275" s="35"/>
      <c r="F275" s="35" t="s">
        <v>161</v>
      </c>
      <c r="G275" s="4" t="s">
        <v>1933</v>
      </c>
      <c r="H275" s="17" t="s">
        <v>1934</v>
      </c>
      <c r="I275" s="18"/>
      <c r="J275" s="18"/>
      <c r="K275" s="288"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30"/>
      <c r="D276" s="833"/>
      <c r="E276" s="35"/>
      <c r="F276" s="35" t="s">
        <v>161</v>
      </c>
      <c r="G276" s="4" t="s">
        <v>1935</v>
      </c>
      <c r="H276" s="3" t="s">
        <v>1936</v>
      </c>
      <c r="I276" s="18"/>
      <c r="J276" s="18"/>
      <c r="K276" s="288" t="str" cm="1">
        <f t="array" ref="K276">IF(ISBLANK(J276), IF(ISBLANK(I276), "N/A", _xlfn.IFS(L276="AS", I276+15, L276="NCR", I276+30, L276="submitted", I276+30, TRUE, "N/A")), _xlfn.IFS(L276="AS", J276+15, L276="NCR", J276+30, L276="submitted", J276+30, TRUE, "N/A"))</f>
        <v>N/A</v>
      </c>
      <c r="L276" s="4"/>
    </row>
    <row r="277" spans="2:14" s="5" customFormat="1" ht="15" customHeight="1">
      <c r="B277" s="4"/>
      <c r="C277" s="830"/>
      <c r="D277" s="833"/>
      <c r="E277" s="35"/>
      <c r="F277" s="35" t="s">
        <v>161</v>
      </c>
      <c r="G277" s="4" t="s">
        <v>1937</v>
      </c>
      <c r="H277" s="3" t="s">
        <v>1938</v>
      </c>
      <c r="I277" s="18"/>
      <c r="J277" s="18"/>
      <c r="K277" s="288" t="str" cm="1">
        <f t="array" ref="K277">IF(ISBLANK(J277), IF(ISBLANK(I277), "N/A", _xlfn.IFS(L277="AS", I277+15, L277="NCR", I277+30, L277="submitted", I277+30, TRUE, "N/A")), _xlfn.IFS(L277="AS", J277+15, L277="NCR", J277+30, L277="submitted", J277+30, TRUE, "N/A"))</f>
        <v>N/A</v>
      </c>
      <c r="L277" s="4"/>
    </row>
    <row r="278" spans="2:14" s="5" customFormat="1" ht="15" customHeight="1">
      <c r="B278" s="4"/>
      <c r="C278" s="830"/>
      <c r="D278" s="833"/>
      <c r="E278" s="35"/>
      <c r="F278" s="35" t="s">
        <v>161</v>
      </c>
      <c r="G278" s="4" t="s">
        <v>1939</v>
      </c>
      <c r="H278" s="3" t="s">
        <v>1940</v>
      </c>
      <c r="I278" s="18"/>
      <c r="J278" s="18"/>
      <c r="K278" s="288" t="str" cm="1">
        <f t="array" ref="K278">IF(ISBLANK(J278), IF(ISBLANK(I278), "N/A", _xlfn.IFS(L278="AS", I278+15, L278="NCR", I278+30, L278="submitted", I278+30, TRUE, "N/A")), _xlfn.IFS(L278="AS", J278+15, L278="NCR", J278+30, L278="submitted", J278+30, TRUE, "N/A"))</f>
        <v>N/A</v>
      </c>
      <c r="L278" s="4"/>
      <c r="M278" s="317"/>
      <c r="N278" s="747"/>
    </row>
    <row r="279" spans="2:14" s="5" customFormat="1" ht="27" customHeight="1">
      <c r="B279" s="4"/>
      <c r="C279" s="831"/>
      <c r="D279" s="834"/>
      <c r="E279" s="36"/>
      <c r="F279" s="36"/>
      <c r="G279" s="4" t="s">
        <v>836</v>
      </c>
      <c r="H279" s="3" t="s">
        <v>1941</v>
      </c>
      <c r="I279" s="18"/>
      <c r="J279" s="18"/>
      <c r="K279" s="288" t="str" cm="1">
        <f t="array" ref="K279">IF(ISBLANK(J279), IF(ISBLANK(I279), "N/A", _xlfn.IFS(L279="AS", I279+15, L279="NCR", I279+30, L279="submitted", I279+30, TRUE, "N/A")), _xlfn.IFS(L279="AS", J279+15, L279="NCR", J279+30, L279="submitted", J279+30, TRUE, "N/A"))</f>
        <v>N/A</v>
      </c>
      <c r="L279" s="4"/>
      <c r="M279" s="317"/>
      <c r="N279" s="747"/>
    </row>
    <row r="280" spans="2:14" s="26" customFormat="1" ht="27" customHeight="1">
      <c r="B280" s="22"/>
      <c r="C280" s="896" t="s">
        <v>1942</v>
      </c>
      <c r="D280" s="898" t="s">
        <v>1943</v>
      </c>
      <c r="E280" s="76"/>
      <c r="F280" s="76"/>
      <c r="G280" s="22" t="s">
        <v>134</v>
      </c>
      <c r="H280" s="28" t="s">
        <v>1944</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15" customHeight="1">
      <c r="B281" s="22"/>
      <c r="C281" s="905"/>
      <c r="D281" s="906"/>
      <c r="E281" s="27"/>
      <c r="F281" s="27"/>
      <c r="G281" s="22" t="s">
        <v>136</v>
      </c>
      <c r="H281" s="28" t="s">
        <v>328</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27" customHeight="1">
      <c r="B282" s="22"/>
      <c r="C282" s="905"/>
      <c r="D282" s="906"/>
      <c r="E282" s="27"/>
      <c r="F282" s="27"/>
      <c r="G282" s="22" t="s">
        <v>138</v>
      </c>
      <c r="H282" s="28" t="s">
        <v>1945</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40.5" customHeight="1">
      <c r="B283" s="22"/>
      <c r="C283" s="905"/>
      <c r="D283" s="906"/>
      <c r="E283" s="27"/>
      <c r="F283" s="27" t="s">
        <v>161</v>
      </c>
      <c r="G283" s="22" t="s">
        <v>166</v>
      </c>
      <c r="H283" s="28" t="s">
        <v>1946</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26" customFormat="1" ht="27" customHeight="1">
      <c r="B284" s="22"/>
      <c r="C284" s="905"/>
      <c r="D284" s="906"/>
      <c r="E284" s="27"/>
      <c r="F284" s="27"/>
      <c r="G284" s="22" t="s">
        <v>169</v>
      </c>
      <c r="H284" s="28" t="s">
        <v>1947</v>
      </c>
      <c r="I284" s="25"/>
      <c r="J284" s="25"/>
      <c r="K284" s="288" t="str" cm="1">
        <f t="array" ref="K284">IF(ISBLANK(J284), IF(ISBLANK(I284), "N/A", _xlfn.IFS(L284="AS", I284+15, L284="NCR", I284+30, L284="submitted", I284+30, TRUE, "N/A")), _xlfn.IFS(L284="AS", J284+15, L284="NCR", J284+30, L284="submitted", J284+30, TRUE, "N/A"))</f>
        <v>N/A</v>
      </c>
      <c r="L284" s="22"/>
      <c r="M284" s="317"/>
      <c r="N284" s="747"/>
    </row>
    <row r="285" spans="2:14" s="26" customFormat="1" ht="15" customHeight="1">
      <c r="B285" s="22"/>
      <c r="C285" s="905"/>
      <c r="D285" s="906"/>
      <c r="E285" s="27"/>
      <c r="F285" s="27"/>
      <c r="G285" s="22" t="s">
        <v>312</v>
      </c>
      <c r="H285" s="28" t="s">
        <v>1948</v>
      </c>
      <c r="I285" s="25"/>
      <c r="J285" s="25"/>
      <c r="K285" s="288" t="str" cm="1">
        <f t="array" ref="K285">IF(ISBLANK(J285), IF(ISBLANK(I285), "N/A", _xlfn.IFS(L285="AS", I285+15, L285="NCR", I285+30, L285="submitted", I285+30, TRUE, "N/A")), _xlfn.IFS(L285="AS", J285+15, L285="NCR", J285+30, L285="submitted", J285+30, TRUE, "N/A"))</f>
        <v>N/A</v>
      </c>
      <c r="L285" s="22"/>
      <c r="M285" s="317"/>
      <c r="N285" s="747"/>
    </row>
    <row r="286" spans="2:14" s="26" customFormat="1" ht="27" customHeight="1">
      <c r="B286" s="22"/>
      <c r="C286" s="897"/>
      <c r="D286" s="899"/>
      <c r="E286" s="29"/>
      <c r="F286" s="29"/>
      <c r="G286" s="22" t="s">
        <v>314</v>
      </c>
      <c r="H286" s="28" t="s">
        <v>1949</v>
      </c>
      <c r="I286" s="25"/>
      <c r="J286" s="25"/>
      <c r="K286" s="288" t="str" cm="1">
        <f t="array" ref="K286">IF(ISBLANK(J286), IF(ISBLANK(I286), "N/A", _xlfn.IFS(L286="AS", I286+15, L286="NCR", I286+30, L286="submitted", I286+30, TRUE, "N/A")), _xlfn.IFS(L286="AS", J286+15, L286="NCR", J286+30, L286="submitted", J286+30, TRUE, "N/A"))</f>
        <v>N/A</v>
      </c>
      <c r="L286" s="22"/>
      <c r="M286" s="317"/>
      <c r="N286" s="747"/>
    </row>
    <row r="287" spans="2:14" s="1" customFormat="1" ht="15" customHeight="1">
      <c r="B287" s="9"/>
      <c r="C287" s="840" t="s">
        <v>1950</v>
      </c>
      <c r="D287" s="841" t="s">
        <v>1951</v>
      </c>
      <c r="E287" s="37"/>
      <c r="F287" s="37"/>
      <c r="G287" s="9" t="s">
        <v>278</v>
      </c>
      <c r="H287" s="13" t="s">
        <v>1952</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43"/>
      <c r="D288" s="844"/>
      <c r="E288" s="39"/>
      <c r="F288" s="39"/>
      <c r="G288" s="9" t="s">
        <v>265</v>
      </c>
      <c r="H288" s="13" t="s">
        <v>1953</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43"/>
      <c r="D289" s="844"/>
      <c r="E289" s="39"/>
      <c r="F289" s="39"/>
      <c r="G289" s="9" t="s">
        <v>281</v>
      </c>
      <c r="H289" s="13" t="s">
        <v>1954</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43"/>
      <c r="D290" s="844"/>
      <c r="E290" s="39"/>
      <c r="F290" s="39"/>
      <c r="G290" s="9" t="s">
        <v>269</v>
      </c>
      <c r="H290" s="13" t="s">
        <v>1955</v>
      </c>
      <c r="I290" s="14"/>
      <c r="J290" s="14"/>
      <c r="K290" s="288" t="str" cm="1">
        <f t="array" ref="K290">IF(ISBLANK(J290), IF(ISBLANK(I290), "N/A", _xlfn.IFS(L290="AS", I290+15, L290="NCR", I290+30, L290="submitted", I290+30, TRUE, "N/A")), _xlfn.IFS(L290="AS", J290+15, L290="NCR", J290+30, L290="submitted", J290+30, TRUE, "N/A"))</f>
        <v>N/A</v>
      </c>
      <c r="L290" s="9"/>
      <c r="M290" s="317"/>
      <c r="N290" s="747"/>
    </row>
    <row r="291" spans="2:14" s="1" customFormat="1" ht="15" customHeight="1">
      <c r="B291" s="9"/>
      <c r="C291" s="843"/>
      <c r="D291" s="844"/>
      <c r="E291" s="39"/>
      <c r="F291" s="39"/>
      <c r="G291" s="9" t="s">
        <v>259</v>
      </c>
      <c r="H291" s="13" t="s">
        <v>1956</v>
      </c>
      <c r="I291" s="14"/>
      <c r="J291" s="14"/>
      <c r="K291" s="288" t="str" cm="1">
        <f t="array" ref="K291">IF(ISBLANK(J291), IF(ISBLANK(I291), "N/A", _xlfn.IFS(L291="AS", I291+15, L291="NCR", I291+30, L291="submitted", I291+30, TRUE, "N/A")), _xlfn.IFS(L291="AS", J291+15, L291="NCR", J291+30, L291="submitted", J291+30, TRUE, "N/A"))</f>
        <v>N/A</v>
      </c>
      <c r="L291" s="9"/>
      <c r="M291" s="317"/>
      <c r="N291" s="747"/>
    </row>
    <row r="292" spans="2:14" s="1" customFormat="1" ht="15" customHeight="1">
      <c r="B292" s="9"/>
      <c r="C292" s="843"/>
      <c r="D292" s="844"/>
      <c r="E292" s="39"/>
      <c r="F292" s="39"/>
      <c r="G292" s="9" t="s">
        <v>352</v>
      </c>
      <c r="H292" s="13" t="s">
        <v>1957</v>
      </c>
      <c r="I292" s="14"/>
      <c r="J292" s="14"/>
      <c r="K292" s="288" t="str" cm="1">
        <f t="array" ref="K292">IF(ISBLANK(J292), IF(ISBLANK(I292), "N/A", _xlfn.IFS(L292="AS", I292+15, L292="NCR", I292+30, L292="submitted", I292+30, TRUE, "N/A")), _xlfn.IFS(L292="AS", J292+15, L292="NCR", J292+30, L292="submitted", J292+30, TRUE, "N/A"))</f>
        <v>N/A</v>
      </c>
      <c r="L292" s="9"/>
      <c r="M292" s="317"/>
      <c r="N292" s="747"/>
    </row>
    <row r="293" spans="2:14" s="1" customFormat="1" ht="15" customHeight="1">
      <c r="B293" s="9"/>
      <c r="C293" s="843"/>
      <c r="D293" s="844"/>
      <c r="E293" s="39"/>
      <c r="F293" s="39"/>
      <c r="G293" s="9" t="s">
        <v>354</v>
      </c>
      <c r="H293" s="13" t="s">
        <v>1958</v>
      </c>
      <c r="I293" s="14"/>
      <c r="J293" s="14"/>
      <c r="K293" s="288" t="str" cm="1">
        <f t="array" ref="K293">IF(ISBLANK(J293), IF(ISBLANK(I293), "N/A", _xlfn.IFS(L293="AS", I293+15, L293="NCR", I293+30, L293="submitted", I293+30, TRUE, "N/A")), _xlfn.IFS(L293="AS", J293+15, L293="NCR", J293+30, L293="submitted", J293+30, TRUE, "N/A"))</f>
        <v>N/A</v>
      </c>
      <c r="L293" s="9"/>
      <c r="M293" s="317"/>
      <c r="N293" s="745" t="s">
        <v>133</v>
      </c>
    </row>
    <row r="294" spans="2:14" s="1" customFormat="1" ht="15" customHeight="1">
      <c r="B294" s="9"/>
      <c r="C294" s="807"/>
      <c r="D294" s="809"/>
      <c r="E294" s="46"/>
      <c r="F294" s="46"/>
      <c r="G294" s="9" t="s">
        <v>356</v>
      </c>
      <c r="H294" s="13" t="s">
        <v>1959</v>
      </c>
      <c r="I294" s="14"/>
      <c r="J294" s="14"/>
      <c r="K294" s="288" t="str" cm="1">
        <f t="array" ref="K294">IF(ISBLANK(J294), IF(ISBLANK(I294), "N/A", _xlfn.IFS(L294="AS", I294+15, L294="NCR", I294+30, L294="submitted", I294+30, TRUE, "N/A")), _xlfn.IFS(L294="AS", J294+15, L294="NCR", J294+30, L294="submitted", J294+30, TRUE, "N/A"))</f>
        <v>N/A</v>
      </c>
      <c r="L294" s="9"/>
      <c r="M294" s="317"/>
      <c r="N294" s="746"/>
    </row>
    <row r="295" spans="2:14" s="5" customFormat="1" ht="15" customHeight="1">
      <c r="B295" s="4"/>
      <c r="C295" s="829" t="s">
        <v>1960</v>
      </c>
      <c r="D295" s="832" t="s">
        <v>1961</v>
      </c>
      <c r="E295" s="34"/>
      <c r="F295" s="34"/>
      <c r="G295" s="4" t="s">
        <v>212</v>
      </c>
      <c r="H295" s="17" t="s">
        <v>235</v>
      </c>
      <c r="I295" s="18"/>
      <c r="J295" s="18"/>
      <c r="K295" s="288" t="str" cm="1">
        <f t="array" ref="K295">IF(ISBLANK(J295), IF(ISBLANK(I295), "N/A", _xlfn.IFS(L295="AS", I295+15, L295="NCR", I295+30, L295="submitted", I295+30, TRUE, "N/A")), _xlfn.IFS(L295="AS", J295+15, L295="NCR", J295+30, L295="submitted", J295+30, TRUE, "N/A"))</f>
        <v>N/A</v>
      </c>
      <c r="L295" s="4"/>
      <c r="M295" s="317"/>
      <c r="N295" s="746"/>
    </row>
    <row r="296" spans="2:14" s="5" customFormat="1" ht="15" customHeight="1">
      <c r="B296" s="19"/>
      <c r="C296" s="830"/>
      <c r="D296" s="833"/>
      <c r="E296" s="35"/>
      <c r="F296" s="35"/>
      <c r="G296" s="19" t="s">
        <v>336</v>
      </c>
      <c r="H296" s="34" t="s">
        <v>1962</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30"/>
      <c r="D297" s="833"/>
      <c r="E297" s="35"/>
      <c r="F297" s="35"/>
      <c r="G297" s="19" t="s">
        <v>240</v>
      </c>
      <c r="H297" s="34" t="s">
        <v>1963</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30"/>
      <c r="D298" s="833"/>
      <c r="E298" s="35"/>
      <c r="F298" s="35"/>
      <c r="G298" s="19" t="s">
        <v>242</v>
      </c>
      <c r="H298" s="34" t="s">
        <v>1964</v>
      </c>
      <c r="I298" s="30"/>
      <c r="J298" s="30"/>
      <c r="K298" s="288" t="str" cm="1">
        <f t="array" ref="K298">IF(ISBLANK(J298), IF(ISBLANK(I298), "N/A", _xlfn.IFS(L298="AS", I298+15, L298="NCR", I298+30, L298="submitted", I298+30, TRUE, "N/A")), _xlfn.IFS(L298="AS", J298+15, L298="NCR", J298+30, L298="submitted", J298+30, TRUE, "N/A"))</f>
        <v>N/A</v>
      </c>
      <c r="L298" s="19"/>
      <c r="M298" s="317"/>
      <c r="N298" s="746"/>
    </row>
    <row r="299" spans="2:14" s="5" customFormat="1" ht="27" customHeight="1">
      <c r="B299" s="19"/>
      <c r="C299" s="830"/>
      <c r="D299" s="833"/>
      <c r="E299" s="35"/>
      <c r="F299" s="35"/>
      <c r="G299" s="19" t="s">
        <v>404</v>
      </c>
      <c r="H299" s="53" t="s">
        <v>1965</v>
      </c>
      <c r="I299" s="30"/>
      <c r="J299" s="30"/>
      <c r="K299" s="288"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31"/>
      <c r="D300" s="834"/>
      <c r="E300" s="35"/>
      <c r="F300" s="35"/>
      <c r="G300" s="19" t="s">
        <v>405</v>
      </c>
      <c r="H300" s="34" t="s">
        <v>444</v>
      </c>
      <c r="I300" s="30"/>
      <c r="J300" s="30"/>
      <c r="K300" s="288" t="str" cm="1">
        <f t="array" ref="K300">IF(ISBLANK(J300), IF(ISBLANK(I300), "N/A", _xlfn.IFS(L300="AS", I300+15, L300="NCR", I300+30, L300="submitted", I300+30, TRUE, "N/A")), _xlfn.IFS(L300="AS", J300+15, L300="NCR", J300+30, L300="submitted", J300+30, TRUE, "N/A"))</f>
        <v>N/A</v>
      </c>
      <c r="L300" s="19"/>
      <c r="M300" s="317"/>
      <c r="N300" s="746"/>
    </row>
    <row r="301" spans="2:14" s="1" customFormat="1" ht="15" customHeight="1">
      <c r="B301" s="38"/>
      <c r="C301" s="840" t="s">
        <v>1966</v>
      </c>
      <c r="D301" s="841" t="s">
        <v>1967</v>
      </c>
      <c r="E301" s="37"/>
      <c r="F301" s="37"/>
      <c r="G301" s="38" t="s">
        <v>208</v>
      </c>
      <c r="H301" s="37" t="s">
        <v>282</v>
      </c>
      <c r="I301" s="41"/>
      <c r="J301" s="41"/>
      <c r="K301" s="288" t="str" cm="1">
        <f t="array" ref="K301">IF(ISBLANK(J301), IF(ISBLANK(I301), "N/A", _xlfn.IFS(L301="AS", I301+15, L301="NCR", I301+30, L301="submitted", I301+30, TRUE, "N/A")), _xlfn.IFS(L301="AS", J301+15, L301="NCR", J301+30, L301="submitted", J301+30, TRUE, "N/A"))</f>
        <v>N/A</v>
      </c>
      <c r="L301" s="38"/>
      <c r="M301" s="317"/>
      <c r="N301" s="747" t="s">
        <v>148</v>
      </c>
    </row>
    <row r="302" spans="2:14" s="1" customFormat="1" ht="27" customHeight="1">
      <c r="B302" s="38"/>
      <c r="C302" s="843"/>
      <c r="D302" s="844"/>
      <c r="E302" s="39"/>
      <c r="F302" s="39"/>
      <c r="G302" s="38" t="s">
        <v>281</v>
      </c>
      <c r="H302" s="40" t="s">
        <v>1968</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27" customHeight="1">
      <c r="B303" s="38"/>
      <c r="C303" s="843"/>
      <c r="D303" s="844"/>
      <c r="E303" s="39"/>
      <c r="F303" s="39"/>
      <c r="G303" s="38" t="s">
        <v>269</v>
      </c>
      <c r="H303" s="40" t="s">
        <v>1969</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1" customFormat="1" ht="15" customHeight="1">
      <c r="B304" s="38"/>
      <c r="C304" s="843"/>
      <c r="D304" s="844"/>
      <c r="E304" s="39"/>
      <c r="F304" s="39"/>
      <c r="G304" s="38" t="s">
        <v>259</v>
      </c>
      <c r="H304" s="37" t="s">
        <v>1970</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1" customFormat="1" ht="15" customHeight="1">
      <c r="B305" s="38"/>
      <c r="C305" s="843"/>
      <c r="D305" s="844"/>
      <c r="E305" s="39"/>
      <c r="F305" s="39"/>
      <c r="G305" s="38" t="s">
        <v>352</v>
      </c>
      <c r="H305" s="37" t="s">
        <v>365</v>
      </c>
      <c r="I305" s="41"/>
      <c r="J305" s="41"/>
      <c r="K305" s="288" t="str" cm="1">
        <f t="array" ref="K305">IF(ISBLANK(J305), IF(ISBLANK(I305), "N/A", _xlfn.IFS(L305="AS", I305+15, L305="NCR", I305+30, L305="submitted", I305+30, TRUE, "N/A")), _xlfn.IFS(L305="AS", J305+15, L305="NCR", J305+30, L305="submitted", J305+30, TRUE, "N/A"))</f>
        <v>N/A</v>
      </c>
      <c r="L305" s="38"/>
      <c r="M305" s="317"/>
      <c r="N305" s="747"/>
    </row>
    <row r="306" spans="2:14" s="1" customFormat="1" ht="15" customHeight="1">
      <c r="B306" s="38"/>
      <c r="C306" s="843"/>
      <c r="D306" s="844"/>
      <c r="E306" s="39"/>
      <c r="F306" s="39"/>
      <c r="G306" s="38" t="s">
        <v>354</v>
      </c>
      <c r="H306" s="40" t="s">
        <v>1971</v>
      </c>
      <c r="I306" s="41"/>
      <c r="J306" s="41"/>
      <c r="K306" s="288" t="str" cm="1">
        <f t="array" ref="K306">IF(ISBLANK(J306), IF(ISBLANK(I306), "N/A", _xlfn.IFS(L306="AS", I306+15, L306="NCR", I306+30, L306="submitted", I306+30, TRUE, "N/A")), _xlfn.IFS(L306="AS", J306+15, L306="NCR", J306+30, L306="submitted", J306+30, TRUE, "N/A"))</f>
        <v>N/A</v>
      </c>
      <c r="L306" s="38"/>
      <c r="M306" s="318"/>
      <c r="N306" s="747"/>
    </row>
    <row r="307" spans="2:14" s="1" customFormat="1" ht="15" customHeight="1">
      <c r="B307" s="38"/>
      <c r="C307" s="843"/>
      <c r="D307" s="844"/>
      <c r="E307" s="39"/>
      <c r="F307" s="39"/>
      <c r="G307" s="38" t="s">
        <v>356</v>
      </c>
      <c r="H307" s="40" t="s">
        <v>1972</v>
      </c>
      <c r="I307" s="41"/>
      <c r="J307" s="41"/>
      <c r="K307" s="288" t="str" cm="1">
        <f t="array" ref="K307">IF(ISBLANK(J307), IF(ISBLANK(I307), "N/A", _xlfn.IFS(L307="AS", I307+15, L307="NCR", I307+30, L307="submitted", I307+30, TRUE, "N/A")), _xlfn.IFS(L307="AS", J307+15, L307="NCR", J307+30, L307="submitted", J307+30, TRUE, "N/A"))</f>
        <v>N/A</v>
      </c>
      <c r="L307" s="38"/>
      <c r="M307" s="317"/>
      <c r="N307" s="747"/>
    </row>
    <row r="308" spans="2:14" s="94" customFormat="1" ht="27" customHeight="1">
      <c r="B308" s="90"/>
      <c r="C308" s="910"/>
      <c r="D308" s="911"/>
      <c r="E308" s="91"/>
      <c r="F308" s="91"/>
      <c r="G308" s="90" t="s">
        <v>358</v>
      </c>
      <c r="H308" s="92" t="s">
        <v>1973</v>
      </c>
      <c r="I308" s="93"/>
      <c r="J308" s="93"/>
      <c r="K308" s="288" t="str" cm="1">
        <f t="array" ref="K308">IF(ISBLANK(J308), IF(ISBLANK(I308), "N/A", _xlfn.IFS(L308="AS", I308+15, L308="NCR", I308+30, L308="submitted", I308+30, TRUE, "N/A")), _xlfn.IFS(L308="AS", J308+15, L308="NCR", J308+30, L308="submitted", J308+30, TRUE, "N/A"))</f>
        <v>N/A</v>
      </c>
      <c r="L308" s="90"/>
      <c r="M308" s="317"/>
      <c r="N308" s="747"/>
    </row>
    <row r="309" spans="2:14" s="5" customFormat="1" ht="15" customHeight="1">
      <c r="B309" s="73"/>
      <c r="C309" s="95" t="s">
        <v>1974</v>
      </c>
      <c r="D309" s="36" t="s">
        <v>1975</v>
      </c>
      <c r="E309" s="36"/>
      <c r="F309" s="36"/>
      <c r="G309" s="73" t="s">
        <v>208</v>
      </c>
      <c r="H309" s="36" t="s">
        <v>1976</v>
      </c>
      <c r="I309" s="74"/>
      <c r="J309" s="74"/>
      <c r="K309" s="288" t="str" cm="1">
        <f t="array" ref="K309">IF(ISBLANK(J309), IF(ISBLANK(I309), "N/A", _xlfn.IFS(L309="AS", I309+15, L309="NCR", I309+30, L309="submitted", I309+30, TRUE, "N/A")), _xlfn.IFS(L309="AS", J309+15, L309="NCR", J309+30, L309="submitted", J309+30, TRUE, "N/A"))</f>
        <v>N/A</v>
      </c>
      <c r="L309" s="73"/>
      <c r="M309" s="317"/>
      <c r="N309" s="747"/>
    </row>
    <row r="310" spans="2:14" s="1" customFormat="1" ht="15" customHeight="1">
      <c r="B310" s="9"/>
      <c r="C310" s="840" t="s">
        <v>1977</v>
      </c>
      <c r="D310" s="841" t="s">
        <v>1978</v>
      </c>
      <c r="E310" s="37"/>
      <c r="F310" s="37"/>
      <c r="G310" s="9" t="s">
        <v>208</v>
      </c>
      <c r="H310" s="13" t="s">
        <v>1979</v>
      </c>
      <c r="I310" s="14"/>
      <c r="J310" s="14"/>
      <c r="K310" s="288" t="str" cm="1">
        <f t="array" ref="K310">IF(ISBLANK(J310), IF(ISBLANK(I310), "N/A", _xlfn.IFS(L310="AS", I310+15, L310="NCR", I310+30, L310="submitted", I310+30, TRUE, "N/A")), _xlfn.IFS(L310="AS", J310+15, L310="NCR", J310+30, L310="submitted", J310+30, TRUE, "N/A"))</f>
        <v>N/A</v>
      </c>
      <c r="L310" s="9"/>
    </row>
    <row r="311" spans="2:14" s="1" customFormat="1" ht="15" customHeight="1">
      <c r="B311" s="9"/>
      <c r="C311" s="843"/>
      <c r="D311" s="844"/>
      <c r="E311" s="39"/>
      <c r="F311" s="39"/>
      <c r="G311" s="9" t="s">
        <v>281</v>
      </c>
      <c r="H311" s="13" t="s">
        <v>1980</v>
      </c>
      <c r="I311" s="14"/>
      <c r="J311" s="14"/>
      <c r="K311" s="288" t="str" cm="1">
        <f t="array" ref="K311">IF(ISBLANK(J311), IF(ISBLANK(I311), "N/A", _xlfn.IFS(L311="AS", I311+15, L311="NCR", I311+30, L311="submitted", I311+30, TRUE, "N/A")), _xlfn.IFS(L311="AS", J311+15, L311="NCR", J311+30, L311="submitted", J311+30, TRUE, "N/A"))</f>
        <v>N/A</v>
      </c>
      <c r="L311" s="9"/>
    </row>
    <row r="312" spans="2:14" s="1" customFormat="1" ht="27" customHeight="1">
      <c r="B312" s="9"/>
      <c r="C312" s="807"/>
      <c r="D312" s="809"/>
      <c r="E312" s="46"/>
      <c r="F312" s="46"/>
      <c r="G312" s="9" t="s">
        <v>269</v>
      </c>
      <c r="H312" s="7" t="s">
        <v>1981</v>
      </c>
      <c r="I312" s="14"/>
      <c r="J312" s="14"/>
      <c r="K312" s="288" t="str" cm="1">
        <f t="array" ref="K312">IF(ISBLANK(J312), IF(ISBLANK(I312), "N/A", _xlfn.IFS(L312="AS", I312+15, L312="NCR", I312+30, L312="submitted", I312+30, TRUE, "N/A")), _xlfn.IFS(L312="AS", J312+15, L312="NCR", J312+30, L312="submitted", J312+30, TRUE, "N/A"))</f>
        <v>N/A</v>
      </c>
      <c r="L312" s="9"/>
    </row>
    <row r="313" spans="2:14" s="5" customFormat="1" ht="27" customHeight="1">
      <c r="B313" s="4"/>
      <c r="C313" s="829" t="s">
        <v>1982</v>
      </c>
      <c r="D313" s="832" t="s">
        <v>1983</v>
      </c>
      <c r="E313" s="34"/>
      <c r="F313" s="34"/>
      <c r="G313" s="4" t="s">
        <v>208</v>
      </c>
      <c r="H313" s="3" t="s">
        <v>1984</v>
      </c>
      <c r="I313" s="18"/>
      <c r="J313" s="18"/>
      <c r="K313" s="288" t="str" cm="1">
        <f t="array" ref="K313">IF(ISBLANK(J313), IF(ISBLANK(I313), "N/A", _xlfn.IFS(L313="AS", I313+15, L313="NCR", I313+30, L313="submitted", I313+30, TRUE, "N/A")), _xlfn.IFS(L313="AS", J313+15, L313="NCR", J313+30, L313="submitted", J313+30, TRUE, "N/A"))</f>
        <v>N/A</v>
      </c>
      <c r="L313" s="4"/>
    </row>
    <row r="314" spans="2:14" s="5" customFormat="1" ht="15" customHeight="1">
      <c r="B314" s="4"/>
      <c r="C314" s="831"/>
      <c r="D314" s="834"/>
      <c r="E314" s="36"/>
      <c r="F314" s="36"/>
      <c r="G314" s="4" t="s">
        <v>281</v>
      </c>
      <c r="H314" s="17" t="s">
        <v>1985</v>
      </c>
      <c r="I314" s="18"/>
      <c r="J314" s="18"/>
      <c r="K314" s="288" t="str" cm="1">
        <f t="array" ref="K314">IF(ISBLANK(J314), IF(ISBLANK(I314), "N/A", _xlfn.IFS(L314="AS", I314+15, L314="NCR", I314+30, L314="submitted", I314+30, TRUE, "N/A")), _xlfn.IFS(L314="AS", J314+15, L314="NCR", J314+30, L314="submitted", J314+30, TRUE, "N/A"))</f>
        <v>N/A</v>
      </c>
      <c r="L314" s="4"/>
    </row>
    <row r="315" spans="2:14" s="483" customFormat="1" ht="15" customHeight="1">
      <c r="B315" s="348" t="s">
        <v>44</v>
      </c>
      <c r="C315" s="552" t="s">
        <v>1986</v>
      </c>
      <c r="D315" s="351" t="s">
        <v>1987</v>
      </c>
      <c r="E315" s="480" t="s">
        <v>1279</v>
      </c>
      <c r="F315" s="480" t="s">
        <v>1988</v>
      </c>
      <c r="G315" s="348" t="s">
        <v>208</v>
      </c>
      <c r="H315" s="352" t="s">
        <v>1989</v>
      </c>
      <c r="I315" s="482">
        <v>45867</v>
      </c>
      <c r="J315" s="482">
        <v>45903</v>
      </c>
      <c r="K315" s="288" t="str" cm="1">
        <f t="array" ref="K315">IF(ISBLANK(J315), IF(ISBLANK(I315), "N/A", _xlfn.IFS(L315="AS", I315+15, L315="NCR", I315+30, L315="submitted", I315+30, TRUE, "N/A")), _xlfn.IFS(L315="AS", J315+15, L315="NCR", J315+30, L315="submitted", J315+30, TRUE, "N/A"))</f>
        <v>N/A</v>
      </c>
      <c r="L315" s="348" t="s">
        <v>639</v>
      </c>
    </row>
    <row r="316" spans="2:14" s="558" customFormat="1" ht="27" customHeight="1">
      <c r="B316" s="122"/>
      <c r="C316" s="553" t="s">
        <v>1986</v>
      </c>
      <c r="D316" s="554" t="s">
        <v>1987</v>
      </c>
      <c r="E316" s="555" t="s">
        <v>1990</v>
      </c>
      <c r="F316" s="555"/>
      <c r="G316" s="122" t="s">
        <v>281</v>
      </c>
      <c r="H316" s="556" t="s">
        <v>1991</v>
      </c>
      <c r="I316" s="557"/>
      <c r="J316" s="557"/>
      <c r="K316" s="288" t="str" cm="1">
        <f t="array" ref="K316">IF(ISBLANK(J316), IF(ISBLANK(I316), "N/A", _xlfn.IFS(L316="AS", I316+15, L316="NCR", I316+30, L316="submitted", I316+30, TRUE, "N/A")), _xlfn.IFS(L316="AS", J316+15, L316="NCR", J316+30, L316="submitted", J316+30, TRUE, "N/A"))</f>
        <v>N/A</v>
      </c>
      <c r="L316" s="122"/>
    </row>
    <row r="317" spans="2:14" s="26" customFormat="1" ht="15" customHeight="1">
      <c r="B317" s="22"/>
      <c r="C317" s="96" t="s">
        <v>1992</v>
      </c>
      <c r="D317" s="27" t="s">
        <v>1993</v>
      </c>
      <c r="E317" s="27"/>
      <c r="F317" s="27"/>
      <c r="G317" s="22" t="s">
        <v>145</v>
      </c>
      <c r="H317" s="28"/>
      <c r="I317" s="25"/>
      <c r="J317" s="25"/>
      <c r="K317" s="288" t="str" cm="1">
        <f t="array" ref="K317">IF(ISBLANK(J317), IF(ISBLANK(I317), "N/A", _xlfn.IFS(L317="AS", I317+15, L317="NCR", I317+30, L317="submitted", I317+30, TRUE, "N/A")), _xlfn.IFS(L317="AS", J317+15, L317="NCR", J317+30, L317="submitted", J317+30, TRUE, "N/A"))</f>
        <v>N/A</v>
      </c>
      <c r="L317" s="22"/>
    </row>
    <row r="318" spans="2:14" s="5" customFormat="1" ht="15" customHeight="1">
      <c r="B318" s="4"/>
      <c r="C318" s="829" t="s">
        <v>1994</v>
      </c>
      <c r="D318" s="832" t="s">
        <v>1995</v>
      </c>
      <c r="E318" s="34"/>
      <c r="F318" s="34"/>
      <c r="G318" s="4" t="s">
        <v>208</v>
      </c>
      <c r="H318" s="17" t="s">
        <v>484</v>
      </c>
      <c r="I318" s="18"/>
      <c r="J318" s="18"/>
      <c r="K318" s="288" t="str" cm="1">
        <f t="array" ref="K318">IF(ISBLANK(J318), IF(ISBLANK(I318), "N/A", _xlfn.IFS(L318="AS", I318+15, L318="NCR", I318+30, L318="submitted", I318+30, TRUE, "N/A")), _xlfn.IFS(L318="AS", J318+15, L318="NCR", J318+30, L318="submitted", J318+30, TRUE, "N/A"))</f>
        <v>N/A</v>
      </c>
      <c r="L318" s="4"/>
    </row>
    <row r="319" spans="2:14" s="5" customFormat="1" ht="15" customHeight="1">
      <c r="B319" s="4"/>
      <c r="C319" s="830"/>
      <c r="D319" s="833"/>
      <c r="E319" s="35"/>
      <c r="F319" s="35"/>
      <c r="G319" s="4" t="s">
        <v>281</v>
      </c>
      <c r="H319" s="17" t="s">
        <v>1996</v>
      </c>
      <c r="I319" s="18"/>
      <c r="J319" s="18"/>
      <c r="K319" s="288" t="str" cm="1">
        <f t="array" ref="K319">IF(ISBLANK(J319), IF(ISBLANK(I319), "N/A", _xlfn.IFS(L319="AS", I319+15, L319="NCR", I319+30, L319="submitted", I319+30, TRUE, "N/A")), _xlfn.IFS(L319="AS", J319+15, L319="NCR", J319+30, L319="submitted", J319+30, TRUE, "N/A"))</f>
        <v>N/A</v>
      </c>
      <c r="L319" s="4"/>
    </row>
    <row r="320" spans="2:14" s="5" customFormat="1" ht="15" customHeight="1">
      <c r="B320" s="4"/>
      <c r="C320" s="831"/>
      <c r="D320" s="834"/>
      <c r="E320" s="36"/>
      <c r="F320" s="36"/>
      <c r="G320" s="4" t="s">
        <v>269</v>
      </c>
      <c r="H320" s="17" t="s">
        <v>1970</v>
      </c>
      <c r="I320" s="18"/>
      <c r="J320" s="18"/>
      <c r="K320" s="288" t="str" cm="1">
        <f t="array" ref="K320">IF(ISBLANK(J320), IF(ISBLANK(I320), "N/A", _xlfn.IFS(L320="AS", I320+15, L320="NCR", I320+30, L320="submitted", I320+30, TRUE, "N/A")), _xlfn.IFS(L320="AS", J320+15, L320="NCR", J320+30, L320="submitted", J320+30, TRUE, "N/A"))</f>
        <v>N/A</v>
      </c>
      <c r="L320" s="4"/>
    </row>
    <row r="321" spans="2:12" s="1" customFormat="1" ht="27" customHeight="1">
      <c r="B321" s="9"/>
      <c r="C321" s="840" t="s">
        <v>1997</v>
      </c>
      <c r="D321" s="841" t="s">
        <v>1998</v>
      </c>
      <c r="E321" s="37"/>
      <c r="F321" s="37"/>
      <c r="G321" s="9" t="s">
        <v>208</v>
      </c>
      <c r="H321" s="7" t="s">
        <v>1999</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43"/>
      <c r="D322" s="844"/>
      <c r="E322" s="39"/>
      <c r="F322" s="39"/>
      <c r="G322" s="9" t="s">
        <v>281</v>
      </c>
      <c r="H322" s="13" t="s">
        <v>282</v>
      </c>
      <c r="I322" s="14"/>
      <c r="J322" s="14"/>
      <c r="K322" s="288" t="str" cm="1">
        <f t="array" ref="K322">IF(ISBLANK(J322), IF(ISBLANK(I322), "N/A", _xlfn.IFS(L322="AS", I322+15, L322="NCR", I322+30, L322="submitted", I322+30, TRUE, "N/A")), _xlfn.IFS(L322="AS", J322+15, L322="NCR", J322+30, L322="submitted", J322+30, TRUE, "N/A"))</f>
        <v>N/A</v>
      </c>
      <c r="L322" s="9"/>
    </row>
    <row r="323" spans="2:12" s="1" customFormat="1" ht="15" customHeight="1">
      <c r="B323" s="9"/>
      <c r="C323" s="843"/>
      <c r="D323" s="844"/>
      <c r="E323" s="39"/>
      <c r="F323" s="39" t="s">
        <v>161</v>
      </c>
      <c r="G323" s="9" t="s">
        <v>269</v>
      </c>
      <c r="H323" s="7" t="s">
        <v>2000</v>
      </c>
      <c r="I323" s="14"/>
      <c r="J323" s="14"/>
      <c r="K323" s="288" t="str" cm="1">
        <f t="array" ref="K323">IF(ISBLANK(J323), IF(ISBLANK(I323), "N/A", _xlfn.IFS(L323="AS", I323+15, L323="NCR", I323+30, L323="submitted", I323+30, TRUE, "N/A")), _xlfn.IFS(L323="AS", J323+15, L323="NCR", J323+30, L323="submitted", J323+30, TRUE, "N/A"))</f>
        <v>N/A</v>
      </c>
      <c r="L323" s="9"/>
    </row>
    <row r="324" spans="2:12" s="1" customFormat="1" ht="27" customHeight="1">
      <c r="B324" s="9"/>
      <c r="C324" s="843"/>
      <c r="D324" s="844"/>
      <c r="E324" s="39"/>
      <c r="F324" s="39"/>
      <c r="G324" s="9" t="s">
        <v>259</v>
      </c>
      <c r="H324" s="7" t="s">
        <v>2001</v>
      </c>
      <c r="I324" s="14"/>
      <c r="J324" s="14"/>
      <c r="K324" s="288" t="str" cm="1">
        <f t="array" ref="K324">IF(ISBLANK(J324), IF(ISBLANK(I324), "N/A", _xlfn.IFS(L324="AS", I324+15, L324="NCR", I324+30, L324="submitted", I324+30, TRUE, "N/A")), _xlfn.IFS(L324="AS", J324+15, L324="NCR", J324+30, L324="submitted", J324+30, TRUE, "N/A"))</f>
        <v>N/A</v>
      </c>
      <c r="L324" s="9"/>
    </row>
    <row r="325" spans="2:12" s="1" customFormat="1" ht="15" customHeight="1">
      <c r="B325" s="9"/>
      <c r="C325" s="807"/>
      <c r="D325" s="809"/>
      <c r="E325" s="46"/>
      <c r="F325" s="46"/>
      <c r="G325" s="9" t="s">
        <v>352</v>
      </c>
      <c r="H325" s="13" t="s">
        <v>1875</v>
      </c>
      <c r="I325" s="14"/>
      <c r="J325" s="14"/>
      <c r="K325" s="288" t="str" cm="1">
        <f t="array" ref="K325">IF(ISBLANK(J325), IF(ISBLANK(I325), "N/A", _xlfn.IFS(L325="AS", I325+15, L325="NCR", I325+30, L325="submitted", I325+30, TRUE, "N/A")), _xlfn.IFS(L325="AS", J325+15, L325="NCR", J325+30, L325="submitted", J325+30, TRUE, "N/A"))</f>
        <v>N/A</v>
      </c>
      <c r="L325" s="9"/>
    </row>
    <row r="326" spans="2:12" s="652" customFormat="1" ht="27" customHeight="1">
      <c r="B326" s="187" t="s">
        <v>48</v>
      </c>
      <c r="C326" s="916" t="s">
        <v>2002</v>
      </c>
      <c r="D326" s="919" t="s">
        <v>2003</v>
      </c>
      <c r="E326" s="647" t="s">
        <v>49</v>
      </c>
      <c r="F326" s="647"/>
      <c r="G326" s="187" t="s">
        <v>134</v>
      </c>
      <c r="H326" s="648" t="s">
        <v>2004</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917"/>
      <c r="D327" s="920"/>
      <c r="E327" s="671"/>
      <c r="F327" s="671"/>
      <c r="G327" s="187" t="s">
        <v>136</v>
      </c>
      <c r="H327" s="648" t="s">
        <v>2005</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652" customFormat="1" ht="27" customHeight="1">
      <c r="B328" s="187" t="s">
        <v>48</v>
      </c>
      <c r="C328" s="917"/>
      <c r="D328" s="920"/>
      <c r="E328" s="647" t="s">
        <v>49</v>
      </c>
      <c r="F328" s="671"/>
      <c r="G328" s="187" t="s">
        <v>138</v>
      </c>
      <c r="H328" s="648" t="s">
        <v>2006</v>
      </c>
      <c r="I328" s="649">
        <v>45854</v>
      </c>
      <c r="J328" s="649">
        <v>45922</v>
      </c>
      <c r="K328" s="288" cm="1">
        <f t="array" ref="K328">IF(ISBLANK(J328), IF(ISBLANK(I328), "N/A", _xlfn.IFS(L328="AS", I328+15, L328="NCR", I328+30, L328="submitted", I328+30, TRUE, "N/A")), _xlfn.IFS(L328="AS", J328+15, L328="NCR", J328+30, L328="submitted", J328+30, TRUE, "N/A"))</f>
        <v>45952</v>
      </c>
      <c r="L328" s="187" t="s">
        <v>157</v>
      </c>
    </row>
    <row r="329" spans="2:12" s="652" customFormat="1" ht="27" customHeight="1">
      <c r="B329" s="187" t="s">
        <v>48</v>
      </c>
      <c r="C329" s="917"/>
      <c r="D329" s="920"/>
      <c r="E329" s="647" t="s">
        <v>49</v>
      </c>
      <c r="F329" s="671" t="s">
        <v>161</v>
      </c>
      <c r="G329" s="187" t="s">
        <v>166</v>
      </c>
      <c r="H329" s="648" t="s">
        <v>2007</v>
      </c>
      <c r="I329" s="649">
        <v>45854</v>
      </c>
      <c r="J329" s="649">
        <v>45922</v>
      </c>
      <c r="K329" s="288" cm="1">
        <f t="array" ref="K329">IF(ISBLANK(J329), IF(ISBLANK(I329), "N/A", _xlfn.IFS(L329="AS", I329+15, L329="NCR", I329+30, L329="submitted", I329+30, TRUE, "N/A")), _xlfn.IFS(L329="AS", J329+15, L329="NCR", J329+30, L329="submitted", J329+30, TRUE, "N/A"))</f>
        <v>45952</v>
      </c>
      <c r="L329" s="187" t="s">
        <v>157</v>
      </c>
    </row>
    <row r="330" spans="2:12" s="652" customFormat="1" ht="27" customHeight="1">
      <c r="B330" s="187" t="s">
        <v>48</v>
      </c>
      <c r="C330" s="918"/>
      <c r="D330" s="921"/>
      <c r="E330" s="647" t="s">
        <v>49</v>
      </c>
      <c r="F330" s="672"/>
      <c r="G330" s="187" t="s">
        <v>169</v>
      </c>
      <c r="H330" s="648" t="s">
        <v>2008</v>
      </c>
      <c r="I330" s="649">
        <v>45854</v>
      </c>
      <c r="J330" s="649">
        <v>45922</v>
      </c>
      <c r="K330" s="288" cm="1">
        <f t="array" ref="K330">IF(ISBLANK(J330), IF(ISBLANK(I330), "N/A", _xlfn.IFS(L330="AS", I330+15, L330="NCR", I330+30, L330="submitted", I330+30, TRUE, "N/A")), _xlfn.IFS(L330="AS", J330+15, L330="NCR", J330+30, L330="submitted", J330+30, TRUE, "N/A"))</f>
        <v>45952</v>
      </c>
      <c r="L330" s="187" t="s">
        <v>157</v>
      </c>
    </row>
    <row r="331" spans="2:12" s="138" customFormat="1" ht="27" customHeight="1">
      <c r="B331" s="151" t="s">
        <v>50</v>
      </c>
      <c r="C331" s="169" t="s">
        <v>2009</v>
      </c>
      <c r="D331" s="388" t="s">
        <v>2010</v>
      </c>
      <c r="E331" s="155" t="s">
        <v>2011</v>
      </c>
      <c r="F331" s="536"/>
      <c r="G331" s="151" t="s">
        <v>131</v>
      </c>
      <c r="H331" s="152" t="s">
        <v>484</v>
      </c>
      <c r="I331" s="261">
        <v>45854</v>
      </c>
      <c r="J331" s="261">
        <v>45922</v>
      </c>
      <c r="K331" s="288" t="str" cm="1">
        <f t="array" ref="K331">IF(ISBLANK(J331), IF(ISBLANK(I331), "N/A", _xlfn.IFS(L331="AS", I331+15, L331="NCR", I331+30, L331="submitted", I331+30, TRUE, "N/A")), _xlfn.IFS(L331="AS", J331+15, L331="NCR", J331+30, L331="submitted", J331+30, TRUE, "N/A"))</f>
        <v>N/A</v>
      </c>
      <c r="L331" s="151" t="s">
        <v>639</v>
      </c>
    </row>
    <row r="332" spans="2:12" s="5" customFormat="1" ht="15" customHeight="1">
      <c r="B332" s="4"/>
      <c r="C332" s="54" t="s">
        <v>2009</v>
      </c>
      <c r="D332" s="345" t="s">
        <v>2010</v>
      </c>
      <c r="E332" s="157"/>
      <c r="F332" s="308"/>
      <c r="G332" s="4" t="s">
        <v>131</v>
      </c>
      <c r="H332" s="17" t="s">
        <v>484</v>
      </c>
      <c r="I332" s="18"/>
      <c r="J332" s="18"/>
      <c r="K332" s="288" t="str" cm="1">
        <f t="array" ref="K332">IF(ISBLANK(J332), IF(ISBLANK(I332), "N/A", _xlfn.IFS(L332="AS", I332+15, L332="NCR", I332+30, L332="submitted", I332+30, TRUE, "N/A")), _xlfn.IFS(L332="AS", J332+15, L332="NCR", J332+30, L332="submitted", J332+30, TRUE, "N/A"))</f>
        <v>N/A</v>
      </c>
      <c r="L332" s="4"/>
    </row>
    <row r="333" spans="2:12" s="5" customFormat="1" ht="15" customHeight="1">
      <c r="B333" s="4"/>
      <c r="C333" s="54" t="s">
        <v>2009</v>
      </c>
      <c r="D333" s="345" t="s">
        <v>2010</v>
      </c>
      <c r="E333" s="143"/>
      <c r="F333" s="309"/>
      <c r="G333" s="4" t="s">
        <v>134</v>
      </c>
      <c r="H333" s="3" t="s">
        <v>2012</v>
      </c>
      <c r="I333" s="18"/>
      <c r="J333" s="18"/>
      <c r="K333" s="288" t="str" cm="1">
        <f t="array" ref="K333">IF(ISBLANK(J333), IF(ISBLANK(I333), "N/A", _xlfn.IFS(L333="AS", I333+15, L333="NCR", I333+30, L333="submitted", I333+30, TRUE, "N/A")), _xlfn.IFS(L333="AS", J333+15, L333="NCR", J333+30, L333="submitted", J333+30, TRUE, "N/A"))</f>
        <v>N/A</v>
      </c>
      <c r="L333" s="4"/>
    </row>
    <row r="334" spans="2:12" s="1" customFormat="1" ht="15" customHeight="1">
      <c r="B334" s="9"/>
      <c r="C334" s="840" t="s">
        <v>2013</v>
      </c>
      <c r="D334" s="841" t="s">
        <v>2014</v>
      </c>
      <c r="E334" s="39"/>
      <c r="F334" s="37"/>
      <c r="G334" s="9" t="s">
        <v>208</v>
      </c>
      <c r="H334" s="13" t="s">
        <v>484</v>
      </c>
      <c r="I334" s="14"/>
      <c r="J334" s="14"/>
      <c r="K334" s="288" t="str" cm="1">
        <f t="array" ref="K334">IF(ISBLANK(J334), IF(ISBLANK(I334), "N/A", _xlfn.IFS(L334="AS", I334+15, L334="NCR", I334+30, L334="submitted", I334+30, TRUE, "N/A")), _xlfn.IFS(L334="AS", J334+15, L334="NCR", J334+30, L334="submitted", J334+30, TRUE, "N/A"))</f>
        <v>N/A</v>
      </c>
      <c r="L334" s="9"/>
    </row>
    <row r="335" spans="2:12" s="1" customFormat="1" ht="15" customHeight="1">
      <c r="B335" s="9"/>
      <c r="C335" s="843"/>
      <c r="D335" s="844"/>
      <c r="E335" s="39"/>
      <c r="F335" s="39"/>
      <c r="G335" s="9" t="s">
        <v>281</v>
      </c>
      <c r="H335" s="13" t="s">
        <v>282</v>
      </c>
      <c r="I335" s="14"/>
      <c r="J335" s="14"/>
      <c r="K335" s="288" t="str" cm="1">
        <f t="array" ref="K335">IF(ISBLANK(J335), IF(ISBLANK(I335), "N/A", _xlfn.IFS(L335="AS", I335+15, L335="NCR", I335+30, L335="submitted", I335+30, TRUE, "N/A")), _xlfn.IFS(L335="AS", J335+15, L335="NCR", J335+30, L335="submitted", J335+30, TRUE, "N/A"))</f>
        <v>N/A</v>
      </c>
      <c r="L335" s="9"/>
    </row>
    <row r="336" spans="2:12" s="1" customFormat="1" ht="15" customHeight="1">
      <c r="B336" s="9"/>
      <c r="C336" s="843"/>
      <c r="D336" s="844"/>
      <c r="E336" s="39"/>
      <c r="F336" s="39"/>
      <c r="G336" s="9" t="s">
        <v>269</v>
      </c>
      <c r="H336" s="7" t="s">
        <v>2015</v>
      </c>
      <c r="I336" s="14"/>
      <c r="J336" s="14"/>
      <c r="K336" s="288" t="str" cm="1">
        <f t="array" ref="K336">IF(ISBLANK(J336), IF(ISBLANK(I336), "N/A", _xlfn.IFS(L336="AS", I336+15, L336="NCR", I336+30, L336="submitted", I336+30, TRUE, "N/A")), _xlfn.IFS(L336="AS", J336+15, L336="NCR", J336+30, L336="submitted", J336+30, TRUE, "N/A"))</f>
        <v>N/A</v>
      </c>
      <c r="L336" s="9"/>
    </row>
    <row r="337" spans="2:12" s="1" customFormat="1" ht="15" customHeight="1">
      <c r="B337" s="9"/>
      <c r="C337" s="807"/>
      <c r="D337" s="809"/>
      <c r="E337" s="46"/>
      <c r="F337" s="46"/>
      <c r="G337" s="9" t="s">
        <v>259</v>
      </c>
      <c r="H337" s="13" t="s">
        <v>341</v>
      </c>
      <c r="I337" s="14"/>
      <c r="J337" s="14"/>
      <c r="K337" s="288" t="str" cm="1">
        <f t="array" ref="K337">IF(ISBLANK(J337), IF(ISBLANK(I337), "N/A", _xlfn.IFS(L337="AS", I337+15, L337="NCR", I337+30, L337="submitted", I337+30, TRUE, "N/A")), _xlfn.IFS(L337="AS", J337+15, L337="NCR", J337+30, L337="submitted", J337+30, TRUE, "N/A"))</f>
        <v>N/A</v>
      </c>
      <c r="L337" s="9"/>
    </row>
    <row r="338" spans="2:12" s="26" customFormat="1" ht="46.5" customHeight="1">
      <c r="B338" s="22" t="s">
        <v>2016</v>
      </c>
      <c r="C338" s="128" t="s">
        <v>2017</v>
      </c>
      <c r="D338" s="129" t="s">
        <v>2018</v>
      </c>
      <c r="E338" s="27" t="s">
        <v>2019</v>
      </c>
      <c r="F338" s="76" t="s">
        <v>524</v>
      </c>
      <c r="G338" s="22" t="s">
        <v>208</v>
      </c>
      <c r="H338" s="28" t="s">
        <v>2020</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61.5" customHeight="1">
      <c r="B339" s="22"/>
      <c r="C339" s="128" t="s">
        <v>2017</v>
      </c>
      <c r="D339" s="358" t="s">
        <v>2018</v>
      </c>
      <c r="E339" s="202"/>
      <c r="F339" s="202"/>
      <c r="G339" s="203" t="s">
        <v>281</v>
      </c>
      <c r="H339" s="28" t="s">
        <v>2021</v>
      </c>
      <c r="I339" s="25"/>
      <c r="J339" s="25"/>
      <c r="K339" s="288" t="str" cm="1">
        <f t="array" ref="K339">IF(ISBLANK(J339), IF(ISBLANK(I339), "N/A", _xlfn.IFS(L339="AS", I339+15, L339="NCR", I339+30, L339="submitted", I339+30, TRUE, "N/A")), _xlfn.IFS(L339="AS", J339+15, L339="NCR", J339+30, L339="submitted", J339+30, TRUE, "N/A"))</f>
        <v>N/A</v>
      </c>
      <c r="L339" s="22"/>
    </row>
    <row r="340" spans="2:12" s="26" customFormat="1" ht="30.75" customHeight="1">
      <c r="B340" s="22"/>
      <c r="C340" s="128" t="s">
        <v>2017</v>
      </c>
      <c r="D340" s="358" t="s">
        <v>2018</v>
      </c>
      <c r="E340" s="625"/>
      <c r="F340" s="202"/>
      <c r="G340" s="203" t="s">
        <v>269</v>
      </c>
      <c r="H340" s="28" t="s">
        <v>2022</v>
      </c>
      <c r="I340" s="25"/>
      <c r="J340" s="25"/>
      <c r="K340" s="288" t="str" cm="1">
        <f t="array" ref="K340">IF(ISBLANK(J340), IF(ISBLANK(I340), "N/A", _xlfn.IFS(L340="AS", I340+15, L340="NCR", I340+30, L340="submitted", I340+30, TRUE, "N/A")), _xlfn.IFS(L340="AS", J340+15, L340="NCR", J340+30, L340="submitted", J340+30, TRUE, "N/A"))</f>
        <v>N/A</v>
      </c>
      <c r="L340" s="22"/>
    </row>
    <row r="341" spans="2:12" s="26" customFormat="1" ht="53.25" customHeight="1">
      <c r="B341" s="22" t="s">
        <v>2016</v>
      </c>
      <c r="C341" s="128" t="s">
        <v>2017</v>
      </c>
      <c r="D341" s="358" t="s">
        <v>2018</v>
      </c>
      <c r="E341" s="202" t="s">
        <v>2019</v>
      </c>
      <c r="F341" s="587" t="s">
        <v>524</v>
      </c>
      <c r="G341" s="22" t="s">
        <v>259</v>
      </c>
      <c r="H341" s="28" t="s">
        <v>2023</v>
      </c>
      <c r="I341" s="25">
        <v>45912</v>
      </c>
      <c r="J341" s="25">
        <v>45926</v>
      </c>
      <c r="K341" s="288" cm="1">
        <f t="array" ref="K341">IF(ISBLANK(J341), IF(ISBLANK(I341), "N/A", _xlfn.IFS(L341="AS", I341+15, L341="NCR", I341+30, L341="submitted", I341+30, TRUE, "N/A")), _xlfn.IFS(L341="AS", J341+15, L341="NCR", J341+30, L341="submitted", J341+30, TRUE, "N/A"))</f>
        <v>45956</v>
      </c>
      <c r="L341" s="22" t="s">
        <v>157</v>
      </c>
    </row>
    <row r="342" spans="2:12" s="26" customFormat="1" ht="65.25" customHeight="1">
      <c r="B342" s="22" t="s">
        <v>2016</v>
      </c>
      <c r="C342" s="128" t="s">
        <v>2017</v>
      </c>
      <c r="D342" s="358" t="s">
        <v>2018</v>
      </c>
      <c r="E342" s="202" t="s">
        <v>2019</v>
      </c>
      <c r="F342" s="359" t="s">
        <v>524</v>
      </c>
      <c r="G342" s="22" t="s">
        <v>352</v>
      </c>
      <c r="H342" s="28" t="s">
        <v>2024</v>
      </c>
      <c r="I342" s="25">
        <v>45912</v>
      </c>
      <c r="J342" s="25">
        <v>45926</v>
      </c>
      <c r="K342" s="288" cm="1">
        <f t="array" ref="K342">IF(ISBLANK(J342), IF(ISBLANK(I342), "N/A", _xlfn.IFS(L342="AS", I342+15, L342="NCR", I342+30, L342="submitted", I342+30, TRUE, "N/A")), _xlfn.IFS(L342="AS", J342+15, L342="NCR", J342+30, L342="submitted", J342+30, TRUE, "N/A"))</f>
        <v>45956</v>
      </c>
      <c r="L342" s="22" t="s">
        <v>157</v>
      </c>
    </row>
    <row r="343" spans="2:12" s="26" customFormat="1" ht="27" customHeight="1">
      <c r="B343" s="22" t="s">
        <v>2016</v>
      </c>
      <c r="C343" s="128" t="s">
        <v>2017</v>
      </c>
      <c r="D343" s="358" t="s">
        <v>2018</v>
      </c>
      <c r="E343" s="202" t="s">
        <v>2019</v>
      </c>
      <c r="F343" s="359" t="s">
        <v>524</v>
      </c>
      <c r="G343" s="22" t="s">
        <v>354</v>
      </c>
      <c r="H343" s="28" t="s">
        <v>2025</v>
      </c>
      <c r="I343" s="25">
        <v>45912</v>
      </c>
      <c r="J343" s="25">
        <v>45926</v>
      </c>
      <c r="K343" s="288" cm="1">
        <f t="array" ref="K343">IF(ISBLANK(J343), IF(ISBLANK(I343), "N/A", _xlfn.IFS(L343="AS", I343+15, L343="NCR", I343+30, L343="submitted", I343+30, TRUE, "N/A")), _xlfn.IFS(L343="AS", J343+15, L343="NCR", J343+30, L343="submitted", J343+30, TRUE, "N/A"))</f>
        <v>45956</v>
      </c>
      <c r="L343" s="22" t="s">
        <v>157</v>
      </c>
    </row>
    <row r="344" spans="2:12" s="138" customFormat="1" ht="15" customHeight="1">
      <c r="B344" s="151" t="s">
        <v>2026</v>
      </c>
      <c r="C344" s="169" t="s">
        <v>2027</v>
      </c>
      <c r="D344" s="260" t="s">
        <v>2028</v>
      </c>
      <c r="E344" s="518" t="s">
        <v>2028</v>
      </c>
      <c r="F344" s="168" t="s">
        <v>2029</v>
      </c>
      <c r="G344" s="151" t="s">
        <v>281</v>
      </c>
      <c r="H344" s="152" t="s">
        <v>282</v>
      </c>
      <c r="I344" s="261">
        <v>45908</v>
      </c>
      <c r="J344" s="261"/>
      <c r="K344" s="288" t="str" cm="1">
        <f t="array" ref="K344">IF(ISBLANK(J344), IF(ISBLANK(I344), "N/A", _xlfn.IFS(L344="AS", I344+15, L344="NCR", I344+30, L344="submitted", I344+30, TRUE, "N/A")), _xlfn.IFS(L344="AS", J344+15, L344="NCR", J344+30, L344="submitted", J344+30, TRUE, "N/A"))</f>
        <v>N/A</v>
      </c>
      <c r="L344" s="151" t="s">
        <v>639</v>
      </c>
    </row>
    <row r="345" spans="2:12" s="138" customFormat="1" ht="54.75" customHeight="1">
      <c r="B345" s="151" t="s">
        <v>2026</v>
      </c>
      <c r="C345" s="169" t="s">
        <v>2027</v>
      </c>
      <c r="D345" s="260" t="s">
        <v>2028</v>
      </c>
      <c r="E345" s="346" t="s">
        <v>2028</v>
      </c>
      <c r="F345" s="168" t="s">
        <v>2029</v>
      </c>
      <c r="G345" s="151" t="s">
        <v>269</v>
      </c>
      <c r="H345" s="153" t="s">
        <v>2030</v>
      </c>
      <c r="I345" s="261">
        <v>45908</v>
      </c>
      <c r="J345" s="261"/>
      <c r="K345" s="288" t="str" cm="1">
        <f t="array" ref="K345">IF(ISBLANK(J345), IF(ISBLANK(I345), "N/A", _xlfn.IFS(L345="AS", I345+15, L345="NCR", I345+30, L345="submitted", I345+30, TRUE, "N/A")), _xlfn.IFS(L345="AS", J345+15, L345="NCR", J345+30, L345="submitted", J345+30, TRUE, "N/A"))</f>
        <v>N/A</v>
      </c>
      <c r="L345" s="151" t="s">
        <v>639</v>
      </c>
    </row>
    <row r="346" spans="2:12" s="676" customFormat="1" ht="53.25" customHeight="1">
      <c r="B346" s="673"/>
      <c r="C346" s="674" t="s">
        <v>2027</v>
      </c>
      <c r="D346" s="675" t="s">
        <v>2028</v>
      </c>
      <c r="F346" s="676" t="s">
        <v>161</v>
      </c>
      <c r="G346" s="673" t="s">
        <v>259</v>
      </c>
      <c r="H346" s="677" t="s">
        <v>2031</v>
      </c>
      <c r="I346" s="678"/>
      <c r="J346" s="678"/>
      <c r="K346" s="288" t="str" cm="1">
        <f t="array" ref="K346">IF(ISBLANK(J346), IF(ISBLANK(I346), "N/A", _xlfn.IFS(L346="AS", I346+15, L346="NCR", I346+30, L346="submitted", I346+30, TRUE, "N/A")), _xlfn.IFS(L346="AS", J346+15, L346="NCR", J346+30, L346="submitted", J346+30, TRUE, "N/A"))</f>
        <v>N/A</v>
      </c>
      <c r="L346" s="673"/>
    </row>
    <row r="347" spans="2:12" s="138" customFormat="1" ht="45" customHeight="1">
      <c r="B347" s="151" t="s">
        <v>2026</v>
      </c>
      <c r="C347" s="169" t="s">
        <v>2027</v>
      </c>
      <c r="D347" s="260" t="s">
        <v>2028</v>
      </c>
      <c r="E347" s="346" t="s">
        <v>2028</v>
      </c>
      <c r="F347" s="168" t="s">
        <v>2029</v>
      </c>
      <c r="G347" s="151" t="s">
        <v>352</v>
      </c>
      <c r="H347" s="153" t="s">
        <v>2032</v>
      </c>
      <c r="I347" s="261">
        <v>45908</v>
      </c>
      <c r="J347" s="261"/>
      <c r="K347" s="288" t="str" cm="1">
        <f t="array" ref="K347">IF(ISBLANK(J347), IF(ISBLANK(I347), "N/A", _xlfn.IFS(L347="AS", I347+15, L347="NCR", I347+30, L347="submitted", I347+30, TRUE, "N/A")), _xlfn.IFS(L347="AS", J347+15, L347="NCR", J347+30, L347="submitted", J347+30, TRUE, "N/A"))</f>
        <v>N/A</v>
      </c>
      <c r="L347" s="151" t="s">
        <v>639</v>
      </c>
    </row>
    <row r="348" spans="2:12" s="1" customFormat="1" ht="15" customHeight="1">
      <c r="B348" s="9"/>
      <c r="C348" s="47" t="s">
        <v>2033</v>
      </c>
      <c r="D348" s="2" t="s">
        <v>2034</v>
      </c>
      <c r="E348" s="37"/>
      <c r="F348" s="37"/>
      <c r="G348" s="9" t="s">
        <v>2035</v>
      </c>
      <c r="H348" s="13" t="s">
        <v>2036</v>
      </c>
      <c r="I348" s="14"/>
      <c r="J348" s="14"/>
      <c r="K348" s="288" t="str" cm="1">
        <f t="array" ref="K348">IF(ISBLANK(J348), IF(ISBLANK(I348), "N/A", _xlfn.IFS(L348="AS", I348+15, L348="NCR", I348+30, L348="submitted", I348+30, TRUE, "N/A")), _xlfn.IFS(L348="AS", J348+15, L348="NCR", J348+30, L348="submitted", J348+30, TRUE, "N/A"))</f>
        <v>N/A</v>
      </c>
      <c r="L348" s="9"/>
    </row>
    <row r="349" spans="2:12" s="1" customFormat="1" ht="15" customHeight="1">
      <c r="B349" s="38"/>
      <c r="C349" s="47" t="s">
        <v>2033</v>
      </c>
      <c r="D349" s="2" t="s">
        <v>2034</v>
      </c>
      <c r="E349" s="39"/>
      <c r="F349" s="39"/>
      <c r="G349" s="38" t="s">
        <v>1765</v>
      </c>
      <c r="H349" s="37" t="s">
        <v>2037</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2033</v>
      </c>
      <c r="D350" s="2" t="s">
        <v>2034</v>
      </c>
      <c r="E350" s="39"/>
      <c r="F350" s="39"/>
      <c r="G350" s="38" t="s">
        <v>2038</v>
      </c>
      <c r="H350" s="37" t="s">
        <v>2039</v>
      </c>
      <c r="I350" s="41"/>
      <c r="J350" s="41"/>
      <c r="K350" s="288" t="str" cm="1">
        <f t="array" ref="K350">IF(ISBLANK(J350), IF(ISBLANK(I350), "N/A", _xlfn.IFS(L350="AS", I350+15, L350="NCR", I350+30, L350="submitted", I350+30, TRUE, "N/A")), _xlfn.IFS(L350="AS", J350+15, L350="NCR", J350+30, L350="submitted", J350+30, TRUE, "N/A"))</f>
        <v>N/A</v>
      </c>
      <c r="L350" s="38"/>
    </row>
    <row r="351" spans="2:12" s="26" customFormat="1" ht="15" customHeight="1">
      <c r="B351" s="99" t="s">
        <v>2040</v>
      </c>
      <c r="C351" s="128" t="s">
        <v>2033</v>
      </c>
      <c r="D351" s="129" t="s">
        <v>2034</v>
      </c>
      <c r="E351" s="27" t="s">
        <v>2041</v>
      </c>
      <c r="F351" s="27"/>
      <c r="G351" s="99" t="s">
        <v>2042</v>
      </c>
      <c r="H351" s="76" t="s">
        <v>235</v>
      </c>
      <c r="I351" s="608">
        <v>45909</v>
      </c>
      <c r="J351" s="608">
        <v>45916</v>
      </c>
      <c r="K351" s="288" t="str" cm="1">
        <f t="array" ref="K351">IF(ISBLANK(J351), IF(ISBLANK(I351), "N/A", _xlfn.IFS(L351="AS", I351+15, L351="NCR", I351+30, L351="submitted", I351+30, TRUE, "N/A")), _xlfn.IFS(L351="AS", J351+15, L351="NCR", J351+30, L351="submitted", J351+30, TRUE, "N/A"))</f>
        <v>N/A</v>
      </c>
      <c r="L351" s="99" t="s">
        <v>889</v>
      </c>
    </row>
    <row r="352" spans="2:12" s="1" customFormat="1" ht="15" customHeight="1">
      <c r="B352" s="38"/>
      <c r="C352" s="47" t="s">
        <v>2033</v>
      </c>
      <c r="D352" s="2" t="s">
        <v>2034</v>
      </c>
      <c r="E352" s="39"/>
      <c r="F352" s="39"/>
      <c r="G352" s="38" t="s">
        <v>2043</v>
      </c>
      <c r="H352" s="37" t="s">
        <v>2044</v>
      </c>
      <c r="I352" s="41"/>
      <c r="J352" s="41"/>
      <c r="K352" s="288" t="str" cm="1">
        <f t="array" ref="K352">IF(ISBLANK(J352), IF(ISBLANK(I352), "N/A", _xlfn.IFS(L352="AS", I352+15, L352="NCR", I352+30, L352="submitted", I352+30, TRUE, "N/A")), _xlfn.IFS(L352="AS", J352+15, L352="NCR", J352+30, L352="submitted", J352+30, TRUE, "N/A"))</f>
        <v>N/A</v>
      </c>
      <c r="L352" s="38"/>
    </row>
    <row r="353" spans="2:12" s="1" customFormat="1" ht="15" customHeight="1">
      <c r="B353" s="38"/>
      <c r="C353" s="47" t="s">
        <v>2033</v>
      </c>
      <c r="D353" s="2" t="s">
        <v>2034</v>
      </c>
      <c r="E353" s="39"/>
      <c r="F353" s="39"/>
      <c r="G353" s="38" t="s">
        <v>2045</v>
      </c>
      <c r="H353" s="37" t="s">
        <v>2046</v>
      </c>
      <c r="I353" s="41"/>
      <c r="J353" s="41"/>
      <c r="K353" s="288" t="str" cm="1">
        <f t="array" ref="K353">IF(ISBLANK(J353), IF(ISBLANK(I353), "N/A", _xlfn.IFS(L353="AS", I353+15, L353="NCR", I353+30, L353="submitted", I353+30, TRUE, "N/A")), _xlfn.IFS(L353="AS", J353+15, L353="NCR", J353+30, L353="submitted", J353+30, TRUE, "N/A"))</f>
        <v>N/A</v>
      </c>
      <c r="L353" s="38"/>
    </row>
    <row r="354" spans="2:12" s="1" customFormat="1" ht="15" customHeight="1">
      <c r="B354" s="38"/>
      <c r="C354" s="47" t="s">
        <v>2033</v>
      </c>
      <c r="D354" s="2" t="s">
        <v>2034</v>
      </c>
      <c r="E354" s="39"/>
      <c r="F354" s="39"/>
      <c r="G354" s="38" t="s">
        <v>2047</v>
      </c>
      <c r="H354" s="37" t="s">
        <v>2048</v>
      </c>
      <c r="I354" s="41"/>
      <c r="J354" s="41"/>
      <c r="K354" s="288" t="str" cm="1">
        <f t="array" ref="K354">IF(ISBLANK(J354), IF(ISBLANK(I354), "N/A", _xlfn.IFS(L354="AS", I354+15, L354="NCR", I354+30, L354="submitted", I354+30, TRUE, "N/A")), _xlfn.IFS(L354="AS", J354+15, L354="NCR", J354+30, L354="submitted", J354+30, TRUE, "N/A"))</f>
        <v>N/A</v>
      </c>
      <c r="L354" s="38"/>
    </row>
    <row r="355" spans="2:12" s="1" customFormat="1" ht="15" customHeight="1">
      <c r="B355" s="38"/>
      <c r="C355" s="47" t="s">
        <v>2033</v>
      </c>
      <c r="D355" s="2" t="s">
        <v>2034</v>
      </c>
      <c r="E355" s="39"/>
      <c r="F355" s="39"/>
      <c r="G355" s="38" t="s">
        <v>2049</v>
      </c>
      <c r="H355" s="37" t="s">
        <v>2050</v>
      </c>
      <c r="I355" s="41"/>
      <c r="J355" s="41"/>
      <c r="K355" s="288" t="str" cm="1">
        <f t="array" ref="K355">IF(ISBLANK(J355), IF(ISBLANK(I355), "N/A", _xlfn.IFS(L355="AS", I355+15, L355="NCR", I355+30, L355="submitted", I355+30, TRUE, "N/A")), _xlfn.IFS(L355="AS", J355+15, L355="NCR", J355+30, L355="submitted", J355+30, TRUE, "N/A"))</f>
        <v>N/A</v>
      </c>
      <c r="L355" s="38"/>
    </row>
    <row r="356" spans="2:12" s="5" customFormat="1" ht="15" customHeight="1">
      <c r="B356" s="19"/>
      <c r="C356" s="829" t="s">
        <v>2051</v>
      </c>
      <c r="D356" s="832" t="s">
        <v>2052</v>
      </c>
      <c r="E356" s="34"/>
      <c r="F356" s="34"/>
      <c r="G356" s="19" t="s">
        <v>391</v>
      </c>
      <c r="H356" s="34" t="s">
        <v>282</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15.75" customHeight="1">
      <c r="B357" s="19"/>
      <c r="C357" s="830"/>
      <c r="D357" s="833"/>
      <c r="E357" s="35"/>
      <c r="F357" s="35"/>
      <c r="G357" s="19" t="s">
        <v>393</v>
      </c>
      <c r="H357" s="34" t="s">
        <v>2053</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27" customHeight="1">
      <c r="B358" s="19"/>
      <c r="C358" s="830"/>
      <c r="D358" s="833"/>
      <c r="E358" s="35"/>
      <c r="F358" s="35"/>
      <c r="G358" s="19" t="s">
        <v>2054</v>
      </c>
      <c r="H358" s="53" t="s">
        <v>2055</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40.5" customHeight="1">
      <c r="B359" s="19"/>
      <c r="C359" s="830"/>
      <c r="D359" s="833"/>
      <c r="E359" s="35"/>
      <c r="F359" s="35"/>
      <c r="G359" s="19" t="s">
        <v>2056</v>
      </c>
      <c r="H359" s="53" t="s">
        <v>2057</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40.5" customHeight="1">
      <c r="B360" s="19"/>
      <c r="C360" s="830"/>
      <c r="D360" s="833"/>
      <c r="E360" s="35"/>
      <c r="F360" s="35"/>
      <c r="G360" s="19" t="s">
        <v>2058</v>
      </c>
      <c r="H360" s="53" t="s">
        <v>2059</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27" customHeight="1">
      <c r="B361" s="19"/>
      <c r="C361" s="830"/>
      <c r="D361" s="833"/>
      <c r="E361" s="35"/>
      <c r="F361" s="35"/>
      <c r="G361" s="19" t="s">
        <v>2060</v>
      </c>
      <c r="H361" s="53" t="s">
        <v>2061</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15" customHeight="1">
      <c r="B362" s="19"/>
      <c r="C362" s="830"/>
      <c r="D362" s="833"/>
      <c r="E362" s="35"/>
      <c r="F362" s="35"/>
      <c r="G362" s="19" t="s">
        <v>513</v>
      </c>
      <c r="H362" s="34" t="s">
        <v>2062</v>
      </c>
      <c r="I362" s="30"/>
      <c r="J362" s="30"/>
      <c r="K362" s="288" t="str" cm="1">
        <f t="array" ref="K362">IF(ISBLANK(J362), IF(ISBLANK(I362), "N/A", _xlfn.IFS(L362="AS", I362+15, L362="NCR", I362+30, L362="submitted", I362+30, TRUE, "N/A")), _xlfn.IFS(L362="AS", J362+15, L362="NCR", J362+30, L362="submitted", J362+30, TRUE, "N/A"))</f>
        <v>N/A</v>
      </c>
      <c r="L362" s="19"/>
    </row>
    <row r="363" spans="2:12" s="5" customFormat="1" ht="15" customHeight="1">
      <c r="B363" s="19"/>
      <c r="C363" s="830"/>
      <c r="D363" s="833"/>
      <c r="E363" s="35"/>
      <c r="F363" s="35"/>
      <c r="G363" s="19" t="s">
        <v>514</v>
      </c>
      <c r="H363" s="34" t="s">
        <v>2063</v>
      </c>
      <c r="I363" s="30"/>
      <c r="J363" s="30"/>
      <c r="K363" s="288" t="str" cm="1">
        <f t="array" ref="K363">IF(ISBLANK(J363), IF(ISBLANK(I363), "N/A", _xlfn.IFS(L363="AS", I363+15, L363="NCR", I363+30, L363="submitted", I363+30, TRUE, "N/A")), _xlfn.IFS(L363="AS", J363+15, L363="NCR", J363+30, L363="submitted", J363+30, TRUE, "N/A"))</f>
        <v>N/A</v>
      </c>
      <c r="L363" s="19"/>
    </row>
    <row r="364" spans="2:12" s="5" customFormat="1" ht="55.5" customHeight="1">
      <c r="B364" s="19"/>
      <c r="C364" s="830"/>
      <c r="D364" s="833"/>
      <c r="E364" s="35"/>
      <c r="F364" s="35"/>
      <c r="G364" s="19" t="s">
        <v>2064</v>
      </c>
      <c r="H364" s="53" t="s">
        <v>2065</v>
      </c>
      <c r="I364" s="30"/>
      <c r="J364" s="30"/>
      <c r="K364" s="288" t="str" cm="1">
        <f t="array" ref="K364">IF(ISBLANK(J364), IF(ISBLANK(I364), "N/A", _xlfn.IFS(L364="AS", I364+15, L364="NCR", I364+30, L364="submitted", I364+30, TRUE, "N/A")), _xlfn.IFS(L364="AS", J364+15, L364="NCR", J364+30, L364="submitted", J364+30, TRUE, "N/A"))</f>
        <v>N/A</v>
      </c>
      <c r="L364" s="19"/>
    </row>
    <row r="365" spans="2:12" s="5" customFormat="1" ht="51.75" customHeight="1">
      <c r="B365" s="19"/>
      <c r="C365" s="830"/>
      <c r="D365" s="833"/>
      <c r="E365" s="35"/>
      <c r="F365" s="35"/>
      <c r="G365" s="19" t="s">
        <v>516</v>
      </c>
      <c r="H365" s="53" t="s">
        <v>2066</v>
      </c>
      <c r="I365" s="30"/>
      <c r="J365" s="30"/>
      <c r="K365" s="288" t="str" cm="1">
        <f t="array" ref="K365">IF(ISBLANK(J365), IF(ISBLANK(I365), "N/A", _xlfn.IFS(L365="AS", I365+15, L365="NCR", I365+30, L365="submitted", I365+30, TRUE, "N/A")), _xlfn.IFS(L365="AS", J365+15, L365="NCR", J365+30, L365="submitted", J365+30, TRUE, "N/A"))</f>
        <v>N/A</v>
      </c>
      <c r="L365" s="19"/>
    </row>
    <row r="366" spans="2:12" s="45" customFormat="1" ht="15.75" customHeight="1">
      <c r="B366" s="42"/>
      <c r="C366" s="882"/>
      <c r="D366" s="883"/>
      <c r="E366" s="49"/>
      <c r="F366" s="49"/>
      <c r="G366" s="42" t="s">
        <v>518</v>
      </c>
      <c r="H366" s="43" t="s">
        <v>2067</v>
      </c>
      <c r="I366" s="44"/>
      <c r="J366" s="44"/>
      <c r="K366" s="288" t="str" cm="1">
        <f t="array" ref="K366">IF(ISBLANK(J366), IF(ISBLANK(I366), "N/A", _xlfn.IFS(L366="AS", I366+15, L366="NCR", I366+30, L366="submitted", I366+30, TRUE, "N/A")), _xlfn.IFS(L366="AS", J366+15, L366="NCR", J366+30, L366="submitted", J366+30, TRUE, "N/A"))</f>
        <v>N/A</v>
      </c>
      <c r="L366" s="42"/>
    </row>
    <row r="367" spans="2:12" s="1" customFormat="1" ht="15" customHeight="1">
      <c r="B367" s="21"/>
      <c r="C367" s="914" t="s">
        <v>2068</v>
      </c>
      <c r="D367" s="915" t="s">
        <v>2069</v>
      </c>
      <c r="E367" s="39"/>
      <c r="F367" s="39"/>
      <c r="G367" s="21" t="s">
        <v>131</v>
      </c>
      <c r="H367" s="46" t="s">
        <v>484</v>
      </c>
      <c r="I367" s="51"/>
      <c r="J367" s="51"/>
      <c r="K367" s="288" t="str" cm="1">
        <f t="array" ref="K367">IF(ISBLANK(J367), IF(ISBLANK(I367), "N/A", _xlfn.IFS(L367="AS", I367+15, L367="NCR", I367+30, L367="submitted", I367+30, TRUE, "N/A")), _xlfn.IFS(L367="AS", J367+15, L367="NCR", J367+30, L367="submitted", J367+30, TRUE, "N/A"))</f>
        <v>N/A</v>
      </c>
      <c r="L367" s="21"/>
    </row>
    <row r="368" spans="2:12" s="1" customFormat="1" ht="15" customHeight="1">
      <c r="B368" s="21"/>
      <c r="C368" s="843"/>
      <c r="D368" s="844"/>
      <c r="E368" s="39"/>
      <c r="F368" s="39"/>
      <c r="G368" s="21" t="s">
        <v>134</v>
      </c>
      <c r="H368" s="46" t="s">
        <v>2070</v>
      </c>
      <c r="I368" s="51"/>
      <c r="J368" s="51"/>
      <c r="K368" s="288" t="str" cm="1">
        <f t="array" ref="K368">IF(ISBLANK(J368), IF(ISBLANK(I368), "N/A", _xlfn.IFS(L368="AS", I368+15, L368="NCR", I368+30, L368="submitted", I368+30, TRUE, "N/A")), _xlfn.IFS(L368="AS", J368+15, L368="NCR", J368+30, L368="submitted", J368+30, TRUE, "N/A"))</f>
        <v>N/A</v>
      </c>
      <c r="L368" s="21"/>
    </row>
    <row r="369" spans="2:12" s="1" customFormat="1" ht="15" customHeight="1">
      <c r="B369" s="21"/>
      <c r="C369" s="843"/>
      <c r="D369" s="844"/>
      <c r="E369" s="39"/>
      <c r="F369" s="39"/>
      <c r="G369" s="21" t="s">
        <v>136</v>
      </c>
      <c r="H369" s="46" t="s">
        <v>341</v>
      </c>
      <c r="I369" s="51"/>
      <c r="J369" s="51"/>
      <c r="K369" s="288" t="str" cm="1">
        <f t="array" ref="K369">IF(ISBLANK(J369), IF(ISBLANK(I369), "N/A", _xlfn.IFS(L369="AS", I369+15, L369="NCR", I369+30, L369="submitted", I369+30, TRUE, "N/A")), _xlfn.IFS(L369="AS", J369+15, L369="NCR", J369+30, L369="submitted", J369+30, TRUE, "N/A"))</f>
        <v>N/A</v>
      </c>
      <c r="L369" s="21"/>
    </row>
    <row r="370" spans="2:12" s="1" customFormat="1" ht="15" customHeight="1">
      <c r="B370" s="21"/>
      <c r="C370" s="807"/>
      <c r="D370" s="809"/>
      <c r="E370" s="46"/>
      <c r="F370" s="46"/>
      <c r="G370" s="21" t="s">
        <v>138</v>
      </c>
      <c r="H370" s="46" t="s">
        <v>2071</v>
      </c>
      <c r="I370" s="51"/>
      <c r="J370" s="51"/>
      <c r="K370" s="288" t="str" cm="1">
        <f t="array" ref="K370">IF(ISBLANK(J370), IF(ISBLANK(I370), "N/A", _xlfn.IFS(L370="AS", I370+15, L370="NCR", I370+30, L370="submitted", I370+30, TRUE, "N/A")), _xlfn.IFS(L370="AS", J370+15, L370="NCR", J370+30, L370="submitted", J370+30, TRUE, "N/A"))</f>
        <v>N/A</v>
      </c>
      <c r="L370" s="21"/>
    </row>
    <row r="371" spans="2:12" s="5" customFormat="1" ht="15" customHeight="1">
      <c r="B371" s="4"/>
      <c r="C371" s="829" t="s">
        <v>2072</v>
      </c>
      <c r="D371" s="832" t="s">
        <v>2073</v>
      </c>
      <c r="E371" s="34"/>
      <c r="F371" s="34"/>
      <c r="G371" s="4" t="s">
        <v>208</v>
      </c>
      <c r="H371" s="17" t="s">
        <v>484</v>
      </c>
      <c r="I371" s="18"/>
      <c r="J371" s="18"/>
      <c r="K371" s="288" t="str" cm="1">
        <f t="array" ref="K371">IF(ISBLANK(J371), IF(ISBLANK(I371), "N/A", _xlfn.IFS(L371="AS", I371+15, L371="NCR", I371+30, L371="submitted", I371+30, TRUE, "N/A")), _xlfn.IFS(L371="AS", J371+15, L371="NCR", J371+30, L371="submitted", J371+30, TRUE, "N/A"))</f>
        <v>N/A</v>
      </c>
      <c r="L371" s="4"/>
    </row>
    <row r="372" spans="2:12" s="5" customFormat="1" ht="15" customHeight="1">
      <c r="B372" s="4"/>
      <c r="C372" s="830"/>
      <c r="D372" s="833"/>
      <c r="E372" s="35"/>
      <c r="F372" s="35"/>
      <c r="G372" s="4" t="s">
        <v>281</v>
      </c>
      <c r="H372" s="17" t="s">
        <v>282</v>
      </c>
      <c r="I372" s="18"/>
      <c r="J372" s="18"/>
      <c r="K372" s="288" t="str" cm="1">
        <f t="array" ref="K372">IF(ISBLANK(J372), IF(ISBLANK(I372), "N/A", _xlfn.IFS(L372="AS", I372+15, L372="NCR", I372+30, L372="submitted", I372+30, TRUE, "N/A")), _xlfn.IFS(L372="AS", J372+15, L372="NCR", J372+30, L372="submitted", J372+30, TRUE, "N/A"))</f>
        <v>N/A</v>
      </c>
      <c r="L372" s="4"/>
    </row>
    <row r="373" spans="2:12" s="5" customFormat="1" ht="15" customHeight="1">
      <c r="B373" s="4"/>
      <c r="C373" s="830"/>
      <c r="D373" s="833"/>
      <c r="E373" s="35"/>
      <c r="F373" s="35"/>
      <c r="G373" s="4" t="s">
        <v>269</v>
      </c>
      <c r="H373" s="17" t="s">
        <v>2074</v>
      </c>
      <c r="I373" s="18"/>
      <c r="J373" s="18"/>
      <c r="K373" s="288" t="str" cm="1">
        <f t="array" ref="K373">IF(ISBLANK(J373), IF(ISBLANK(I373), "N/A", _xlfn.IFS(L373="AS", I373+15, L373="NCR", I373+30, L373="submitted", I373+30, TRUE, "N/A")), _xlfn.IFS(L373="AS", J373+15, L373="NCR", J373+30, L373="submitted", J373+30, TRUE, "N/A"))</f>
        <v>N/A</v>
      </c>
      <c r="L373" s="4"/>
    </row>
    <row r="374" spans="2:12" s="5" customFormat="1" ht="15" customHeight="1">
      <c r="B374" s="4"/>
      <c r="C374" s="831"/>
      <c r="D374" s="834"/>
      <c r="E374" s="36"/>
      <c r="F374" s="36"/>
      <c r="G374" s="4" t="s">
        <v>259</v>
      </c>
      <c r="H374" s="17" t="s">
        <v>341</v>
      </c>
      <c r="I374" s="18"/>
      <c r="J374" s="18"/>
      <c r="K374" s="288" t="str" cm="1">
        <f t="array" ref="K374">IF(ISBLANK(J374), IF(ISBLANK(I374), "N/A", _xlfn.IFS(L374="AS", I374+15, L374="NCR", I374+30, L374="submitted", I374+30, TRUE, "N/A")), _xlfn.IFS(L374="AS", J374+15, L374="NCR", J374+30, L374="submitted", J374+30, TRUE, "N/A"))</f>
        <v>N/A</v>
      </c>
      <c r="L374" s="4"/>
    </row>
    <row r="375" spans="2:12" s="1" customFormat="1" ht="15" customHeight="1">
      <c r="B375" s="38"/>
      <c r="C375" s="47" t="s">
        <v>2075</v>
      </c>
      <c r="D375" s="2" t="s">
        <v>2076</v>
      </c>
      <c r="E375" s="37"/>
      <c r="G375" s="38" t="s">
        <v>208</v>
      </c>
      <c r="H375" s="37" t="s">
        <v>282</v>
      </c>
      <c r="I375" s="38"/>
      <c r="J375" s="41"/>
      <c r="K375" s="288" t="str" cm="1">
        <f t="array" ref="K375">IF(ISBLANK(J375), IF(ISBLANK(I375), "N/A", _xlfn.IFS(L375="AS", I375+15, L375="NCR", I375+30, L375="submitted", I375+30, TRUE, "N/A")), _xlfn.IFS(L375="AS", J375+15, L375="NCR", J375+30, L375="submitted", J375+30, TRUE, "N/A"))</f>
        <v>N/A</v>
      </c>
      <c r="L375" s="41"/>
    </row>
    <row r="376" spans="2:12" s="1" customFormat="1" ht="33.6" customHeight="1">
      <c r="B376" s="38"/>
      <c r="C376" s="48"/>
      <c r="D376" s="2" t="s">
        <v>2076</v>
      </c>
      <c r="E376" s="39"/>
      <c r="G376" s="38" t="s">
        <v>281</v>
      </c>
      <c r="H376" s="40" t="s">
        <v>2077</v>
      </c>
      <c r="I376" s="38"/>
      <c r="J376" s="41"/>
      <c r="K376" s="288" t="str" cm="1">
        <f t="array" ref="K376">IF(ISBLANK(J376), IF(ISBLANK(I376), "N/A", _xlfn.IFS(L376="AS", I376+15, L376="NCR", I376+30, L376="submitted", I376+30, TRUE, "N/A")), _xlfn.IFS(L376="AS", J376+15, L376="NCR", J376+30, L376="submitted", J376+30, TRUE, "N/A"))</f>
        <v>N/A</v>
      </c>
      <c r="L376" s="41"/>
    </row>
    <row r="377" spans="2:12" s="94" customFormat="1" ht="15.75" customHeight="1">
      <c r="B377" s="90"/>
      <c r="C377" s="127"/>
      <c r="D377" s="2" t="s">
        <v>2076</v>
      </c>
      <c r="E377" s="91"/>
      <c r="G377" s="90" t="s">
        <v>329</v>
      </c>
      <c r="H377" s="98" t="s">
        <v>2078</v>
      </c>
      <c r="I377" s="90"/>
      <c r="J377" s="93"/>
      <c r="K377" s="288" t="str" cm="1">
        <f t="array" ref="K377">IF(ISBLANK(J377), IF(ISBLANK(I377), "N/A", _xlfn.IFS(L377="AS", I377+15, L377="NCR", I377+30, L377="submitted", I377+30, TRUE, "N/A")), _xlfn.IFS(L377="AS", J377+15, L377="NCR", J377+30, L377="submitted", J377+30, TRUE, "N/A"))</f>
        <v>N/A</v>
      </c>
      <c r="L377" s="93"/>
    </row>
    <row r="378" spans="2:12" s="149" customFormat="1" ht="15.75" customHeight="1">
      <c r="B378" s="541" t="s">
        <v>52</v>
      </c>
      <c r="C378" s="912" t="s">
        <v>2079</v>
      </c>
      <c r="D378" s="913" t="s">
        <v>2080</v>
      </c>
      <c r="E378" s="219" t="s">
        <v>53</v>
      </c>
      <c r="F378" s="149" t="s">
        <v>1649</v>
      </c>
      <c r="G378" s="334" t="s">
        <v>759</v>
      </c>
      <c r="H378" s="219" t="s">
        <v>2081</v>
      </c>
      <c r="I378" s="542">
        <v>45869</v>
      </c>
      <c r="J378" s="542">
        <v>45903</v>
      </c>
      <c r="K378" s="288" t="str" cm="1">
        <f t="array" ref="K378">IF(ISBLANK(J378), IF(ISBLANK(I378), "N/A", _xlfn.IFS(L378="AS", I378+15, L378="NCR", I378+30, L378="submitted", I378+30, TRUE, "N/A")), _xlfn.IFS(L378="AS", J378+15, L378="NCR", J378+30, L378="submitted", J378+30, TRUE, "N/A"))</f>
        <v>N/A</v>
      </c>
      <c r="L378" s="542" t="s">
        <v>147</v>
      </c>
    </row>
    <row r="379" spans="2:12" s="525" customFormat="1" ht="15.75" customHeight="1">
      <c r="B379" s="754" t="s">
        <v>2082</v>
      </c>
      <c r="C379" s="905"/>
      <c r="D379" s="906"/>
      <c r="E379" s="610" t="s">
        <v>53</v>
      </c>
      <c r="F379" s="525" t="s">
        <v>1649</v>
      </c>
      <c r="G379" s="755" t="s">
        <v>759</v>
      </c>
      <c r="H379" s="610" t="s">
        <v>2081</v>
      </c>
      <c r="I379" s="756">
        <v>45929</v>
      </c>
      <c r="J379" s="756">
        <v>45937</v>
      </c>
      <c r="K379" s="753" t="str" cm="1">
        <f t="array" ref="K379">IF(ISBLANK(J379), IF(ISBLANK(I379), "N/A", _xlfn.IFS(L379="AS", I379+15, L379="NCR", I379+30, L379="submitted", I379+30, TRUE, "N/A")), _xlfn.IFS(L379="AS", J379+15, L379="NCR", J379+30, L379="submitted", J379+30, TRUE, "N/A"))</f>
        <v>N/A</v>
      </c>
      <c r="L379" s="756" t="s">
        <v>151</v>
      </c>
    </row>
    <row r="380" spans="2:12" s="26" customFormat="1" ht="15.75" customHeight="1">
      <c r="B380" s="78"/>
      <c r="C380" s="905"/>
      <c r="D380" s="906"/>
      <c r="E380" s="27"/>
      <c r="G380" s="22" t="s">
        <v>483</v>
      </c>
      <c r="H380" s="24" t="s">
        <v>328</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27" customHeight="1">
      <c r="B381" s="78"/>
      <c r="C381" s="905"/>
      <c r="D381" s="906"/>
      <c r="E381" s="27"/>
      <c r="G381" s="22" t="s">
        <v>485</v>
      </c>
      <c r="H381" s="28" t="s">
        <v>2083</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15.75" customHeight="1">
      <c r="B382" s="78"/>
      <c r="C382" s="905"/>
      <c r="D382" s="906"/>
      <c r="E382" s="27"/>
      <c r="G382" s="22" t="s">
        <v>486</v>
      </c>
      <c r="H382" s="24" t="s">
        <v>2084</v>
      </c>
      <c r="I382" s="78"/>
      <c r="J382" s="80"/>
      <c r="K382" s="288" t="str" cm="1">
        <f t="array" ref="K382">IF(ISBLANK(J382), IF(ISBLANK(I382), "N/A", _xlfn.IFS(L382="AS", I382+15, L382="NCR", I382+30, L382="submitted", I382+30, TRUE, "N/A")), _xlfn.IFS(L382="AS", J382+15, L382="NCR", J382+30, L382="submitted", J382+30, TRUE, "N/A"))</f>
        <v>N/A</v>
      </c>
      <c r="L382" s="80"/>
    </row>
    <row r="383" spans="2:12" s="26" customFormat="1" ht="27" customHeight="1">
      <c r="B383" s="78"/>
      <c r="C383" s="905"/>
      <c r="D383" s="906"/>
      <c r="E383" s="27"/>
      <c r="G383" s="22" t="s">
        <v>862</v>
      </c>
      <c r="H383" s="28" t="s">
        <v>2085</v>
      </c>
      <c r="I383" s="78"/>
      <c r="J383" s="80"/>
      <c r="K383" s="288" t="str" cm="1">
        <f t="array" ref="K383">IF(ISBLANK(J383), IF(ISBLANK(I383), "N/A", _xlfn.IFS(L383="AS", I383+15, L383="NCR", I383+30, L383="submitted", I383+30, TRUE, "N/A")), _xlfn.IFS(L383="AS", J383+15, L383="NCR", J383+30, L383="submitted", J383+30, TRUE, "N/A"))</f>
        <v>N/A</v>
      </c>
      <c r="L383" s="80"/>
    </row>
    <row r="384" spans="2:12" s="26" customFormat="1" ht="15.75" customHeight="1">
      <c r="B384" s="78"/>
      <c r="C384" s="905"/>
      <c r="D384" s="906"/>
      <c r="E384" s="27"/>
      <c r="G384" s="22" t="s">
        <v>497</v>
      </c>
      <c r="H384" s="24" t="s">
        <v>2086</v>
      </c>
      <c r="I384" s="78"/>
      <c r="J384" s="80"/>
      <c r="K384" s="288" t="str" cm="1">
        <f t="array" ref="K384">IF(ISBLANK(J384), IF(ISBLANK(I384), "N/A", _xlfn.IFS(L384="AS", I384+15, L384="NCR", I384+30, L384="submitted", I384+30, TRUE, "N/A")), _xlfn.IFS(L384="AS", J384+15, L384="NCR", J384+30, L384="submitted", J384+30, TRUE, "N/A"))</f>
        <v>N/A</v>
      </c>
      <c r="L384" s="80"/>
    </row>
    <row r="385" spans="2:12" s="26" customFormat="1" ht="45" customHeight="1">
      <c r="B385" s="78"/>
      <c r="C385" s="897"/>
      <c r="D385" s="899"/>
      <c r="E385" s="29"/>
      <c r="G385" s="22" t="s">
        <v>489</v>
      </c>
      <c r="H385" s="28" t="s">
        <v>2087</v>
      </c>
      <c r="I385" s="78"/>
      <c r="J385" s="80"/>
      <c r="K385" s="288" t="str" cm="1">
        <f t="array" ref="K385">IF(ISBLANK(J385), IF(ISBLANK(I385), "N/A", _xlfn.IFS(L385="AS", I385+15, L385="NCR", I385+30, L385="submitted", I385+30, TRUE, "N/A")), _xlfn.IFS(L385="AS", J385+15, L385="NCR", J385+30, L385="submitted", J385+30, TRUE, "N/A"))</f>
        <v>N/A</v>
      </c>
      <c r="L385" s="80"/>
    </row>
  </sheetData>
  <mergeCells count="106">
    <mergeCell ref="C378:C385"/>
    <mergeCell ref="D378:D385"/>
    <mergeCell ref="C356:C366"/>
    <mergeCell ref="D356:D366"/>
    <mergeCell ref="C367:C370"/>
    <mergeCell ref="D367:D370"/>
    <mergeCell ref="C334:C337"/>
    <mergeCell ref="D334:D337"/>
    <mergeCell ref="N3:Q6"/>
    <mergeCell ref="N7:Q39"/>
    <mergeCell ref="N51:Q122"/>
    <mergeCell ref="N123:Q130"/>
    <mergeCell ref="N131:Q207"/>
    <mergeCell ref="N208:Q215"/>
    <mergeCell ref="C371:C374"/>
    <mergeCell ref="D371:D374"/>
    <mergeCell ref="C321:C325"/>
    <mergeCell ref="D321:D325"/>
    <mergeCell ref="C326:C330"/>
    <mergeCell ref="D326:D330"/>
    <mergeCell ref="C313:C314"/>
    <mergeCell ref="D313:D314"/>
    <mergeCell ref="C318:C320"/>
    <mergeCell ref="D318:D320"/>
    <mergeCell ref="C20:C21"/>
    <mergeCell ref="D20:D21"/>
    <mergeCell ref="C24:C25"/>
    <mergeCell ref="D24:D25"/>
    <mergeCell ref="C295:C300"/>
    <mergeCell ref="D295:D300"/>
    <mergeCell ref="C301:C308"/>
    <mergeCell ref="D301:D308"/>
    <mergeCell ref="C310:C312"/>
    <mergeCell ref="D310:D312"/>
    <mergeCell ref="C280:C286"/>
    <mergeCell ref="D280:D286"/>
    <mergeCell ref="C287:C294"/>
    <mergeCell ref="D287:D294"/>
    <mergeCell ref="C226:C238"/>
    <mergeCell ref="D226:D238"/>
    <mergeCell ref="C239:C244"/>
    <mergeCell ref="D239:D244"/>
    <mergeCell ref="C268:C279"/>
    <mergeCell ref="D268:D279"/>
    <mergeCell ref="C208:C209"/>
    <mergeCell ref="D208:D209"/>
    <mergeCell ref="C210:C211"/>
    <mergeCell ref="D210:D211"/>
    <mergeCell ref="C212:C219"/>
    <mergeCell ref="D212:D219"/>
    <mergeCell ref="C255:C258"/>
    <mergeCell ref="D255:D258"/>
    <mergeCell ref="C259:C260"/>
    <mergeCell ref="D259:D260"/>
    <mergeCell ref="C261:C267"/>
    <mergeCell ref="D261:D267"/>
    <mergeCell ref="C245:C247"/>
    <mergeCell ref="D245:D247"/>
    <mergeCell ref="C249:C252"/>
    <mergeCell ref="D249:D252"/>
    <mergeCell ref="C197:C200"/>
    <mergeCell ref="D197:D200"/>
    <mergeCell ref="C201:C204"/>
    <mergeCell ref="D201:D204"/>
    <mergeCell ref="C205:C207"/>
    <mergeCell ref="D205:D207"/>
    <mergeCell ref="C192:C193"/>
    <mergeCell ref="D192:D193"/>
    <mergeCell ref="C194:C196"/>
    <mergeCell ref="D194:D196"/>
    <mergeCell ref="C113:C118"/>
    <mergeCell ref="D113:D118"/>
    <mergeCell ref="C175:C177"/>
    <mergeCell ref="D175:D177"/>
    <mergeCell ref="C178:C183"/>
    <mergeCell ref="D178:D183"/>
    <mergeCell ref="C184:C186"/>
    <mergeCell ref="D184:D186"/>
    <mergeCell ref="C165:C167"/>
    <mergeCell ref="D165:D167"/>
    <mergeCell ref="C168:C174"/>
    <mergeCell ref="D168:D174"/>
    <mergeCell ref="C88:C92"/>
    <mergeCell ref="D88:D92"/>
    <mergeCell ref="C160:C164"/>
    <mergeCell ref="D160:D164"/>
    <mergeCell ref="B1:H1"/>
    <mergeCell ref="D3:D6"/>
    <mergeCell ref="C12:C13"/>
    <mergeCell ref="D12:D13"/>
    <mergeCell ref="C15:C17"/>
    <mergeCell ref="D15:D17"/>
    <mergeCell ref="C18:C19"/>
    <mergeCell ref="D18:D19"/>
    <mergeCell ref="C119:C130"/>
    <mergeCell ref="D119:D130"/>
    <mergeCell ref="C22:C23"/>
    <mergeCell ref="D22:D23"/>
    <mergeCell ref="C141:C148"/>
    <mergeCell ref="D141:D148"/>
    <mergeCell ref="C149:C150"/>
    <mergeCell ref="D149:D150"/>
    <mergeCell ref="C131:C138"/>
    <mergeCell ref="D131:D138"/>
    <mergeCell ref="C139:C140"/>
    <mergeCell ref="D139:D140"/>
  </mergeCells>
  <conditionalFormatting sqref="E63">
    <cfRule type="expression" dxfId="83" priority="68">
      <formula>$L62="IN PROGRESS"</formula>
    </cfRule>
    <cfRule type="expression" dxfId="82" priority="69">
      <formula>$L62="N"</formula>
    </cfRule>
    <cfRule type="expression" dxfId="81" priority="70">
      <formula>$L62="Y"</formula>
    </cfRule>
  </conditionalFormatting>
  <conditionalFormatting sqref="E62">
    <cfRule type="expression" dxfId="80" priority="56">
      <formula>$L62="IN PROGRESS"</formula>
    </cfRule>
    <cfRule type="expression" dxfId="79" priority="57">
      <formula>$L62="N"</formula>
    </cfRule>
    <cfRule type="expression" dxfId="78" priority="58">
      <formula>$L62="Y"</formula>
    </cfRule>
  </conditionalFormatting>
  <conditionalFormatting sqref="B375:E385 G375:J385 L375:L385">
    <cfRule type="expression" dxfId="77" priority="386">
      <formula>#REF!="IN PROGRESS"</formula>
    </cfRule>
    <cfRule type="expression" dxfId="76" priority="387">
      <formula>#REF!="N"</formula>
    </cfRule>
    <cfRule type="expression" dxfId="75" priority="388">
      <formula>#REF!="Y"</formula>
    </cfRule>
  </conditionalFormatting>
  <conditionalFormatting sqref="C29 C31 C6 C159">
    <cfRule type="expression" dxfId="74" priority="52">
      <formula>$L6="IN PROGRESS"</formula>
    </cfRule>
    <cfRule type="expression" dxfId="73" priority="53">
      <formula>$L6="Rejected"</formula>
    </cfRule>
  </conditionalFormatting>
  <conditionalFormatting sqref="C29 C31 C6 C159">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7:F347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7:F347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52:C154">
    <cfRule type="expression" dxfId="56" priority="46">
      <formula>$L152="IN PROGRESS"</formula>
    </cfRule>
    <cfRule type="expression" dxfId="55" priority="47">
      <formula>$L152="Rejected"</formula>
    </cfRule>
  </conditionalFormatting>
  <conditionalFormatting sqref="C152:C154">
    <cfRule type="expression" dxfId="54" priority="48">
      <formula>$L152="Accepted"</formula>
    </cfRule>
  </conditionalFormatting>
  <conditionalFormatting sqref="C155">
    <cfRule type="expression" dxfId="53" priority="43">
      <formula>$L155="IN PROGRESS"</formula>
    </cfRule>
    <cfRule type="expression" dxfId="52" priority="44">
      <formula>$L155="Rejected"</formula>
    </cfRule>
  </conditionalFormatting>
  <conditionalFormatting sqref="C155">
    <cfRule type="expression" dxfId="51" priority="45">
      <formula>$L155="Accepted"</formula>
    </cfRule>
  </conditionalFormatting>
  <conditionalFormatting sqref="C156">
    <cfRule type="expression" dxfId="50" priority="40">
      <formula>$L156="IN PROGRESS"</formula>
    </cfRule>
    <cfRule type="expression" dxfId="49" priority="41">
      <formula>$L156="Rejected"</formula>
    </cfRule>
  </conditionalFormatting>
  <conditionalFormatting sqref="C156">
    <cfRule type="expression" dxfId="48" priority="42">
      <formula>$L156="Accepted"</formula>
    </cfRule>
  </conditionalFormatting>
  <conditionalFormatting sqref="C157">
    <cfRule type="expression" dxfId="47" priority="37">
      <formula>$L157="IN PROGRESS"</formula>
    </cfRule>
    <cfRule type="expression" dxfId="46" priority="38">
      <formula>$L157="Rejected"</formula>
    </cfRule>
  </conditionalFormatting>
  <conditionalFormatting sqref="C157">
    <cfRule type="expression" dxfId="45" priority="39">
      <formula>$L157="Accepted"</formula>
    </cfRule>
  </conditionalFormatting>
  <conditionalFormatting sqref="C158">
    <cfRule type="expression" dxfId="44" priority="34">
      <formula>$L158="IN PROGRESS"</formula>
    </cfRule>
    <cfRule type="expression" dxfId="43" priority="35">
      <formula>$L158="Rejected"</formula>
    </cfRule>
  </conditionalFormatting>
  <conditionalFormatting sqref="C158">
    <cfRule type="expression" dxfId="42" priority="36">
      <formula>$L158="Accepted"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90:L9005 C189:L189 B3:L188">
    <cfRule type="expression" dxfId="20" priority="6">
      <formula>NOT(OR(INDEX($L:$L,ROW())="NCR",INDEX($L:$L,ROW())="NR",INDEX($L:$L,ROW())="AS",INDEX($L:$L,ROW())="AC",INDEX($L:$L,ROW())="AN",INDEX($L:$L,ROW())="RC",INDEX($L:$L,ROW())="RA",INDEX($L:$L,ROW())="Submitted",INDEX($L:$L,ROW())="REV"))</formula>
    </cfRule>
  </conditionalFormatting>
  <conditionalFormatting sqref="B190:L9005 C189:L189 B3:L188">
    <cfRule type="expression" dxfId="19" priority="5">
      <formula>OR(INDEX($L:$L,ROW())="Submitted",INDEX($L:$L,ROW())="REV")</formula>
    </cfRule>
  </conditionalFormatting>
  <conditionalFormatting sqref="B190:L9005 C189:L189 B2:L188">
    <cfRule type="expression" dxfId="18" priority="4">
      <formula>OR(INDEX($L:$L,ROW())="AC",INDEX($L:$L,ROW())="AN",INDEX($L:$L,ROW())="RC",INDEX($L:$L,ROW())="RA")</formula>
    </cfRule>
  </conditionalFormatting>
  <conditionalFormatting sqref="B190:L9005 C189:L189 B2:L188">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3"/>
  <sheetViews>
    <sheetView workbookViewId="0">
      <pane ySplit="2" topLeftCell="A24" activePane="bottomLeft" state="frozen"/>
      <selection pane="bottomLeft" activeCell="L63" sqref="L63"/>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2088</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2089</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2090</v>
      </c>
      <c r="D6" s="37" t="s">
        <v>2091</v>
      </c>
      <c r="E6" s="37"/>
      <c r="F6" s="37"/>
      <c r="G6" s="9" t="s">
        <v>212</v>
      </c>
      <c r="H6" s="13" t="s">
        <v>2092</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2090</v>
      </c>
      <c r="D7" s="37" t="s">
        <v>2091</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2090</v>
      </c>
      <c r="D8" s="37" t="s">
        <v>2091</v>
      </c>
      <c r="E8" s="37"/>
      <c r="F8" s="37"/>
      <c r="G8" s="9" t="s">
        <v>1143</v>
      </c>
      <c r="H8" s="13" t="s">
        <v>1972</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2090</v>
      </c>
      <c r="D9" s="168" t="s">
        <v>2091</v>
      </c>
      <c r="E9" s="168" t="s">
        <v>103</v>
      </c>
      <c r="F9" s="168"/>
      <c r="G9" s="151" t="s">
        <v>1145</v>
      </c>
      <c r="H9" s="153" t="s">
        <v>2093</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2090</v>
      </c>
      <c r="D10" s="37" t="s">
        <v>2091</v>
      </c>
      <c r="E10" s="37"/>
      <c r="F10" s="37"/>
      <c r="G10" s="9" t="s">
        <v>2094</v>
      </c>
      <c r="H10" s="7" t="s">
        <v>2095</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2090</v>
      </c>
      <c r="D11" s="37" t="s">
        <v>2091</v>
      </c>
      <c r="E11" s="37"/>
      <c r="F11" s="37"/>
      <c r="G11" s="9" t="s">
        <v>421</v>
      </c>
      <c r="H11" s="7" t="s">
        <v>2096</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2090</v>
      </c>
      <c r="D12" s="37" t="s">
        <v>2091</v>
      </c>
      <c r="E12" s="37"/>
      <c r="F12" s="37"/>
      <c r="G12" s="9" t="s">
        <v>423</v>
      </c>
      <c r="H12" s="7" t="s">
        <v>2097</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2090</v>
      </c>
      <c r="D13" s="37" t="s">
        <v>2091</v>
      </c>
      <c r="E13" s="37"/>
      <c r="F13" s="37"/>
      <c r="G13" s="9" t="s">
        <v>346</v>
      </c>
      <c r="H13" s="13" t="s">
        <v>2098</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2090</v>
      </c>
      <c r="D14" s="37" t="s">
        <v>2091</v>
      </c>
      <c r="E14" s="37"/>
      <c r="F14" s="37"/>
      <c r="G14" s="9" t="s">
        <v>1047</v>
      </c>
      <c r="H14" s="13" t="s">
        <v>2099</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2090</v>
      </c>
      <c r="D15" s="37" t="s">
        <v>2091</v>
      </c>
      <c r="E15" s="37"/>
      <c r="F15" s="37"/>
      <c r="G15" s="9" t="s">
        <v>1629</v>
      </c>
      <c r="H15" s="13" t="s">
        <v>2100</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2090</v>
      </c>
      <c r="D16" s="37" t="s">
        <v>2091</v>
      </c>
      <c r="E16" s="37"/>
      <c r="F16" s="37"/>
      <c r="G16" s="9" t="s">
        <v>410</v>
      </c>
      <c r="H16" s="13" t="s">
        <v>2101</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2090</v>
      </c>
      <c r="D17" s="37" t="s">
        <v>2091</v>
      </c>
      <c r="E17" s="37"/>
      <c r="F17" s="37"/>
      <c r="G17" s="9" t="s">
        <v>412</v>
      </c>
      <c r="H17" s="13" t="s">
        <v>2102</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2103</v>
      </c>
      <c r="C18" s="190" t="s">
        <v>2104</v>
      </c>
      <c r="D18" s="24" t="s">
        <v>2105</v>
      </c>
      <c r="E18" s="24" t="s">
        <v>2106</v>
      </c>
      <c r="F18" s="24" t="s">
        <v>2107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2108</v>
      </c>
      <c r="D19" s="37" t="s">
        <v>2109</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2110</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1266</v>
      </c>
      <c r="H22" s="7" t="s">
        <v>2111</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1268</v>
      </c>
      <c r="H23" s="7" t="s">
        <v>2112</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2113</v>
      </c>
      <c r="D24" s="34" t="s">
        <v>2114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2115</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2116</v>
      </c>
      <c r="C26" s="32" t="s">
        <v>2117</v>
      </c>
      <c r="D26" s="37" t="s">
        <v>2118</v>
      </c>
      <c r="E26" s="37" t="s">
        <v>2119</v>
      </c>
      <c r="F26" s="37" t="s">
        <v>2107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2117</v>
      </c>
      <c r="D27" s="37" t="s">
        <v>2118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2120</v>
      </c>
      <c r="D28" s="37" t="s">
        <v>2118</v>
      </c>
      <c r="E28" s="20"/>
      <c r="F28" s="20"/>
      <c r="G28" s="1" t="s">
        <v>259</v>
      </c>
      <c r="H28" s="13" t="s">
        <v>1767</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2121</v>
      </c>
      <c r="D29" s="37" t="s">
        <v>2118</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2122</v>
      </c>
      <c r="D30" s="37" t="s">
        <v>2118</v>
      </c>
      <c r="E30" s="39"/>
      <c r="F30" s="39"/>
      <c r="G30" s="9" t="s">
        <v>382</v>
      </c>
      <c r="H30" s="7" t="s">
        <v>2123</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2124</v>
      </c>
      <c r="D31" s="37" t="s">
        <v>2118</v>
      </c>
      <c r="E31" s="46"/>
      <c r="F31" s="46"/>
      <c r="G31" s="9" t="s">
        <v>384</v>
      </c>
      <c r="H31" s="7" t="s">
        <v>2125</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2126</v>
      </c>
      <c r="D32" s="105" t="s">
        <v>2127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2128</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1767</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2129</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2130</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2121</v>
      </c>
      <c r="D39" s="37" t="s">
        <v>2131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2132</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920</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1767</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2130</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2133</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2134</v>
      </c>
      <c r="C47" s="646" t="s">
        <v>2135</v>
      </c>
      <c r="D47" s="647" t="s">
        <v>2136</v>
      </c>
      <c r="E47" s="647" t="s">
        <v>2137</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2138</v>
      </c>
      <c r="C48" s="310" t="s">
        <v>2135</v>
      </c>
      <c r="D48" s="76" t="s">
        <v>2136</v>
      </c>
      <c r="E48" s="76" t="s">
        <v>2137</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2139</v>
      </c>
      <c r="C49" s="239" t="s">
        <v>2135</v>
      </c>
      <c r="D49" s="168" t="s">
        <v>2136</v>
      </c>
      <c r="E49" s="168" t="s">
        <v>2140</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639</v>
      </c>
      <c r="M49" s="317"/>
      <c r="N49" s="802"/>
      <c r="O49" s="803"/>
      <c r="P49" s="803"/>
      <c r="Q49" s="804"/>
    </row>
    <row r="50" spans="2:17" s="670" customFormat="1" ht="15" customHeight="1">
      <c r="B50" s="665" t="s">
        <v>2141</v>
      </c>
      <c r="C50" s="666" t="s">
        <v>2135</v>
      </c>
      <c r="D50" s="667" t="s">
        <v>2136</v>
      </c>
      <c r="E50" s="667" t="s">
        <v>2142</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2143</v>
      </c>
      <c r="C51" s="666" t="s">
        <v>2135</v>
      </c>
      <c r="D51" s="667" t="s">
        <v>2136</v>
      </c>
      <c r="E51" s="667" t="s">
        <v>2142</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2144</v>
      </c>
      <c r="C52" s="666" t="s">
        <v>2135</v>
      </c>
      <c r="D52" s="667" t="s">
        <v>2136</v>
      </c>
      <c r="E52" s="667" t="s">
        <v>2145</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2146</v>
      </c>
      <c r="C53" s="666" t="s">
        <v>2135</v>
      </c>
      <c r="D53" s="667" t="s">
        <v>2136</v>
      </c>
      <c r="E53" s="667" t="s">
        <v>2145</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2147</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2148</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2149</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2150</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2151</v>
      </c>
      <c r="D59" s="168" t="s">
        <v>2152</v>
      </c>
      <c r="E59" s="168" t="s">
        <v>2153</v>
      </c>
      <c r="F59" s="168"/>
      <c r="G59" s="151" t="s">
        <v>2154</v>
      </c>
      <c r="H59" s="152" t="s">
        <v>2155</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2156</v>
      </c>
      <c r="C60" s="425" t="s">
        <v>2151</v>
      </c>
      <c r="D60" s="231" t="s">
        <v>2152</v>
      </c>
      <c r="E60" s="231" t="s">
        <v>2157</v>
      </c>
      <c r="F60" s="231"/>
      <c r="G60" s="146" t="s">
        <v>2158</v>
      </c>
      <c r="H60" s="147" t="s">
        <v>2159</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2160</v>
      </c>
      <c r="C61" s="537" t="s">
        <v>2151</v>
      </c>
      <c r="D61" s="524" t="s">
        <v>2152</v>
      </c>
      <c r="E61" s="524" t="s">
        <v>2157</v>
      </c>
      <c r="F61" s="524"/>
      <c r="G61" s="523" t="s">
        <v>2158</v>
      </c>
      <c r="H61" s="532" t="s">
        <v>2159</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2161</v>
      </c>
      <c r="C62" s="537">
        <v>16133</v>
      </c>
      <c r="D62" s="524" t="s">
        <v>2152</v>
      </c>
      <c r="E62" s="524" t="s">
        <v>2157</v>
      </c>
      <c r="F62" s="524"/>
      <c r="G62" s="523" t="s">
        <v>2158</v>
      </c>
      <c r="H62" s="532" t="s">
        <v>2159</v>
      </c>
      <c r="I62" s="533">
        <v>45944</v>
      </c>
      <c r="J62" s="533"/>
      <c r="K62" s="74"/>
      <c r="L62" s="523" t="s">
        <v>581</v>
      </c>
      <c r="M62" s="317"/>
      <c r="N62" s="802"/>
      <c r="O62" s="803"/>
      <c r="P62" s="803"/>
      <c r="Q62" s="804"/>
    </row>
    <row r="63" spans="2:17" s="525" customFormat="1" ht="15" customHeight="1">
      <c r="B63" s="523" t="s">
        <v>2162</v>
      </c>
      <c r="C63" s="537" t="s">
        <v>2151</v>
      </c>
      <c r="D63" s="524" t="s">
        <v>2152</v>
      </c>
      <c r="E63" s="524" t="s">
        <v>2163</v>
      </c>
      <c r="F63" s="524"/>
      <c r="G63" s="523" t="s">
        <v>2154</v>
      </c>
      <c r="H63" s="532" t="s">
        <v>2155</v>
      </c>
      <c r="I63" s="533">
        <v>45910</v>
      </c>
      <c r="J63" s="533">
        <v>45931</v>
      </c>
      <c r="K63" s="74" t="str" cm="1">
        <f t="array" ref="K63">IF(ISBLANK(J63), IF(ISBLANK(I63), "N/A", _xlfn.IFS(L63="AS", I63+15, L63="NCR", I63+30, L63="submitted", I63+30, TRUE, "N/A")), _xlfn.IFS(L63="AS", J63+15, L63="NCR", J63+30, L63="submitted", J63+30, TRUE, "N/A"))</f>
        <v>N/A</v>
      </c>
      <c r="L63" s="523" t="s">
        <v>147</v>
      </c>
      <c r="M63" s="317"/>
      <c r="N63" s="802"/>
      <c r="O63" s="803"/>
      <c r="P63" s="803"/>
      <c r="Q63" s="804"/>
    </row>
    <row r="64" spans="2:17" s="525" customFormat="1" ht="15" customHeight="1">
      <c r="B64" s="523" t="s">
        <v>2164</v>
      </c>
      <c r="C64" s="537" t="s">
        <v>2151</v>
      </c>
      <c r="D64" s="524" t="s">
        <v>2152</v>
      </c>
      <c r="E64" s="524" t="s">
        <v>2163</v>
      </c>
      <c r="F64" s="524"/>
      <c r="G64" s="523" t="s">
        <v>2154</v>
      </c>
      <c r="H64" s="532" t="s">
        <v>2155</v>
      </c>
      <c r="I64" s="533">
        <v>45939</v>
      </c>
      <c r="J64" s="533"/>
      <c r="K64" s="74" cm="1">
        <f t="array" ref="K64">IF(ISBLANK(J64), IF(ISBLANK(I64), "N/A", _xlfn.IFS(L64="AS", I64+15, L64="NCR", I64+30, L64="submitted", I64+30, TRUE, "N/A")), _xlfn.IFS(L64="AS", J64+15, L64="NCR", J64+30, L64="submitted", J64+30, TRUE, "N/A"))</f>
        <v>45969</v>
      </c>
      <c r="L64" s="523" t="s">
        <v>581</v>
      </c>
      <c r="M64" s="317"/>
      <c r="N64" s="802"/>
      <c r="O64" s="803"/>
      <c r="P64" s="803"/>
      <c r="Q64" s="804"/>
    </row>
    <row r="65" spans="2:17" s="5" customFormat="1" ht="15" customHeight="1">
      <c r="B65" s="4"/>
      <c r="C65" s="86" t="s">
        <v>2165</v>
      </c>
      <c r="D65" s="34" t="s">
        <v>2166</v>
      </c>
      <c r="E65" s="34"/>
      <c r="F65" s="34"/>
      <c r="G65" s="4" t="s">
        <v>281</v>
      </c>
      <c r="H65" s="17" t="s">
        <v>235</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111"/>
      <c r="D66" s="35"/>
      <c r="E66" s="35"/>
      <c r="F66" s="35"/>
      <c r="G66" s="4" t="s">
        <v>269</v>
      </c>
      <c r="H66" s="17" t="s">
        <v>282</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5" customFormat="1" ht="15" customHeight="1">
      <c r="B67" s="4"/>
      <c r="C67" s="95"/>
      <c r="D67" s="36"/>
      <c r="E67" s="36"/>
      <c r="F67" s="36"/>
      <c r="G67" s="4" t="s">
        <v>259</v>
      </c>
      <c r="H67" s="17" t="s">
        <v>353</v>
      </c>
      <c r="I67" s="18"/>
      <c r="J67" s="18"/>
      <c r="K67" s="74" t="str" cm="1">
        <f t="array" ref="K67">IF(ISBLANK(J67), IF(ISBLANK(I67), "N/A", _xlfn.IFS(L67="AS", I67+15, L67="NCR", I67+30, L67="submitted", I67+30, TRUE, "N/A")), _xlfn.IFS(L67="AS", J67+15, L67="NCR", J67+30, L67="submitted", J67+30, TRUE, "N/A"))</f>
        <v>N/A</v>
      </c>
      <c r="L67" s="4"/>
      <c r="M67" s="317"/>
      <c r="N67" s="802"/>
      <c r="O67" s="803"/>
      <c r="P67" s="803"/>
      <c r="Q67" s="804"/>
    </row>
    <row r="68" spans="2:17" s="1" customFormat="1" ht="15" customHeight="1">
      <c r="B68" s="9"/>
      <c r="C68" s="32" t="s">
        <v>2167</v>
      </c>
      <c r="D68" s="37" t="s">
        <v>2168</v>
      </c>
      <c r="E68" s="37"/>
      <c r="F68" s="37"/>
      <c r="G68" s="9" t="s">
        <v>281</v>
      </c>
      <c r="H68" s="13" t="s">
        <v>235</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97"/>
      <c r="D69" s="46"/>
      <c r="E69" s="46"/>
      <c r="F69" s="46"/>
      <c r="G69" s="9" t="s">
        <v>269</v>
      </c>
      <c r="H69" s="13" t="s">
        <v>282</v>
      </c>
      <c r="I69" s="18"/>
      <c r="J69" s="18"/>
      <c r="K69" s="74" t="str" cm="1">
        <f t="array" ref="K69">IF(ISBLANK(J69), IF(ISBLANK(I69), "N/A", _xlfn.IFS(L69="AS", I69+15, L69="NCR", I69+30, L69="submitted", I69+30, TRUE, "N/A")), _xlfn.IFS(L69="AS", J69+15, L69="NCR", J69+30, L69="submitted", J69+30, TRUE, "N/A"))</f>
        <v>N/A</v>
      </c>
      <c r="L69" s="9"/>
      <c r="M69" s="317"/>
      <c r="N69" s="802"/>
      <c r="O69" s="803"/>
      <c r="P69" s="803"/>
      <c r="Q69" s="804"/>
    </row>
    <row r="70" spans="2:17" s="5" customFormat="1" ht="15" customHeight="1">
      <c r="B70" s="4"/>
      <c r="C70" s="15" t="s">
        <v>2169</v>
      </c>
      <c r="D70" s="17" t="s">
        <v>2170</v>
      </c>
      <c r="E70" s="17"/>
      <c r="F70" s="17"/>
      <c r="G70" s="4" t="s">
        <v>281</v>
      </c>
      <c r="H70" s="17" t="s">
        <v>235</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5" customFormat="1" ht="15" customHeight="1">
      <c r="B71" s="4"/>
      <c r="C71" s="15" t="s">
        <v>2171</v>
      </c>
      <c r="D71" s="17" t="s">
        <v>2172</v>
      </c>
      <c r="E71" s="17"/>
      <c r="F71" s="17"/>
      <c r="G71" s="4" t="s">
        <v>281</v>
      </c>
      <c r="H71" s="17" t="s">
        <v>2173</v>
      </c>
      <c r="I71" s="18"/>
      <c r="J71" s="18"/>
      <c r="K71" s="74" t="str" cm="1">
        <f t="array" ref="K71">IF(ISBLANK(J71), IF(ISBLANK(I71), "N/A", _xlfn.IFS(L71="AS", I71+15, L71="NCR", I71+30, L71="submitted", I71+30, TRUE, "N/A")), _xlfn.IFS(L71="AS", J71+15, L71="NCR", J71+30, L71="submitted", J71+30, TRUE, "N/A"))</f>
        <v>N/A</v>
      </c>
      <c r="L71" s="4"/>
      <c r="M71" s="317"/>
      <c r="N71" s="802"/>
      <c r="O71" s="803"/>
      <c r="P71" s="803"/>
      <c r="Q71" s="804"/>
    </row>
    <row r="72" spans="2:17" s="1" customFormat="1" ht="15" customHeight="1">
      <c r="B72" s="9"/>
      <c r="C72" s="32" t="s">
        <v>2174</v>
      </c>
      <c r="D72" s="37" t="s">
        <v>2175</v>
      </c>
      <c r="E72" s="37"/>
      <c r="F72" s="37"/>
      <c r="G72" s="9" t="s">
        <v>281</v>
      </c>
      <c r="H72" s="13" t="s">
        <v>2176</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269</v>
      </c>
      <c r="H73" s="13" t="s">
        <v>235</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15" customHeight="1">
      <c r="B74" s="9"/>
      <c r="C74" s="33"/>
      <c r="D74" s="39"/>
      <c r="E74" s="39"/>
      <c r="F74" s="39"/>
      <c r="G74" s="9" t="s">
        <v>259</v>
      </c>
      <c r="H74" s="13" t="s">
        <v>282</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27" customHeight="1">
      <c r="B75" s="9"/>
      <c r="C75" s="33"/>
      <c r="D75" s="39"/>
      <c r="E75" s="39"/>
      <c r="F75" s="39"/>
      <c r="G75" s="9" t="s">
        <v>352</v>
      </c>
      <c r="H75" s="7" t="s">
        <v>2177</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354</v>
      </c>
      <c r="H76" s="13" t="s">
        <v>1767</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33"/>
      <c r="D77" s="39"/>
      <c r="E77" s="39"/>
      <c r="F77" s="39"/>
      <c r="G77" s="9" t="s">
        <v>356</v>
      </c>
      <c r="H77" s="13" t="s">
        <v>2173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1" customFormat="1" ht="15" customHeight="1">
      <c r="B78" s="9"/>
      <c r="C78" s="97"/>
      <c r="D78" s="46"/>
      <c r="E78" s="46"/>
      <c r="F78" s="46"/>
      <c r="G78" s="9" t="s">
        <v>358</v>
      </c>
      <c r="H78" s="13" t="s">
        <v>353</v>
      </c>
      <c r="I78" s="18"/>
      <c r="J78" s="18"/>
      <c r="K78" s="74" t="str" cm="1">
        <f t="array" ref="K78">IF(ISBLANK(J78), IF(ISBLANK(I78), "N/A", _xlfn.IFS(L78="AS", I78+15, L78="NCR", I78+30, L78="submitted", I78+30, TRUE, "N/A")), _xlfn.IFS(L78="AS", J78+15, L78="NCR", J78+30, L78="submitted", J78+30, TRUE, "N/A"))</f>
        <v>N/A</v>
      </c>
      <c r="L78" s="9"/>
      <c r="M78" s="317"/>
      <c r="N78" s="802"/>
      <c r="O78" s="803"/>
      <c r="P78" s="803"/>
      <c r="Q78" s="804"/>
    </row>
    <row r="79" spans="2:17" s="5" customFormat="1" ht="15" customHeight="1">
      <c r="B79" s="4"/>
      <c r="C79" s="86" t="s">
        <v>2178</v>
      </c>
      <c r="D79" s="34" t="s">
        <v>2179</v>
      </c>
      <c r="E79" s="34"/>
      <c r="F79" s="34"/>
      <c r="G79" s="4" t="s">
        <v>336</v>
      </c>
      <c r="H79" s="17" t="s">
        <v>235</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111"/>
      <c r="D80" s="35"/>
      <c r="E80" s="35"/>
      <c r="F80" s="35"/>
      <c r="G80" s="4" t="s">
        <v>337</v>
      </c>
      <c r="H80" s="17" t="s">
        <v>282</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40.5" customHeight="1">
      <c r="B81" s="4"/>
      <c r="C81" s="111"/>
      <c r="D81" s="35"/>
      <c r="E81" s="35"/>
      <c r="F81" s="35"/>
      <c r="G81" s="4" t="s">
        <v>404</v>
      </c>
      <c r="H81" s="3" t="s">
        <v>2180</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111"/>
      <c r="D82" s="35"/>
      <c r="E82" s="35"/>
      <c r="F82" s="35"/>
      <c r="G82" s="4" t="s">
        <v>405</v>
      </c>
      <c r="H82" s="17" t="s">
        <v>2132</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27" customHeight="1">
      <c r="B83" s="4"/>
      <c r="C83" s="111"/>
      <c r="D83" s="35"/>
      <c r="E83" s="35"/>
      <c r="F83" s="35"/>
      <c r="G83" s="4" t="s">
        <v>406</v>
      </c>
      <c r="H83" s="3" t="s">
        <v>2181</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2182</v>
      </c>
      <c r="H84" s="17" t="s">
        <v>2183</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2184</v>
      </c>
      <c r="H85" s="17" t="s">
        <v>2185</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2186</v>
      </c>
      <c r="H86" s="17" t="s">
        <v>426</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2187</v>
      </c>
      <c r="H87" s="17" t="s">
        <v>2188</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2189</v>
      </c>
      <c r="H88" s="17" t="s">
        <v>2190</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2191</v>
      </c>
      <c r="H89" s="17" t="s">
        <v>2192</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441</v>
      </c>
      <c r="H90" s="17" t="s">
        <v>380</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443</v>
      </c>
      <c r="H91" s="17" t="s">
        <v>1767</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111"/>
      <c r="D92" s="35"/>
      <c r="E92" s="35"/>
      <c r="F92" s="35"/>
      <c r="G92" s="4" t="s">
        <v>445</v>
      </c>
      <c r="H92" s="17" t="s">
        <v>490</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5" customFormat="1" ht="15" customHeight="1">
      <c r="B93" s="4"/>
      <c r="C93" s="95"/>
      <c r="D93" s="36"/>
      <c r="E93" s="36"/>
      <c r="F93" s="36"/>
      <c r="G93" s="4" t="s">
        <v>470</v>
      </c>
      <c r="H93" s="17" t="s">
        <v>353</v>
      </c>
      <c r="I93" s="18"/>
      <c r="J93" s="18"/>
      <c r="K93" s="74" t="str" cm="1">
        <f t="array" ref="K93">IF(ISBLANK(J93), IF(ISBLANK(I93), "N/A", _xlfn.IFS(L93="AS", I93+15, L93="NCR", I93+30, L93="submitted", I93+30, TRUE, "N/A")), _xlfn.IFS(L93="AS", J93+15, L93="NCR", J93+30, L93="submitted", J93+30, TRUE, "N/A"))</f>
        <v>N/A</v>
      </c>
      <c r="L93" s="4"/>
      <c r="M93" s="317"/>
      <c r="N93" s="802"/>
      <c r="O93" s="803"/>
      <c r="P93" s="803"/>
      <c r="Q93" s="804"/>
    </row>
    <row r="94" spans="2:17" s="1" customFormat="1" ht="15" customHeight="1">
      <c r="B94" s="9"/>
      <c r="C94" s="32" t="s">
        <v>2193</v>
      </c>
      <c r="D94" s="37" t="s">
        <v>2194</v>
      </c>
      <c r="E94" s="37"/>
      <c r="F94" s="37"/>
      <c r="G94" s="9" t="s">
        <v>336</v>
      </c>
      <c r="H94" s="13" t="s">
        <v>235</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15" customHeight="1">
      <c r="B95" s="9"/>
      <c r="C95" s="33"/>
      <c r="D95" s="39"/>
      <c r="E95" s="39"/>
      <c r="F95" s="39"/>
      <c r="G95" s="9" t="s">
        <v>337</v>
      </c>
      <c r="H95" s="13" t="s">
        <v>328</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40.5">
      <c r="B96" s="9"/>
      <c r="C96" s="33"/>
      <c r="D96" s="39"/>
      <c r="E96" s="39"/>
      <c r="F96" s="39"/>
      <c r="G96" s="9" t="s">
        <v>338</v>
      </c>
      <c r="H96" s="7" t="s">
        <v>2195</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15" customHeight="1">
      <c r="B97" s="9"/>
      <c r="C97" s="33"/>
      <c r="D97" s="39"/>
      <c r="E97" s="39"/>
      <c r="F97" s="39"/>
      <c r="G97" s="9" t="s">
        <v>405</v>
      </c>
      <c r="H97" s="13" t="s">
        <v>2132</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1" customFormat="1" ht="27" customHeight="1">
      <c r="B98" s="9"/>
      <c r="C98" s="97"/>
      <c r="D98" s="46"/>
      <c r="E98" s="46"/>
      <c r="F98" s="46"/>
      <c r="G98" s="9" t="s">
        <v>406</v>
      </c>
      <c r="H98" s="7" t="s">
        <v>2196</v>
      </c>
      <c r="I98" s="18"/>
      <c r="J98" s="18"/>
      <c r="K98" s="74" t="str" cm="1">
        <f t="array" ref="K98">IF(ISBLANK(J98), IF(ISBLANK(I98), "N/A", _xlfn.IFS(L98="AS", I98+15, L98="NCR", I98+30, L98="submitted", I98+30, TRUE, "N/A")), _xlfn.IFS(L98="AS", J98+15, L98="NCR", J98+30, L98="submitted", J98+30, TRUE, "N/A"))</f>
        <v>N/A</v>
      </c>
      <c r="L98" s="9"/>
      <c r="M98" s="317"/>
      <c r="N98" s="802"/>
      <c r="O98" s="803"/>
      <c r="P98" s="803"/>
      <c r="Q98" s="804"/>
    </row>
    <row r="99" spans="2:17" s="5" customFormat="1" ht="15" customHeight="1">
      <c r="B99" s="4"/>
      <c r="C99" s="829" t="s">
        <v>2197</v>
      </c>
      <c r="D99" s="832" t="s">
        <v>2198</v>
      </c>
      <c r="E99" s="34"/>
      <c r="F99" s="34"/>
      <c r="G99" s="4" t="s">
        <v>336</v>
      </c>
      <c r="H99" s="17" t="s">
        <v>235</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30"/>
      <c r="D100" s="833"/>
      <c r="E100" s="35"/>
      <c r="F100" s="35"/>
      <c r="G100" s="4" t="s">
        <v>337</v>
      </c>
      <c r="H100" s="17" t="s">
        <v>282</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30"/>
      <c r="D101" s="833"/>
      <c r="E101" s="35"/>
      <c r="F101" s="35"/>
      <c r="G101" s="4" t="s">
        <v>404</v>
      </c>
      <c r="H101" s="17" t="s">
        <v>2199</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30"/>
      <c r="D102" s="833"/>
      <c r="E102" s="35"/>
      <c r="F102" s="35"/>
      <c r="G102" s="4" t="s">
        <v>405</v>
      </c>
      <c r="H102" s="17" t="s">
        <v>2132</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30"/>
      <c r="D103" s="833"/>
      <c r="E103" s="35"/>
      <c r="F103" s="35"/>
      <c r="G103" s="4" t="s">
        <v>2200</v>
      </c>
      <c r="H103" s="17" t="s">
        <v>2183</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30"/>
      <c r="D104" s="833"/>
      <c r="E104" s="35"/>
      <c r="F104" s="35"/>
      <c r="G104" s="4" t="s">
        <v>2201</v>
      </c>
      <c r="H104" s="17" t="s">
        <v>2185</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30"/>
      <c r="D105" s="833"/>
      <c r="E105" s="35"/>
      <c r="F105" s="35"/>
      <c r="G105" s="4" t="s">
        <v>2202</v>
      </c>
      <c r="H105" s="17" t="s">
        <v>426</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30"/>
      <c r="D106" s="833"/>
      <c r="E106" s="35"/>
      <c r="F106" s="35"/>
      <c r="G106" s="4" t="s">
        <v>2203</v>
      </c>
      <c r="H106" s="17" t="s">
        <v>2204</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30"/>
      <c r="D107" s="833"/>
      <c r="E107" s="35"/>
      <c r="F107" s="35"/>
      <c r="G107" s="4" t="s">
        <v>2205</v>
      </c>
      <c r="H107" s="17" t="s">
        <v>2190</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30"/>
      <c r="D108" s="833"/>
      <c r="E108" s="35"/>
      <c r="F108" s="35"/>
      <c r="G108" s="4" t="s">
        <v>2206</v>
      </c>
      <c r="H108" s="17" t="s">
        <v>2207</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30"/>
      <c r="D109" s="833"/>
      <c r="E109" s="35"/>
      <c r="F109" s="35"/>
      <c r="G109" s="4" t="s">
        <v>408</v>
      </c>
      <c r="H109" s="17" t="s">
        <v>2208</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15" customHeight="1">
      <c r="B110" s="4"/>
      <c r="C110" s="831"/>
      <c r="D110" s="834"/>
      <c r="E110" s="36"/>
      <c r="F110" s="36"/>
      <c r="G110" s="4" t="s">
        <v>441</v>
      </c>
      <c r="H110" s="17" t="s">
        <v>380</v>
      </c>
      <c r="I110" s="18"/>
      <c r="J110" s="18"/>
      <c r="K110" s="74"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1" customFormat="1" ht="27" customHeight="1">
      <c r="B111" s="9"/>
      <c r="C111" s="840" t="s">
        <v>2209</v>
      </c>
      <c r="D111" s="841" t="s">
        <v>2210</v>
      </c>
      <c r="E111" s="37"/>
      <c r="F111" s="37"/>
      <c r="G111" s="9" t="s">
        <v>229</v>
      </c>
      <c r="H111" s="7" t="s">
        <v>2211</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43"/>
      <c r="D112" s="844"/>
      <c r="E112" s="39"/>
      <c r="F112" s="39"/>
      <c r="G112" s="9" t="s">
        <v>336</v>
      </c>
      <c r="H112" s="13" t="s">
        <v>235</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9"/>
      <c r="C113" s="843"/>
      <c r="D113" s="844"/>
      <c r="E113" s="39"/>
      <c r="F113" s="39"/>
      <c r="G113" s="9" t="s">
        <v>337</v>
      </c>
      <c r="H113" s="13" t="s">
        <v>282</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67.5">
      <c r="B114" s="9"/>
      <c r="C114" s="843"/>
      <c r="D114" s="844"/>
      <c r="E114" s="39"/>
      <c r="F114" s="39"/>
      <c r="G114" s="9" t="s">
        <v>2094</v>
      </c>
      <c r="H114" s="7" t="s">
        <v>2212</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40.5" customHeight="1">
      <c r="B115" s="9"/>
      <c r="C115" s="843"/>
      <c r="D115" s="844"/>
      <c r="E115" s="39"/>
      <c r="F115" s="39"/>
      <c r="G115" s="9" t="s">
        <v>1784</v>
      </c>
      <c r="H115" s="7" t="s">
        <v>2213</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15" customHeight="1">
      <c r="B116" s="9"/>
      <c r="C116" s="843"/>
      <c r="D116" s="844"/>
      <c r="E116" s="39"/>
      <c r="F116" s="39"/>
      <c r="G116" s="9" t="s">
        <v>405</v>
      </c>
      <c r="H116" s="13" t="s">
        <v>2132</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40.5" customHeight="1">
      <c r="B117" s="9"/>
      <c r="C117" s="843"/>
      <c r="D117" s="844"/>
      <c r="E117" s="39"/>
      <c r="F117" s="39"/>
      <c r="G117" s="9" t="s">
        <v>346</v>
      </c>
      <c r="H117" s="7" t="s">
        <v>2214</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27" customHeight="1">
      <c r="B118" s="9"/>
      <c r="C118" s="843"/>
      <c r="D118" s="844"/>
      <c r="E118" s="39"/>
      <c r="F118" s="39"/>
      <c r="G118" s="9" t="s">
        <v>746</v>
      </c>
      <c r="H118" s="7" t="s">
        <v>2215</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43"/>
      <c r="D119" s="844"/>
      <c r="E119" s="39"/>
      <c r="F119" s="39"/>
      <c r="G119" s="9" t="s">
        <v>408</v>
      </c>
      <c r="H119" s="13" t="s">
        <v>380</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43"/>
      <c r="D120" s="844"/>
      <c r="E120" s="39"/>
      <c r="F120" s="39"/>
      <c r="G120" s="9" t="s">
        <v>441</v>
      </c>
      <c r="H120" s="13" t="s">
        <v>2216</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43"/>
      <c r="D121" s="844"/>
      <c r="E121" s="39"/>
      <c r="F121" s="39"/>
      <c r="G121" s="9" t="s">
        <v>443</v>
      </c>
      <c r="H121" s="13" t="s">
        <v>2217</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1" customFormat="1" ht="15" customHeight="1">
      <c r="B122" s="9"/>
      <c r="C122" s="807"/>
      <c r="D122" s="809"/>
      <c r="E122" s="46"/>
      <c r="F122" s="46"/>
      <c r="G122" s="9" t="s">
        <v>445</v>
      </c>
      <c r="H122" s="13" t="s">
        <v>2149</v>
      </c>
      <c r="I122" s="18"/>
      <c r="J122" s="18"/>
      <c r="K122" s="74" t="str" cm="1">
        <f t="array" ref="K122">IF(ISBLANK(J122), IF(ISBLANK(I122), "N/A", _xlfn.IFS(L122="AS", I122+15, L122="NCR", I122+30, L122="submitted", I122+30, TRUE, "N/A")), _xlfn.IFS(L122="AS", J122+15, L122="NCR", J122+30, L122="submitted", J122+30, TRUE, "N/A"))</f>
        <v>N/A</v>
      </c>
      <c r="L122" s="9"/>
      <c r="M122" s="317"/>
      <c r="N122" s="802"/>
      <c r="O122" s="803"/>
      <c r="P122" s="803"/>
      <c r="Q122" s="804"/>
    </row>
    <row r="123" spans="2:17" s="5" customFormat="1" ht="27" customHeight="1">
      <c r="B123" s="4"/>
      <c r="C123" s="829" t="s">
        <v>2218</v>
      </c>
      <c r="D123" s="832" t="s">
        <v>2219</v>
      </c>
      <c r="E123" s="34"/>
      <c r="F123" s="34"/>
      <c r="G123" s="4" t="s">
        <v>2035</v>
      </c>
      <c r="H123" s="3" t="s">
        <v>2211</v>
      </c>
      <c r="I123" s="18"/>
      <c r="J123" s="18"/>
      <c r="K123" s="74" t="str" cm="1">
        <f t="array" ref="K123">IF(ISBLANK(J123), IF(ISBLANK(I123), "N/A", _xlfn.IFS(L123="AS", I123+15, L123="NCR", I123+30, L123="submitted", I123+30, TRUE, "N/A")), _xlfn.IFS(L123="AS", J123+15, L123="NCR", J123+30, L123="submitted", J123+30, TRUE, "N/A"))</f>
        <v>N/A</v>
      </c>
      <c r="L123" s="4"/>
      <c r="M123" s="317"/>
      <c r="N123" s="802"/>
      <c r="O123" s="803"/>
      <c r="P123" s="803"/>
      <c r="Q123" s="804"/>
    </row>
    <row r="124" spans="2:17" s="5" customFormat="1" ht="15" customHeight="1">
      <c r="B124" s="4"/>
      <c r="C124" s="830"/>
      <c r="D124" s="833"/>
      <c r="E124" s="35"/>
      <c r="F124" s="35"/>
      <c r="G124" s="4" t="s">
        <v>483</v>
      </c>
      <c r="H124" s="17" t="s">
        <v>235</v>
      </c>
      <c r="I124" s="18"/>
      <c r="J124" s="18"/>
      <c r="K124" s="74" t="str" cm="1">
        <f t="array" ref="K124">IF(ISBLANK(J124), IF(ISBLANK(I124), "N/A", _xlfn.IFS(L124="AS", I124+15, L124="NCR", I124+30, L124="submitted", I124+30, TRUE, "N/A")), _xlfn.IFS(L124="AS", J124+15, L124="NCR", J124+30, L124="submitted", J124+30, TRUE, "N/A"))</f>
        <v>N/A</v>
      </c>
      <c r="L124" s="4"/>
      <c r="M124" s="317"/>
      <c r="N124" s="796" t="s">
        <v>133</v>
      </c>
      <c r="O124" s="797"/>
      <c r="P124" s="797"/>
      <c r="Q124" s="798"/>
    </row>
    <row r="125" spans="2:17" s="5" customFormat="1" ht="15" customHeight="1">
      <c r="B125" s="4"/>
      <c r="C125" s="830"/>
      <c r="D125" s="833"/>
      <c r="E125" s="35"/>
      <c r="F125" s="35"/>
      <c r="G125" s="4" t="s">
        <v>485</v>
      </c>
      <c r="H125" s="17" t="s">
        <v>328</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15" customHeight="1">
      <c r="B126" s="4"/>
      <c r="C126" s="830"/>
      <c r="D126" s="833"/>
      <c r="E126" s="35"/>
      <c r="F126" s="35"/>
      <c r="G126" s="4" t="s">
        <v>486</v>
      </c>
      <c r="H126" s="17" t="s">
        <v>353</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40.5" customHeight="1">
      <c r="B127" s="4"/>
      <c r="C127" s="830"/>
      <c r="D127" s="833"/>
      <c r="E127" s="35"/>
      <c r="F127" s="35"/>
      <c r="G127" s="4" t="s">
        <v>487</v>
      </c>
      <c r="H127" s="3" t="s">
        <v>2195</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30"/>
      <c r="D128" s="833"/>
      <c r="E128" s="35"/>
      <c r="F128" s="35"/>
      <c r="G128" s="4" t="s">
        <v>497</v>
      </c>
      <c r="H128" s="17" t="s">
        <v>2132</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15" customHeight="1">
      <c r="B129" s="4"/>
      <c r="C129" s="830"/>
      <c r="D129" s="833"/>
      <c r="E129" s="35"/>
      <c r="F129" s="35"/>
      <c r="G129" s="4" t="s">
        <v>1193</v>
      </c>
      <c r="H129" s="17" t="s">
        <v>2220</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30"/>
      <c r="D130" s="833"/>
      <c r="E130" s="35"/>
      <c r="F130" s="35"/>
      <c r="G130" s="4" t="s">
        <v>1195</v>
      </c>
      <c r="H130" s="3" t="s">
        <v>2196</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27" customHeight="1">
      <c r="B131" s="4"/>
      <c r="C131" s="830"/>
      <c r="D131" s="833"/>
      <c r="E131" s="35"/>
      <c r="F131" s="35"/>
      <c r="G131" s="4" t="s">
        <v>2221</v>
      </c>
      <c r="H131" s="3" t="s">
        <v>2222</v>
      </c>
      <c r="I131" s="18"/>
      <c r="J131" s="18"/>
      <c r="K131" s="74" t="str" cm="1">
        <f t="array" ref="K131">IF(ISBLANK(J131), IF(ISBLANK(I131), "N/A", _xlfn.IFS(L131="AS", I131+15, L131="NCR", I131+30, L131="submitted", I131+30, TRUE, "N/A")), _xlfn.IFS(L131="AS", J131+15, L131="NCR", J131+30, L131="submitted", J131+30, TRUE, "N/A"))</f>
        <v>N/A</v>
      </c>
      <c r="L131" s="4"/>
      <c r="M131" s="317"/>
      <c r="N131" s="799"/>
      <c r="O131" s="800"/>
      <c r="P131" s="800"/>
      <c r="Q131" s="801"/>
    </row>
    <row r="132" spans="2:17" s="5" customFormat="1" ht="15" customHeight="1">
      <c r="B132" s="4"/>
      <c r="C132" s="830"/>
      <c r="D132" s="833"/>
      <c r="E132" s="35"/>
      <c r="F132" s="35"/>
      <c r="G132" s="4" t="s">
        <v>2223</v>
      </c>
      <c r="H132" s="17" t="s">
        <v>2224</v>
      </c>
      <c r="I132" s="18"/>
      <c r="J132" s="18"/>
      <c r="K132" s="74" t="str" cm="1">
        <f t="array" ref="K132">IF(ISBLANK(J132), IF(ISBLANK(I132), "N/A", _xlfn.IFS(L132="AS", I132+15, L132="NCR", I132+30, L132="submitted", I132+30, TRUE, "N/A")), _xlfn.IFS(L132="AS", J132+15, L132="NCR", J132+30, L132="submitted", J132+30, TRUE, "N/A"))</f>
        <v>N/A</v>
      </c>
      <c r="L132" s="4"/>
      <c r="M132" s="317"/>
      <c r="N132" s="802" t="s">
        <v>148</v>
      </c>
      <c r="O132" s="803"/>
      <c r="P132" s="803"/>
      <c r="Q132" s="804"/>
    </row>
    <row r="133" spans="2:17" s="5" customFormat="1" ht="27" customHeight="1">
      <c r="B133" s="4"/>
      <c r="C133" s="830"/>
      <c r="D133" s="833"/>
      <c r="E133" s="35"/>
      <c r="F133" s="35"/>
      <c r="G133" s="4" t="s">
        <v>2225</v>
      </c>
      <c r="H133" s="3" t="s">
        <v>2226</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30"/>
      <c r="D134" s="833"/>
      <c r="E134" s="35"/>
      <c r="F134" s="35"/>
      <c r="G134" s="4" t="s">
        <v>499</v>
      </c>
      <c r="H134" s="17" t="s">
        <v>2227</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30"/>
      <c r="D135" s="833"/>
      <c r="E135" s="35"/>
      <c r="F135" s="35"/>
      <c r="G135" s="4" t="s">
        <v>1198</v>
      </c>
      <c r="H135" s="17" t="s">
        <v>2148</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5" customFormat="1" ht="15" customHeight="1">
      <c r="B136" s="4"/>
      <c r="C136" s="831"/>
      <c r="D136" s="834"/>
      <c r="E136" s="36"/>
      <c r="F136" s="36"/>
      <c r="G136" s="4" t="s">
        <v>2228</v>
      </c>
      <c r="H136" s="17" t="s">
        <v>380</v>
      </c>
      <c r="I136" s="18"/>
      <c r="J136" s="18"/>
      <c r="K136" s="74"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1" customFormat="1" ht="15" customHeight="1">
      <c r="B137" s="9"/>
      <c r="C137" s="840" t="s">
        <v>2229</v>
      </c>
      <c r="D137" s="841" t="s">
        <v>2230</v>
      </c>
      <c r="E137" s="37"/>
      <c r="F137" s="37"/>
      <c r="G137" s="9" t="s">
        <v>336</v>
      </c>
      <c r="H137" s="7" t="s">
        <v>235</v>
      </c>
      <c r="I137" s="18"/>
      <c r="J137" s="18"/>
      <c r="K137" s="74" t="str" cm="1">
        <f t="array" ref="K137">IF(ISBLANK(J137), IF(ISBLANK(I137), "N/A", _xlfn.IFS(L137="AS", I137+15, L137="NCR", I137+30, L137="submitted", I137+30, TRUE, "N/A")), _xlfn.IFS(L137="AS", J137+15, L137="NCR", J137+30, L137="submitted", J137+30, TRUE, "N/A"))</f>
        <v>N/A</v>
      </c>
      <c r="L137" s="9"/>
      <c r="M137" s="318"/>
      <c r="N137" s="802"/>
      <c r="O137" s="803"/>
      <c r="P137" s="803"/>
      <c r="Q137" s="804"/>
    </row>
    <row r="138" spans="2:17" s="1" customFormat="1" ht="53.25">
      <c r="B138" s="9"/>
      <c r="C138" s="843"/>
      <c r="D138" s="844"/>
      <c r="E138" s="39"/>
      <c r="F138" s="39"/>
      <c r="G138" s="9" t="s">
        <v>1143</v>
      </c>
      <c r="H138" s="7" t="s">
        <v>2231</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40.5" customHeight="1">
      <c r="B139" s="9"/>
      <c r="C139" s="843"/>
      <c r="D139" s="844"/>
      <c r="E139" s="39"/>
      <c r="F139" s="39"/>
      <c r="G139" s="9" t="s">
        <v>2232</v>
      </c>
      <c r="H139" s="7" t="s">
        <v>2213</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43"/>
      <c r="D140" s="844"/>
      <c r="E140" s="39"/>
      <c r="F140" s="39"/>
      <c r="G140" s="9" t="s">
        <v>404</v>
      </c>
      <c r="H140" s="13" t="s">
        <v>2132</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27" customHeight="1">
      <c r="B141" s="9"/>
      <c r="C141" s="807"/>
      <c r="D141" s="809"/>
      <c r="E141" s="46"/>
      <c r="F141" s="46"/>
      <c r="G141" s="9" t="s">
        <v>405</v>
      </c>
      <c r="H141" s="7" t="s">
        <v>2233</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40" t="s">
        <v>2234</v>
      </c>
      <c r="D142" s="841" t="s">
        <v>2235</v>
      </c>
      <c r="E142" s="37"/>
      <c r="F142" s="37"/>
      <c r="G142" s="9" t="s">
        <v>336</v>
      </c>
      <c r="H142" s="13" t="s">
        <v>235</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43"/>
      <c r="D143" s="844"/>
      <c r="E143" s="39"/>
      <c r="F143" s="39"/>
      <c r="G143" s="9" t="s">
        <v>337</v>
      </c>
      <c r="H143" s="13" t="s">
        <v>282</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40.5" customHeight="1">
      <c r="B144" s="9"/>
      <c r="C144" s="843"/>
      <c r="D144" s="844"/>
      <c r="E144" s="39"/>
      <c r="F144" s="39"/>
      <c r="G144" s="9" t="s">
        <v>338</v>
      </c>
      <c r="H144" s="7" t="s">
        <v>2236</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43"/>
      <c r="D145" s="844"/>
      <c r="E145" s="39"/>
      <c r="F145" s="39"/>
      <c r="G145" s="9" t="s">
        <v>405</v>
      </c>
      <c r="H145" s="13" t="s">
        <v>2132</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43"/>
      <c r="D146" s="844"/>
      <c r="E146" s="39"/>
      <c r="F146" s="39"/>
      <c r="G146" s="9" t="s">
        <v>2200</v>
      </c>
      <c r="H146" s="13" t="s">
        <v>2237</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43"/>
      <c r="D147" s="844"/>
      <c r="E147" s="39"/>
      <c r="F147" s="39"/>
      <c r="G147" s="9" t="s">
        <v>2201</v>
      </c>
      <c r="H147" s="13" t="s">
        <v>2185</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43"/>
      <c r="D148" s="844"/>
      <c r="E148" s="39"/>
      <c r="F148" s="39"/>
      <c r="G148" s="9" t="s">
        <v>2202</v>
      </c>
      <c r="H148" s="13" t="s">
        <v>426</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43"/>
      <c r="D149" s="844"/>
      <c r="E149" s="39"/>
      <c r="F149" s="39"/>
      <c r="G149" s="9" t="s">
        <v>2203</v>
      </c>
      <c r="H149" s="13" t="s">
        <v>2204</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43"/>
      <c r="D150" s="844"/>
      <c r="E150" s="39"/>
      <c r="F150" s="39"/>
      <c r="G150" s="9" t="s">
        <v>2205</v>
      </c>
      <c r="H150" s="13" t="s">
        <v>2238</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43"/>
      <c r="D151" s="844"/>
      <c r="E151" s="39"/>
      <c r="F151" s="39"/>
      <c r="G151" s="9" t="s">
        <v>2206</v>
      </c>
      <c r="H151" s="13" t="s">
        <v>2207</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43"/>
      <c r="D152" s="844"/>
      <c r="E152" s="39"/>
      <c r="F152" s="39"/>
      <c r="G152" s="9" t="s">
        <v>408</v>
      </c>
      <c r="H152" s="13" t="s">
        <v>353</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43"/>
      <c r="D153" s="844"/>
      <c r="E153" s="39"/>
      <c r="F153" s="39"/>
      <c r="G153" s="9" t="s">
        <v>441</v>
      </c>
      <c r="H153" s="13" t="s">
        <v>2216</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43"/>
      <c r="D154" s="844"/>
      <c r="E154" s="39"/>
      <c r="F154" s="39"/>
      <c r="G154" s="9" t="s">
        <v>443</v>
      </c>
      <c r="H154" s="13" t="s">
        <v>2130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1" customFormat="1" ht="15" customHeight="1">
      <c r="B155" s="9"/>
      <c r="C155" s="807"/>
      <c r="D155" s="809"/>
      <c r="E155" s="46"/>
      <c r="F155" s="46"/>
      <c r="G155" s="9" t="s">
        <v>445</v>
      </c>
      <c r="H155" s="13" t="s">
        <v>380</v>
      </c>
      <c r="I155" s="18"/>
      <c r="J155" s="18"/>
      <c r="K155" s="74" t="str" cm="1">
        <f t="array" ref="K155">IF(ISBLANK(J155), IF(ISBLANK(I155), "N/A", _xlfn.IFS(L155="AS", I155+15, L155="NCR", I155+30, L155="submitted", I155+30, TRUE, "N/A")), _xlfn.IFS(L155="AS", J155+15, L155="NCR", J155+30, L155="submitted", J155+30, TRUE, "N/A"))</f>
        <v>N/A</v>
      </c>
      <c r="L155" s="9"/>
      <c r="M155" s="317"/>
      <c r="N155" s="802"/>
      <c r="O155" s="803"/>
      <c r="P155" s="803"/>
      <c r="Q155" s="804"/>
    </row>
    <row r="156" spans="2:17" s="5" customFormat="1" ht="15" customHeight="1">
      <c r="B156" s="4"/>
      <c r="C156" s="829" t="s">
        <v>2239</v>
      </c>
      <c r="D156" s="832" t="s">
        <v>2240</v>
      </c>
      <c r="E156" s="34"/>
      <c r="F156" s="34"/>
      <c r="G156" s="4" t="s">
        <v>281</v>
      </c>
      <c r="H156" s="17" t="s">
        <v>235</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15" customHeight="1">
      <c r="B157" s="4"/>
      <c r="C157" s="830"/>
      <c r="D157" s="833"/>
      <c r="E157" s="35"/>
      <c r="F157" s="35"/>
      <c r="G157" s="4" t="s">
        <v>269</v>
      </c>
      <c r="H157" s="17" t="s">
        <v>282</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40.5" customHeight="1">
      <c r="B158" s="4"/>
      <c r="C158" s="830"/>
      <c r="D158" s="833"/>
      <c r="E158" s="35"/>
      <c r="F158" s="35"/>
      <c r="G158" s="4" t="s">
        <v>372</v>
      </c>
      <c r="H158" s="3" t="s">
        <v>2214</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27" customHeight="1">
      <c r="B159" s="4"/>
      <c r="C159" s="830"/>
      <c r="D159" s="833"/>
      <c r="E159" s="35"/>
      <c r="F159" s="35"/>
      <c r="G159" s="4" t="s">
        <v>374</v>
      </c>
      <c r="H159" s="3" t="s">
        <v>2215</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5" customFormat="1" ht="15" customHeight="1">
      <c r="B160" s="4"/>
      <c r="C160" s="831"/>
      <c r="D160" s="834"/>
      <c r="E160" s="36"/>
      <c r="F160" s="36"/>
      <c r="G160" s="4" t="s">
        <v>352</v>
      </c>
      <c r="H160" s="17" t="s">
        <v>380</v>
      </c>
      <c r="I160" s="18"/>
      <c r="J160" s="18"/>
      <c r="K160" s="74" t="str" cm="1">
        <f t="array" ref="K160">IF(ISBLANK(J160), IF(ISBLANK(I160), "N/A", _xlfn.IFS(L160="AS", I160+15, L160="NCR", I160+30, L160="submitted", I160+30, TRUE, "N/A")), _xlfn.IFS(L160="AS", J160+15, L160="NCR", J160+30, L160="submitted", J160+30, TRUE, "N/A"))</f>
        <v>N/A</v>
      </c>
      <c r="L160" s="4"/>
      <c r="M160" s="317"/>
      <c r="N160" s="802"/>
      <c r="O160" s="803"/>
      <c r="P160" s="803"/>
      <c r="Q160" s="804"/>
    </row>
    <row r="161" spans="2:17" s="1" customFormat="1" ht="15" customHeight="1">
      <c r="B161" s="9"/>
      <c r="C161" s="840" t="s">
        <v>2241</v>
      </c>
      <c r="D161" s="841" t="s">
        <v>2242</v>
      </c>
      <c r="E161" s="37"/>
      <c r="F161" s="37"/>
      <c r="G161" s="9" t="s">
        <v>281</v>
      </c>
      <c r="H161" s="13" t="s">
        <v>235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40.5">
      <c r="B162" s="9"/>
      <c r="C162" s="843"/>
      <c r="D162" s="844"/>
      <c r="E162" s="39"/>
      <c r="F162" s="39"/>
      <c r="G162" s="9" t="s">
        <v>329</v>
      </c>
      <c r="H162" s="7" t="s">
        <v>2214</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27" customHeight="1">
      <c r="B163" s="9"/>
      <c r="C163" s="843"/>
      <c r="D163" s="844"/>
      <c r="E163" s="39"/>
      <c r="F163" s="39"/>
      <c r="G163" s="9" t="s">
        <v>601</v>
      </c>
      <c r="H163" s="7" t="s">
        <v>2215</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43"/>
      <c r="D164" s="844"/>
      <c r="E164" s="39"/>
      <c r="F164" s="39"/>
      <c r="G164" s="9" t="s">
        <v>259</v>
      </c>
      <c r="H164" s="13" t="s">
        <v>380</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07"/>
      <c r="D165" s="809"/>
      <c r="E165" s="46"/>
      <c r="F165" s="46"/>
      <c r="G165" s="9" t="s">
        <v>352</v>
      </c>
      <c r="H165" s="13" t="s">
        <v>2243</v>
      </c>
      <c r="I165" s="18"/>
      <c r="J165" s="18"/>
      <c r="K165" s="74"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5" customFormat="1" ht="15" customHeight="1">
      <c r="B166" s="4" t="s">
        <v>2244</v>
      </c>
      <c r="C166" s="54" t="s">
        <v>2245</v>
      </c>
      <c r="D166" s="55" t="s">
        <v>2246</v>
      </c>
      <c r="E166" s="34" t="s">
        <v>2247</v>
      </c>
      <c r="F166" s="34" t="s">
        <v>2248</v>
      </c>
      <c r="G166" s="4" t="s">
        <v>281</v>
      </c>
      <c r="H166" s="17" t="s">
        <v>2249</v>
      </c>
      <c r="I166" s="18">
        <v>45931</v>
      </c>
      <c r="J166" s="18"/>
      <c r="K166" s="74" cm="1">
        <f t="array" ref="K166">IF(ISBLANK(J166), IF(ISBLANK(I166), "N/A", _xlfn.IFS(L166="AS", I166+15, L166="NCR", I166+30, L166="submitted", I166+30, TRUE, "N/A")), _xlfn.IFS(L166="AS", J166+15, L166="NCR", J166+30, L166="submitted", J166+30, TRUE, "N/A"))</f>
        <v>45961</v>
      </c>
      <c r="L166" s="4" t="s">
        <v>581</v>
      </c>
      <c r="M166" s="317"/>
      <c r="N166" s="802"/>
      <c r="O166" s="803"/>
      <c r="P166" s="803"/>
      <c r="Q166" s="804"/>
    </row>
    <row r="167" spans="2:17" s="5" customFormat="1" ht="15" customHeight="1">
      <c r="B167" s="4"/>
      <c r="C167" s="54" t="s">
        <v>2245</v>
      </c>
      <c r="D167" s="55" t="s">
        <v>2246</v>
      </c>
      <c r="E167" s="35"/>
      <c r="F167" s="35"/>
      <c r="G167" s="4" t="s">
        <v>269</v>
      </c>
      <c r="H167" s="17" t="s">
        <v>2250</v>
      </c>
      <c r="I167" s="18"/>
      <c r="J167" s="18"/>
      <c r="K167" s="74" t="str" cm="1">
        <f t="array" ref="K167">IF(ISBLANK(J167), IF(ISBLANK(I167), "N/A", _xlfn.IFS(L167="AS", I167+15, L167="NCR", I167+30, L167="submitted", I167+30, TRUE, "N/A")), _xlfn.IFS(L167="AS", J167+15, L167="NCR", J167+30, L167="submitted", J167+30, TRUE, "N/A"))</f>
        <v>N/A</v>
      </c>
      <c r="L167" s="4"/>
      <c r="M167" s="317"/>
      <c r="N167" s="802"/>
      <c r="O167" s="803"/>
      <c r="P167" s="803"/>
      <c r="Q167" s="804"/>
    </row>
    <row r="168" spans="2:17" s="138" customFormat="1" ht="27" customHeight="1">
      <c r="B168" s="151" t="s">
        <v>2251</v>
      </c>
      <c r="C168" s="169" t="s">
        <v>2245</v>
      </c>
      <c r="D168" s="260" t="s">
        <v>2246</v>
      </c>
      <c r="E168" s="346" t="s">
        <v>2252</v>
      </c>
      <c r="F168" s="346"/>
      <c r="G168" s="151">
        <v>1.05</v>
      </c>
      <c r="H168" s="153" t="s">
        <v>2253</v>
      </c>
      <c r="I168" s="261">
        <v>45894</v>
      </c>
      <c r="J168" s="261">
        <v>45911</v>
      </c>
      <c r="K168" s="74" t="str" cm="1">
        <f t="array" ref="K168">IF(ISBLANK(J168), IF(ISBLANK(I168), "N/A", _xlfn.IFS(L168="AS", I168+15, L168="NCR", I168+30, L168="submitted", I168+30, TRUE, "N/A")), _xlfn.IFS(L168="AS", J168+15, L168="NCR", J168+30, L168="submitted", J168+30, TRUE, "N/A"))</f>
        <v>N/A</v>
      </c>
      <c r="L168" s="151" t="s">
        <v>151</v>
      </c>
      <c r="M168" s="317"/>
      <c r="N168" s="802"/>
      <c r="O168" s="803"/>
      <c r="P168" s="803"/>
      <c r="Q168" s="804"/>
    </row>
    <row r="169" spans="2:17" s="5" customFormat="1" ht="15" customHeight="1">
      <c r="B169" s="4"/>
      <c r="C169" s="54" t="s">
        <v>2245</v>
      </c>
      <c r="D169" s="55" t="s">
        <v>2246</v>
      </c>
      <c r="E169" s="36"/>
      <c r="F169" s="36"/>
      <c r="G169" s="4" t="s">
        <v>352</v>
      </c>
      <c r="H169" s="17" t="s">
        <v>2254</v>
      </c>
      <c r="I169" s="18"/>
      <c r="J169" s="18"/>
      <c r="K169" s="74" t="str" cm="1">
        <f t="array" ref="K169">IF(ISBLANK(J169), IF(ISBLANK(I169), "N/A", _xlfn.IFS(L169="AS", I169+15, L169="NCR", I169+30, L169="submitted", I169+30, TRUE, "N/A")), _xlfn.IFS(L169="AS", J169+15, L169="NCR", J169+30, L169="submitted", J169+30, TRUE, "N/A"))</f>
        <v>N/A</v>
      </c>
      <c r="L169" s="4"/>
      <c r="M169" s="317"/>
      <c r="N169" s="802"/>
      <c r="O169" s="803"/>
      <c r="P169" s="803"/>
      <c r="Q169" s="804"/>
    </row>
    <row r="170" spans="2:17" s="1" customFormat="1" ht="15" customHeight="1">
      <c r="B170" s="9"/>
      <c r="C170" s="840" t="s">
        <v>2255</v>
      </c>
      <c r="D170" s="841" t="s">
        <v>2256</v>
      </c>
      <c r="E170" s="37"/>
      <c r="F170" s="37"/>
      <c r="G170" s="9" t="s">
        <v>281</v>
      </c>
      <c r="H170" s="13" t="s">
        <v>235</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43"/>
      <c r="D171" s="844"/>
      <c r="E171" s="39"/>
      <c r="F171" s="39"/>
      <c r="G171" s="9" t="s">
        <v>269</v>
      </c>
      <c r="H171" s="13" t="s">
        <v>282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07"/>
      <c r="D172" s="809"/>
      <c r="E172" s="46"/>
      <c r="F172" s="46"/>
      <c r="G172" s="9" t="s">
        <v>259</v>
      </c>
      <c r="H172" s="13" t="s">
        <v>2132</v>
      </c>
      <c r="I172" s="18"/>
      <c r="J172" s="18"/>
      <c r="K172" s="74"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5" customFormat="1" ht="15" customHeight="1">
      <c r="B173" s="4"/>
      <c r="C173" s="829" t="s">
        <v>2257</v>
      </c>
      <c r="D173" s="832" t="s">
        <v>2258</v>
      </c>
      <c r="E173" s="34"/>
      <c r="F173" s="34"/>
      <c r="G173" s="4" t="s">
        <v>336</v>
      </c>
      <c r="H173" s="17" t="s">
        <v>235</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27" customHeight="1">
      <c r="B174" s="4"/>
      <c r="C174" s="830"/>
      <c r="D174" s="833"/>
      <c r="E174" s="35"/>
      <c r="F174" s="35"/>
      <c r="G174" s="4" t="s">
        <v>240</v>
      </c>
      <c r="H174" s="3" t="s">
        <v>2215</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67.5">
      <c r="B175" s="4"/>
      <c r="C175" s="830"/>
      <c r="D175" s="833"/>
      <c r="E175" s="35"/>
      <c r="F175" s="35"/>
      <c r="G175" s="4" t="s">
        <v>2094</v>
      </c>
      <c r="H175" s="3" t="s">
        <v>2212</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5" customFormat="1" ht="40.5" customHeight="1">
      <c r="B176" s="4"/>
      <c r="C176" s="831"/>
      <c r="D176" s="834"/>
      <c r="E176" s="36"/>
      <c r="F176" s="36"/>
      <c r="G176" s="4" t="s">
        <v>1784</v>
      </c>
      <c r="H176" s="3" t="s">
        <v>2213</v>
      </c>
      <c r="I176" s="18"/>
      <c r="J176" s="18"/>
      <c r="K176" s="74" t="str" cm="1">
        <f t="array" ref="K176">IF(ISBLANK(J176), IF(ISBLANK(I176), "N/A", _xlfn.IFS(L176="AS", I176+15, L176="NCR", I176+30, L176="submitted", I176+30, TRUE, "N/A")), _xlfn.IFS(L176="AS", J176+15, L176="NCR", J176+30, L176="submitted", J176+30, TRUE, "N/A"))</f>
        <v>N/A</v>
      </c>
      <c r="L176" s="4"/>
      <c r="M176" s="317"/>
      <c r="N176" s="802"/>
      <c r="O176" s="803"/>
      <c r="P176" s="803"/>
      <c r="Q176" s="804"/>
    </row>
    <row r="177" spans="2:17" s="1" customFormat="1" ht="15" customHeight="1">
      <c r="B177" s="9"/>
      <c r="C177" s="840" t="s">
        <v>2259</v>
      </c>
      <c r="D177" s="841" t="s">
        <v>2260</v>
      </c>
      <c r="E177" s="37"/>
      <c r="F177" s="37"/>
      <c r="G177" s="9" t="s">
        <v>281</v>
      </c>
      <c r="H177" s="13" t="s">
        <v>235</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1" customFormat="1" ht="15" customHeight="1">
      <c r="B178" s="9"/>
      <c r="C178" s="807"/>
      <c r="D178" s="809"/>
      <c r="E178" s="46"/>
      <c r="F178" s="46"/>
      <c r="G178" s="9" t="s">
        <v>329</v>
      </c>
      <c r="H178" s="13" t="s">
        <v>2227</v>
      </c>
      <c r="I178" s="18"/>
      <c r="J178" s="18"/>
      <c r="K178" s="74" t="str" cm="1">
        <f t="array" ref="K178">IF(ISBLANK(J178), IF(ISBLANK(I178), "N/A", _xlfn.IFS(L178="AS", I178+15, L178="NCR", I178+30, L178="submitted", I178+30, TRUE, "N/A")), _xlfn.IFS(L178="AS", J178+15, L178="NCR", J178+30, L178="submitted", J178+30, TRUE, "N/A"))</f>
        <v>N/A</v>
      </c>
      <c r="L178" s="9"/>
      <c r="M178" s="317"/>
      <c r="N178" s="802"/>
      <c r="O178" s="803"/>
      <c r="P178" s="803"/>
      <c r="Q178" s="804"/>
    </row>
    <row r="179" spans="2:17" s="5" customFormat="1" ht="15" customHeight="1">
      <c r="B179" s="4"/>
      <c r="C179" s="829" t="s">
        <v>2261</v>
      </c>
      <c r="D179" s="832" t="s">
        <v>2262</v>
      </c>
      <c r="E179" s="34"/>
      <c r="F179" s="34"/>
      <c r="G179" s="4" t="s">
        <v>229</v>
      </c>
      <c r="H179" s="17" t="s">
        <v>2263</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30"/>
      <c r="D180" s="833"/>
      <c r="E180" s="35"/>
      <c r="F180" s="35"/>
      <c r="G180" s="4" t="s">
        <v>336</v>
      </c>
      <c r="H180" s="17" t="s">
        <v>235</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15" customHeight="1">
      <c r="B181" s="4"/>
      <c r="C181" s="830"/>
      <c r="D181" s="833"/>
      <c r="E181" s="35"/>
      <c r="F181" s="35"/>
      <c r="G181" s="4" t="s">
        <v>337</v>
      </c>
      <c r="H181" s="17" t="s">
        <v>282</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67.5">
      <c r="B182" s="4"/>
      <c r="C182" s="830"/>
      <c r="D182" s="833"/>
      <c r="E182" s="35"/>
      <c r="F182" s="35"/>
      <c r="G182" s="4" t="s">
        <v>2094</v>
      </c>
      <c r="H182" s="3" t="s">
        <v>2212</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40.5" customHeight="1">
      <c r="B183" s="4"/>
      <c r="C183" s="830"/>
      <c r="D183" s="833"/>
      <c r="E183" s="35"/>
      <c r="F183" s="35"/>
      <c r="G183" s="4" t="s">
        <v>1784</v>
      </c>
      <c r="H183" s="3" t="s">
        <v>2213</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5" customFormat="1" ht="15" customHeight="1">
      <c r="B184" s="4"/>
      <c r="C184" s="831"/>
      <c r="D184" s="834"/>
      <c r="E184" s="36"/>
      <c r="F184" s="36"/>
      <c r="G184" s="4" t="s">
        <v>405</v>
      </c>
      <c r="H184" s="3" t="s">
        <v>380</v>
      </c>
      <c r="I184" s="18"/>
      <c r="J184" s="18"/>
      <c r="K184" s="74"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2:17" s="1" customFormat="1" ht="15" customHeight="1">
      <c r="B185" s="9"/>
      <c r="C185" s="840" t="s">
        <v>2264</v>
      </c>
      <c r="D185" s="841" t="s">
        <v>2265</v>
      </c>
      <c r="E185" s="37"/>
      <c r="F185" s="37"/>
      <c r="G185" s="9" t="s">
        <v>336</v>
      </c>
      <c r="H185" s="13" t="s">
        <v>235</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15" customHeight="1">
      <c r="B186" s="9"/>
      <c r="C186" s="843"/>
      <c r="D186" s="844"/>
      <c r="E186" s="39"/>
      <c r="F186" s="39"/>
      <c r="G186" s="9" t="s">
        <v>337</v>
      </c>
      <c r="H186" s="13" t="s">
        <v>328</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40.5" customHeight="1">
      <c r="B187" s="9"/>
      <c r="C187" s="843"/>
      <c r="D187" s="844"/>
      <c r="E187" s="39"/>
      <c r="F187" s="39"/>
      <c r="G187" s="9" t="s">
        <v>338</v>
      </c>
      <c r="H187" s="7" t="s">
        <v>2195</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43"/>
      <c r="D188" s="844"/>
      <c r="E188" s="39"/>
      <c r="F188" s="39"/>
      <c r="G188" s="9" t="s">
        <v>405</v>
      </c>
      <c r="H188" s="13" t="s">
        <v>2132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43"/>
      <c r="D189" s="844"/>
      <c r="E189" s="39"/>
      <c r="F189" s="39"/>
      <c r="G189" s="9" t="s">
        <v>2200</v>
      </c>
      <c r="H189" s="13" t="s">
        <v>422</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43"/>
      <c r="D190" s="844"/>
      <c r="E190" s="39"/>
      <c r="F190" s="39"/>
      <c r="G190" s="9" t="s">
        <v>2201</v>
      </c>
      <c r="H190" s="13" t="s">
        <v>424</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43"/>
      <c r="D191" s="844"/>
      <c r="E191" s="39"/>
      <c r="F191" s="39"/>
      <c r="G191" s="9" t="s">
        <v>2202</v>
      </c>
      <c r="H191" s="13" t="s">
        <v>426</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43"/>
      <c r="D192" s="844"/>
      <c r="E192" s="39"/>
      <c r="F192" s="39"/>
      <c r="G192" s="9" t="s">
        <v>2203</v>
      </c>
      <c r="H192" s="13" t="s">
        <v>2266</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43"/>
      <c r="D193" s="844"/>
      <c r="E193" s="39"/>
      <c r="F193" s="39"/>
      <c r="G193" s="9" t="s">
        <v>2205</v>
      </c>
      <c r="H193" s="13" t="s">
        <v>430</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15" customHeight="1">
      <c r="B194" s="9"/>
      <c r="C194" s="843"/>
      <c r="D194" s="844"/>
      <c r="E194" s="39"/>
      <c r="F194" s="39"/>
      <c r="G194" s="9" t="s">
        <v>2206</v>
      </c>
      <c r="H194" s="13" t="s">
        <v>432</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43"/>
      <c r="D195" s="844"/>
      <c r="E195" s="39"/>
      <c r="F195" s="39"/>
      <c r="G195" s="9" t="s">
        <v>747</v>
      </c>
      <c r="H195" s="7" t="s">
        <v>2267</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27" customHeight="1">
      <c r="B196" s="9"/>
      <c r="C196" s="843"/>
      <c r="D196" s="844"/>
      <c r="E196" s="39"/>
      <c r="F196" s="39"/>
      <c r="G196" s="9" t="s">
        <v>893</v>
      </c>
      <c r="H196" s="7" t="s">
        <v>2268</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1" customFormat="1" ht="15" customHeight="1">
      <c r="B197" s="9"/>
      <c r="C197" s="807"/>
      <c r="D197" s="809"/>
      <c r="E197" s="46"/>
      <c r="F197" s="46"/>
      <c r="G197" s="9" t="s">
        <v>441</v>
      </c>
      <c r="H197" s="13" t="s">
        <v>380</v>
      </c>
      <c r="I197" s="18"/>
      <c r="J197" s="18"/>
      <c r="K197" s="74" t="str" cm="1">
        <f t="array" ref="K197">IF(ISBLANK(J197), IF(ISBLANK(I197), "N/A", _xlfn.IFS(L197="AS", I197+15, L197="NCR", I197+30, L197="submitted", I197+30, TRUE, "N/A")), _xlfn.IFS(L197="AS", J197+15, L197="NCR", J197+30, L197="submitted", J197+30, TRUE, "N/A"))</f>
        <v>N/A</v>
      </c>
      <c r="L197" s="9"/>
      <c r="M197" s="317"/>
      <c r="N197" s="802"/>
      <c r="O197" s="803"/>
      <c r="P197" s="803"/>
      <c r="Q197" s="804"/>
    </row>
    <row r="198" spans="2:17" s="5" customFormat="1" ht="15" customHeight="1">
      <c r="B198" s="4"/>
      <c r="C198" s="922" t="s">
        <v>2269</v>
      </c>
      <c r="D198" s="832" t="s">
        <v>2270</v>
      </c>
      <c r="E198" s="34"/>
      <c r="F198" s="34"/>
      <c r="G198" s="4" t="s">
        <v>336</v>
      </c>
      <c r="H198" s="17" t="s">
        <v>235</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15" customHeight="1">
      <c r="B199" s="4"/>
      <c r="C199" s="923"/>
      <c r="D199" s="833"/>
      <c r="E199" s="35"/>
      <c r="F199" s="35"/>
      <c r="G199" s="4" t="s">
        <v>337</v>
      </c>
      <c r="H199" s="17" t="s">
        <v>282</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923"/>
      <c r="D200" s="833"/>
      <c r="E200" s="35"/>
      <c r="F200" s="35"/>
      <c r="G200" s="4" t="s">
        <v>338</v>
      </c>
      <c r="H200" s="3" t="s">
        <v>2236</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3"/>
      <c r="E201" s="35"/>
      <c r="F201" s="35"/>
      <c r="G201" s="4" t="s">
        <v>405</v>
      </c>
      <c r="H201" s="17" t="s">
        <v>2132</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3"/>
      <c r="E202" s="35"/>
      <c r="F202" s="35"/>
      <c r="G202" s="4" t="s">
        <v>2200</v>
      </c>
      <c r="H202" s="17" t="s">
        <v>2237</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3"/>
      <c r="E203" s="35"/>
      <c r="F203" s="35"/>
      <c r="G203" s="4" t="s">
        <v>2201</v>
      </c>
      <c r="H203" s="17" t="s">
        <v>2185</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3"/>
      <c r="E204" s="35"/>
      <c r="F204" s="35"/>
      <c r="G204" s="4" t="s">
        <v>2202</v>
      </c>
      <c r="H204" s="17" t="s">
        <v>426</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3"/>
      <c r="E205" s="35"/>
      <c r="F205" s="35"/>
      <c r="G205" s="4" t="s">
        <v>2203</v>
      </c>
      <c r="H205" s="17" t="s">
        <v>2204</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3"/>
      <c r="E206" s="35"/>
      <c r="F206" s="35"/>
      <c r="G206" s="4" t="s">
        <v>2205</v>
      </c>
      <c r="H206" s="17" t="s">
        <v>2238</v>
      </c>
      <c r="I206" s="18"/>
      <c r="J206" s="18"/>
      <c r="K206" s="74" t="str" cm="1">
        <f t="array" ref="K206">IF(ISBLANK(J206), IF(ISBLANK(I206), "N/A", _xlfn.IFS(L206="AS", I206+15, L206="NCR", I206+30, L206="submitted", I206+30, TRUE, "N/A")), _xlfn.IFS(L206="AS", J206+15, L206="NCR", J206+30, L206="submitted", J206+30, TRUE, "N/A"))</f>
        <v>N/A</v>
      </c>
      <c r="L206" s="4"/>
      <c r="M206" s="317"/>
      <c r="N206" s="802"/>
      <c r="O206" s="803"/>
      <c r="P206" s="803"/>
      <c r="Q206" s="804"/>
    </row>
    <row r="207" spans="2:17" s="5" customFormat="1" ht="15" customHeight="1">
      <c r="B207" s="4"/>
      <c r="C207" s="923"/>
      <c r="D207" s="833"/>
      <c r="E207" s="35"/>
      <c r="F207" s="35"/>
      <c r="G207" s="4" t="s">
        <v>2206</v>
      </c>
      <c r="H207" s="17" t="s">
        <v>2207</v>
      </c>
      <c r="I207" s="18"/>
      <c r="J207" s="18"/>
      <c r="K207" s="74" t="str" cm="1">
        <f t="array" ref="K207">IF(ISBLANK(J207), IF(ISBLANK(I207), "N/A", _xlfn.IFS(L207="AS", I207+15, L207="NCR", I207+30, L207="submitted", I207+30, TRUE, "N/A")), _xlfn.IFS(L207="AS", J207+15, L207="NCR", J207+30, L207="submitted", J207+30, TRUE, "N/A"))</f>
        <v>N/A</v>
      </c>
      <c r="L207" s="4"/>
      <c r="M207" s="317"/>
      <c r="N207" s="796" t="s">
        <v>133</v>
      </c>
      <c r="O207" s="797"/>
      <c r="P207" s="797"/>
      <c r="Q207" s="798"/>
    </row>
    <row r="208" spans="2:17" s="5" customFormat="1" ht="15" customHeight="1">
      <c r="B208" s="4"/>
      <c r="C208" s="923"/>
      <c r="D208" s="833"/>
      <c r="E208" s="35"/>
      <c r="F208" s="35"/>
      <c r="G208" s="4" t="s">
        <v>408</v>
      </c>
      <c r="H208" s="17" t="s">
        <v>2271</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15" customHeight="1">
      <c r="B209" s="4"/>
      <c r="C209" s="924"/>
      <c r="D209" s="834"/>
      <c r="E209" s="36"/>
      <c r="F209" s="36"/>
      <c r="G209" s="4" t="s">
        <v>441</v>
      </c>
      <c r="H209" s="17" t="s">
        <v>353</v>
      </c>
      <c r="I209" s="18"/>
      <c r="J209" s="18"/>
      <c r="K209" s="74"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1" customFormat="1" ht="15" customHeight="1">
      <c r="B210" s="9"/>
      <c r="C210" s="840" t="s">
        <v>2272</v>
      </c>
      <c r="D210" s="841" t="s">
        <v>2273</v>
      </c>
      <c r="E210" s="37"/>
      <c r="F210" s="37"/>
      <c r="G210" s="9" t="s">
        <v>336</v>
      </c>
      <c r="H210" s="13" t="s">
        <v>235</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15" customHeight="1">
      <c r="B211" s="9"/>
      <c r="C211" s="843"/>
      <c r="D211" s="844"/>
      <c r="E211" s="39"/>
      <c r="F211" s="39"/>
      <c r="G211" s="9" t="s">
        <v>337</v>
      </c>
      <c r="H211" s="13" t="s">
        <v>328</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40.5" customHeight="1">
      <c r="B212" s="9"/>
      <c r="C212" s="843"/>
      <c r="D212" s="844"/>
      <c r="E212" s="39"/>
      <c r="F212" s="39"/>
      <c r="G212" s="9" t="s">
        <v>338</v>
      </c>
      <c r="H212" s="7" t="s">
        <v>2195</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43"/>
      <c r="D213" s="844"/>
      <c r="E213" s="39"/>
      <c r="F213" s="39"/>
      <c r="G213" s="9" t="s">
        <v>405</v>
      </c>
      <c r="H213" s="13" t="s">
        <v>2132</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43"/>
      <c r="D214" s="844"/>
      <c r="E214" s="39"/>
      <c r="F214" s="39"/>
      <c r="G214" s="9" t="s">
        <v>2200</v>
      </c>
      <c r="H214" s="13" t="s">
        <v>2237</v>
      </c>
      <c r="I214" s="18"/>
      <c r="J214" s="18"/>
      <c r="K214" s="74" t="str" cm="1">
        <f t="array" ref="K214">IF(ISBLANK(J214), IF(ISBLANK(I214), "N/A", _xlfn.IFS(L214="AS", I214+15, L214="NCR", I214+30, L214="submitted", I214+30, TRUE, "N/A")), _xlfn.IFS(L214="AS", J214+15, L214="NCR", J214+30, L214="submitted", J214+30, TRUE, "N/A"))</f>
        <v>N/A</v>
      </c>
      <c r="L214" s="9"/>
      <c r="M214" s="317"/>
      <c r="N214" s="799"/>
      <c r="O214" s="800"/>
      <c r="P214" s="800"/>
      <c r="Q214" s="801"/>
    </row>
    <row r="215" spans="2:17" s="1" customFormat="1" ht="15" customHeight="1">
      <c r="B215" s="9"/>
      <c r="C215" s="843"/>
      <c r="D215" s="844"/>
      <c r="E215" s="39"/>
      <c r="F215" s="39"/>
      <c r="G215" s="9" t="s">
        <v>2201</v>
      </c>
      <c r="H215" s="13" t="s">
        <v>2185</v>
      </c>
      <c r="I215" s="18"/>
      <c r="J215" s="18"/>
      <c r="K215" s="74" t="str" cm="1">
        <f t="array" ref="K215">IF(ISBLANK(J215), IF(ISBLANK(I215), "N/A", _xlfn.IFS(L215="AS", I215+15, L215="NCR", I215+30, L215="submitted", I215+30, TRUE, "N/A")), _xlfn.IFS(L215="AS", J215+15, L215="NCR", J215+30, L215="submitted", J215+30, TRUE, "N/A"))</f>
        <v>N/A</v>
      </c>
      <c r="L215" s="9"/>
      <c r="M215" s="317"/>
      <c r="N215" s="747" t="s">
        <v>148</v>
      </c>
      <c r="O215" s="748"/>
      <c r="P215" s="748"/>
      <c r="Q215" s="749"/>
    </row>
    <row r="216" spans="2:17" s="1" customFormat="1" ht="15" customHeight="1">
      <c r="B216" s="9"/>
      <c r="C216" s="843"/>
      <c r="D216" s="844"/>
      <c r="E216" s="39"/>
      <c r="F216" s="39"/>
      <c r="G216" s="9" t="s">
        <v>2202</v>
      </c>
      <c r="H216" s="13" t="s">
        <v>426</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43"/>
      <c r="D217" s="844"/>
      <c r="E217" s="39"/>
      <c r="F217" s="39"/>
      <c r="G217" s="9" t="s">
        <v>2203</v>
      </c>
      <c r="H217" s="13" t="s">
        <v>2204</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43"/>
      <c r="D218" s="844"/>
      <c r="E218" s="39"/>
      <c r="F218" s="39"/>
      <c r="G218" s="9" t="s">
        <v>2205</v>
      </c>
      <c r="H218" s="13" t="s">
        <v>2238</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43"/>
      <c r="D219" s="844"/>
      <c r="E219" s="39"/>
      <c r="F219" s="39"/>
      <c r="G219" s="9" t="s">
        <v>2206</v>
      </c>
      <c r="H219" s="13" t="s">
        <v>2207</v>
      </c>
      <c r="I219" s="18"/>
      <c r="J219" s="18"/>
      <c r="K219" s="74" t="str" cm="1">
        <f t="array" ref="K219">IF(ISBLANK(J219), IF(ISBLANK(I219), "N/A", _xlfn.IFS(L219="AS", I219+15, L219="NCR", I219+30, L219="submitted", I219+30, TRUE, "N/A")), _xlfn.IFS(L219="AS", J219+15, L219="NCR", J219+30, L219="submitted", J219+30, TRUE, "N/A"))</f>
        <v>N/A</v>
      </c>
      <c r="L219" s="9"/>
      <c r="M219" s="317"/>
      <c r="N219" s="747"/>
      <c r="O219" s="748"/>
      <c r="P219" s="748"/>
      <c r="Q219" s="749"/>
    </row>
    <row r="220" spans="2:17" s="1" customFormat="1" ht="15" customHeight="1">
      <c r="B220" s="9"/>
      <c r="C220" s="807"/>
      <c r="D220" s="809"/>
      <c r="E220" s="46"/>
      <c r="F220" s="46"/>
      <c r="G220" s="9" t="s">
        <v>408</v>
      </c>
      <c r="H220" s="13" t="s">
        <v>380</v>
      </c>
      <c r="I220" s="18"/>
      <c r="J220" s="18"/>
      <c r="K220" s="74" t="str" cm="1">
        <f t="array" ref="K220">IF(ISBLANK(J220), IF(ISBLANK(I220), "N/A", _xlfn.IFS(L220="AS", I220+15, L220="NCR", I220+30, L220="submitted", I220+30, TRUE, "N/A")), _xlfn.IFS(L220="AS", J220+15, L220="NCR", J220+30, L220="submitted", J220+30, TRUE, "N/A"))</f>
        <v>N/A</v>
      </c>
      <c r="L220" s="9"/>
      <c r="M220" s="318"/>
      <c r="N220" s="747"/>
      <c r="O220" s="748"/>
      <c r="P220" s="748"/>
      <c r="Q220" s="749"/>
    </row>
    <row r="221" spans="2:17" s="5" customFormat="1" ht="15" customHeight="1">
      <c r="B221" s="4"/>
      <c r="C221" s="829" t="s">
        <v>2274</v>
      </c>
      <c r="D221" s="832" t="s">
        <v>2275</v>
      </c>
      <c r="E221" s="34"/>
      <c r="F221" s="34"/>
      <c r="G221" s="4" t="s">
        <v>336</v>
      </c>
      <c r="H221" s="17" t="s">
        <v>235</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15" customHeight="1">
      <c r="B222" s="4"/>
      <c r="C222" s="830"/>
      <c r="D222" s="833"/>
      <c r="E222" s="35"/>
      <c r="F222" s="35"/>
      <c r="G222" s="4" t="s">
        <v>337</v>
      </c>
      <c r="H222" s="17" t="s">
        <v>282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53.25">
      <c r="B223" s="4"/>
      <c r="C223" s="830"/>
      <c r="D223" s="833"/>
      <c r="E223" s="35"/>
      <c r="F223" s="35"/>
      <c r="G223" s="4" t="s">
        <v>2094</v>
      </c>
      <c r="H223" s="3" t="s">
        <v>2231</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15" customHeight="1">
      <c r="B224" s="4"/>
      <c r="C224" s="830"/>
      <c r="D224" s="833"/>
      <c r="E224" s="35"/>
      <c r="F224" s="35"/>
      <c r="G224" s="4" t="s">
        <v>405</v>
      </c>
      <c r="H224" s="17" t="s">
        <v>2132</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30"/>
      <c r="D225" s="833"/>
      <c r="E225" s="35"/>
      <c r="F225" s="35"/>
      <c r="G225" s="4" t="s">
        <v>346</v>
      </c>
      <c r="H225" s="3" t="s">
        <v>2214</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40.5" customHeight="1">
      <c r="B226" s="4"/>
      <c r="C226" s="830"/>
      <c r="D226" s="833"/>
      <c r="E226" s="35"/>
      <c r="F226" s="35"/>
      <c r="G226" s="4" t="s">
        <v>746</v>
      </c>
      <c r="H226" s="3" t="s">
        <v>2214</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30"/>
      <c r="D227" s="833"/>
      <c r="E227" s="35"/>
      <c r="F227" s="35"/>
      <c r="G227" s="4" t="s">
        <v>408</v>
      </c>
      <c r="H227" s="17" t="s">
        <v>380</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30"/>
      <c r="D228" s="833"/>
      <c r="E228" s="35"/>
      <c r="F228" s="35"/>
      <c r="G228" s="4" t="s">
        <v>441</v>
      </c>
      <c r="H228" s="17" t="s">
        <v>2216</v>
      </c>
      <c r="I228" s="18"/>
      <c r="J228" s="18"/>
      <c r="K228" s="74" t="str" cm="1">
        <f t="array" ref="K228">IF(ISBLANK(J228), IF(ISBLANK(I228), "N/A", _xlfn.IFS(L228="AS", I228+15, L228="NCR", I228+30, L228="submitted", I228+30, TRUE, "N/A")), _xlfn.IFS(L228="AS", J228+15, L228="NCR", J228+30, L228="submitted", J228+30, TRUE, "N/A"))</f>
        <v>N/A</v>
      </c>
      <c r="L228" s="4"/>
      <c r="M228" s="317"/>
      <c r="N228" s="747"/>
      <c r="O228" s="748"/>
      <c r="P228" s="748"/>
      <c r="Q228" s="749"/>
    </row>
    <row r="229" spans="2:17" s="5" customFormat="1" ht="15" customHeight="1">
      <c r="B229" s="4"/>
      <c r="C229" s="830"/>
      <c r="D229" s="833"/>
      <c r="E229" s="35"/>
      <c r="F229" s="35"/>
      <c r="G229" s="4" t="s">
        <v>443</v>
      </c>
      <c r="H229" s="17" t="s">
        <v>2149</v>
      </c>
      <c r="I229" s="18"/>
      <c r="J229" s="18"/>
      <c r="K229" s="74" t="str" cm="1">
        <f t="array" ref="K229">IF(ISBLANK(J229), IF(ISBLANK(I229), "N/A", _xlfn.IFS(L229="AS", I229+15, L229="NCR", I229+30, L229="submitted", I229+30, TRUE, "N/A")), _xlfn.IFS(L229="AS", J229+15, L229="NCR", J229+30, L229="submitted", J229+30, TRUE, "N/A"))</f>
        <v>N/A</v>
      </c>
      <c r="L229" s="4"/>
    </row>
    <row r="230" spans="2:17" s="5" customFormat="1" ht="15" customHeight="1">
      <c r="B230" s="4"/>
      <c r="C230" s="831"/>
      <c r="D230" s="834"/>
      <c r="E230" s="36"/>
      <c r="F230" s="36"/>
      <c r="G230" s="4" t="s">
        <v>445</v>
      </c>
      <c r="H230" s="17" t="s">
        <v>353</v>
      </c>
      <c r="I230" s="18"/>
      <c r="J230" s="18"/>
      <c r="K230" s="74" t="str" cm="1">
        <f t="array" ref="K230">IF(ISBLANK(J230), IF(ISBLANK(I230), "N/A", _xlfn.IFS(L230="AS", I230+15, L230="NCR", I230+30, L230="submitted", I230+30, TRUE, "N/A")), _xlfn.IFS(L230="AS", J230+15, L230="NCR", J230+30, L230="submitted", J230+30, TRUE, "N/A"))</f>
        <v>N/A</v>
      </c>
      <c r="L230" s="4"/>
    </row>
    <row r="231" spans="2:17" s="1" customFormat="1" ht="15" customHeight="1">
      <c r="B231" s="9"/>
      <c r="C231" s="840" t="s">
        <v>2276</v>
      </c>
      <c r="D231" s="841" t="s">
        <v>2277</v>
      </c>
      <c r="E231" s="37"/>
      <c r="F231" s="37"/>
      <c r="G231" s="9" t="s">
        <v>336</v>
      </c>
      <c r="H231" s="13" t="s">
        <v>235</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43"/>
      <c r="D232" s="844"/>
      <c r="E232" s="39"/>
      <c r="F232" s="39"/>
      <c r="G232" s="9" t="s">
        <v>337</v>
      </c>
      <c r="H232" s="13" t="s">
        <v>282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53.25">
      <c r="B233" s="9"/>
      <c r="C233" s="843"/>
      <c r="D233" s="844"/>
      <c r="E233" s="39"/>
      <c r="F233" s="39"/>
      <c r="G233" s="9" t="s">
        <v>2094</v>
      </c>
      <c r="H233" s="7" t="s">
        <v>2231</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43"/>
      <c r="D234" s="844"/>
      <c r="E234" s="39"/>
      <c r="F234" s="39"/>
      <c r="G234" s="9" t="s">
        <v>405</v>
      </c>
      <c r="H234" s="13" t="s">
        <v>2132</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43"/>
      <c r="D235" s="844"/>
      <c r="E235" s="39"/>
      <c r="F235" s="39"/>
      <c r="G235" s="9" t="s">
        <v>406</v>
      </c>
      <c r="H235" s="7" t="s">
        <v>2177</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43"/>
      <c r="D236" s="844"/>
      <c r="E236" s="39"/>
      <c r="F236" s="39"/>
      <c r="G236" s="9" t="s">
        <v>408</v>
      </c>
      <c r="H236" s="13" t="s">
        <v>2278</v>
      </c>
      <c r="I236" s="18"/>
      <c r="J236" s="18"/>
      <c r="K236" s="74"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441</v>
      </c>
      <c r="H237" s="13" t="s">
        <v>353</v>
      </c>
      <c r="I237" s="18"/>
      <c r="J237" s="18"/>
      <c r="K237" s="74"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9" t="s">
        <v>2279</v>
      </c>
      <c r="D238" s="832" t="s">
        <v>2280</v>
      </c>
      <c r="E238" s="34"/>
      <c r="F238" s="34"/>
      <c r="G238" s="4" t="s">
        <v>336</v>
      </c>
      <c r="H238" s="17" t="s">
        <v>235</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30"/>
      <c r="D239" s="833"/>
      <c r="E239" s="35"/>
      <c r="F239" s="35"/>
      <c r="G239" s="4" t="s">
        <v>337</v>
      </c>
      <c r="H239" s="17" t="s">
        <v>328</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30"/>
      <c r="D240" s="833"/>
      <c r="E240" s="35"/>
      <c r="F240" s="35"/>
      <c r="G240" s="4" t="s">
        <v>404</v>
      </c>
      <c r="H240" s="17" t="s">
        <v>353</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40.5" customHeight="1">
      <c r="B241" s="4"/>
      <c r="C241" s="830"/>
      <c r="D241" s="833"/>
      <c r="E241" s="35"/>
      <c r="F241" s="35"/>
      <c r="G241" s="4" t="s">
        <v>340</v>
      </c>
      <c r="H241" s="3" t="s">
        <v>2195</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406</v>
      </c>
      <c r="H242" s="17" t="s">
        <v>2132</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30"/>
      <c r="D243" s="833"/>
      <c r="E243" s="35"/>
      <c r="F243" s="35"/>
      <c r="G243" s="4" t="s">
        <v>747</v>
      </c>
      <c r="H243" s="17" t="s">
        <v>2220</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27" customHeight="1">
      <c r="B244" s="4"/>
      <c r="C244" s="830"/>
      <c r="D244" s="833"/>
      <c r="E244" s="35"/>
      <c r="F244" s="35"/>
      <c r="G244" s="4" t="s">
        <v>893</v>
      </c>
      <c r="H244" s="3" t="s">
        <v>2196</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30"/>
      <c r="D245" s="833"/>
      <c r="E245" s="35"/>
      <c r="F245" s="35"/>
      <c r="G245" s="4" t="s">
        <v>1078</v>
      </c>
      <c r="H245" s="17" t="s">
        <v>2224</v>
      </c>
      <c r="I245" s="18"/>
      <c r="J245" s="18"/>
      <c r="K245" s="74" t="str" cm="1">
        <f t="array" ref="K245">IF(ISBLANK(J245), IF(ISBLANK(I245), "N/A", _xlfn.IFS(L245="AS", I245+15, L245="NCR", I245+30, L245="submitted", I245+30, TRUE, "N/A")), _xlfn.IFS(L245="AS", J245+15, L245="NCR", J245+30, L245="submitted", J245+30, TRUE, "N/A"))</f>
        <v>N/A</v>
      </c>
      <c r="L245" s="4"/>
    </row>
    <row r="246" spans="2:12" s="5" customFormat="1" ht="15" customHeight="1">
      <c r="B246" s="4"/>
      <c r="C246" s="831"/>
      <c r="D246" s="834"/>
      <c r="E246" s="36"/>
      <c r="F246" s="36"/>
      <c r="G246" s="4" t="s">
        <v>441</v>
      </c>
      <c r="H246" s="17" t="s">
        <v>2278</v>
      </c>
      <c r="I246" s="18"/>
      <c r="J246" s="18"/>
      <c r="K246" s="74" t="str" cm="1">
        <f t="array" ref="K246">IF(ISBLANK(J246), IF(ISBLANK(I246), "N/A", _xlfn.IFS(L246="AS", I246+15, L246="NCR", I246+30, L246="submitted", I246+30, TRUE, "N/A")), _xlfn.IFS(L246="AS", J246+15, L246="NCR", J246+30, L246="submitted", J246+30, TRUE, "N/A"))</f>
        <v>N/A</v>
      </c>
      <c r="L246" s="4"/>
    </row>
    <row r="247" spans="2:12" s="1" customFormat="1" ht="15" customHeight="1">
      <c r="B247" s="9"/>
      <c r="C247" s="840" t="s">
        <v>2281</v>
      </c>
      <c r="D247" s="841" t="s">
        <v>2282</v>
      </c>
      <c r="E247" s="37"/>
      <c r="F247" s="37"/>
      <c r="G247" s="9" t="s">
        <v>336</v>
      </c>
      <c r="H247" s="13" t="s">
        <v>235</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15" customHeight="1">
      <c r="B248" s="9"/>
      <c r="C248" s="843"/>
      <c r="D248" s="844"/>
      <c r="E248" s="39"/>
      <c r="F248" s="39"/>
      <c r="G248" s="9" t="s">
        <v>337</v>
      </c>
      <c r="H248" s="13" t="s">
        <v>282</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40.5" customHeight="1">
      <c r="B249" s="9"/>
      <c r="C249" s="843"/>
      <c r="D249" s="844"/>
      <c r="E249" s="39"/>
      <c r="F249" s="39"/>
      <c r="G249" s="9" t="s">
        <v>338</v>
      </c>
      <c r="H249" s="7" t="s">
        <v>2236</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43"/>
      <c r="D250" s="844"/>
      <c r="E250" s="39"/>
      <c r="F250" s="39"/>
      <c r="G250" s="9" t="s">
        <v>405</v>
      </c>
      <c r="H250" s="13" t="s">
        <v>2132</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40.5" customHeight="1">
      <c r="B251" s="9"/>
      <c r="C251" s="843"/>
      <c r="D251" s="844"/>
      <c r="E251" s="39"/>
      <c r="F251" s="39"/>
      <c r="G251" s="9" t="s">
        <v>346</v>
      </c>
      <c r="H251" s="7" t="s">
        <v>2214</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27" customHeight="1">
      <c r="B252" s="9"/>
      <c r="C252" s="843"/>
      <c r="D252" s="844"/>
      <c r="E252" s="39"/>
      <c r="F252" s="39"/>
      <c r="G252" s="9" t="s">
        <v>746</v>
      </c>
      <c r="H252" s="7" t="s">
        <v>2215</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43"/>
      <c r="D253" s="844"/>
      <c r="E253" s="39"/>
      <c r="F253" s="39"/>
      <c r="G253" s="9" t="s">
        <v>408</v>
      </c>
      <c r="H253" s="13" t="s">
        <v>380</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43"/>
      <c r="D254" s="844"/>
      <c r="E254" s="39"/>
      <c r="F254" s="39"/>
      <c r="G254" s="9" t="s">
        <v>441</v>
      </c>
      <c r="H254" s="13" t="s">
        <v>353</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43"/>
      <c r="D255" s="844"/>
      <c r="E255" s="39"/>
      <c r="F255" s="39"/>
      <c r="G255" s="9" t="s">
        <v>2283</v>
      </c>
      <c r="H255" s="13" t="s">
        <v>2237</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43"/>
      <c r="D256" s="844"/>
      <c r="E256" s="39"/>
      <c r="F256" s="39"/>
      <c r="G256" s="9" t="s">
        <v>2284</v>
      </c>
      <c r="H256" s="13" t="s">
        <v>2185</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43"/>
      <c r="D257" s="844"/>
      <c r="E257" s="39"/>
      <c r="F257" s="39"/>
      <c r="G257" s="9" t="s">
        <v>2285</v>
      </c>
      <c r="H257" s="13" t="s">
        <v>426</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43"/>
      <c r="D258" s="844"/>
      <c r="E258" s="39"/>
      <c r="F258" s="39"/>
      <c r="G258" s="9" t="s">
        <v>2286</v>
      </c>
      <c r="H258" s="13" t="s">
        <v>2204</v>
      </c>
      <c r="I258" s="18"/>
      <c r="J258" s="18"/>
      <c r="K258" s="74"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07"/>
      <c r="D259" s="809"/>
      <c r="E259" s="46"/>
      <c r="F259" s="46"/>
      <c r="G259" s="9" t="s">
        <v>2287</v>
      </c>
      <c r="H259" s="13" t="s">
        <v>2207</v>
      </c>
      <c r="I259" s="18"/>
      <c r="J259" s="18"/>
      <c r="K259" s="74" t="str" cm="1">
        <f t="array" ref="K259">IF(ISBLANK(J259), IF(ISBLANK(I259), "N/A", _xlfn.IFS(L259="AS", I259+15, L259="NCR", I259+30, L259="submitted", I259+30, TRUE, "N/A")), _xlfn.IFS(L259="AS", J259+15, L259="NCR", J259+30, L259="submitted", J259+30, TRUE, "N/A"))</f>
        <v>N/A</v>
      </c>
      <c r="L259" s="9"/>
    </row>
    <row r="260" spans="2:12" s="5" customFormat="1" ht="15" customHeight="1">
      <c r="B260" s="4"/>
      <c r="C260" s="829" t="s">
        <v>2288</v>
      </c>
      <c r="D260" s="832" t="s">
        <v>2289</v>
      </c>
      <c r="E260" s="34"/>
      <c r="F260" s="34"/>
      <c r="G260" s="4" t="s">
        <v>336</v>
      </c>
      <c r="H260" s="17" t="s">
        <v>235</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40.5" customHeight="1">
      <c r="B261" s="4"/>
      <c r="C261" s="830"/>
      <c r="D261" s="833"/>
      <c r="E261" s="35"/>
      <c r="F261" s="35"/>
      <c r="G261" s="4" t="s">
        <v>240</v>
      </c>
      <c r="H261" s="3" t="s">
        <v>2290</v>
      </c>
      <c r="I261" s="18"/>
      <c r="J261" s="18"/>
      <c r="K261" s="74" t="str" cm="1">
        <f t="array" ref="K261">IF(ISBLANK(J261), IF(ISBLANK(I261), "N/A", _xlfn.IFS(L261="AS", I261+15, L261="NCR", I261+30, L261="submitted", I261+30, TRUE, "N/A")), _xlfn.IFS(L261="AS", J261+15, L261="NCR", J261+30, L261="submitted", J261+30, TRUE, "N/A"))</f>
        <v>N/A</v>
      </c>
      <c r="L261" s="4"/>
    </row>
    <row r="262" spans="2:12" s="5" customFormat="1" ht="15" customHeight="1">
      <c r="B262" s="4"/>
      <c r="C262" s="831"/>
      <c r="D262" s="834"/>
      <c r="E262" s="36"/>
      <c r="F262" s="36"/>
      <c r="G262" s="4" t="s">
        <v>404</v>
      </c>
      <c r="H262" s="17" t="s">
        <v>2130</v>
      </c>
      <c r="I262" s="18"/>
      <c r="J262" s="18"/>
      <c r="K262" s="74" t="str" cm="1">
        <f t="array" ref="K262">IF(ISBLANK(J262), IF(ISBLANK(I262), "N/A", _xlfn.IFS(L262="AS", I262+15, L262="NCR", I262+30, L262="submitted", I262+30, TRUE, "N/A")), _xlfn.IFS(L262="AS", J262+15, L262="NCR", J262+30, L262="submitted", J262+30, TRUE, "N/A"))</f>
        <v>N/A</v>
      </c>
      <c r="L262" s="4"/>
    </row>
    <row r="263" spans="2:12" s="1" customFormat="1" ht="15" customHeight="1">
      <c r="B263" s="9"/>
      <c r="C263" s="840" t="s">
        <v>2291</v>
      </c>
      <c r="D263" s="841" t="s">
        <v>2292</v>
      </c>
      <c r="E263" s="37"/>
      <c r="F263" s="37"/>
      <c r="G263" s="9" t="s">
        <v>281</v>
      </c>
      <c r="H263" s="13" t="s">
        <v>235</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269</v>
      </c>
      <c r="H264" s="13" t="s">
        <v>282</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43"/>
      <c r="D265" s="844"/>
      <c r="E265" s="39"/>
      <c r="F265" s="39"/>
      <c r="G265" s="9" t="s">
        <v>259</v>
      </c>
      <c r="H265" s="13" t="s">
        <v>490</v>
      </c>
      <c r="I265" s="18"/>
      <c r="J265" s="18"/>
      <c r="K265" s="74"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352</v>
      </c>
      <c r="H266" s="13" t="s">
        <v>2149</v>
      </c>
      <c r="I266" s="18"/>
      <c r="J266" s="18"/>
      <c r="K266" s="74"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9" t="s">
        <v>2293</v>
      </c>
      <c r="D267" s="832" t="s">
        <v>2294</v>
      </c>
      <c r="E267" s="34"/>
      <c r="F267" s="34"/>
      <c r="G267" s="4" t="s">
        <v>336</v>
      </c>
      <c r="H267" s="17" t="s">
        <v>235</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30"/>
      <c r="D268" s="833"/>
      <c r="E268" s="35"/>
      <c r="F268" s="35"/>
      <c r="G268" s="4" t="s">
        <v>240</v>
      </c>
      <c r="H268" s="17" t="s">
        <v>2295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53.25">
      <c r="B269" s="4"/>
      <c r="C269" s="830"/>
      <c r="D269" s="833"/>
      <c r="E269" s="35"/>
      <c r="F269" s="35"/>
      <c r="G269" s="4" t="s">
        <v>242</v>
      </c>
      <c r="H269" s="3" t="s">
        <v>2296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30"/>
      <c r="D270" s="833"/>
      <c r="E270" s="35"/>
      <c r="F270" s="35"/>
      <c r="G270" s="4" t="s">
        <v>1233</v>
      </c>
      <c r="H270" s="3" t="s">
        <v>2297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30"/>
      <c r="D271" s="833"/>
      <c r="E271" s="35"/>
      <c r="F271" s="35"/>
      <c r="G271" s="4" t="s">
        <v>1235</v>
      </c>
      <c r="H271" s="3" t="s">
        <v>2298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30"/>
      <c r="D272" s="833"/>
      <c r="E272" s="35"/>
      <c r="F272" s="35"/>
      <c r="G272" s="4" t="s">
        <v>1237</v>
      </c>
      <c r="H272" s="17" t="s">
        <v>2299</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30"/>
      <c r="D273" s="833"/>
      <c r="E273" s="35"/>
      <c r="F273" s="35"/>
      <c r="G273" s="4" t="s">
        <v>1239</v>
      </c>
      <c r="H273" s="3" t="s">
        <v>2300</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27" customHeight="1">
      <c r="B274" s="4"/>
      <c r="C274" s="830"/>
      <c r="D274" s="833"/>
      <c r="E274" s="35"/>
      <c r="F274" s="35"/>
      <c r="G274" s="4" t="s">
        <v>404</v>
      </c>
      <c r="H274" s="3" t="s">
        <v>2301</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0"/>
      <c r="D275" s="833"/>
      <c r="E275" s="35"/>
      <c r="F275" s="35"/>
      <c r="G275" s="4" t="s">
        <v>405</v>
      </c>
      <c r="H275" s="17" t="s">
        <v>2302</v>
      </c>
      <c r="I275" s="18"/>
      <c r="J275" s="18"/>
      <c r="K275" s="74"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31"/>
      <c r="D276" s="834"/>
      <c r="E276" s="36"/>
      <c r="F276" s="36"/>
      <c r="G276" s="4" t="s">
        <v>406</v>
      </c>
      <c r="H276" s="17" t="s">
        <v>2303</v>
      </c>
      <c r="I276" s="18"/>
      <c r="J276" s="18"/>
      <c r="K276" s="74" t="str" cm="1">
        <f t="array" ref="K276">IF(ISBLANK(J276), IF(ISBLANK(I276), "N/A", _xlfn.IFS(L276="AS", I276+15, L276="NCR", I276+30, L276="submitted", I276+30, TRUE, "N/A")), _xlfn.IFS(L276="AS", J276+15, L276="NCR", J276+30, L276="submitted", J276+30, TRUE, "N/A"))</f>
        <v>N/A</v>
      </c>
      <c r="L276" s="4"/>
    </row>
    <row r="277" spans="2:14" s="1" customFormat="1" ht="15" customHeight="1">
      <c r="B277" s="9"/>
      <c r="C277" s="840" t="s">
        <v>2304</v>
      </c>
      <c r="D277" s="841" t="s">
        <v>2305</v>
      </c>
      <c r="E277" s="37"/>
      <c r="F277" s="37"/>
      <c r="G277" s="9" t="s">
        <v>281</v>
      </c>
      <c r="H277" s="13" t="s">
        <v>2306</v>
      </c>
      <c r="I277" s="18"/>
      <c r="J277" s="18"/>
      <c r="K277" s="74" t="str" cm="1">
        <f t="array" ref="K277">IF(ISBLANK(J277), IF(ISBLANK(I277), "N/A", _xlfn.IFS(L277="AS", I277+15, L277="NCR", I277+30, L277="submitted", I277+30, TRUE, "N/A")), _xlfn.IFS(L277="AS", J277+15, L277="NCR", J277+30, L277="submitted", J277+30, TRUE, "N/A"))</f>
        <v>N/A</v>
      </c>
      <c r="L277" s="9"/>
      <c r="M277" s="317"/>
      <c r="N277" s="747"/>
    </row>
    <row r="278" spans="2:14" s="1" customFormat="1" ht="15" customHeight="1">
      <c r="B278" s="38"/>
      <c r="C278" s="843"/>
      <c r="D278" s="844"/>
      <c r="E278" s="39"/>
      <c r="F278" s="39"/>
      <c r="G278" s="38" t="s">
        <v>269</v>
      </c>
      <c r="H278" s="37" t="s">
        <v>2307</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43"/>
      <c r="D279" s="844"/>
      <c r="E279" s="39"/>
      <c r="F279" s="39"/>
      <c r="G279" s="38" t="s">
        <v>259</v>
      </c>
      <c r="H279" s="37" t="s">
        <v>2308</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43"/>
      <c r="D280" s="844"/>
      <c r="E280" s="39"/>
      <c r="F280" s="39"/>
      <c r="G280" s="38" t="s">
        <v>352</v>
      </c>
      <c r="H280" s="37" t="s">
        <v>2309</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15" customHeight="1">
      <c r="B281" s="38"/>
      <c r="C281" s="843"/>
      <c r="D281" s="844"/>
      <c r="E281" s="39"/>
      <c r="F281" s="39"/>
      <c r="G281" s="38" t="s">
        <v>354</v>
      </c>
      <c r="H281" s="37" t="s">
        <v>2310</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1" customFormat="1" ht="27" customHeight="1">
      <c r="B282" s="38"/>
      <c r="C282" s="807"/>
      <c r="D282" s="809"/>
      <c r="E282" s="39"/>
      <c r="F282" s="39"/>
      <c r="G282" s="38" t="s">
        <v>596</v>
      </c>
      <c r="H282" s="40" t="s">
        <v>2311</v>
      </c>
      <c r="I282" s="18"/>
      <c r="J282" s="18"/>
      <c r="K282" s="74" t="str" cm="1">
        <f t="array" ref="K282">IF(ISBLANK(J282), IF(ISBLANK(I282), "N/A", _xlfn.IFS(L282="AS", I282+15, L282="NCR", I282+30, L282="submitted", I282+30, TRUE, "N/A")), _xlfn.IFS(L282="AS", J282+15, L282="NCR", J282+30, L282="submitted", J282+30, TRUE, "N/A"))</f>
        <v>N/A</v>
      </c>
      <c r="L282" s="38"/>
      <c r="M282" s="317"/>
      <c r="N282" s="747"/>
    </row>
    <row r="283" spans="2:14" s="5" customFormat="1" ht="15" customHeight="1">
      <c r="B283" s="19"/>
      <c r="C283" s="111" t="s">
        <v>2312</v>
      </c>
      <c r="D283" s="35" t="s">
        <v>2313</v>
      </c>
      <c r="E283" s="35"/>
      <c r="F283" s="35"/>
      <c r="G283" s="19" t="s">
        <v>145</v>
      </c>
      <c r="H283" s="53"/>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t="s">
        <v>2314</v>
      </c>
      <c r="D284" s="832" t="s">
        <v>2315</v>
      </c>
      <c r="E284" s="34"/>
      <c r="F284" s="34"/>
      <c r="G284" s="19" t="s">
        <v>2316</v>
      </c>
      <c r="H284" s="53" t="s">
        <v>2317</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30"/>
      <c r="D285" s="833"/>
      <c r="E285" s="35"/>
      <c r="F285" s="35"/>
      <c r="G285" s="19" t="s">
        <v>2318</v>
      </c>
      <c r="H285" s="53" t="s">
        <v>2319</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t="s">
        <v>2320</v>
      </c>
      <c r="D286" s="832" t="s">
        <v>2321</v>
      </c>
      <c r="E286" s="34"/>
      <c r="F286" s="34"/>
      <c r="G286" s="19" t="s">
        <v>2316</v>
      </c>
      <c r="H286" s="53" t="s">
        <v>2317</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c r="D287" s="833"/>
      <c r="E287" s="35"/>
      <c r="F287" s="35"/>
      <c r="G287" s="19" t="s">
        <v>2318</v>
      </c>
      <c r="H287" s="53" t="s">
        <v>2319</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t="s">
        <v>2322</v>
      </c>
      <c r="D288" s="832" t="s">
        <v>2323</v>
      </c>
      <c r="E288" s="34"/>
      <c r="F288" s="34"/>
      <c r="G288" s="19" t="s">
        <v>2316</v>
      </c>
      <c r="H288" s="53" t="s">
        <v>2317</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c r="D289" s="833"/>
      <c r="E289" s="35"/>
      <c r="F289" s="35"/>
      <c r="G289" s="19" t="s">
        <v>2318</v>
      </c>
      <c r="H289" s="53" t="s">
        <v>2319</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t="s">
        <v>2324</v>
      </c>
      <c r="D290" s="832" t="s">
        <v>2325</v>
      </c>
      <c r="E290" s="34"/>
      <c r="F290" s="34"/>
      <c r="G290" s="19" t="s">
        <v>2316</v>
      </c>
      <c r="H290" s="53" t="s">
        <v>2317</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c r="D291" s="833"/>
      <c r="E291" s="35"/>
      <c r="F291" s="35"/>
      <c r="G291" s="19" t="s">
        <v>2318</v>
      </c>
      <c r="H291" s="53" t="s">
        <v>2319</v>
      </c>
      <c r="I291" s="18"/>
      <c r="J291" s="18"/>
      <c r="K291" s="74" t="str" cm="1">
        <f t="array" ref="K291">IF(ISBLANK(J291), IF(ISBLANK(I291), "N/A", _xlfn.IFS(L291="AS", I291+15, L291="NCR", I291+30, L291="submitted", I291+30, TRUE, "N/A")), _xlfn.IFS(L291="AS", J291+15, L291="NCR", J291+30, L291="submitted", J291+30, TRUE, "N/A"))</f>
        <v>N/A</v>
      </c>
      <c r="L291" s="19"/>
      <c r="M291" s="317"/>
      <c r="N291" s="747"/>
    </row>
    <row r="292" spans="2:14" s="5" customFormat="1" ht="15" customHeight="1">
      <c r="B292" s="19"/>
      <c r="C292" s="819" t="s">
        <v>2326</v>
      </c>
      <c r="D292" s="832" t="s">
        <v>2327</v>
      </c>
      <c r="E292" s="34"/>
      <c r="F292" s="34"/>
      <c r="G292" s="19" t="s">
        <v>2316</v>
      </c>
      <c r="H292" s="53" t="s">
        <v>2317</v>
      </c>
      <c r="I292" s="18"/>
      <c r="J292" s="18"/>
      <c r="K292" s="74" t="str" cm="1">
        <f t="array" ref="K292">IF(ISBLANK(J292), IF(ISBLANK(I292), "N/A", _xlfn.IFS(L292="AS", I292+15, L292="NCR", I292+30, L292="submitted", I292+30, TRUE, "N/A")), _xlfn.IFS(L292="AS", J292+15, L292="NCR", J292+30, L292="submitted", J292+30, TRUE, "N/A"))</f>
        <v>N/A</v>
      </c>
      <c r="L292" s="19"/>
      <c r="M292" s="317"/>
      <c r="N292" s="745" t="s">
        <v>133</v>
      </c>
    </row>
    <row r="293" spans="2:14" s="5" customFormat="1" ht="15" customHeight="1">
      <c r="B293" s="19"/>
      <c r="C293" s="819"/>
      <c r="D293" s="833"/>
      <c r="E293" s="35"/>
      <c r="F293" s="35"/>
      <c r="G293" s="19" t="s">
        <v>2318</v>
      </c>
      <c r="H293" s="53" t="s">
        <v>2319</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t="s">
        <v>2328</v>
      </c>
      <c r="D294" s="832" t="s">
        <v>2329</v>
      </c>
      <c r="E294" s="34"/>
      <c r="F294" s="34"/>
      <c r="G294" s="19" t="s">
        <v>2316</v>
      </c>
      <c r="H294" s="53" t="s">
        <v>2317</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c r="D295" s="833"/>
      <c r="E295" s="35"/>
      <c r="F295" s="35"/>
      <c r="G295" s="19" t="s">
        <v>2318</v>
      </c>
      <c r="H295" s="53" t="s">
        <v>2319</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t="s">
        <v>2330</v>
      </c>
      <c r="D296" s="832" t="s">
        <v>2331</v>
      </c>
      <c r="E296" s="34"/>
      <c r="F296" s="34"/>
      <c r="G296" s="19" t="s">
        <v>2316</v>
      </c>
      <c r="H296" s="53" t="s">
        <v>2317</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c r="D297" s="833"/>
      <c r="E297" s="35"/>
      <c r="F297" s="35"/>
      <c r="G297" s="19" t="s">
        <v>2318</v>
      </c>
      <c r="H297" s="53" t="s">
        <v>2319</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t="s">
        <v>2332</v>
      </c>
      <c r="D298" s="832" t="s">
        <v>2333</v>
      </c>
      <c r="E298" s="34"/>
      <c r="F298" s="34"/>
      <c r="G298" s="19" t="s">
        <v>2316</v>
      </c>
      <c r="H298" s="53" t="s">
        <v>2317</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c r="D299" s="833"/>
      <c r="E299" s="35"/>
      <c r="F299" s="35"/>
      <c r="G299" s="19" t="s">
        <v>2318</v>
      </c>
      <c r="H299" s="53" t="s">
        <v>2319</v>
      </c>
      <c r="I299" s="18"/>
      <c r="J299" s="18"/>
      <c r="K299" s="74"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19" t="s">
        <v>2334</v>
      </c>
      <c r="D300" s="832" t="s">
        <v>2335</v>
      </c>
      <c r="E300" s="34"/>
      <c r="F300" s="34"/>
      <c r="G300" s="19" t="s">
        <v>2316</v>
      </c>
      <c r="H300" s="53" t="s">
        <v>2317</v>
      </c>
      <c r="I300" s="18"/>
      <c r="J300" s="18"/>
      <c r="K300" s="74" t="str" cm="1">
        <f t="array" ref="K300">IF(ISBLANK(J300), IF(ISBLANK(I300), "N/A", _xlfn.IFS(L300="AS", I300+15, L300="NCR", I300+30, L300="submitted", I300+30, TRUE, "N/A")), _xlfn.IFS(L300="AS", J300+15, L300="NCR", J300+30, L300="submitted", J300+30, TRUE, "N/A"))</f>
        <v>N/A</v>
      </c>
      <c r="L300" s="19"/>
      <c r="M300" s="317"/>
      <c r="N300" s="747" t="s">
        <v>148</v>
      </c>
    </row>
    <row r="301" spans="2:14" s="5" customFormat="1" ht="15" customHeight="1">
      <c r="B301" s="19"/>
      <c r="C301" s="819"/>
      <c r="D301" s="833"/>
      <c r="E301" s="35"/>
      <c r="F301" s="35"/>
      <c r="G301" s="19" t="s">
        <v>2318</v>
      </c>
      <c r="H301" s="53" t="s">
        <v>2319</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t="s">
        <v>2336</v>
      </c>
      <c r="D302" s="832" t="s">
        <v>2337</v>
      </c>
      <c r="E302" s="34"/>
      <c r="F302" s="34"/>
      <c r="G302" s="19" t="s">
        <v>2316</v>
      </c>
      <c r="H302" s="53" t="s">
        <v>2317</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c r="D303" s="833"/>
      <c r="E303" s="35"/>
      <c r="F303" s="35"/>
      <c r="G303" s="19" t="s">
        <v>2318</v>
      </c>
      <c r="H303" s="53" t="s">
        <v>2319</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t="s">
        <v>2338</v>
      </c>
      <c r="D304" s="832" t="s">
        <v>2339</v>
      </c>
      <c r="E304" s="34"/>
      <c r="F304" s="34"/>
      <c r="G304" s="19" t="s">
        <v>2316</v>
      </c>
      <c r="H304" s="53" t="s">
        <v>2317</v>
      </c>
      <c r="I304" s="18"/>
      <c r="J304" s="18"/>
      <c r="K304" s="74" t="str" cm="1">
        <f t="array" ref="K304">IF(ISBLANK(J304), IF(ISBLANK(I304), "N/A", _xlfn.IFS(L304="AS", I304+15, L304="NCR", I304+30, L304="submitted", I304+30, TRUE, "N/A")), _xlfn.IFS(L304="AS", J304+15, L304="NCR", J304+30, L304="submitted", J304+30, TRUE, "N/A"))</f>
        <v>N/A</v>
      </c>
      <c r="L304" s="19"/>
      <c r="M304" s="317"/>
      <c r="N304" s="747"/>
    </row>
    <row r="305" spans="2:14" s="5" customFormat="1" ht="15" customHeight="1">
      <c r="B305" s="19"/>
      <c r="C305" s="819"/>
      <c r="D305" s="833"/>
      <c r="E305" s="35"/>
      <c r="F305" s="35"/>
      <c r="G305" s="19" t="s">
        <v>2318</v>
      </c>
      <c r="H305" s="53" t="s">
        <v>2319</v>
      </c>
      <c r="I305" s="18"/>
      <c r="J305" s="18"/>
      <c r="K305" s="74" t="str" cm="1">
        <f t="array" ref="K305">IF(ISBLANK(J305), IF(ISBLANK(I305), "N/A", _xlfn.IFS(L305="AS", I305+15, L305="NCR", I305+30, L305="submitted", I305+30, TRUE, "N/A")), _xlfn.IFS(L305="AS", J305+15, L305="NCR", J305+30, L305="submitted", J305+30, TRUE, "N/A"))</f>
        <v>N/A</v>
      </c>
      <c r="L305" s="19"/>
      <c r="M305" s="318"/>
      <c r="N305" s="747"/>
    </row>
    <row r="306" spans="2:14" s="5" customFormat="1" ht="15" customHeight="1">
      <c r="B306" s="19"/>
      <c r="C306" s="819" t="s">
        <v>2340</v>
      </c>
      <c r="D306" s="832" t="s">
        <v>2341</v>
      </c>
      <c r="E306" s="34"/>
      <c r="F306" s="34"/>
      <c r="G306" s="19" t="s">
        <v>2316</v>
      </c>
      <c r="H306" s="53" t="s">
        <v>2317</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c r="D307" s="833"/>
      <c r="E307" s="35"/>
      <c r="F307" s="35"/>
      <c r="G307" s="19" t="s">
        <v>2318</v>
      </c>
      <c r="H307" s="53" t="s">
        <v>2319</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t="s">
        <v>2342</v>
      </c>
      <c r="D308" s="832" t="s">
        <v>2343</v>
      </c>
      <c r="E308" s="34"/>
      <c r="F308" s="34"/>
      <c r="G308" s="19" t="s">
        <v>2316</v>
      </c>
      <c r="H308" s="53" t="s">
        <v>2317</v>
      </c>
      <c r="I308" s="18"/>
      <c r="J308" s="18"/>
      <c r="K308" s="74" t="str" cm="1">
        <f t="array" ref="K308">IF(ISBLANK(J308), IF(ISBLANK(I308), "N/A", _xlfn.IFS(L308="AS", I308+15, L308="NCR", I308+30, L308="submitted", I308+30, TRUE, "N/A")), _xlfn.IFS(L308="AS", J308+15, L308="NCR", J308+30, L308="submitted", J308+30, TRUE, "N/A"))</f>
        <v>N/A</v>
      </c>
      <c r="L308" s="19"/>
      <c r="M308" s="317"/>
      <c r="N308" s="747"/>
    </row>
    <row r="309" spans="2:14" s="5" customFormat="1" ht="15" customHeight="1">
      <c r="B309" s="19"/>
      <c r="C309" s="819"/>
      <c r="D309" s="833"/>
      <c r="E309" s="35"/>
      <c r="F309" s="35"/>
      <c r="G309" s="19" t="s">
        <v>2318</v>
      </c>
      <c r="H309" s="53" t="s">
        <v>2319</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t="s">
        <v>2344</v>
      </c>
      <c r="D310" s="832" t="s">
        <v>2345</v>
      </c>
      <c r="E310" s="34"/>
      <c r="F310" s="34"/>
      <c r="G310" s="19" t="s">
        <v>2316</v>
      </c>
      <c r="H310" s="53" t="s">
        <v>2317</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19"/>
      <c r="D311" s="833"/>
      <c r="E311" s="35"/>
      <c r="F311" s="35"/>
      <c r="G311" s="19" t="s">
        <v>2318</v>
      </c>
      <c r="H311" s="53" t="s">
        <v>2319</v>
      </c>
      <c r="I311" s="18"/>
      <c r="J311" s="18"/>
      <c r="K311" s="74" t="str" cm="1">
        <f t="array" ref="K311">IF(ISBLANK(J311), IF(ISBLANK(I311), "N/A", _xlfn.IFS(L311="AS", I311+15, L311="NCR", I311+30, L311="submitted", I311+30, TRUE, "N/A")), _xlfn.IFS(L311="AS", J311+15, L311="NCR", J311+30, L311="submitted", J311+30, TRUE, "N/A"))</f>
        <v>N/A</v>
      </c>
      <c r="L311" s="19"/>
    </row>
    <row r="312" spans="2:14" s="5" customFormat="1" ht="15" customHeight="1">
      <c r="B312" s="19"/>
      <c r="C312" s="830" t="s">
        <v>2346</v>
      </c>
      <c r="D312" s="832" t="s">
        <v>2347</v>
      </c>
      <c r="E312" s="34"/>
      <c r="F312" s="34"/>
      <c r="G312" s="19" t="s">
        <v>2316</v>
      </c>
      <c r="H312" s="53" t="s">
        <v>2317</v>
      </c>
      <c r="I312" s="18"/>
      <c r="J312" s="18"/>
      <c r="K312" s="74" t="str" cm="1">
        <f t="array" ref="K312">IF(ISBLANK(J312), IF(ISBLANK(I312), "N/A", _xlfn.IFS(L312="AS", I312+15, L312="NCR", I312+30, L312="submitted", I312+30, TRUE, "N/A")), _xlfn.IFS(L312="AS", J312+15, L312="NCR", J312+30, L312="submitted", J312+30, TRUE, "N/A"))</f>
        <v>N/A</v>
      </c>
      <c r="L312" s="53"/>
    </row>
    <row r="313" spans="2:14" s="45" customFormat="1" ht="15.75" customHeight="1">
      <c r="B313" s="42"/>
      <c r="C313" s="882"/>
      <c r="D313" s="883"/>
      <c r="E313" s="49"/>
      <c r="F313" s="49"/>
      <c r="G313" s="42" t="s">
        <v>2318</v>
      </c>
      <c r="H313" s="61" t="s">
        <v>2319</v>
      </c>
      <c r="I313" s="18"/>
      <c r="J313" s="18"/>
      <c r="K313" s="74" t="str" cm="1">
        <f t="array" ref="K313">IF(ISBLANK(J313), IF(ISBLANK(I313), "N/A", _xlfn.IFS(L313="AS", I313+15, L313="NCR", I313+30, L313="submitted", I313+30, TRUE, "N/A")), _xlfn.IFS(L313="AS", J313+15, L313="NCR", J313+30, L313="submitted", J313+30, TRUE, "N/A"))</f>
        <v>N/A</v>
      </c>
      <c r="L313" s="61"/>
    </row>
  </sheetData>
  <mergeCells count="82">
    <mergeCell ref="N132:Q206"/>
    <mergeCell ref="N207:Q214"/>
    <mergeCell ref="C300:C301"/>
    <mergeCell ref="D300:D301"/>
    <mergeCell ref="C302:C303"/>
    <mergeCell ref="D302:D303"/>
    <mergeCell ref="C288:C289"/>
    <mergeCell ref="D288:D289"/>
    <mergeCell ref="C290:C291"/>
    <mergeCell ref="D290:D291"/>
    <mergeCell ref="C292:C293"/>
    <mergeCell ref="D292:D293"/>
    <mergeCell ref="C294:C295"/>
    <mergeCell ref="D294:D295"/>
    <mergeCell ref="C296:C297"/>
    <mergeCell ref="D296:D297"/>
    <mergeCell ref="C304:C305"/>
    <mergeCell ref="D304:D305"/>
    <mergeCell ref="C312:C313"/>
    <mergeCell ref="D312:D313"/>
    <mergeCell ref="C306:C307"/>
    <mergeCell ref="D306:D307"/>
    <mergeCell ref="C308:C309"/>
    <mergeCell ref="D308:D309"/>
    <mergeCell ref="C310:C311"/>
    <mergeCell ref="D310:D311"/>
    <mergeCell ref="C298:C299"/>
    <mergeCell ref="D298:D299"/>
    <mergeCell ref="C260:C262"/>
    <mergeCell ref="D260:D262"/>
    <mergeCell ref="C263:C266"/>
    <mergeCell ref="D263:D266"/>
    <mergeCell ref="C267:C276"/>
    <mergeCell ref="D267:D276"/>
    <mergeCell ref="C277:C282"/>
    <mergeCell ref="D277:D282"/>
    <mergeCell ref="C284:C285"/>
    <mergeCell ref="D284:D285"/>
    <mergeCell ref="C286:C287"/>
    <mergeCell ref="D286:D287"/>
    <mergeCell ref="D156:D160"/>
    <mergeCell ref="C238:C246"/>
    <mergeCell ref="D238:D246"/>
    <mergeCell ref="C247:C259"/>
    <mergeCell ref="D247:D259"/>
    <mergeCell ref="C198:C209"/>
    <mergeCell ref="D198:D209"/>
    <mergeCell ref="C210:C220"/>
    <mergeCell ref="D210:D220"/>
    <mergeCell ref="C221:C230"/>
    <mergeCell ref="D221:D230"/>
    <mergeCell ref="C173:C176"/>
    <mergeCell ref="D173:D176"/>
    <mergeCell ref="C231:C237"/>
    <mergeCell ref="D231:D237"/>
    <mergeCell ref="C177:C178"/>
    <mergeCell ref="D177:D178"/>
    <mergeCell ref="C179:C184"/>
    <mergeCell ref="D179:D184"/>
    <mergeCell ref="C185:C197"/>
    <mergeCell ref="D185:D197"/>
    <mergeCell ref="B1:H1"/>
    <mergeCell ref="C99:C110"/>
    <mergeCell ref="D99:D110"/>
    <mergeCell ref="C170:C172"/>
    <mergeCell ref="D170:D172"/>
    <mergeCell ref="C161:C165"/>
    <mergeCell ref="D161:D165"/>
    <mergeCell ref="C111:C122"/>
    <mergeCell ref="D111:D122"/>
    <mergeCell ref="C123:C136"/>
    <mergeCell ref="D123:D136"/>
    <mergeCell ref="C137:C141"/>
    <mergeCell ref="D137:D141"/>
    <mergeCell ref="C142:C155"/>
    <mergeCell ref="D142:D155"/>
    <mergeCell ref="C156:C160"/>
    <mergeCell ref="N3:Q6"/>
    <mergeCell ref="N7:Q39"/>
    <mergeCell ref="N40:Q47"/>
    <mergeCell ref="N48:Q123"/>
    <mergeCell ref="N124:Q131"/>
  </mergeCells>
  <conditionalFormatting sqref="B3:L9004">
    <cfRule type="expression" dxfId="15" priority="5">
      <formula>OR(INDEX($L:$L,ROW())="NCR",INDEX($L:$L,ROW())="NR",INDEX($L:$L,ROW())="AS")</formula>
    </cfRule>
  </conditionalFormatting>
  <conditionalFormatting sqref="B3:L9004">
    <cfRule type="expression" dxfId="14" priority="4">
      <formula>OR(INDEX($L:$L,ROW())="AC",INDEX($L:$L,ROW())="AN",INDEX($L:$L,ROW())="RC",INDEX($L:$L,ROW())="RA")</formula>
    </cfRule>
  </conditionalFormatting>
  <conditionalFormatting sqref="B3:L9004">
    <cfRule type="expression" dxfId="13" priority="3">
      <formula>OR(INDEX($L:$L,ROW())="Submitted",INDEX($L:$L,ROW())="REV")</formula>
    </cfRule>
  </conditionalFormatting>
  <conditionalFormatting sqref="B3:L9004">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7"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2088</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43" t="s">
        <v>2348</v>
      </c>
      <c r="D3" s="929" t="s">
        <v>2349</v>
      </c>
      <c r="E3" s="159"/>
      <c r="F3" s="140"/>
      <c r="G3" s="566" t="s">
        <v>869</v>
      </c>
      <c r="H3" s="46" t="s">
        <v>2350</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43"/>
      <c r="D4" s="929"/>
      <c r="E4" s="159"/>
      <c r="F4" s="140"/>
      <c r="G4" s="566" t="s">
        <v>871</v>
      </c>
      <c r="H4" s="46" t="s">
        <v>2351</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43"/>
      <c r="D5" s="929"/>
      <c r="E5" s="159"/>
      <c r="F5" s="140"/>
      <c r="G5" s="566" t="s">
        <v>873</v>
      </c>
      <c r="H5" s="46" t="s">
        <v>2352</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43"/>
      <c r="D6" s="929"/>
      <c r="E6" s="159"/>
      <c r="F6" s="140"/>
      <c r="G6" s="566" t="s">
        <v>875</v>
      </c>
      <c r="H6" s="46" t="s">
        <v>2353</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43"/>
      <c r="D7" s="929"/>
      <c r="E7" s="159"/>
      <c r="F7" s="140"/>
      <c r="G7" s="566" t="s">
        <v>1352</v>
      </c>
      <c r="H7" s="46" t="s">
        <v>2354</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43"/>
      <c r="D8" s="929"/>
      <c r="E8" s="159"/>
      <c r="F8" s="140"/>
      <c r="G8" s="566" t="s">
        <v>1354</v>
      </c>
      <c r="H8" s="46" t="s">
        <v>2355</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43"/>
      <c r="D9" s="929"/>
      <c r="E9" s="159"/>
      <c r="F9" s="140"/>
      <c r="G9" s="566" t="s">
        <v>1356</v>
      </c>
      <c r="H9" s="46" t="s">
        <v>2356</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43"/>
      <c r="D10" s="929"/>
      <c r="E10" s="159"/>
      <c r="F10" s="140"/>
      <c r="G10" s="566" t="s">
        <v>1358</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43"/>
      <c r="D11" s="929"/>
      <c r="E11" s="159"/>
      <c r="F11" s="140"/>
      <c r="G11" s="566" t="s">
        <v>2357</v>
      </c>
      <c r="H11" s="46" t="s">
        <v>2358</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43"/>
      <c r="D12" s="929"/>
      <c r="E12" s="159"/>
      <c r="F12" s="140"/>
      <c r="G12" s="566" t="s">
        <v>2359</v>
      </c>
      <c r="H12" s="46" t="s">
        <v>2360</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43"/>
      <c r="D13" s="929"/>
      <c r="E13" s="159"/>
      <c r="F13" s="140"/>
      <c r="G13" s="566" t="s">
        <v>2361</v>
      </c>
      <c r="H13" s="46" t="s">
        <v>2362</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43"/>
      <c r="D14" s="929"/>
      <c r="E14" s="159"/>
      <c r="F14" s="140"/>
      <c r="G14" s="566" t="s">
        <v>2363</v>
      </c>
      <c r="H14" s="46" t="s">
        <v>2364</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43"/>
      <c r="D15" s="929"/>
      <c r="E15" s="159"/>
      <c r="F15" s="140"/>
      <c r="G15" s="566" t="s">
        <v>2365</v>
      </c>
      <c r="H15" s="46" t="s">
        <v>2366</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43"/>
      <c r="D16" s="929"/>
      <c r="E16" s="159"/>
      <c r="F16" s="140"/>
      <c r="G16" s="566" t="s">
        <v>2367</v>
      </c>
      <c r="H16" s="46" t="s">
        <v>2368</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26"/>
      <c r="E17" s="159"/>
      <c r="F17" s="140"/>
      <c r="G17" s="566" t="s">
        <v>2369</v>
      </c>
      <c r="H17" s="46" t="s">
        <v>2370</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2371</v>
      </c>
      <c r="D18" s="132" t="s">
        <v>2372</v>
      </c>
      <c r="E18" s="143"/>
      <c r="F18" s="126"/>
      <c r="G18" s="145" t="s">
        <v>212</v>
      </c>
      <c r="H18" s="3" t="s">
        <v>2373</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40" t="s">
        <v>2374</v>
      </c>
      <c r="D19" s="927" t="s">
        <v>2375</v>
      </c>
      <c r="E19" s="142"/>
      <c r="F19" s="140"/>
      <c r="G19" s="141" t="s">
        <v>212</v>
      </c>
      <c r="H19" s="7" t="s">
        <v>2376</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8"/>
      <c r="E20" s="142"/>
      <c r="F20" s="140"/>
      <c r="G20" s="141" t="s">
        <v>336</v>
      </c>
      <c r="H20" s="13" t="s">
        <v>2377</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9" t="s">
        <v>2378</v>
      </c>
      <c r="D21" s="930" t="s">
        <v>2379</v>
      </c>
      <c r="E21" s="157"/>
      <c r="F21" s="126"/>
      <c r="G21" s="145" t="s">
        <v>212</v>
      </c>
      <c r="H21" s="3" t="s">
        <v>2376</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31"/>
      <c r="D22" s="931"/>
      <c r="E22" s="157"/>
      <c r="F22" s="126"/>
      <c r="G22" s="145" t="s">
        <v>336</v>
      </c>
      <c r="H22" s="17" t="s">
        <v>2380</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40" t="s">
        <v>2381</v>
      </c>
      <c r="D23" s="925" t="s">
        <v>2382</v>
      </c>
      <c r="E23" s="159"/>
      <c r="F23" s="140"/>
      <c r="G23" s="141" t="s">
        <v>212</v>
      </c>
      <c r="H23" s="7" t="s">
        <v>2376</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26"/>
      <c r="E24" s="159"/>
      <c r="F24" s="140"/>
      <c r="G24" s="141" t="s">
        <v>336</v>
      </c>
      <c r="H24" s="13" t="s">
        <v>2380</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9" t="s">
        <v>2383</v>
      </c>
      <c r="D25" s="864" t="s">
        <v>2384</v>
      </c>
      <c r="E25" s="143"/>
      <c r="F25" s="126"/>
      <c r="G25" s="145" t="s">
        <v>212</v>
      </c>
      <c r="H25" s="3" t="s">
        <v>2376</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31"/>
      <c r="D26" s="866"/>
      <c r="E26" s="143"/>
      <c r="F26" s="126"/>
      <c r="G26" s="145" t="s">
        <v>336</v>
      </c>
      <c r="H26" s="17" t="s">
        <v>2380</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40" t="s">
        <v>2385</v>
      </c>
      <c r="D27" s="927" t="s">
        <v>2386</v>
      </c>
      <c r="E27" s="142"/>
      <c r="F27" s="140"/>
      <c r="G27" s="141" t="s">
        <v>212</v>
      </c>
      <c r="H27" s="7" t="s">
        <v>2387</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8"/>
      <c r="E28" s="142"/>
      <c r="F28" s="140"/>
      <c r="G28" s="141" t="s">
        <v>336</v>
      </c>
      <c r="H28" s="13" t="s">
        <v>2380</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9" t="s">
        <v>2388</v>
      </c>
      <c r="D29" s="864" t="s">
        <v>2389</v>
      </c>
      <c r="E29" s="143"/>
      <c r="F29" s="126"/>
      <c r="G29" s="145" t="s">
        <v>212</v>
      </c>
      <c r="H29" s="3" t="s">
        <v>2376</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31"/>
      <c r="D30" s="866"/>
      <c r="E30" s="143"/>
      <c r="F30" s="126"/>
      <c r="G30" s="145" t="s">
        <v>336</v>
      </c>
      <c r="H30" s="17" t="s">
        <v>2377</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40" t="s">
        <v>2390</v>
      </c>
      <c r="D31" s="925" t="s">
        <v>2391</v>
      </c>
      <c r="E31" s="159"/>
      <c r="F31" s="140"/>
      <c r="G31" s="141" t="s">
        <v>212</v>
      </c>
      <c r="H31" s="7" t="s">
        <v>2376</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26"/>
      <c r="E32" s="159"/>
      <c r="F32" s="140"/>
      <c r="G32" s="141" t="s">
        <v>336</v>
      </c>
      <c r="H32" s="13" t="s">
        <v>2380</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9" t="s">
        <v>2392</v>
      </c>
      <c r="D33" s="864" t="s">
        <v>2393</v>
      </c>
      <c r="E33" s="143"/>
      <c r="F33" s="126"/>
      <c r="G33" s="145" t="s">
        <v>212</v>
      </c>
      <c r="H33" s="3" t="s">
        <v>2376</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31"/>
      <c r="D34" s="866"/>
      <c r="E34" s="143"/>
      <c r="F34" s="126"/>
      <c r="G34" s="145" t="s">
        <v>336</v>
      </c>
      <c r="H34" s="17" t="s">
        <v>2377</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40" t="s">
        <v>2394</v>
      </c>
      <c r="D35" s="927" t="s">
        <v>2395</v>
      </c>
      <c r="E35" s="142"/>
      <c r="F35" s="140"/>
      <c r="G35" s="141" t="s">
        <v>212</v>
      </c>
      <c r="H35" s="7" t="s">
        <v>2376</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8"/>
      <c r="E36" s="142"/>
      <c r="F36" s="140"/>
      <c r="G36" s="141" t="s">
        <v>336</v>
      </c>
      <c r="H36" s="13" t="s">
        <v>2380</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9" t="s">
        <v>2396</v>
      </c>
      <c r="D37" s="864" t="s">
        <v>2397</v>
      </c>
      <c r="E37" s="143"/>
      <c r="F37" s="126"/>
      <c r="G37" s="145" t="s">
        <v>212</v>
      </c>
      <c r="H37" s="3" t="s">
        <v>2376</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31"/>
      <c r="D38" s="866"/>
      <c r="E38" s="143"/>
      <c r="F38" s="126"/>
      <c r="G38" s="145" t="s">
        <v>336</v>
      </c>
      <c r="H38" s="17" t="s">
        <v>2377</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40" t="s">
        <v>2398</v>
      </c>
      <c r="D39" s="925" t="s">
        <v>2399</v>
      </c>
      <c r="E39" s="159"/>
      <c r="F39" s="140"/>
      <c r="G39" s="141" t="s">
        <v>212</v>
      </c>
      <c r="H39" s="7" t="s">
        <v>2376</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26"/>
      <c r="E40" s="159"/>
      <c r="F40" s="140"/>
      <c r="G40" s="141" t="s">
        <v>336</v>
      </c>
      <c r="H40" s="13" t="s">
        <v>2377</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9" t="s">
        <v>2400</v>
      </c>
      <c r="D41" s="864" t="s">
        <v>2401</v>
      </c>
      <c r="E41" s="143"/>
      <c r="F41" s="126"/>
      <c r="G41" s="145" t="s">
        <v>212</v>
      </c>
      <c r="H41" s="3" t="s">
        <v>2402</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31"/>
      <c r="D42" s="866"/>
      <c r="E42" s="143"/>
      <c r="F42" s="126"/>
      <c r="G42" s="145" t="s">
        <v>336</v>
      </c>
      <c r="H42" s="17" t="s">
        <v>2380</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40" t="s">
        <v>2403</v>
      </c>
      <c r="D43" s="927" t="s">
        <v>2404</v>
      </c>
      <c r="E43" s="142"/>
      <c r="F43" s="140"/>
      <c r="G43" s="141" t="s">
        <v>212</v>
      </c>
      <c r="H43" s="7" t="s">
        <v>2376</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8"/>
      <c r="E44" s="142"/>
      <c r="F44" s="140"/>
      <c r="G44" s="141" t="s">
        <v>336</v>
      </c>
      <c r="H44" s="13" t="s">
        <v>2377</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9" t="s">
        <v>2405</v>
      </c>
      <c r="D45" s="864" t="s">
        <v>2406</v>
      </c>
      <c r="E45" s="143"/>
      <c r="F45" s="126"/>
      <c r="G45" s="145" t="s">
        <v>212</v>
      </c>
      <c r="H45" s="3" t="s">
        <v>2376</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31"/>
      <c r="D46" s="866"/>
      <c r="E46" s="143"/>
      <c r="F46" s="126"/>
      <c r="G46" s="145" t="s">
        <v>336</v>
      </c>
      <c r="H46" s="17" t="s">
        <v>2380</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40" t="s">
        <v>2407</v>
      </c>
      <c r="D47" s="927" t="s">
        <v>2408</v>
      </c>
      <c r="E47" s="142"/>
      <c r="F47" s="140"/>
      <c r="G47" s="141" t="s">
        <v>212</v>
      </c>
      <c r="H47" s="7" t="s">
        <v>2376</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8"/>
      <c r="E48" s="142"/>
      <c r="F48" s="140"/>
      <c r="G48" s="141" t="s">
        <v>336</v>
      </c>
      <c r="H48" s="13" t="s">
        <v>2380</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9" t="s">
        <v>2409</v>
      </c>
      <c r="D49" s="864" t="s">
        <v>2410</v>
      </c>
      <c r="E49" s="143"/>
      <c r="F49" s="126"/>
      <c r="G49" s="145" t="s">
        <v>212</v>
      </c>
      <c r="H49" s="3" t="s">
        <v>2376</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31"/>
      <c r="D50" s="866"/>
      <c r="E50" s="143"/>
      <c r="F50" s="126"/>
      <c r="G50" s="145" t="s">
        <v>336</v>
      </c>
      <c r="H50" s="17" t="s">
        <v>2380</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40" t="s">
        <v>2411</v>
      </c>
      <c r="D51" s="927" t="s">
        <v>2412</v>
      </c>
      <c r="E51" s="142"/>
      <c r="F51" s="140"/>
      <c r="G51" s="141" t="s">
        <v>212</v>
      </c>
      <c r="H51" s="7" t="s">
        <v>2413</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8"/>
      <c r="E52" s="142"/>
      <c r="F52" s="140"/>
      <c r="G52" s="141" t="s">
        <v>336</v>
      </c>
      <c r="H52" s="13" t="s">
        <v>2380</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9" t="s">
        <v>2414</v>
      </c>
      <c r="D53" s="864" t="s">
        <v>2415</v>
      </c>
      <c r="E53" s="143"/>
      <c r="F53" s="126"/>
      <c r="G53" s="145" t="s">
        <v>212</v>
      </c>
      <c r="H53" s="3" t="s">
        <v>2376</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31"/>
      <c r="D54" s="866"/>
      <c r="E54" s="143"/>
      <c r="F54" s="126"/>
      <c r="G54" s="145" t="s">
        <v>336</v>
      </c>
      <c r="H54" s="17" t="s">
        <v>2380</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40" t="s">
        <v>2416</v>
      </c>
      <c r="D55" s="927" t="s">
        <v>2417</v>
      </c>
      <c r="E55" s="142"/>
      <c r="F55" s="140"/>
      <c r="G55" s="141" t="s">
        <v>212</v>
      </c>
      <c r="H55" s="7" t="s">
        <v>2376</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8"/>
      <c r="E56" s="142"/>
      <c r="F56" s="140"/>
      <c r="G56" s="141" t="s">
        <v>336</v>
      </c>
      <c r="H56" s="13" t="s">
        <v>2380</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9" t="s">
        <v>2418</v>
      </c>
      <c r="D57" s="864" t="s">
        <v>2419</v>
      </c>
      <c r="E57" s="143"/>
      <c r="F57" s="126"/>
      <c r="G57" s="145" t="s">
        <v>212</v>
      </c>
      <c r="H57" s="3" t="s">
        <v>2376</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31"/>
      <c r="D58" s="866"/>
      <c r="E58" s="143"/>
      <c r="F58" s="126"/>
      <c r="G58" s="145" t="s">
        <v>336</v>
      </c>
      <c r="H58" s="17" t="s">
        <v>2380</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40" t="s">
        <v>2420</v>
      </c>
      <c r="D59" s="925" t="s">
        <v>2421</v>
      </c>
      <c r="E59" s="159"/>
      <c r="F59" s="140"/>
      <c r="G59" s="141" t="s">
        <v>212</v>
      </c>
      <c r="H59" s="7" t="s">
        <v>2376</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26"/>
      <c r="E60" s="159"/>
      <c r="F60" s="140"/>
      <c r="G60" s="141" t="s">
        <v>336</v>
      </c>
      <c r="H60" s="13" t="s">
        <v>2380</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9" t="s">
        <v>2422</v>
      </c>
      <c r="D61" s="930" t="s">
        <v>2423</v>
      </c>
      <c r="E61" s="157"/>
      <c r="F61" s="126"/>
      <c r="G61" s="145" t="s">
        <v>212</v>
      </c>
      <c r="H61" s="3" t="s">
        <v>2376</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31"/>
      <c r="D62" s="931"/>
      <c r="E62" s="157"/>
      <c r="F62" s="126"/>
      <c r="G62" s="145" t="s">
        <v>336</v>
      </c>
      <c r="H62" s="17" t="s">
        <v>2380</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40" t="s">
        <v>2424</v>
      </c>
      <c r="D63" s="927" t="s">
        <v>2425</v>
      </c>
      <c r="E63" s="142"/>
      <c r="F63" s="140"/>
      <c r="G63" s="141" t="s">
        <v>212</v>
      </c>
      <c r="H63" s="7" t="s">
        <v>2426</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8"/>
      <c r="E64" s="142"/>
      <c r="F64" s="140"/>
      <c r="G64" s="141" t="s">
        <v>336</v>
      </c>
      <c r="H64" s="13" t="s">
        <v>2380</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9" t="s">
        <v>2427</v>
      </c>
      <c r="D65" s="864" t="s">
        <v>2428</v>
      </c>
      <c r="E65" s="143"/>
      <c r="F65" s="126"/>
      <c r="G65" s="145" t="s">
        <v>212</v>
      </c>
      <c r="H65" s="3" t="s">
        <v>2429</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31"/>
      <c r="D66" s="866"/>
      <c r="E66" s="143"/>
      <c r="F66" s="126"/>
      <c r="G66" s="145" t="s">
        <v>336</v>
      </c>
      <c r="H66" s="3" t="s">
        <v>2430</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40" t="s">
        <v>2431</v>
      </c>
      <c r="D67" s="927" t="s">
        <v>2432</v>
      </c>
      <c r="E67" s="142"/>
      <c r="F67" s="140"/>
      <c r="G67" s="141" t="s">
        <v>208</v>
      </c>
      <c r="H67" s="7" t="s">
        <v>2429</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43"/>
      <c r="D68" s="932"/>
      <c r="E68" s="142"/>
      <c r="F68" s="140"/>
      <c r="G68" s="141" t="s">
        <v>281</v>
      </c>
      <c r="H68" s="7" t="s">
        <v>2430</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43"/>
      <c r="D69" s="932"/>
      <c r="E69" s="142"/>
      <c r="F69" s="140"/>
      <c r="G69" s="141" t="s">
        <v>329</v>
      </c>
      <c r="H69" s="7" t="s">
        <v>2214</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8"/>
      <c r="E70" s="142"/>
      <c r="F70" s="140"/>
      <c r="G70" s="141" t="s">
        <v>601</v>
      </c>
      <c r="H70" s="7" t="s">
        <v>2215</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9" t="s">
        <v>2433</v>
      </c>
      <c r="D71" s="864" t="s">
        <v>2434</v>
      </c>
      <c r="E71" s="143"/>
      <c r="F71" s="126"/>
      <c r="G71" s="145" t="s">
        <v>208</v>
      </c>
      <c r="H71" s="3" t="s">
        <v>2429</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30"/>
      <c r="D72" s="865"/>
      <c r="E72" s="143"/>
      <c r="F72" s="126"/>
      <c r="G72" s="145" t="s">
        <v>222</v>
      </c>
      <c r="H72" s="3" t="s">
        <v>2214</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31"/>
      <c r="D73" s="866"/>
      <c r="E73" s="143"/>
      <c r="F73" s="126"/>
      <c r="G73" s="145" t="s">
        <v>543</v>
      </c>
      <c r="H73" s="3" t="s">
        <v>2435</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40" t="s">
        <v>2436</v>
      </c>
      <c r="D74" s="927" t="s">
        <v>2437</v>
      </c>
      <c r="E74" s="142"/>
      <c r="F74" s="140"/>
      <c r="G74" s="141" t="s">
        <v>208</v>
      </c>
      <c r="H74" s="7" t="s">
        <v>2429</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8"/>
      <c r="E75" s="142"/>
      <c r="F75" s="140"/>
      <c r="G75" s="141" t="s">
        <v>281</v>
      </c>
      <c r="H75" s="7" t="s">
        <v>2430</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2438</v>
      </c>
      <c r="D76" s="345" t="s">
        <v>2439</v>
      </c>
      <c r="E76" s="143"/>
      <c r="F76" s="126"/>
      <c r="G76" s="145" t="s">
        <v>208</v>
      </c>
      <c r="H76" s="3" t="s">
        <v>2429</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2438</v>
      </c>
      <c r="D77" s="345" t="s">
        <v>2439</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2440</v>
      </c>
      <c r="C78" s="530" t="s">
        <v>2438</v>
      </c>
      <c r="D78" s="657" t="s">
        <v>2439</v>
      </c>
      <c r="E78" s="526" t="s">
        <v>2441</v>
      </c>
      <c r="F78" s="655" t="s">
        <v>2442</v>
      </c>
      <c r="G78" s="527" t="s">
        <v>222</v>
      </c>
      <c r="H78" s="540" t="s">
        <v>2443</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2440</v>
      </c>
      <c r="C79" s="530" t="s">
        <v>2438</v>
      </c>
      <c r="D79" s="657" t="s">
        <v>2439</v>
      </c>
      <c r="E79" s="526" t="s">
        <v>2441</v>
      </c>
      <c r="F79" s="655" t="s">
        <v>2442</v>
      </c>
      <c r="G79" s="527" t="s">
        <v>543</v>
      </c>
      <c r="H79" s="532" t="s">
        <v>2444</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2438</v>
      </c>
      <c r="D80" s="345" t="s">
        <v>2439</v>
      </c>
      <c r="E80" s="143"/>
      <c r="F80" s="126"/>
      <c r="G80" s="145" t="s">
        <v>2445</v>
      </c>
      <c r="H80" s="3" t="s">
        <v>2214</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2440</v>
      </c>
      <c r="C81" s="54" t="s">
        <v>2438</v>
      </c>
      <c r="D81" s="345" t="s">
        <v>2439</v>
      </c>
      <c r="E81" s="143"/>
      <c r="F81" s="126"/>
      <c r="G81" s="145" t="s">
        <v>601</v>
      </c>
      <c r="H81" s="3" t="s">
        <v>2215</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40" t="s">
        <v>2446</v>
      </c>
      <c r="D82" s="927" t="s">
        <v>2447</v>
      </c>
      <c r="E82" s="142"/>
      <c r="F82" s="140"/>
      <c r="G82" s="141" t="s">
        <v>208</v>
      </c>
      <c r="H82" s="7" t="s">
        <v>2448</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43"/>
      <c r="D83" s="932"/>
      <c r="E83" s="142"/>
      <c r="F83" s="140"/>
      <c r="G83" s="141" t="s">
        <v>281</v>
      </c>
      <c r="H83" s="13" t="s">
        <v>2449</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43"/>
      <c r="D84" s="932"/>
      <c r="E84" s="142"/>
      <c r="F84" s="140"/>
      <c r="G84" s="141" t="s">
        <v>269</v>
      </c>
      <c r="H84" s="7" t="s">
        <v>2430</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43"/>
      <c r="D85" s="932"/>
      <c r="E85" s="142"/>
      <c r="F85" s="140"/>
      <c r="G85" s="141" t="s">
        <v>372</v>
      </c>
      <c r="H85" s="7" t="s">
        <v>2214</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8"/>
      <c r="E86" s="142"/>
      <c r="F86" s="140"/>
      <c r="G86" s="141" t="s">
        <v>374</v>
      </c>
      <c r="H86" s="7" t="s">
        <v>2215</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9" t="s">
        <v>2450</v>
      </c>
      <c r="D87" s="930" t="s">
        <v>2451</v>
      </c>
      <c r="E87" s="157"/>
      <c r="F87" s="126"/>
      <c r="G87" s="145" t="s">
        <v>212</v>
      </c>
      <c r="H87" s="3" t="s">
        <v>2429</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31"/>
      <c r="D88" s="931"/>
      <c r="E88" s="157"/>
      <c r="F88" s="126"/>
      <c r="G88" s="145" t="s">
        <v>336</v>
      </c>
      <c r="H88" s="3" t="s">
        <v>2430</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2452</v>
      </c>
      <c r="D89" s="164" t="s">
        <v>2453</v>
      </c>
      <c r="E89" s="159"/>
      <c r="F89" s="140"/>
      <c r="G89" s="141" t="s">
        <v>208</v>
      </c>
      <c r="H89" s="7" t="s">
        <v>2454</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9" t="s">
        <v>2455</v>
      </c>
      <c r="D90" s="930" t="s">
        <v>2456</v>
      </c>
      <c r="E90" s="157"/>
      <c r="F90" s="126"/>
      <c r="G90" s="145" t="s">
        <v>212</v>
      </c>
      <c r="H90" s="3" t="s">
        <v>2429</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31"/>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40" t="s">
        <v>2457</v>
      </c>
      <c r="D92" s="927" t="s">
        <v>2458</v>
      </c>
      <c r="E92" s="142"/>
      <c r="F92" s="140"/>
      <c r="G92" s="141" t="s">
        <v>212</v>
      </c>
      <c r="H92" s="7" t="s">
        <v>2429</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43"/>
      <c r="D93" s="932"/>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8"/>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9" t="s">
        <v>2459</v>
      </c>
      <c r="D95" s="864" t="s">
        <v>2460</v>
      </c>
      <c r="E95" s="143"/>
      <c r="F95" s="126"/>
      <c r="G95" s="145" t="s">
        <v>208</v>
      </c>
      <c r="H95" s="3" t="s">
        <v>2429</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31"/>
      <c r="D96" s="866"/>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40" t="s">
        <v>2461</v>
      </c>
      <c r="D97" s="927" t="s">
        <v>2462</v>
      </c>
      <c r="E97" s="142"/>
      <c r="F97" s="140"/>
      <c r="G97" s="141" t="s">
        <v>208</v>
      </c>
      <c r="H97" s="7" t="s">
        <v>2429</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8"/>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9" t="s">
        <v>2463</v>
      </c>
      <c r="D99" s="864" t="s">
        <v>2464</v>
      </c>
      <c r="E99" s="143"/>
      <c r="F99" s="126"/>
      <c r="G99" s="145" t="s">
        <v>208</v>
      </c>
      <c r="H99" s="3" t="s">
        <v>2429</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31"/>
      <c r="D100" s="866"/>
      <c r="E100" s="143"/>
      <c r="F100" s="126"/>
      <c r="G100" s="145" t="s">
        <v>281</v>
      </c>
      <c r="H100" s="3" t="s">
        <v>2430</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40" t="s">
        <v>2465</v>
      </c>
      <c r="D101" s="927" t="s">
        <v>2466</v>
      </c>
      <c r="E101" s="142"/>
      <c r="F101" s="140"/>
      <c r="G101" s="141" t="s">
        <v>212</v>
      </c>
      <c r="H101" s="7" t="s">
        <v>2467</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8"/>
      <c r="E102" s="142"/>
      <c r="F102" s="140"/>
      <c r="G102" s="141" t="s">
        <v>336</v>
      </c>
      <c r="H102" s="7" t="s">
        <v>2430</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9" t="s">
        <v>2468</v>
      </c>
      <c r="D103" s="864" t="s">
        <v>2469</v>
      </c>
      <c r="E103" s="143"/>
      <c r="F103" s="126"/>
      <c r="G103" s="145" t="s">
        <v>212</v>
      </c>
      <c r="H103" s="3" t="s">
        <v>2429</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31"/>
      <c r="D104" s="866"/>
      <c r="E104" s="143"/>
      <c r="F104" s="126"/>
      <c r="G104" s="145" t="s">
        <v>336</v>
      </c>
      <c r="H104" s="3" t="s">
        <v>2470</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40" t="s">
        <v>2471</v>
      </c>
      <c r="D105" s="927" t="s">
        <v>2472</v>
      </c>
      <c r="E105" s="142"/>
      <c r="F105" s="140"/>
      <c r="G105" s="141" t="s">
        <v>212</v>
      </c>
      <c r="H105" s="7" t="s">
        <v>2429</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8"/>
      <c r="E106" s="142"/>
      <c r="F106" s="140"/>
      <c r="G106" s="141" t="s">
        <v>336</v>
      </c>
      <c r="H106" s="7" t="s">
        <v>2430</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9" t="s">
        <v>2473</v>
      </c>
      <c r="D107" s="864" t="s">
        <v>2474</v>
      </c>
      <c r="E107" s="143"/>
      <c r="F107" s="126"/>
      <c r="G107" s="145" t="s">
        <v>208</v>
      </c>
      <c r="H107" s="3" t="s">
        <v>2475</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30"/>
      <c r="D108" s="865"/>
      <c r="E108" s="143"/>
      <c r="F108" s="126"/>
      <c r="G108" s="145" t="s">
        <v>281</v>
      </c>
      <c r="H108" s="3" t="s">
        <v>2476</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30"/>
      <c r="D109" s="865"/>
      <c r="E109" s="143"/>
      <c r="F109" s="126"/>
      <c r="G109" s="145" t="s">
        <v>329</v>
      </c>
      <c r="H109" s="3" t="s">
        <v>2477</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31"/>
      <c r="D110" s="866"/>
      <c r="E110" s="143"/>
      <c r="F110" s="126"/>
      <c r="G110" s="145" t="s">
        <v>601</v>
      </c>
      <c r="H110" s="3" t="s">
        <v>2478</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40" t="s">
        <v>2479</v>
      </c>
      <c r="D111" s="927" t="s">
        <v>2480</v>
      </c>
      <c r="E111" s="142"/>
      <c r="F111" s="140"/>
      <c r="G111" s="141" t="s">
        <v>208</v>
      </c>
      <c r="H111" s="7" t="s">
        <v>2429</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43"/>
      <c r="D112" s="932"/>
      <c r="E112" s="142"/>
      <c r="F112" s="140"/>
      <c r="G112" s="141" t="s">
        <v>281</v>
      </c>
      <c r="H112" s="7" t="s">
        <v>2430</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43"/>
      <c r="D113" s="932"/>
      <c r="E113" s="142"/>
      <c r="F113" s="140"/>
      <c r="G113" s="141" t="s">
        <v>329</v>
      </c>
      <c r="H113" s="7" t="s">
        <v>2214</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8"/>
      <c r="E114" s="142"/>
      <c r="F114" s="140"/>
      <c r="G114" s="141" t="s">
        <v>601</v>
      </c>
      <c r="H114" s="7" t="s">
        <v>2215</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9" t="s">
        <v>2481</v>
      </c>
      <c r="D115" s="864" t="s">
        <v>2482</v>
      </c>
      <c r="E115" s="143"/>
      <c r="F115" s="126"/>
      <c r="G115" s="145" t="s">
        <v>208</v>
      </c>
      <c r="H115" s="3" t="s">
        <v>2475</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30"/>
      <c r="D116" s="865"/>
      <c r="E116" s="143"/>
      <c r="F116" s="126"/>
      <c r="G116" s="145" t="s">
        <v>281</v>
      </c>
      <c r="H116" s="3" t="s">
        <v>2476</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30"/>
      <c r="D117" s="865"/>
      <c r="E117" s="143"/>
      <c r="F117" s="126"/>
      <c r="G117" s="145" t="s">
        <v>329</v>
      </c>
      <c r="H117" s="3" t="s">
        <v>2477</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31"/>
      <c r="D118" s="866"/>
      <c r="E118" s="143"/>
      <c r="F118" s="126"/>
      <c r="G118" s="145" t="s">
        <v>601</v>
      </c>
      <c r="H118" s="3" t="s">
        <v>2478</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40" t="s">
        <v>2483</v>
      </c>
      <c r="D119" s="927" t="s">
        <v>2484</v>
      </c>
      <c r="E119" s="142"/>
      <c r="F119" s="140"/>
      <c r="G119" s="141" t="s">
        <v>208</v>
      </c>
      <c r="H119" s="7" t="s">
        <v>2429</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8"/>
      <c r="E120" s="142"/>
      <c r="F120" s="140"/>
      <c r="G120" s="141" t="s">
        <v>281</v>
      </c>
      <c r="H120" s="7" t="s">
        <v>2470</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2485</v>
      </c>
      <c r="D121" s="930" t="s">
        <v>2486</v>
      </c>
      <c r="E121" s="157"/>
      <c r="F121" s="126"/>
      <c r="G121" s="145" t="s">
        <v>208</v>
      </c>
      <c r="H121" s="3" t="s">
        <v>2475</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30"/>
      <c r="D122" s="865"/>
      <c r="E122" s="143"/>
      <c r="F122" s="126"/>
      <c r="G122" s="145" t="s">
        <v>281</v>
      </c>
      <c r="H122" s="3" t="s">
        <v>2430</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30"/>
      <c r="D123" s="865"/>
      <c r="E123" s="143"/>
      <c r="F123" s="126"/>
      <c r="G123" s="145" t="s">
        <v>329</v>
      </c>
      <c r="H123" s="3" t="s">
        <v>2487</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31"/>
      <c r="D124" s="866"/>
      <c r="E124" s="143"/>
      <c r="F124" s="126"/>
      <c r="G124" s="145" t="s">
        <v>601</v>
      </c>
      <c r="H124" s="3" t="s">
        <v>2488</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40" t="s">
        <v>2489</v>
      </c>
      <c r="D125" s="925" t="s">
        <v>2490</v>
      </c>
      <c r="E125" s="159"/>
      <c r="F125" s="140"/>
      <c r="G125" s="141" t="s">
        <v>212</v>
      </c>
      <c r="H125" s="7" t="s">
        <v>2491</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43"/>
      <c r="D126" s="929"/>
      <c r="E126" s="159"/>
      <c r="F126" s="140"/>
      <c r="G126" s="141" t="s">
        <v>234</v>
      </c>
      <c r="H126" s="7" t="s">
        <v>2492</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43"/>
      <c r="D127" s="929"/>
      <c r="E127" s="159"/>
      <c r="F127" s="140"/>
      <c r="G127" s="141" t="s">
        <v>236</v>
      </c>
      <c r="H127" s="7" t="s">
        <v>2493</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43"/>
      <c r="D128" s="929"/>
      <c r="E128" s="159"/>
      <c r="F128" s="140"/>
      <c r="G128" s="141" t="s">
        <v>238</v>
      </c>
      <c r="H128" s="7" t="s">
        <v>2494</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43"/>
      <c r="D129" s="929"/>
      <c r="E129" s="159"/>
      <c r="F129" s="140"/>
      <c r="G129" s="141" t="s">
        <v>1143</v>
      </c>
      <c r="H129" s="7" t="s">
        <v>2495</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26"/>
      <c r="E130" s="159"/>
      <c r="F130" s="140"/>
      <c r="G130" s="141" t="s">
        <v>1145</v>
      </c>
      <c r="H130" s="7" t="s">
        <v>2496</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9" t="s">
        <v>2497</v>
      </c>
      <c r="D131" s="930" t="s">
        <v>2498</v>
      </c>
      <c r="E131" s="157"/>
      <c r="F131" s="126"/>
      <c r="G131" s="145" t="s">
        <v>759</v>
      </c>
      <c r="H131" s="3" t="s">
        <v>2429</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30"/>
      <c r="D132" s="934"/>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30"/>
      <c r="D133" s="934"/>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30"/>
      <c r="D134" s="934"/>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30"/>
      <c r="D135" s="934"/>
      <c r="E135" s="157"/>
      <c r="F135" s="126"/>
      <c r="G135" s="145" t="s">
        <v>487</v>
      </c>
      <c r="H135" s="3" t="s">
        <v>2499</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30"/>
      <c r="D136" s="934"/>
      <c r="E136" s="157"/>
      <c r="F136" s="126"/>
      <c r="G136" s="145" t="s">
        <v>497</v>
      </c>
      <c r="H136" s="17" t="s">
        <v>2500</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31"/>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40" t="s">
        <v>2501</v>
      </c>
      <c r="D138" s="927" t="s">
        <v>2502</v>
      </c>
      <c r="E138" s="142"/>
      <c r="F138" s="140"/>
      <c r="G138" s="141" t="s">
        <v>212</v>
      </c>
      <c r="H138" s="7" t="s">
        <v>2503</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43"/>
      <c r="D139" s="932"/>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43"/>
      <c r="D140" s="932"/>
      <c r="E140" s="142"/>
      <c r="F140" s="140"/>
      <c r="G140" s="141" t="s">
        <v>337</v>
      </c>
      <c r="H140" s="7" t="s">
        <v>2504</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43"/>
      <c r="D141" s="932"/>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43"/>
      <c r="D142" s="932"/>
      <c r="E142" s="142"/>
      <c r="F142" s="140"/>
      <c r="G142" s="141" t="s">
        <v>405</v>
      </c>
      <c r="H142" s="13" t="s">
        <v>2505</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43"/>
      <c r="D143" s="932"/>
      <c r="E143" s="142"/>
      <c r="F143" s="140"/>
      <c r="G143" s="141" t="s">
        <v>406</v>
      </c>
      <c r="H143" s="13" t="s">
        <v>2506</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43"/>
      <c r="D144" s="932"/>
      <c r="E144" s="142"/>
      <c r="F144" s="140"/>
      <c r="G144" s="141" t="s">
        <v>747</v>
      </c>
      <c r="H144" s="7" t="s">
        <v>2507</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8"/>
      <c r="E145" s="142"/>
      <c r="F145" s="140"/>
      <c r="G145" s="141" t="s">
        <v>441</v>
      </c>
      <c r="H145" s="13" t="s">
        <v>2132</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9" t="s">
        <v>2508</v>
      </c>
      <c r="D146" s="864" t="s">
        <v>2509</v>
      </c>
      <c r="E146" s="143"/>
      <c r="F146" s="126"/>
      <c r="G146" s="145" t="s">
        <v>759</v>
      </c>
      <c r="H146" s="3" t="s">
        <v>2429</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2510</v>
      </c>
      <c r="C147" s="830"/>
      <c r="D147" s="865"/>
      <c r="E147" s="143"/>
      <c r="F147" s="126" t="s">
        <v>2511</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30"/>
      <c r="D148" s="865"/>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30"/>
      <c r="D149" s="865"/>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30"/>
      <c r="D150" s="865"/>
      <c r="E150" s="143"/>
      <c r="F150" s="126"/>
      <c r="G150" s="145" t="s">
        <v>862</v>
      </c>
      <c r="H150" s="17" t="s">
        <v>2512</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31"/>
      <c r="D151" s="866"/>
      <c r="E151" s="143"/>
      <c r="F151" s="126"/>
      <c r="G151" s="145" t="s">
        <v>497</v>
      </c>
      <c r="H151" s="17" t="s">
        <v>2513</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40" t="s">
        <v>2514</v>
      </c>
      <c r="D152" s="927" t="s">
        <v>2515</v>
      </c>
      <c r="E152" s="142"/>
      <c r="F152" s="140"/>
      <c r="G152" s="141" t="s">
        <v>759</v>
      </c>
      <c r="H152" s="7" t="s">
        <v>2516</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43"/>
      <c r="D153" s="932"/>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43"/>
      <c r="D154" s="932"/>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43"/>
      <c r="D155" s="932"/>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8"/>
      <c r="E156" s="142"/>
      <c r="F156" s="140"/>
      <c r="G156" s="141" t="s">
        <v>862</v>
      </c>
      <c r="H156" s="13" t="s">
        <v>2130</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9" t="s">
        <v>2517</v>
      </c>
      <c r="D157" s="864" t="s">
        <v>2518</v>
      </c>
      <c r="E157" s="143"/>
      <c r="F157" s="126"/>
      <c r="G157" s="145" t="s">
        <v>212</v>
      </c>
      <c r="H157" s="3" t="s">
        <v>2519</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31"/>
      <c r="D158" s="866"/>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40" t="s">
        <v>2520</v>
      </c>
      <c r="D159" s="927" t="s">
        <v>2521</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43"/>
      <c r="D160" s="932"/>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43"/>
      <c r="D161" s="932"/>
      <c r="E161" s="142"/>
      <c r="F161" s="140"/>
      <c r="G161" s="141" t="s">
        <v>338</v>
      </c>
      <c r="H161" s="7" t="s">
        <v>2507</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43"/>
      <c r="D162" s="932"/>
      <c r="E162" s="142"/>
      <c r="F162" s="140"/>
      <c r="G162" s="141" t="s">
        <v>405</v>
      </c>
      <c r="H162" s="13" t="s">
        <v>2522</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43"/>
      <c r="D163" s="932"/>
      <c r="E163" s="142"/>
      <c r="F163" s="140"/>
      <c r="G163" s="141" t="s">
        <v>406</v>
      </c>
      <c r="H163" s="13" t="s">
        <v>1767</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43"/>
      <c r="D164" s="932"/>
      <c r="E164" s="142"/>
      <c r="F164" s="140"/>
      <c r="G164" s="141" t="s">
        <v>408</v>
      </c>
      <c r="H164" s="13" t="s">
        <v>2523</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43"/>
      <c r="D165" s="932"/>
      <c r="E165" s="142"/>
      <c r="F165" s="140"/>
      <c r="G165" s="141" t="s">
        <v>441</v>
      </c>
      <c r="H165" s="13" t="s">
        <v>2524</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8"/>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9" t="s">
        <v>2525</v>
      </c>
      <c r="D167" s="864" t="s">
        <v>2526</v>
      </c>
      <c r="E167" s="143"/>
      <c r="F167" s="126"/>
      <c r="G167" s="145" t="s">
        <v>212</v>
      </c>
      <c r="H167" s="3" t="s">
        <v>2429</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30"/>
      <c r="D168" s="865"/>
      <c r="E168" s="143"/>
      <c r="F168" s="126"/>
      <c r="G168" s="145" t="s">
        <v>336</v>
      </c>
      <c r="H168" s="17" t="s">
        <v>2527</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30"/>
      <c r="D169" s="865"/>
      <c r="E169" s="143"/>
      <c r="F169" s="126"/>
      <c r="G169" s="145" t="s">
        <v>2528</v>
      </c>
      <c r="H169" s="17" t="s">
        <v>2529</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30"/>
      <c r="D170" s="865"/>
      <c r="E170" s="143"/>
      <c r="F170" s="126"/>
      <c r="G170" s="145" t="s">
        <v>2530</v>
      </c>
      <c r="H170" s="17" t="s">
        <v>2531</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30"/>
      <c r="D171" s="865"/>
      <c r="E171" s="143"/>
      <c r="F171" s="126"/>
      <c r="G171" s="145" t="s">
        <v>2532</v>
      </c>
      <c r="H171" s="17" t="s">
        <v>2533</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30"/>
      <c r="D172" s="865"/>
      <c r="E172" s="143"/>
      <c r="F172" s="126"/>
      <c r="G172" s="145" t="s">
        <v>2534</v>
      </c>
      <c r="H172" s="17" t="s">
        <v>2535</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30"/>
      <c r="D173" s="865"/>
      <c r="E173" s="143"/>
      <c r="F173" s="126"/>
      <c r="G173" s="145" t="s">
        <v>2536</v>
      </c>
      <c r="H173" s="17" t="s">
        <v>2537</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30"/>
      <c r="D174" s="865"/>
      <c r="E174" s="143"/>
      <c r="F174" s="126"/>
      <c r="G174" s="145" t="s">
        <v>2538</v>
      </c>
      <c r="H174" s="17" t="s">
        <v>2539</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30"/>
      <c r="D175" s="865"/>
      <c r="E175" s="143"/>
      <c r="F175" s="126"/>
      <c r="G175" s="145" t="s">
        <v>2540</v>
      </c>
      <c r="H175" s="17" t="s">
        <v>2541</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30"/>
      <c r="D176" s="865"/>
      <c r="E176" s="143"/>
      <c r="F176" s="126"/>
      <c r="G176" s="145" t="s">
        <v>2542</v>
      </c>
      <c r="H176" s="17" t="s">
        <v>2543</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30"/>
      <c r="D177" s="865"/>
      <c r="E177" s="143"/>
      <c r="F177" s="126"/>
      <c r="G177" s="145" t="s">
        <v>2544</v>
      </c>
      <c r="H177" s="17" t="s">
        <v>2545</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30"/>
      <c r="D178" s="865"/>
      <c r="E178" s="143"/>
      <c r="F178" s="126"/>
      <c r="G178" s="145" t="s">
        <v>2546</v>
      </c>
      <c r="H178" s="17" t="s">
        <v>2547</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30"/>
      <c r="D179" s="865"/>
      <c r="E179" s="143"/>
      <c r="F179" s="126"/>
      <c r="G179" s="145" t="s">
        <v>2548</v>
      </c>
      <c r="H179" s="17" t="s">
        <v>2549</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30"/>
      <c r="D180" s="865"/>
      <c r="E180" s="143"/>
      <c r="F180" s="126"/>
      <c r="G180" s="145" t="s">
        <v>405</v>
      </c>
      <c r="H180" s="3" t="s">
        <v>2550</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30"/>
      <c r="D181" s="865"/>
      <c r="E181" s="143"/>
      <c r="F181" s="126"/>
      <c r="G181" s="145" t="s">
        <v>406</v>
      </c>
      <c r="H181" s="17" t="s">
        <v>2551</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30"/>
      <c r="D182" s="865"/>
      <c r="E182" s="143"/>
      <c r="F182" s="126"/>
      <c r="G182" s="145" t="s">
        <v>747</v>
      </c>
      <c r="H182" s="17" t="s">
        <v>2552</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30"/>
      <c r="D183" s="865"/>
      <c r="E183" s="143"/>
      <c r="F183" s="126"/>
      <c r="G183" s="145" t="s">
        <v>893</v>
      </c>
      <c r="H183" s="17" t="s">
        <v>2553</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31"/>
      <c r="D184" s="866"/>
      <c r="E184" s="143"/>
      <c r="F184" s="126"/>
      <c r="G184" s="145" t="s">
        <v>1078</v>
      </c>
      <c r="H184" s="17" t="s">
        <v>2554</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40" t="s">
        <v>2555</v>
      </c>
      <c r="D185" s="927" t="s">
        <v>2556</v>
      </c>
      <c r="E185" s="142"/>
      <c r="F185" s="140"/>
      <c r="G185" s="141" t="s">
        <v>2557</v>
      </c>
      <c r="H185" s="13" t="s">
        <v>2529</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43"/>
      <c r="D186" s="932"/>
      <c r="E186" s="142"/>
      <c r="F186" s="140"/>
      <c r="G186" s="141" t="s">
        <v>2558</v>
      </c>
      <c r="H186" s="13" t="s">
        <v>2539</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43"/>
      <c r="D187" s="932"/>
      <c r="E187" s="142"/>
      <c r="F187" s="140"/>
      <c r="G187" s="141" t="s">
        <v>2559</v>
      </c>
      <c r="H187" s="13" t="s">
        <v>2541</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43"/>
      <c r="D188" s="932"/>
      <c r="E188" s="142"/>
      <c r="F188" s="140"/>
      <c r="G188" s="141" t="s">
        <v>2560</v>
      </c>
      <c r="H188" s="13" t="s">
        <v>2561</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43"/>
      <c r="D189" s="932"/>
      <c r="E189" s="142"/>
      <c r="F189" s="140"/>
      <c r="G189" s="141" t="s">
        <v>2562</v>
      </c>
      <c r="H189" s="13" t="s">
        <v>2551</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8"/>
      <c r="E190" s="142"/>
      <c r="F190" s="140"/>
      <c r="G190" s="141" t="s">
        <v>2563</v>
      </c>
      <c r="H190" s="13" t="s">
        <v>2552</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2564</v>
      </c>
      <c r="D191" s="132" t="s">
        <v>2565</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40" t="s">
        <v>2566</v>
      </c>
      <c r="D192" s="927" t="s">
        <v>2567</v>
      </c>
      <c r="E192" s="142"/>
      <c r="F192" s="140"/>
      <c r="G192" s="577" t="s">
        <v>222</v>
      </c>
      <c r="H192" s="40" t="s">
        <v>2568</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43"/>
      <c r="D193" s="932"/>
      <c r="E193" s="142"/>
      <c r="F193" s="140"/>
      <c r="G193" s="577" t="s">
        <v>269</v>
      </c>
      <c r="H193" s="37" t="s">
        <v>2569</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43"/>
      <c r="D194" s="932"/>
      <c r="E194" s="142"/>
      <c r="F194" s="140"/>
      <c r="G194" s="577" t="s">
        <v>259</v>
      </c>
      <c r="H194" s="37" t="s">
        <v>2570</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43"/>
      <c r="D195" s="932"/>
      <c r="E195" s="142"/>
      <c r="F195" s="140"/>
      <c r="G195" s="577" t="s">
        <v>352</v>
      </c>
      <c r="H195" s="37" t="s">
        <v>2571</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43"/>
      <c r="D196" s="932"/>
      <c r="E196" s="142"/>
      <c r="F196" s="140"/>
      <c r="G196" s="577" t="s">
        <v>382</v>
      </c>
      <c r="H196" s="40" t="s">
        <v>2572</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43"/>
      <c r="D197" s="932"/>
      <c r="E197" s="142"/>
      <c r="F197" s="140"/>
      <c r="G197" s="577" t="s">
        <v>356</v>
      </c>
      <c r="H197" s="37" t="s">
        <v>2573</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43"/>
      <c r="D198" s="932"/>
      <c r="E198" s="142"/>
      <c r="F198" s="140"/>
      <c r="G198" s="577" t="s">
        <v>1134</v>
      </c>
      <c r="H198" s="40" t="s">
        <v>2214</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43"/>
      <c r="D199" s="932"/>
      <c r="E199" s="142"/>
      <c r="F199" s="140"/>
      <c r="G199" s="577" t="s">
        <v>1883</v>
      </c>
      <c r="H199" s="40" t="s">
        <v>2215</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43"/>
      <c r="D200" s="932"/>
      <c r="E200" s="142"/>
      <c r="F200" s="140"/>
      <c r="G200" s="577" t="s">
        <v>360</v>
      </c>
      <c r="H200" s="37" t="s">
        <v>1767</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43"/>
      <c r="D201" s="932"/>
      <c r="E201" s="142"/>
      <c r="F201" s="140"/>
      <c r="G201" s="577" t="s">
        <v>2574</v>
      </c>
      <c r="H201" s="40" t="s">
        <v>2575</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10"/>
      <c r="D202" s="933"/>
      <c r="E202" s="142"/>
      <c r="F202" s="140"/>
      <c r="G202" s="578" t="s">
        <v>2576</v>
      </c>
      <c r="H202" s="98" t="s">
        <v>2577</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C101:C102"/>
    <mergeCell ref="D101:D102"/>
    <mergeCell ref="C103:C104"/>
    <mergeCell ref="D103:D104"/>
    <mergeCell ref="C105:C106"/>
    <mergeCell ref="D105:D106"/>
    <mergeCell ref="C95:C96"/>
    <mergeCell ref="D95:D96"/>
    <mergeCell ref="C97:C98"/>
    <mergeCell ref="D97:D98"/>
    <mergeCell ref="C99:C100"/>
    <mergeCell ref="D99:D100"/>
    <mergeCell ref="C87:C88"/>
    <mergeCell ref="D87:D88"/>
    <mergeCell ref="C90:C91"/>
    <mergeCell ref="D90:D91"/>
    <mergeCell ref="C92:C94"/>
    <mergeCell ref="D92:D94"/>
    <mergeCell ref="C74:C75"/>
    <mergeCell ref="D74:D75"/>
    <mergeCell ref="C82:C86"/>
    <mergeCell ref="D82:D86"/>
    <mergeCell ref="C65:C66"/>
    <mergeCell ref="D65:D66"/>
    <mergeCell ref="C67:C70"/>
    <mergeCell ref="D67:D70"/>
    <mergeCell ref="C71:C73"/>
    <mergeCell ref="D71:D73"/>
    <mergeCell ref="C59:C60"/>
    <mergeCell ref="D59:D60"/>
    <mergeCell ref="C61:C62"/>
    <mergeCell ref="D61:D62"/>
    <mergeCell ref="C63:C64"/>
    <mergeCell ref="D63:D64"/>
    <mergeCell ref="C53:C54"/>
    <mergeCell ref="D53:D54"/>
    <mergeCell ref="C55:C56"/>
    <mergeCell ref="D55:D56"/>
    <mergeCell ref="C57:C58"/>
    <mergeCell ref="D57:D58"/>
    <mergeCell ref="C47:C48"/>
    <mergeCell ref="D47:D48"/>
    <mergeCell ref="C49:C50"/>
    <mergeCell ref="D49:D50"/>
    <mergeCell ref="C51:C52"/>
    <mergeCell ref="D51:D52"/>
    <mergeCell ref="C41:C42"/>
    <mergeCell ref="D41:D42"/>
    <mergeCell ref="C43:C44"/>
    <mergeCell ref="D43:D44"/>
    <mergeCell ref="C45:C46"/>
    <mergeCell ref="D45:D46"/>
    <mergeCell ref="C35:C36"/>
    <mergeCell ref="D35:D36"/>
    <mergeCell ref="C37:C38"/>
    <mergeCell ref="D37:D38"/>
    <mergeCell ref="C39:C40"/>
    <mergeCell ref="D39:D40"/>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2578</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2579</v>
      </c>
      <c r="E3" s="723" t="s">
        <v>2580</v>
      </c>
      <c r="F3" s="723" t="s">
        <v>796</v>
      </c>
      <c r="G3" s="723">
        <v>1.0900000000000001</v>
      </c>
      <c r="H3" s="724" t="s">
        <v>2581</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2579</v>
      </c>
      <c r="E4" s="723" t="s">
        <v>2582</v>
      </c>
      <c r="F4" s="723" t="s">
        <v>796</v>
      </c>
      <c r="G4" s="723">
        <v>1.0900000000000001</v>
      </c>
      <c r="H4" s="724" t="s">
        <v>2583</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2584</v>
      </c>
      <c r="C5" s="723">
        <v>1450</v>
      </c>
      <c r="D5" s="723" t="s">
        <v>2579</v>
      </c>
      <c r="E5" s="723" t="s">
        <v>2585</v>
      </c>
      <c r="F5" s="723" t="s">
        <v>796</v>
      </c>
      <c r="G5" s="723">
        <v>1.0900000000000001</v>
      </c>
      <c r="H5" s="724" t="s">
        <v>2586</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2587</v>
      </c>
      <c r="C6" s="705">
        <v>1450</v>
      </c>
      <c r="D6" s="705" t="s">
        <v>2579</v>
      </c>
      <c r="E6" s="705" t="s">
        <v>2585</v>
      </c>
      <c r="F6" s="705" t="s">
        <v>796</v>
      </c>
      <c r="G6" s="705">
        <v>1.0900000000000001</v>
      </c>
      <c r="H6" s="706" t="s">
        <v>2586</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2588</v>
      </c>
      <c r="D7" s="711" t="s">
        <v>2589</v>
      </c>
      <c r="E7" s="711"/>
      <c r="F7" s="72"/>
      <c r="G7" s="67" t="s">
        <v>212</v>
      </c>
      <c r="H7" s="712" t="s">
        <v>2590</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2588</v>
      </c>
      <c r="D8" s="717" t="s">
        <v>2589</v>
      </c>
      <c r="E8" s="717"/>
      <c r="F8" s="718"/>
      <c r="G8" s="716" t="s">
        <v>336</v>
      </c>
      <c r="H8" s="719" t="s">
        <v>2591</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2588</v>
      </c>
      <c r="D9" s="717" t="s">
        <v>2589</v>
      </c>
      <c r="E9" s="717"/>
      <c r="F9" s="718"/>
      <c r="G9" s="716" t="s">
        <v>337</v>
      </c>
      <c r="H9" s="719" t="s">
        <v>2592</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2588</v>
      </c>
      <c r="D10" s="717" t="s">
        <v>2589</v>
      </c>
      <c r="E10" s="717"/>
      <c r="F10" s="718"/>
      <c r="G10" s="716" t="s">
        <v>404</v>
      </c>
      <c r="H10" s="721" t="s">
        <v>2593</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2594</v>
      </c>
      <c r="D11" s="17" t="s">
        <v>2595</v>
      </c>
      <c r="E11" s="17"/>
      <c r="F11" s="17"/>
      <c r="G11" s="4" t="s">
        <v>759</v>
      </c>
      <c r="H11" s="160" t="s">
        <v>2596</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2594</v>
      </c>
      <c r="D12" s="17"/>
      <c r="E12" s="17"/>
      <c r="F12" s="17"/>
      <c r="G12" s="4" t="s">
        <v>483</v>
      </c>
      <c r="H12" s="160" t="s">
        <v>2597</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2598</v>
      </c>
      <c r="E13" s="264"/>
      <c r="F13" s="264" t="s">
        <v>2599</v>
      </c>
      <c r="G13" s="262"/>
      <c r="H13" s="561" t="s">
        <v>2600</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2601</v>
      </c>
      <c r="C14" s="172" t="s">
        <v>2602</v>
      </c>
      <c r="D14" s="152" t="s">
        <v>2603</v>
      </c>
      <c r="E14" s="152"/>
      <c r="F14" s="152" t="s">
        <v>201</v>
      </c>
      <c r="G14" s="151" t="s">
        <v>131</v>
      </c>
      <c r="H14" s="162" t="s">
        <v>2604</v>
      </c>
      <c r="I14" s="253">
        <v>45754</v>
      </c>
      <c r="J14" s="253">
        <v>45769</v>
      </c>
      <c r="K14" s="750" t="str" cm="1">
        <f t="array" ref="K14">IF(ISBLANK(J14), IF(ISBLANK(I14), "N/A", _xlfn.IFS(L14="AS", I14+15, L14="NCR", I14+30, L14="submitted", I14+30, TRUE, "N/A")), _xlfn.IFS(L14="AS", J14+15, L14="NCR", J14+30, L14="submitted", J14+30, TRUE, "N/A"))</f>
        <v>N/A</v>
      </c>
      <c r="L14" s="151" t="s">
        <v>1391</v>
      </c>
      <c r="M14" s="317"/>
      <c r="N14" s="802"/>
      <c r="O14" s="803"/>
      <c r="P14" s="803"/>
      <c r="Q14" s="804"/>
    </row>
    <row r="15" spans="1:17" s="138" customFormat="1" ht="15" customHeight="1">
      <c r="B15" s="298"/>
      <c r="C15" s="172" t="s">
        <v>2602</v>
      </c>
      <c r="D15" s="152"/>
      <c r="E15" s="152"/>
      <c r="F15" s="152"/>
      <c r="G15" s="151" t="s">
        <v>134</v>
      </c>
      <c r="H15" s="162" t="s">
        <v>2605</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2602</v>
      </c>
      <c r="D16" s="152"/>
      <c r="E16" s="152"/>
      <c r="F16" s="152"/>
      <c r="G16" s="151" t="s">
        <v>136</v>
      </c>
      <c r="H16" s="162" t="s">
        <v>2606</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2602</v>
      </c>
      <c r="D17" s="152"/>
      <c r="E17" s="152"/>
      <c r="F17" s="152"/>
      <c r="G17" s="151" t="s">
        <v>138</v>
      </c>
      <c r="H17" s="162" t="s">
        <v>2607</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2608</v>
      </c>
      <c r="C18" s="172" t="s">
        <v>2602</v>
      </c>
      <c r="D18" s="152" t="s">
        <v>2603</v>
      </c>
      <c r="E18" s="152"/>
      <c r="F18" s="152" t="s">
        <v>201</v>
      </c>
      <c r="G18" s="151" t="s">
        <v>131</v>
      </c>
      <c r="H18" s="162" t="s">
        <v>2604</v>
      </c>
      <c r="I18" s="253">
        <v>45771</v>
      </c>
      <c r="J18" s="253">
        <v>45786</v>
      </c>
      <c r="K18" s="750" t="str" cm="1">
        <f t="array" ref="K18">IF(ISBLANK(J18), IF(ISBLANK(I18), "N/A", _xlfn.IFS(L18="AS", I18+15, L18="NCR", I18+30, L18="submitted", I18+30, TRUE, "N/A")), _xlfn.IFS(L18="AS", J18+15, L18="NCR", J18+30, L18="submitted", J18+30, TRUE, "N/A"))</f>
        <v>N/A</v>
      </c>
      <c r="L18" s="151" t="s">
        <v>1391</v>
      </c>
      <c r="M18" s="317"/>
      <c r="N18" s="802"/>
      <c r="O18" s="803"/>
      <c r="P18" s="803"/>
      <c r="Q18" s="804"/>
    </row>
    <row r="19" spans="2:17" s="138" customFormat="1" ht="15" customHeight="1">
      <c r="B19" s="298"/>
      <c r="C19" s="172" t="s">
        <v>2602</v>
      </c>
      <c r="D19" s="152"/>
      <c r="E19" s="152"/>
      <c r="F19" s="152"/>
      <c r="G19" s="151" t="s">
        <v>134</v>
      </c>
      <c r="H19" s="162" t="s">
        <v>2605</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2602</v>
      </c>
      <c r="D20" s="152"/>
      <c r="E20" s="152"/>
      <c r="F20" s="152"/>
      <c r="G20" s="151" t="s">
        <v>136</v>
      </c>
      <c r="H20" s="162" t="s">
        <v>2606</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2602</v>
      </c>
      <c r="D21" s="152"/>
      <c r="E21" s="152"/>
      <c r="F21" s="152"/>
      <c r="G21" s="151" t="s">
        <v>138</v>
      </c>
      <c r="H21" s="162" t="s">
        <v>2607</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2609</v>
      </c>
      <c r="C22" s="172" t="s">
        <v>2602</v>
      </c>
      <c r="D22" s="152" t="s">
        <v>2603</v>
      </c>
      <c r="E22" s="152"/>
      <c r="F22" s="152" t="s">
        <v>201</v>
      </c>
      <c r="G22" s="151" t="s">
        <v>131</v>
      </c>
      <c r="H22" s="162" t="s">
        <v>2604</v>
      </c>
      <c r="I22" s="253">
        <v>45786</v>
      </c>
      <c r="J22" s="253" t="s">
        <v>2610</v>
      </c>
      <c r="K22" s="750" t="str" cm="1">
        <f t="array" ref="K22">IF(ISBLANK(J22), IF(ISBLANK(I22), "N/A", _xlfn.IFS(L22="AS", I22+15, L22="NCR", I22+30, L22="submitted", I22+30, TRUE, "N/A")), _xlfn.IFS(L22="AS", J22+15, L22="NCR", J22+30, L22="submitted", J22+30, TRUE, "N/A"))</f>
        <v>N/A</v>
      </c>
      <c r="L22" s="151" t="s">
        <v>1391</v>
      </c>
      <c r="M22" s="317"/>
      <c r="N22" s="802"/>
      <c r="O22" s="803"/>
      <c r="P22" s="803"/>
      <c r="Q22" s="804"/>
    </row>
    <row r="23" spans="2:17" s="138" customFormat="1" ht="15" customHeight="1">
      <c r="B23" s="298"/>
      <c r="C23" s="172" t="s">
        <v>2602</v>
      </c>
      <c r="D23" s="152"/>
      <c r="E23" s="152"/>
      <c r="F23" s="152"/>
      <c r="G23" s="151" t="s">
        <v>134</v>
      </c>
      <c r="H23" s="162" t="s">
        <v>2605</v>
      </c>
      <c r="I23" s="253">
        <v>45786</v>
      </c>
      <c r="J23" s="253" t="s">
        <v>2610</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2602</v>
      </c>
      <c r="D24" s="152"/>
      <c r="E24" s="152"/>
      <c r="F24" s="152"/>
      <c r="G24" s="151" t="s">
        <v>136</v>
      </c>
      <c r="H24" s="162" t="s">
        <v>2606</v>
      </c>
      <c r="I24" s="253">
        <v>45786</v>
      </c>
      <c r="J24" s="253" t="s">
        <v>2610</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2602</v>
      </c>
      <c r="D25" s="168"/>
      <c r="E25" s="168"/>
      <c r="F25" s="152"/>
      <c r="G25" s="151" t="s">
        <v>138</v>
      </c>
      <c r="H25" s="162" t="s">
        <v>2607</v>
      </c>
      <c r="I25" s="253">
        <v>45786</v>
      </c>
      <c r="J25" s="253" t="s">
        <v>2610</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1531</v>
      </c>
      <c r="D26" s="256" t="s">
        <v>1532</v>
      </c>
      <c r="E26" s="124"/>
      <c r="F26" s="257" t="s">
        <v>1545</v>
      </c>
      <c r="G26" s="9" t="s">
        <v>281</v>
      </c>
      <c r="H26" s="161" t="s">
        <v>1533</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1531</v>
      </c>
      <c r="D27" s="256" t="s">
        <v>1532</v>
      </c>
      <c r="E27" s="124"/>
      <c r="F27" s="257" t="s">
        <v>2611</v>
      </c>
      <c r="G27" s="9" t="s">
        <v>329</v>
      </c>
      <c r="H27" s="161" t="s">
        <v>1534</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2612</v>
      </c>
      <c r="D28" s="36" t="s">
        <v>2613</v>
      </c>
      <c r="E28" s="36"/>
      <c r="F28" s="17" t="s">
        <v>161</v>
      </c>
      <c r="G28" s="4" t="s">
        <v>2614</v>
      </c>
      <c r="H28" s="160" t="s">
        <v>2615</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2612</v>
      </c>
      <c r="D29" s="17"/>
      <c r="E29" s="17"/>
      <c r="F29" s="17" t="s">
        <v>161</v>
      </c>
      <c r="G29" s="4" t="s">
        <v>2616</v>
      </c>
      <c r="H29" s="132" t="s">
        <v>2617</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2612</v>
      </c>
      <c r="D30" s="17"/>
      <c r="E30" s="17"/>
      <c r="F30" s="17" t="s">
        <v>161</v>
      </c>
      <c r="G30" s="4" t="s">
        <v>2618</v>
      </c>
      <c r="H30" s="132" t="s">
        <v>2619</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2612</v>
      </c>
      <c r="D31" s="17"/>
      <c r="E31" s="17"/>
      <c r="F31" s="17" t="s">
        <v>161</v>
      </c>
      <c r="G31" s="4" t="s">
        <v>2620</v>
      </c>
      <c r="H31" s="132" t="s">
        <v>2621</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2612</v>
      </c>
      <c r="D32" s="17"/>
      <c r="E32" s="17"/>
      <c r="F32" s="17" t="s">
        <v>161</v>
      </c>
      <c r="G32" s="4" t="s">
        <v>2622</v>
      </c>
      <c r="H32" s="132" t="s">
        <v>2623</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2612</v>
      </c>
      <c r="D33" s="17"/>
      <c r="E33" s="17"/>
      <c r="F33" s="17" t="s">
        <v>161</v>
      </c>
      <c r="G33" s="4" t="s">
        <v>2624</v>
      </c>
      <c r="H33" s="132" t="s">
        <v>2625</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2612</v>
      </c>
      <c r="D34" s="17"/>
      <c r="E34" s="17"/>
      <c r="F34" s="17" t="s">
        <v>161</v>
      </c>
      <c r="G34" s="4" t="s">
        <v>2626</v>
      </c>
      <c r="H34" s="132" t="s">
        <v>2627</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2612</v>
      </c>
      <c r="D35" s="17"/>
      <c r="E35" s="17"/>
      <c r="F35" s="17" t="s">
        <v>161</v>
      </c>
      <c r="G35" s="4" t="s">
        <v>2628</v>
      </c>
      <c r="H35" s="160" t="s">
        <v>2629</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2612</v>
      </c>
      <c r="D36" s="17"/>
      <c r="E36" s="17"/>
      <c r="F36" s="17" t="s">
        <v>161</v>
      </c>
      <c r="G36" s="4" t="s">
        <v>2630</v>
      </c>
      <c r="H36" s="160" t="s">
        <v>2631</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2612</v>
      </c>
      <c r="D37" s="17"/>
      <c r="E37" s="17"/>
      <c r="F37" s="17" t="s">
        <v>161</v>
      </c>
      <c r="G37" s="4" t="s">
        <v>2632</v>
      </c>
      <c r="H37" s="132" t="s">
        <v>2633</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2612</v>
      </c>
      <c r="D38" s="17"/>
      <c r="E38" s="17"/>
      <c r="F38" s="17" t="s">
        <v>161</v>
      </c>
      <c r="G38" s="4" t="s">
        <v>2634</v>
      </c>
      <c r="H38" s="160" t="s">
        <v>2635</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2612</v>
      </c>
      <c r="D39" s="17"/>
      <c r="E39" s="17"/>
      <c r="F39" s="17" t="s">
        <v>161</v>
      </c>
      <c r="G39" s="4" t="s">
        <v>2636</v>
      </c>
      <c r="H39" s="132" t="s">
        <v>2637</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2612</v>
      </c>
      <c r="D40" s="17"/>
      <c r="E40" s="17"/>
      <c r="F40" s="17" t="s">
        <v>161</v>
      </c>
      <c r="G40" s="4" t="s">
        <v>2638</v>
      </c>
      <c r="H40" s="160" t="s">
        <v>2639</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2612</v>
      </c>
      <c r="D41" s="17"/>
      <c r="E41" s="17"/>
      <c r="F41" s="17" t="s">
        <v>161</v>
      </c>
      <c r="G41" s="4" t="s">
        <v>2640</v>
      </c>
      <c r="H41" s="132" t="s">
        <v>2641</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2642</v>
      </c>
      <c r="D42" s="37" t="s">
        <v>2643</v>
      </c>
      <c r="E42" s="37"/>
      <c r="F42" s="37" t="s">
        <v>161</v>
      </c>
      <c r="G42" s="9" t="s">
        <v>136</v>
      </c>
      <c r="H42" s="164" t="s">
        <v>2644</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2642</v>
      </c>
      <c r="D43" s="39"/>
      <c r="E43" s="39"/>
      <c r="F43" s="37" t="s">
        <v>161</v>
      </c>
      <c r="G43" s="38" t="s">
        <v>138</v>
      </c>
      <c r="H43" s="255" t="s">
        <v>2645</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2642</v>
      </c>
      <c r="D44" s="39"/>
      <c r="E44" s="39"/>
      <c r="F44" s="37" t="s">
        <v>161</v>
      </c>
      <c r="G44" s="38" t="s">
        <v>166</v>
      </c>
      <c r="H44" s="255" t="s">
        <v>2646</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2642</v>
      </c>
      <c r="D45" s="46"/>
      <c r="E45" s="39"/>
      <c r="F45" s="37" t="s">
        <v>161</v>
      </c>
      <c r="G45" s="38" t="s">
        <v>169</v>
      </c>
      <c r="H45" s="255" t="s">
        <v>2647</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1536</v>
      </c>
      <c r="D46" s="360" t="s">
        <v>1537</v>
      </c>
      <c r="E46" s="569"/>
      <c r="F46" s="52" t="s">
        <v>1545</v>
      </c>
      <c r="G46" s="21" t="s">
        <v>337</v>
      </c>
      <c r="H46" s="46" t="s">
        <v>1546</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1568</v>
      </c>
      <c r="D47" s="129" t="s">
        <v>1569</v>
      </c>
      <c r="E47" s="129"/>
      <c r="F47" s="76" t="s">
        <v>1539</v>
      </c>
      <c r="G47" s="22" t="s">
        <v>222</v>
      </c>
      <c r="H47" s="24" t="s">
        <v>1575</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1568</v>
      </c>
      <c r="D48" s="55" t="s">
        <v>1569</v>
      </c>
      <c r="E48" s="570"/>
      <c r="F48" s="347" t="s">
        <v>161</v>
      </c>
      <c r="G48" s="9" t="s">
        <v>1580</v>
      </c>
      <c r="H48" s="7" t="s">
        <v>1581</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1583</v>
      </c>
      <c r="D49" s="2" t="s">
        <v>1584</v>
      </c>
      <c r="E49" s="39"/>
      <c r="F49" s="39" t="s">
        <v>1545</v>
      </c>
      <c r="G49" s="9" t="s">
        <v>1588</v>
      </c>
      <c r="H49" s="7" t="s">
        <v>1589</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1592</v>
      </c>
      <c r="D50" s="345" t="s">
        <v>1593</v>
      </c>
      <c r="E50" s="571"/>
      <c r="F50" s="307" t="s">
        <v>1545</v>
      </c>
      <c r="G50" s="4" t="s">
        <v>338</v>
      </c>
      <c r="H50" s="3" t="s">
        <v>1615</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1592</v>
      </c>
      <c r="D51" s="345" t="s">
        <v>1593</v>
      </c>
      <c r="E51" s="571"/>
      <c r="F51" s="307" t="s">
        <v>1545</v>
      </c>
      <c r="G51" s="4" t="s">
        <v>1266</v>
      </c>
      <c r="H51" s="3" t="s">
        <v>1616</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1592</v>
      </c>
      <c r="D52" s="345" t="s">
        <v>1593</v>
      </c>
      <c r="E52" s="125"/>
      <c r="F52" s="387" t="s">
        <v>161</v>
      </c>
      <c r="G52" s="4" t="s">
        <v>414</v>
      </c>
      <c r="H52" s="17" t="s">
        <v>1632</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1592</v>
      </c>
      <c r="D53" s="345" t="s">
        <v>1593</v>
      </c>
      <c r="E53" s="125"/>
      <c r="F53" s="386" t="s">
        <v>161</v>
      </c>
      <c r="G53" s="4" t="s">
        <v>1633</v>
      </c>
      <c r="H53" s="17" t="s">
        <v>1634</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1636</v>
      </c>
      <c r="D54" s="6" t="s">
        <v>1637</v>
      </c>
      <c r="E54" s="6"/>
      <c r="F54" s="39" t="s">
        <v>1641</v>
      </c>
      <c r="G54" s="9" t="s">
        <v>488</v>
      </c>
      <c r="H54" s="7" t="s">
        <v>1659</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1636</v>
      </c>
      <c r="D55" s="6" t="s">
        <v>1637</v>
      </c>
      <c r="E55" s="6"/>
      <c r="F55" s="39" t="s">
        <v>161</v>
      </c>
      <c r="G55" s="9" t="s">
        <v>1193</v>
      </c>
      <c r="H55" s="7" t="s">
        <v>1660</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1636</v>
      </c>
      <c r="D56" s="6" t="s">
        <v>1637</v>
      </c>
      <c r="E56" s="6"/>
      <c r="F56" s="39" t="s">
        <v>161</v>
      </c>
      <c r="G56" s="9" t="s">
        <v>1195</v>
      </c>
      <c r="H56" s="13" t="s">
        <v>1661</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1636</v>
      </c>
      <c r="D57" s="6" t="s">
        <v>1637</v>
      </c>
      <c r="E57" s="6"/>
      <c r="F57" s="39" t="s">
        <v>161</v>
      </c>
      <c r="G57" s="9" t="s">
        <v>1663</v>
      </c>
      <c r="H57" s="13" t="s">
        <v>1664</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1680</v>
      </c>
      <c r="D58" s="55" t="s">
        <v>1681</v>
      </c>
      <c r="E58" s="55"/>
      <c r="F58" s="34" t="s">
        <v>1649</v>
      </c>
      <c r="G58" s="4" t="s">
        <v>601</v>
      </c>
      <c r="H58" s="17" t="s">
        <v>1688</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1680</v>
      </c>
      <c r="D59" s="55" t="s">
        <v>1681</v>
      </c>
      <c r="E59" s="57"/>
      <c r="F59" s="36" t="s">
        <v>1690</v>
      </c>
      <c r="G59" s="4" t="s">
        <v>374</v>
      </c>
      <c r="H59" s="17" t="s">
        <v>1691</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40" t="s">
        <v>1692</v>
      </c>
      <c r="D60" s="841" t="s">
        <v>1693</v>
      </c>
      <c r="E60" s="37"/>
      <c r="F60" s="37" t="s">
        <v>1641</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43"/>
      <c r="D61" s="844"/>
      <c r="E61" s="39"/>
      <c r="F61" s="39" t="s">
        <v>1641</v>
      </c>
      <c r="G61" s="9" t="s">
        <v>281</v>
      </c>
      <c r="H61" s="13" t="s">
        <v>1694</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43"/>
      <c r="D62" s="844"/>
      <c r="E62" s="39"/>
      <c r="F62" s="39" t="s">
        <v>1641</v>
      </c>
      <c r="G62" s="9" t="s">
        <v>269</v>
      </c>
      <c r="H62" s="13" t="s">
        <v>1695</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43"/>
      <c r="D63" s="844"/>
      <c r="E63" s="39"/>
      <c r="F63" s="39" t="s">
        <v>1641</v>
      </c>
      <c r="G63" s="9" t="s">
        <v>259</v>
      </c>
      <c r="H63" s="13" t="s">
        <v>1696</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1641</v>
      </c>
      <c r="G64" s="9" t="s">
        <v>352</v>
      </c>
      <c r="H64" s="7" t="s">
        <v>1697</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1704</v>
      </c>
      <c r="D65" s="2" t="s">
        <v>1705</v>
      </c>
      <c r="E65" s="6"/>
      <c r="F65" s="39" t="s">
        <v>161</v>
      </c>
      <c r="G65" s="38" t="s">
        <v>329</v>
      </c>
      <c r="H65" s="37" t="s">
        <v>1706</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1704</v>
      </c>
      <c r="D66" s="2" t="s">
        <v>1705</v>
      </c>
      <c r="E66" s="6"/>
      <c r="F66" s="39" t="s">
        <v>161</v>
      </c>
      <c r="G66" s="38" t="s">
        <v>601</v>
      </c>
      <c r="H66" s="37" t="s">
        <v>1707</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1704</v>
      </c>
      <c r="D67" s="2" t="s">
        <v>1705</v>
      </c>
      <c r="E67" s="6"/>
      <c r="F67" s="39" t="s">
        <v>1539</v>
      </c>
      <c r="G67" s="38" t="s">
        <v>372</v>
      </c>
      <c r="H67" s="40" t="s">
        <v>1708</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1710</v>
      </c>
      <c r="D68" s="423" t="s">
        <v>1711</v>
      </c>
      <c r="E68" s="572"/>
      <c r="F68" s="59" t="s">
        <v>161</v>
      </c>
      <c r="G68" s="19" t="s">
        <v>329</v>
      </c>
      <c r="H68" s="53" t="s">
        <v>1706</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1710</v>
      </c>
      <c r="D69" s="423" t="s">
        <v>1711</v>
      </c>
      <c r="E69" s="572"/>
      <c r="F69" s="59" t="s">
        <v>161</v>
      </c>
      <c r="G69" s="19" t="s">
        <v>601</v>
      </c>
      <c r="H69" s="53" t="s">
        <v>1707</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1710</v>
      </c>
      <c r="D70" s="423" t="s">
        <v>1711</v>
      </c>
      <c r="E70" s="572"/>
      <c r="F70" s="60" t="s">
        <v>1649</v>
      </c>
      <c r="G70" s="42" t="s">
        <v>1713</v>
      </c>
      <c r="H70" s="61" t="s">
        <v>1714</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1545</v>
      </c>
      <c r="G71" s="21" t="s">
        <v>234</v>
      </c>
      <c r="H71" s="52" t="s">
        <v>1720</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1641</v>
      </c>
      <c r="G72" s="21" t="s">
        <v>236</v>
      </c>
      <c r="H72" s="52" t="s">
        <v>1721</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2088</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2648</v>
      </c>
      <c r="D3" s="565" t="s">
        <v>2649</v>
      </c>
      <c r="E3" s="565"/>
      <c r="F3" s="565"/>
      <c r="G3" s="21" t="s">
        <v>2035</v>
      </c>
      <c r="H3" s="52" t="s">
        <v>2650</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2648</v>
      </c>
      <c r="D4" s="680" t="s">
        <v>2649</v>
      </c>
      <c r="E4" s="680"/>
      <c r="F4" s="680"/>
      <c r="G4" s="146" t="s">
        <v>1765</v>
      </c>
      <c r="H4" s="193" t="s">
        <v>2651</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2652</v>
      </c>
      <c r="C5" s="683" t="s">
        <v>2648</v>
      </c>
      <c r="D5" s="684" t="s">
        <v>2649</v>
      </c>
      <c r="E5" s="684"/>
      <c r="F5" s="684"/>
      <c r="G5" s="151" t="s">
        <v>2653</v>
      </c>
      <c r="H5" s="153" t="s">
        <v>2654</v>
      </c>
      <c r="I5" s="428">
        <v>45805</v>
      </c>
      <c r="J5" s="429">
        <v>45883</v>
      </c>
      <c r="K5" s="697" t="str" cm="1">
        <f t="array" ref="K5">IF(ISBLANK(J5), IF(ISBLANK(I5), "N/A", _xlfn.IFS(L5="AS", I5+15, L5="NCR", I5+30, L5="submitted", I5+30, TRUE, "N/A")), _xlfn.IFS(L5="AS", J5+15, L5="NCR", J5+30, L5="submitted", J5+30, TRUE, "N/A"))</f>
        <v>N/A</v>
      </c>
      <c r="L5" s="759" t="s">
        <v>639</v>
      </c>
      <c r="M5" s="317"/>
      <c r="N5" s="799"/>
      <c r="O5" s="800"/>
      <c r="P5" s="800"/>
      <c r="Q5" s="801"/>
    </row>
    <row r="6" spans="1:17" s="1" customFormat="1" ht="25.5" customHeight="1">
      <c r="B6" s="182"/>
      <c r="C6" s="563" t="s">
        <v>2648</v>
      </c>
      <c r="D6" s="565" t="s">
        <v>2649</v>
      </c>
      <c r="E6" s="565"/>
      <c r="F6" s="565"/>
      <c r="G6" s="9" t="s">
        <v>2038</v>
      </c>
      <c r="H6" s="7" t="s">
        <v>2655</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2648</v>
      </c>
      <c r="D7" s="565" t="s">
        <v>2649</v>
      </c>
      <c r="E7" s="565"/>
      <c r="F7" s="565"/>
      <c r="G7" s="9" t="s">
        <v>2042</v>
      </c>
      <c r="H7" s="7" t="s">
        <v>2656</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2648</v>
      </c>
      <c r="D8" s="565" t="s">
        <v>2649</v>
      </c>
      <c r="E8" s="565"/>
      <c r="F8" s="565"/>
      <c r="G8" s="9" t="s">
        <v>2657</v>
      </c>
      <c r="H8" s="7" t="s">
        <v>2658</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2648</v>
      </c>
      <c r="D9" s="565" t="s">
        <v>2649</v>
      </c>
      <c r="E9" s="565"/>
      <c r="F9" s="565"/>
      <c r="G9" s="9" t="s">
        <v>2659</v>
      </c>
      <c r="H9" s="7" t="s">
        <v>2660</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2648</v>
      </c>
      <c r="D10" s="565" t="s">
        <v>2649</v>
      </c>
      <c r="E10" s="565"/>
      <c r="F10" s="565"/>
      <c r="G10" s="9" t="s">
        <v>2661</v>
      </c>
      <c r="H10" s="7" t="s">
        <v>2662</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2648</v>
      </c>
      <c r="D11" s="565" t="s">
        <v>2649</v>
      </c>
      <c r="E11" s="565"/>
      <c r="F11" s="565"/>
      <c r="G11" s="9" t="s">
        <v>2663</v>
      </c>
      <c r="H11" s="7" t="s">
        <v>2664</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2648</v>
      </c>
      <c r="D12" s="565" t="s">
        <v>2649</v>
      </c>
      <c r="E12" s="565"/>
      <c r="F12" s="565"/>
      <c r="G12" s="9" t="s">
        <v>2665</v>
      </c>
      <c r="H12" s="7" t="s">
        <v>2666</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2648</v>
      </c>
      <c r="D13" s="565" t="s">
        <v>2649</v>
      </c>
      <c r="E13" s="565"/>
      <c r="F13" s="565"/>
      <c r="G13" s="9" t="s">
        <v>2667</v>
      </c>
      <c r="H13" s="7" t="s">
        <v>2668</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2648</v>
      </c>
      <c r="D14" s="565" t="s">
        <v>2649</v>
      </c>
      <c r="E14" s="565"/>
      <c r="F14" s="565"/>
      <c r="G14" s="9" t="s">
        <v>2669</v>
      </c>
      <c r="H14" s="7" t="s">
        <v>2670</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2648</v>
      </c>
      <c r="D15" s="565" t="s">
        <v>2649</v>
      </c>
      <c r="E15" s="565"/>
      <c r="F15" s="565"/>
      <c r="G15" s="9" t="s">
        <v>2671</v>
      </c>
      <c r="H15" s="7" t="s">
        <v>2672</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2648</v>
      </c>
      <c r="D16" s="565" t="s">
        <v>2649</v>
      </c>
      <c r="E16" s="565"/>
      <c r="F16" s="565"/>
      <c r="G16" s="9" t="s">
        <v>2673</v>
      </c>
      <c r="H16" s="7" t="s">
        <v>2674</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2648</v>
      </c>
      <c r="D17" s="565" t="s">
        <v>2649</v>
      </c>
      <c r="E17" s="565"/>
      <c r="F17" s="565"/>
      <c r="G17" s="9" t="s">
        <v>2675</v>
      </c>
      <c r="H17" s="7" t="s">
        <v>1819</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2648</v>
      </c>
      <c r="D18" s="565" t="s">
        <v>2649</v>
      </c>
      <c r="E18" s="565"/>
      <c r="F18" s="565"/>
      <c r="G18" s="9" t="s">
        <v>2676</v>
      </c>
      <c r="H18" s="13" t="s">
        <v>2677</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2648</v>
      </c>
      <c r="D19" s="565" t="s">
        <v>2649</v>
      </c>
      <c r="E19" s="565"/>
      <c r="F19" s="565"/>
      <c r="G19" s="9" t="s">
        <v>2678</v>
      </c>
      <c r="H19" s="7" t="s">
        <v>2679</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2648</v>
      </c>
      <c r="D20" s="565" t="s">
        <v>2649</v>
      </c>
      <c r="E20" s="565"/>
      <c r="F20" s="565"/>
      <c r="G20" s="9" t="s">
        <v>2680</v>
      </c>
      <c r="H20" s="7" t="s">
        <v>2681</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2648</v>
      </c>
      <c r="D21" s="565" t="s">
        <v>2649</v>
      </c>
      <c r="E21" s="565"/>
      <c r="F21" s="565"/>
      <c r="G21" s="9" t="s">
        <v>2682</v>
      </c>
      <c r="H21" s="7" t="s">
        <v>2683</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2648</v>
      </c>
      <c r="D22" s="565" t="s">
        <v>2649</v>
      </c>
      <c r="E22" s="565"/>
      <c r="F22" s="565"/>
      <c r="G22" s="9" t="s">
        <v>2684</v>
      </c>
      <c r="H22" s="7" t="s">
        <v>2685</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2648</v>
      </c>
      <c r="D23" s="565" t="s">
        <v>2649</v>
      </c>
      <c r="E23" s="566"/>
      <c r="F23" s="566"/>
      <c r="G23" s="9" t="s">
        <v>2686</v>
      </c>
      <c r="H23" s="7" t="s">
        <v>2687</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2025-10-15T02:46:02Z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