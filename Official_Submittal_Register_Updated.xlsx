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721" documentId="14_{533F4329-B275-4479-8BD6-A4781C41E290}" xr6:coauthVersionLast="47" xr6:coauthVersionMax="47" xr10:uidLastSave="{DBDD224C-F761-4DD6-9FC5-921B9F57D6C5}"/>
  <bookViews>
    <workbookView minimized="1" xWindow="8850" yWindow="1230" windowWidth="15465" windowHeight="8805" tabRatio="580" firstSheet="6" activeTab="7"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1" i="4" l="1" a="1"/>
  <c r="K151" i="4" s="1"/>
  <c r="K53" i="6" a="1"/>
  <c r="K53" i="6" s="1"/>
  <c r="K51" i="6" a="1"/>
  <c r="K51" i="6" s="1"/>
  <c r="K64" i="6" a="1"/>
  <c r="K64" i="6" s="1"/>
  <c r="K336" i="12" a="1"/>
  <c r="K336" i="12" s="1"/>
  <c r="K333" i="12" a="1"/>
  <c r="K333" i="12" s="1"/>
  <c r="K360" i="12" a="1"/>
  <c r="K360" i="12" s="1"/>
  <c r="K83" i="4" a="1"/>
  <c r="K83" i="4"/>
  <c r="K153" i="4" a="1"/>
  <c r="K153" i="4" s="1"/>
  <c r="K9" i="3" a="1"/>
  <c r="K9" i="3"/>
  <c r="K14" i="3" a="1"/>
  <c r="K14" i="3"/>
  <c r="K378" i="4" a="1"/>
  <c r="K378"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6" i="4" a="1"/>
  <c r="K46" i="4"/>
  <c r="K47" i="4" a="1"/>
  <c r="K47" i="4"/>
  <c r="K48" i="4" a="1"/>
  <c r="K48" i="4"/>
  <c r="K49" i="4" a="1"/>
  <c r="K49" i="4"/>
  <c r="K50" i="4" a="1"/>
  <c r="K50" i="4"/>
  <c r="K51" i="4" a="1"/>
  <c r="K51" i="4"/>
  <c r="K52" i="4" a="1"/>
  <c r="K52" i="4"/>
  <c r="K53" i="4" a="1"/>
  <c r="K53" i="4"/>
  <c r="K54" i="4" a="1"/>
  <c r="K54" i="4"/>
  <c r="K55" i="4" a="1"/>
  <c r="K55" i="4"/>
  <c r="K56" i="4" a="1"/>
  <c r="K56" i="4"/>
  <c r="K57" i="4" a="1"/>
  <c r="K57"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1" i="4" a="1"/>
  <c r="K81" i="4"/>
  <c r="K82" i="4" a="1"/>
  <c r="K82"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0" i="4" a="1"/>
  <c r="K150" i="4"/>
  <c r="K152" i="4" a="1"/>
  <c r="K152"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6" i="4" a="1"/>
  <c r="K376" i="4"/>
  <c r="K377" i="4" a="1"/>
  <c r="K377" i="4"/>
  <c r="K379" i="4" a="1"/>
  <c r="K379" i="4"/>
  <c r="K380" i="4" a="1"/>
  <c r="K380" i="4"/>
  <c r="K381" i="4" a="1"/>
  <c r="K381" i="4"/>
  <c r="K382" i="4" a="1"/>
  <c r="K382" i="4"/>
  <c r="K383" i="4" a="1"/>
  <c r="K383" i="4"/>
  <c r="K384" i="4" a="1"/>
  <c r="K384"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3" i="6" a="1"/>
  <c r="K63"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313" i="6" a="1"/>
  <c r="K313"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8" i="4"/>
  <c r="K58" i="4" s="1" a="1"/>
  <c r="K58"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<sst xmlns="http://schemas.openxmlformats.org/spreadsheetml/2006/main" count="7438" uniqueCount="2683">
  <si>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</si>
  <si>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</si>
  <si>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</si>
  <si>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</si>
  <si>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</si>
  <si>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</si>
  <si>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</si>
  <si>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</si>
  <si>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</si>
  <si>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</si>
  <si>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</si>
  <si>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</si>
  <si>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</si>
  <si>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</si>
  <si>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</si>
  <si>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</si>
  <si>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</si>
  <si>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</si>
  <si>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</si>
  <si>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</si>
  <si>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</si>
  <si>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</si>
  <si>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</si>
  <si>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</si>
  <si>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</si>
  <si>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</si>
  <si>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</si>
  <si>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</si>
  <si>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</si>
  <si>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</si>
  <si>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</si>
  <si>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</si>
  <si>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</si>
  <si>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</si>
  <si>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</si>
  <si>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</si>
  <si>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</si>
  <si>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</si>
  <si>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</si>
  <si>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</si>
  <si>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</si>
  <si>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</si>
  <si>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</si>
  <si>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</si>
  <si>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</si>
  <si>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</si>
  <si>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</si>
  <si>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</si>
  <si>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</si>
  <si>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</si>
  <si>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</si>
  <si>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</si>
  <si>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</si>
  <si>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</si>
  <si>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</si>
  <si>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</si>
  <si>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</si>
  <si>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</si>
  <si>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</si>
  <si>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</si>
  <si>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</si>
  <si>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</si>
  <si>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</si>
  <si>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</si>
  <si>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</si>
  <si>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</si>
  <si>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</si>
  <si>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</si>
  <si>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</si>
  <si>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</si>
  <si>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</si>
  <si>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</si>
  <si>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</si>
  <si>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</si>
  <si>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</si>
  <si>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</si>
  <si>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</si>
  <si>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</si>
  <si>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</si>
  <si>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</si>
  <si>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</si>
  <si>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</si>
  <si>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</si>
  <si>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</si>
  <si>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</si>
  <si>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</si>
  <si>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</si>
  <si>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</si>
  <si>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</si>
  <si>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</si>
  <si>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</si>
  <si>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</si>
  <si>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</si>
  <si>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</si>
  <si>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</si>
  <si>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</si>
  <si>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</si>
  <si>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</si>
  <si>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</si>
  <si>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</si>
  <si>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</si>
  <si>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</si>
  <si>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</si>
  <si>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</si>
  <si>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</si>
  <si>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</si>
  <si>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</si>
  <si>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</si>
  <si>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</si>
  <si>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</si>
  <si>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</si>
  <si>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</si>
  <si>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</si>
  <si>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</si>
  <si>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</si>
  <si>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</si>
  <si>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</si>
  <si>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</si>
  <si>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</si>
  <si>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</si>
  <si>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</si>
  <si>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</si>
  <si>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</si>
  <si>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</si>
  <si>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</si>
  <si>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</si>
  <si>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</si>
  <si>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</si>
  <si>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</si>
  <si>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</si>
  <si>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</si>
  <si>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</si>
  <si>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</si>
  <si>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</si>
  <si>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</si>
  <si>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</si>
  <si>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</si>
  <si>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</si>
  <si>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</si>
  <si>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</si>
  <si>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</si>
  <si>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</si>
  <si>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</si>
  <si>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</si>
  <si>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</si>
  <si>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</si>
  <si>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</si>
  <si>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</si>
  <si>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</si>
  <si>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</si>
  <si>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</si>
  <si>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</si>
  <si>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</si>
  <si>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</si>
  <si>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</si>
  <si>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</si>
  <si>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</si>
  <si>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</si>
  <si>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</si>
  <si>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</si>
  <si>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</si>
  <si>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</si>
  <si>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</si>
  <si>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</si>
  <si>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</si>
  <si>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</si>
  <si>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</si>
  <si>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</si>
  <si>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</si>
  <si>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</si>
  <si>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</si>
  <si>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</si>
  <si>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</si>
  <si>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</si>
  <si>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</si>
  <si>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</si>
  <si>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</si>
  <si>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</si>
  <si>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</si>
  <si>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</si>
  <si>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</si>
  <si>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</si>
  <si>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</si>
  <si>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</si>
  <si>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</si>
  <si>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</si>
  <si>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</si>
  <si>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</si>
  <si>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</si>
  <si>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</si>
  <si>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</si>
  <si>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</si>
  <si>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</si>
  <si>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</si>
  <si>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</si>
  <si>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</si>
  <si>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</si>
  <si>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</si>
  <si>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</si>
  <si>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</si>
  <si>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</si>
  <si>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</si>
  <si>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</si>
  <si>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</si>
  <si>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</si>
  <si>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</si>
  <si>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</si>
  <si>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</si>
  <si>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</si>
  <si>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</si>
  <si>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</si>
  <si>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</si>
  <si>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</si>
  <si>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</si>
  <si>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</si>
  <si>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</si>
  <si>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</si>
  <si>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</si>
  <si>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</si>
  <si>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</si>
  <si>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</si>
  <si>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</si>
  <si>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</si>
  <si>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</si>
  <si>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</si>
  <si>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</si>
  <si>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</si>
  <si>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</si>
  <si>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</si>
  <si>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</si>
  <si>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</si>
  <si>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</si>
  <si>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</si>
  <si>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</si>
  <si>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</si>
  <si>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</si>
  <si>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</si>
  <si>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</si>
  <si>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</si>
  <si>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</si>
  <si>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</si>
  <si>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</si>
  <si>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</si>
  <si>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</si>
  <si>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</si>
  <si>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</si>
  <si>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</si>
  <si>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</si>
  <si>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</si>
  <si>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</si>
  <si>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</si>
  <si>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</si>
  <si>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</si>
  <si>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</si>
  <si>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</si>
  <si>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</si>
  <si>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</si>
  <si>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</si>
  <si>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</si>
  <si>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</si>
  <si>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</si>
  <si>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</si>
  <si>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</si>
  <si>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</si>
  <si>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</si>
  <si>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</si>
  <si>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</si>
  <si>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</si>
  <si>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</si>
  <si>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</si>
  <si>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</si>
  <si>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</si>
  <si>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</si>
  <si>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</si>
  <si>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</si>
  <si>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</si>
  <si>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</si>
  <si>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</si>
  <si>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</si>
  <si>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</si>
  <si>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</si>
  <si>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</si>
  <si>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</si>
  <si>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</si>
  <si>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</si>
  <si>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</si>
  <si>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</si>
  <si>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</si>
  <si>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</si>
  <si>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</si>
  <si>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</si>
  <si>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</si>
  <si>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</si>
  <si>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</si>
  <si>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</si>
  <si>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</si>
  <si>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</si>
  <si>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</si>
  <si>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</si>
  <si>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</si>
  <si>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</si>
  <si>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</si>
  <si>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</si>
  <si>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</si>
  <si>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</si>
  <si>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</si>
  <si>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</si>
  <si>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</si>
  <si>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</si>
  <si>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</si>
  <si>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</si>
  <si>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</si>
  <si>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</si>
  <si>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</si>
  <si>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</si>
  <si>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</si>
  <si>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</si>
  <si>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</si>
  <si>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</si>
  <si>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</si>
  <si>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</si>
  <si>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</si>
  <si>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</si>
  <si>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</si>
  <si>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</si>
  <si>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</si>
  <si>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</si>
  <si>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</si>
  <si>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</si>
  <si>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</si>
  <si>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</si>
  <si>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</si>
  <si>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</si>
  <si>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</si>
  <si>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</si>
  <si>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</si>
  <si>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</si>
  <si>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</si>
  <si>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</si>
  <si>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</si>
  <si>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</si>
  <si>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</si>
  <si>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</si>
  <si>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</si>
  <si>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</si>
  <si>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</si>
  <si>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</si>
  <si>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</si>
  <si>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</si>
  <si>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</si>
  <si>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</si>
  <si>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</si>
  <si>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</si>
  <si>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</si>
  <si>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</si>
  <si>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</si>
  <si>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</si>
  <si>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</si>
  <si>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</si>
  <si>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</si>
  <si>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</si>
  <si>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</si>
  <si>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</si>
  <si>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</si>
  <si>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</si>
  <si>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</si>
  <si>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</si>
  <si>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</si>
  <si>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</si>
  <si>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</si>
  <si>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</si>
  <si>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</si>
  <si>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</si>
  <si>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</si>
  <si>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</si>
  <si>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</si>
  <si>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</si>
  <si>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</si>
  <si>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</si>
  <si>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</si>
  <si>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</si>
  <si>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</si>
  <si>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</si>
  <si>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</si>
  <si>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</si>
  <si>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</si>
  <si>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</si>
  <si>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</si>
  <si>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</si>
  <si>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</si>
  <si>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</si>
  <si>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</si>
  <si>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</si>
  <si>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</si>
  <si>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</si>
  <si>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</si>
  <si>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</si>
  <si>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</si>
  <si>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</si>
  <si>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</si>
  <si>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</si>
  <si>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</si>
  <si>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</si>
  <si>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</si>
  <si>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</si>
  <si>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</si>
  <si>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</si>
  <si>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</si>
  <si>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</si>
  <si>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</si>
  <si>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</si>
  <si>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</si>
  <si>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</si>
  <si>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</si>
  <si>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</si>
  <si>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</si>
  <si>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</si>
  <si>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</si>
  <si>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</si>
  <si>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</si>
  <si>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</si>
  <si>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</si>
  <si>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</si>
  <si>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</si>
  <si>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</si>
  <si>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</si>
  <si>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</si>
  <si>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</si>
  <si>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</si>
  <si>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</si>
  <si>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</si>
  <si>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</si>
  <si>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</si>
  <si>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</si>
  <si>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</si>
  <si>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</si>
  <si>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</si>
  <si>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</si>
  <si>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</si>
  <si>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</si>
  <si>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</si>
  <si>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</si>
  <si>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</si>
  <si>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</si>
  <si>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</si>
  <si>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</si>
  <si>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</si>
  <si>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</si>
  <si>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</si>
  <si>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</si>
  <si>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</si>
  <si>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</si>
  <si>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</si>
  <si>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</si>
  <si>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</si>
  <si>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</si>
  <si>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</si>
  <si>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</si>
  <si>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</si>
  <si>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</si>
  <si>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</si>
  <si>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</si>
  <si>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</si>
  <si>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</si>
  <si>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</si>
  <si>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</si>
  <si>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</si>
  <si>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</si>
  <si>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</si>
  <si>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</si>
  <si>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</si>
  <si>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</si>
  <si>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</si>
  <si>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</si>
  <si>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</si>
  <si>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</si>
  <si>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</si>
  <si>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</si>
  <si>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</si>
  <si>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</si>
  <si>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</si>
  <si>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</si>
  <si>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</si>
  <si>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</si>
  <si>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</si>
  <si>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</si>
  <si>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</si>
  <si>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</si>
  <si>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</si>
  <si>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</si>
  <si>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</si>
  <si>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</si>
  <si>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</si>
  <si>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</si>
  <si>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</si>
  <si>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</si>
  <si>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</si>
  <si>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</si>
  <si>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</si>
  <si>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</si>
  <si>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</si>
  <si>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</si>
  <si>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</si>
  <si>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</si>
  <si>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</si>
  <si>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</si>
  <si>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</si>
  <si>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</si>
  <si>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</si>
  <si>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</si>
  <si>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</si>
  <si>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</si>
  <si>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</si>
  <si>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</si>
  <si>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</si>
  <si>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</si>
  <si>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</si>
  <si>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</si>
  <si>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</si>
  <si>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</si>
  <si>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</si>
  <si>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</si>
  <si>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</si>
  <si>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</si>
  <si>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</si>
  <si>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</si>
  <si>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</si>
  <si>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</si>
  <si>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</si>
  <si>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</si>
  <si>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</si>
  <si>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</si>
  <si>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</si>
  <si>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</si>
  <si>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</si>
  <si>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</si>
  <si>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</si>
  <si>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</si>
  <si>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</si>
  <si>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</si>
  <si>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</si>
  <si>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</si>
  <si>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</si>
  <si>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</si>
  <si>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</si>
  <si>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</si>
  <si>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</si>
  <si>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</si>
  <si>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</si>
  <si>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</si>
  <si>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</si>
  <si>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</si>
  <si>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</si>
  <si>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</si>
  <si>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</si>
  <si>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</si>
  <si>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</si>
  <si>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</si>
  <si>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</si>
  <si>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</si>
  <si>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</si>
  <si>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</si>
  <si>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</si>
  <si>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</si>
  <si>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</si>
  <si>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</si>
  <si>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</si>
  <si>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</si>
  <si>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</si>
  <si>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</si>
  <si>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</si>
  <si>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</si>
  <si>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</si>
  <si>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</si>
  <si>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</si>
  <si>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</si>
  <si>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</si>
  <si>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</si>
  <si>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</si>
  <si>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</si>
  <si>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</si>
  <si>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</si>
  <si>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</si>
  <si>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</si>
  <si>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</si>
  <si>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</si>
  <si>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</si>
  <si>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</si>
  <si>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</si>
  <si>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</si>
  <si>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</si>
  <si>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</si>
  <si>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</si>
  <si>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</si>
  <si>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</si>
  <si>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</si>
  <si>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</si>
  <si>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</si>
  <si>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</si>
  <si>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</si>
  <si>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</si>
  <si>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</si>
  <si>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</si>
  <si>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</si>
  <si>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</si>
  <si>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</si>
  <si>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</si>
  <si>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</si>
  <si>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</si>
  <si>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</si>
  <si>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</si>
  <si>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</si>
  <si>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</si>
  <si>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</si>
  <si>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</si>
  <si>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</si>
  <si>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</si>
  <si>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</si>
  <si>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</si>
  <si>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</si>
  <si>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</si>
  <si>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</si>
  <si>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</si>
  <si>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</si>
  <si>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</si>
  <si>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</si>
  <si>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</si>
  <si>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</si>
  <si>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</si>
  <si>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</si>
  <si>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</si>
  <si>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</si>
  <si>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</si>
  <si>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</si>
  <si>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</si>
  <si>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</si>
  <si>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</si>
  <si>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</si>
  <si>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</si>
  <si>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</si>
  <si>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</si>
  <si>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</si>
  <si>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</si>
  <si>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</si>
  <si>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</si>
  <si>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</si>
  <si>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</si>
  <si>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</si>
  <si>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</si>
  <si>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</si>
  <si>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</si>
  <si>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</si>
  <si>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</si>
  <si>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</si>
  <si>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</si>
  <si>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</si>
  <si>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</si>
  <si>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</si>
  <si>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</si>
  <si>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</si>
  <si>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</si>
  <si>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</si>
  <si>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</si>
  <si>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</si>
  <si>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</si>
  <si>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</si>
  <si>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</si>
  <si>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</si>
  <si>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</si>
  <si>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</si>
  <si>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</si>
  <si>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</si>
  <si>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</si>
  <si>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</si>
  <si>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</si>
  <si>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</si>
  <si>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</si>
  <si>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</si>
  <si>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</si>
  <si>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</si>
  <si>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</si>
  <si>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</si>
  <si>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</si>
  <si>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</si>
  <si>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</si>
  <si>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</si>
  <si>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</si>
  <si>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</si>
  <si>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</si>
  <si>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</si>
  <si>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</si>
  <si>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</si>
  <si>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</si>
  <si>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</si>
  <si>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</si>
  <si>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</si>
  <si>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</si>
  <si>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</si>
  <si>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</si>
  <si>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</si>
  <si>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</si>
  <si>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</si>
  <si>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</si>
  <si>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</si>
  <si>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</si>
  <si>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</si>
  <si>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</si>
  <si>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</si>
  <si>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</si>
  <si>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</si>
  <si>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</si>
  <si>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</si>
  <si>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</si>
  <si>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</si>
  <si>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</si>
  <si>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</si>
  <si>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</si>
  <si>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</si>
  <si>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</si>
  <si>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</si>
  <si>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</si>
  <si>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</si>
  <si>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</si>
  <si>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</si>
  <si>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</si>
  <si>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</si>
  <si>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</si>
  <si>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</si>
  <si>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</si>
  <si>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</si>
  <si>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</si>
  <si>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</si>
  <si>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</si>
  <si>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</si>
  <si>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</si>
  <si>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</si>
  <si>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</si>
  <si>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</si>
  <si>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</si>
  <si>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</si>
  <si>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</si>
  <si>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</si>
  <si>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</si>
  <si>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</si>
  <si>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</si>
  <si>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</si>
  <si>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</si>
  <si>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</si>
  <si>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</si>
  <si>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</si>
  <si>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</si>
  <si>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</si>
  <si>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</si>
  <si>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</si>
  <si>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</si>
  <si>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</si>
  <si>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</si>
  <si>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</si>
  <si>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</si>
  <si>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</si>
  <si>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</si>
  <si>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</si>
  <si>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</si>
  <si>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</si>
  <si>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</si>
  <si>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</si>
  <si>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</si>
  <si>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</si>
  <si>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</si>
  <si>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</si>
  <si>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</si>
  <si>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</si>
  <si>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</si>
  <si>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</si>
  <si>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</si>
  <si>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</si>
  <si>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</si>
  <si>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</si>
  <si>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</si>
  <si>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</si>
  <si>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</si>
  <si>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</si>
  <si>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</si>
  <si>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</si>
  <si>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</si>
  <si>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</si>
  <si>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</si>
  <si>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</si>
  <si>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</si>
  <si>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</si>
  <si>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</si>
  <si>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</si>
  <si>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</si>
  <si>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</si>
  <si>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</si>
  <si>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</si>
  <si>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</si>
  <si>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</si>
  <si>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</si>
  <si>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</si>
  <si>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</si>
  <si>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</si>
  <si>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</si>
  <si>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</si>
  <si>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</si>
  <si>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</si>
  <si>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</si>
  <si>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</si>
  <si>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</si>
  <si>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</si>
  <si>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</si>
  <si>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</si>
  <si>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</si>
  <si>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</si>
  <si>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</si>
  <si>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</si>
  <si>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</si>
  <si>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</si>
  <si>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</si>
  <si>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</si>
  <si>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</si>
  <si>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</si>
  <si>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</si>
  <si>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</si>
  <si>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</si>
  <si>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</si>
  <si>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</si>
  <si>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</si>
  <si>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</si>
  <si>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</si>
  <si>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</si>
  <si>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</si>
  <si>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</si>
  <si>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</si>
  <si>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</si>
  <si>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</si>
  <si>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</si>
  <si>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</si>
  <si>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</si>
  <si>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</si>
  <si>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</si>
  <si>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</si>
  <si>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</si>
  <si>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</si>
  <si>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</si>
  <si>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</si>
  <si>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</si>
  <si>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</si>
  <si>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</si>
  <si>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</si>
  <si>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</si>
  <si>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</si>
  <si>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</si>
  <si>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</si>
  <si>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</si>
  <si>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</si>
  <si>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</si>
  <si>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</si>
  <si>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</si>
  <si>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</si>
  <si>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</si>
  <si>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</si>
  <si>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</si>
  <si>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</si>
  <si>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</si>
  <si>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</si>
  <si>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</si>
  <si>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</si>
  <si>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</si>
  <si>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</si>
  <si>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</si>
  <si>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</si>
  <si>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</si>
  <si>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</si>
  <si>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</si>
  <si>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</si>
  <si>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</si>
  <si>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</si>
  <si>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</si>
  <si>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</si>
  <si>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</si>
  <si>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</si>
  <si>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</si>
  <si>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</si>
  <si>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</si>
  <si>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</si>
  <si>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</si>
  <si>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</si>
  <si>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</si>
  <si>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</si>
  <si>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</si>
  <si>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</si>
  <si>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</si>
  <si>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</si>
  <si>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</si>
  <si>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</si>
  <si>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</si>
  <si>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</si>
  <si>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</si>
  <si>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</si>
  <si>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</si>
  <si>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</si>
  <si>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</si>
  <si>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</si>
  <si>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</si>
  <si>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</si>
  <si>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</si>
  <si>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</si>
  <si>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</si>
  <si>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</si>
  <si>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</si>
  <si>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</si>
  <si>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</si>
  <si>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</si>
  <si>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</si>
  <si>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</si>
  <si>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</si>
  <si>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</si>
  <si>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</si>
  <si>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</si>
  <si>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</si>
  <si>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</si>
  <si>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</si>
  <si>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</si>
  <si>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</si>
  <si>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</si>
  <si>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</si>
  <si>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</si>
  <si>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</si>
  <si>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</si>
  <si>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</si>
  <si>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</si>
  <si>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</si>
  <si>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</si>
  <si>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</si>
  <si>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</si>
  <si>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</si>
  <si>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</si>
  <si>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</si>
  <si>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</si>
  <si>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</si>
  <si>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</si>
  <si>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</si>
  <si>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</si>
  <si>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</si>
  <si>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</si>
  <si>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</si>
  <si>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</si>
  <si>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</si>
  <si>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</si>
  <si>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</si>
  <si>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</si>
  <si>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</si>
  <si>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</si>
  <si>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</si>
  <si>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</si>
  <si>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</si>
  <si>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</si>
  <si>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</si>
  <si>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</si>
  <si>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</si>
  <si>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</si>
  <si>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</si>
  <si>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</si>
  <si>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</si>
  <si>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</si>
  <si>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</si>
  <si>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</si>
  <si>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</si>
  <si>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</si>
  <si>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</si>
  <si>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</si>
  <si>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</si>
  <si>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</si>
  <si>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</si>
  <si>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</si>
  <si>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</si>
  <si>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</si>
  <si>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</si>
  <si>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</si>
  <si>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</si>
  <si>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</si>
  <si>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</si>
  <si>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</si>
  <si>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</si>
  <si>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</si>
  <si>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</si>
  <si>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</si>
  <si>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</si>
  <si>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</si>
  <si>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</si>
  <si>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</si>
  <si>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</si>
  <si>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</si>
  <si>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</si>
  <si>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</si>
  <si>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</si>
  <si>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</si>
  <si>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</si>
  <si>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</si>
  <si>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</si>
  <si>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</si>
  <si>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</si>
  <si>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</si>
  <si>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</si>
  <si>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</si>
  <si>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</si>
  <si>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</si>
  <si>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</si>
  <si>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</si>
  <si>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</si>
  <si>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</si>
  <si>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</si>
  <si>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</si>
  <si>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</si>
  <si>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</si>
  <si>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</si>
  <si>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</si>
  <si>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</si>
  <si>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</si>
  <si>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</si>
  <si>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</si>
  <si>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</si>
  <si>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</si>
  <si>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</si>
  <si>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</si>
  <si>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</si>
  <si>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</si>
  <si>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</si>
  <si>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</si>
  <si>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</si>
  <si>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</si>
  <si>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</si>
  <si>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</si>
  <si>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</si>
  <si>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</si>
  <si>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</si>
  <si>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</si>
  <si>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</si>
  <si>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</si>
  <si>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</si>
  <si>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</si>
  <si>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</si>
  <si>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</si>
  <si>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</si>
  <si>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</si>
  <si>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</si>
  <si>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</si>
  <si>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</si>
  <si>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</si>
  <si>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</si>
  <si>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</si>
  <si>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</si>
  <si>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</si>
  <si>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</si>
  <si>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</si>
  <si>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</si>
  <si>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</si>
  <si>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</si>
  <si>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</si>
  <si>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</si>
  <si>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</si>
  <si>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</si>
  <si>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</si>
  <si>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</si>
  <si>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</si>
  <si>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</si>
  <si>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</si>
  <si>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</si>
  <si>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</si>
  <si>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</si>
  <si>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</si>
  <si>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</si>
  <si>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</si>
  <si>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</si>
  <si>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</si>
  <si>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</si>
  <si>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</si>
  <si>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</si>
  <si>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</si>
  <si>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</si>
  <si>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</si>
  <si>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</si>
  <si>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</si>
  <si>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</si>
  <si>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</si>
  <si>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</si>
  <si>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</si>
  <si>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</si>
  <si>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</si>
  <si>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</si>
  <si>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</si>
  <si>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</si>
  <si>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</si>
  <si>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</si>
  <si>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</si>
  <si>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</si>
  <si>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</si>
  <si>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</si>
  <si>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</si>
  <si>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</si>
  <si>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</si>
  <si>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</si>
  <si>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</si>
  <si>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</si>
  <si>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</si>
  <si>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</si>
  <si>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</si>
  <si>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</si>
  <si>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</si>
  <si>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</si>
  <si>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</si>
  <si>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</si>
  <si>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</si>
  <si>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</si>
  <si>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</si>
  <si>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</si>
  <si>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</si>
  <si>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</si>
  <si>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</si>
  <si>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</si>
  <si>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</si>
  <si>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</si>
  <si>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</si>
  <si>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</si>
  <si>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</si>
  <si>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</si>
  <si>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</si>
  <si>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</si>
  <si>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</si>
  <si>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</si>
  <si>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</si>
  <si>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</si>
  <si>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</si>
  <si>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</si>
  <si>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</si>
  <si>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</si>
  <si>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</si>
  <si>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</si>
  <si>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</si>
  <si>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</si>
  <si>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</si>
  <si>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</si>
  <si>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</si>
  <si>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</si>
  <si>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</si>
  <si>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</si>
  <si>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</si>
  <si>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</si>
  <si>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</si>
  <si>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</si>
  <si>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</si>
  <si>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</si>
  <si>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</si>
  <si>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</si>
  <si>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</si>
  <si>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</si>
  <si>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</si>
  <si>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</si>
  <si>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</si>
  <si>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</si>
  <si>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</si>
  <si>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</si>
  <si>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</si>
  <si>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</si>
  <si>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</si>
  <si>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</si>
  <si>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</si>
  <si>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</si>
  <si>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</si>
  <si>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</si>
  <si>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</si>
  <si>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</si>
  <si>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</si>
  <si>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</si>
  <si>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</si>
  <si>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</si>
  <si>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</si>
  <si>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</si>
  <si>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</si>
  <si>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</si>
  <si>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</si>
  <si>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</si>
  <si>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</si>
  <si>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</si>
  <si>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</si>
  <si>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</si>
  <si>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</si>
  <si>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</si>
  <si>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</si>
  <si>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</si>
  <si>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</si>
  <si>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</si>
  <si>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</si>
  <si>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</si>
  <si>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</si>
  <si>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</si>
  <si>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</si>
  <si>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</si>
  <si>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</si>
  <si>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</si>
  <si>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</si>
  <si>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</si>
  <si>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</si>
  <si>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</si>
  <si>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</si>
  <si>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</si>
  <si>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</si>
  <si>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</si>
  <si>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</si>
  <si>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</si>
  <si>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</si>
  <si>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</si>
  <si>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</si>
  <si>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</si>
  <si>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</si>
  <si>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</si>
  <si>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</si>
  <si>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</si>
  <si>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</si>
  <si>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</si>
  <si>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</si>
  <si>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</si>
  <si>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</si>
  <si>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</si>
  <si>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</si>
  <si>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</si>
  <si>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</si>
  <si>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</si>
  <si>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</si>
  <si>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</si>
  <si>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</si>
  <si>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</si>
  <si>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</si>
  <si>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</si>
  <si>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</si>
  <si>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</si>
  <si>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</si>
  <si>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</si>
  <si>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</si>
  <si>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</si>
  <si>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</si>
  <si>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</si>
  <si>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</si>
  <si>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</si>
  <si>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</si>
  <si>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</si>
  <si>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</si>
  <si>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</si>
  <si>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</si>
  <si>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</si>
  <si>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</si>
  <si>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</si>
  <si>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</si>
  <si>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</si>
  <si>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</si>
  <si>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</si>
  <si>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</si>
  <si>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</si>
  <si>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</si>
  <si>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</si>
  <si>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</si>
  <si>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</si>
  <si>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</si>
  <si>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</si>
  <si>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</si>
  <si>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</si>
  <si>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</si>
  <si>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</si>
  <si>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</si>
  <si>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</si>
  <si>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</si>
  <si>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</si>
  <si>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</si>
  <si>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</si>
  <si>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</si>
  <si>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</si>
  <si>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</si>
  <si>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</si>
  <si>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</si>
  <si>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</si>
  <si>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</si>
  <si>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</si>
  <si>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</si>
  <si>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</si>
  <si>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</si>
  <si>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</si>
  <si>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</si>
  <si>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</si>
  <si>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</si>
  <si>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</si>
  <si>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</si>
  <si>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</si>
  <si>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</si>
  <si>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</si>
  <si>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</si>
  <si>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</si>
  <si>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</si>
  <si>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</si>
  <si>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</si>
  <si>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</si>
  <si>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</si>
  <si>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</si>
  <si>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</si>
  <si>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</si>
  <si>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</si>
  <si>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</si>
  <si>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</si>
  <si>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</si>
  <si>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</si>
  <si>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</si>
  <si>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</si>
  <si>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</si>
  <si>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</si>
  <si>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</si>
  <si>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</si>
  <si>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</si>
  <si>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</si>
  <si>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</si>
  <si>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</si>
  <si>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</si>
  <si>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</si>
  <si>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</si>
  <si>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</si>
  <si>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</si>
  <si>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</si>
  <si>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</si>
  <si>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</si>
  <si>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</si>
  <si>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</si>
  <si>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</si>
  <si>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</si>
  <si>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</si>
  <si>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</si>
  <si>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</si>
  <si>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</si>
  <si>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</si>
  <si>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</si>
  <si>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</si>
  <si>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</si>
  <si>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</si>
  <si>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</si>
  <si>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</si>
  <si>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</si>
  <si>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</si>
  <si>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</si>
  <si>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</si>
  <si>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</si>
  <si>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</si>
  <si>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</si>
  <si>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</si>
  <si>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</si>
  <si>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</si>
  <si>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</si>
  <si>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</si>
  <si>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</si>
  <si>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</si>
  <si>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</si>
  <si>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</si>
  <si>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</si>
  <si>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</si>
  <si>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</si>
  <si>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</si>
  <si>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</si>
  <si>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</si>
  <si>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</si>
  <si>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</si>
  <si>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</si>
  <si>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</si>
  <si>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</si>
  <si>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</si>
  <si>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</si>
  <si>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</si>
  <si>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</si>
  <si>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</si>
  <si>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</si>
  <si>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</si>
  <si>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</si>
  <si>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</si>
  <si>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</si>
  <si>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</si>
  <si>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</si>
  <si>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</si>
  <si>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</si>
  <si>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</si>
  <si>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</si>
  <si>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</si>
  <si>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</si>
  <si>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</si>
  <si>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</si>
  <si>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</si>
  <si>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</si>
  <si>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</si>
  <si>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</si>
  <si>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</si>
  <si>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</si>
  <si>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</si>
  <si>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</si>
  <si>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</si>
  <si>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</si>
  <si>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</si>
  <si>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</si>
  <si>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</si>
  <si>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</si>
  <si>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</si>
  <si>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</si>
  <si>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</si>
  <si>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</si>
  <si>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</si>
  <si>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</si>
  <si>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</si>
  <si>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</si>
  <si>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</si>
  <si>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</si>
  <si>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</si>
  <si>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</si>
  <si>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</si>
  <si>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</si>
  <si>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</si>
  <si>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</si>
  <si>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</si>
  <si>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</si>
  <si>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</si>
  <si>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</si>
  <si>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</si>
  <si>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</si>
  <si>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</si>
  <si>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</si>
  <si>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</si>
  <si>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</si>
  <si>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</si>
  <si>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</si>
  <si>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</si>
  <si>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</si>
  <si>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</si>
  <si>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</si>
  <si>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</si>
  <si>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</si>
  <si>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</si>
  <si>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</si>
  <si>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</si>
  <si>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</si>
  <si>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</si>
  <si>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</si>
  <si>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</si>
  <si>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</si>
  <si>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</si>
  <si>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</si>
  <si>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</si>
  <si>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</si>
  <si>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</si>
  <si>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</si>
  <si>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</si>
  <si>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</si>
  <si>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</si>
  <si>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</si>
  <si>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</si>
  <si>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</si>
  <si>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</si>
  <si>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</si>
  <si>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</si>
  <si>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</si>
  <si>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</si>
  <si>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</si>
  <si>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</si>
  <si>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</si>
  <si>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</si>
  <si>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</si>
  <si>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</si>
  <si>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</si>
  <si>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</si>
  <si>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</si>
  <si>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</si>
  <si>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</si>
  <si>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</si>
  <si>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</si>
  <si>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</si>
  <si>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</si>
  <si>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</si>
  <si>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</si>
  <si>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</si>
  <si>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</si>
  <si>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</si>
  <si>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</si>
  <si>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</si>
  <si>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</si>
  <si>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</si>
  <si>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</si>
  <si>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</si>
  <si>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</si>
  <si>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</si>
  <si>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</si>
  <si>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</si>
  <si>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</si>
  <si>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</si>
  <si>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</si>
  <si>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</si>
  <si>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</si>
  <si>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</si>
  <si>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</si>
  <si>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</si>
  <si>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</si>
  <si>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</si>
  <si>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</si>
  <si>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</si>
  <si>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</si>
  <si>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</si>
  <si>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</si>
  <si>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</si>
  <si>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</si>
  <si>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</si>
  <si>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</si>
  <si>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</si>
  <si>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</si>
  <si>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</si>
  <si>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</si>
  <si>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</si>
  <si>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</si>
  <si>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</si>
  <si>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</si>
  <si>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</si>
  <si>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</si>
  <si>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</si>
  <si>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</si>
  <si>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</si>
  <si>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</si>
  <si>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</si>
  <si>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</si>
  <si>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</si>
  <si>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</si>
  <si>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</si>
  <si>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</si>
  <si>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</si>
  <si>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</si>
  <si>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</si>
  <si>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</si>
  <si>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</si>
  <si>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</si>
  <si>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</si>
  <si>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</si>
  <si>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</si>
  <si>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</si>
  <si>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</si>
  <si>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</si>
  <si>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</si>
  <si>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</si>
  <si>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</si>
  <si>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</si>
  <si>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</si>
  <si>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</si>
  <si>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</si>
  <si>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</si>
  <si>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</si>
  <si>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</si>
  <si>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</si>
  <si>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</si>
  <si>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</si>
  <si>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</si>
  <si>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</si>
  <si>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</si>
  <si>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</si>
  <si>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</si>
  <si>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</si>
  <si>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</si>
  <si>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</si>
  <si>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</si>
  <si>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</si>
  <si>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</si>
  <si>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</si>
  <si>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</si>
  <si>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</si>
  <si>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</si>
  <si>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</si>
  <si>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</si>
  <si>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</si>
  <si>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</si>
  <si>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</si>
  <si>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</si>
  <si>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</si>
  <si>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</si>
  <si>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</si>
  <si>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</si>
  <si>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</si>
  <si>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</si>
  <si>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</si>
  <si>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</si>
  <si>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</si>
  <si>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</si>
  <si>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</si>
  <si>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</si>
  <si>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</si>
  <si>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</si>
  <si>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</si>
  <si>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</si>
  <si>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</si>
  <si>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</si>
  <si>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</si>
  <si>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</si>
  <si>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</si>
  <si>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</si>
  <si>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</si>
  <si>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</si>
  <si>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</si>
  <si>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</si>
  <si>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</si>
  <si>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</si>
  <si>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03200-004.0</t>
  </si>
  <si>
    <t>03200-005.0</t>
  </si>
  <si>
    <t>CONCRETE REINFORCING SHOP DRAWINGS
PST and Septage Recieving</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</si>
  <si>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</si>
  <si>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</si>
  <si>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</si>
  <si>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</si>
  <si>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</si>
  <si>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</si>
  <si>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</si>
  <si>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</si>
  <si>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</si>
  <si>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</si>
  <si>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</si>
  <si>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</si>
  <si>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</si>
  <si>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</si>
  <si>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</si>
  <si>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</si>
  <si>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</si>
  <si>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</si>
  <si>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</si>
  <si>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</si>
  <si>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</si>
  <si>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</si>
  <si>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</si>
  <si>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</si>
  <si>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</si>
  <si>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</si>
  <si>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</si>
  <si>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</si>
  <si>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</si>
  <si>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</si>
  <si>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</si>
  <si>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</si>
  <si>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</si>
  <si>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</si>
  <si>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</si>
  <si>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</si>
  <si>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</si>
  <si>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</si>
  <si>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</si>
  <si>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</si>
  <si>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</si>
  <si>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</si>
  <si>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</si>
  <si>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</si>
  <si>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</si>
  <si>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</si>
  <si>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</si>
  <si>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</si>
  <si>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</si>
  <si>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</si>
  <si>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</si>
  <si>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</si>
  <si>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</si>
  <si>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</si>
  <si>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</si>
  <si>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</si>
  <si>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</si>
  <si>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</si>
  <si>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</si>
  <si>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</si>
  <si>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</si>
  <si>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</si>
  <si>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</si>
  <si>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</si>
  <si>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</si>
  <si>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</si>
  <si>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</si>
  <si>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</si>
  <si>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</si>
  <si>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</si>
  <si>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</si>
  <si>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</si>
  <si>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</si>
  <si>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</si>
  <si>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</si>
  <si>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</si>
  <si>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</si>
  <si>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</si>
  <si>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</si>
  <si>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</si>
  <si>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</si>
  <si>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</si>
  <si>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</si>
  <si>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</si>
  <si>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</si>
  <si>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</si>
  <si>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</si>
  <si>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</si>
  <si>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</si>
  <si>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</si>
  <si>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</si>
  <si>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</si>
  <si>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</si>
  <si>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</si>
  <si>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</si>
  <si>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</si>
  <si>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</si>
  <si>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</si>
  <si>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</si>
  <si>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</si>
  <si>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</si>
  <si>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</si>
  <si>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</si>
  <si>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</si>
  <si>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</si>
  <si>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</si>
  <si>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</si>
  <si>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</si>
  <si>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</si>
  <si>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</si>
  <si>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</si>
  <si>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</si>
  <si>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</si>
  <si>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</si>
  <si>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</si>
  <si>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</si>
  <si>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</si>
  <si>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</si>
  <si>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</si>
  <si>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</si>
  <si>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</si>
  <si>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</si>
  <si>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</si>
  <si>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</si>
  <si>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</si>
  <si>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</si>
  <si>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</si>
  <si>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</si>
  <si>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</si>
  <si>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</si>
  <si>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</si>
  <si>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</si>
  <si>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</si>
  <si>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</si>
  <si>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</si>
  <si>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</si>
  <si>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</si>
  <si>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</si>
  <si>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</si>
  <si>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</si>
  <si>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</si>
  <si>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</si>
  <si>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</si>
  <si>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</si>
  <si>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</si>
  <si>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</si>
  <si>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</si>
  <si>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</si>
  <si>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</si>
  <si>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</si>
  <si>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</si>
  <si>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</si>
  <si>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</si>
  <si>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</si>
  <si>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</si>
  <si>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</si>
  <si>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</si>
  <si>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</si>
  <si>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</si>
  <si>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</si>
  <si>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</si>
  <si>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</si>
  <si>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</si>
  <si>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</si>
  <si>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</si>
  <si>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</si>
  <si>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</si>
  <si>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</si>
  <si>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</si>
  <si>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</si>
  <si>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</si>
  <si>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</si>
  <si>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</si>
  <si>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</si>
  <si>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</si>
  <si>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</si>
  <si>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</si>
  <si>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</si>
  <si>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</si>
  <si>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</si>
  <si>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</si>
  <si>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</si>
  <si>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</si>
  <si>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</si>
  <si>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</si>
  <si>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</si>
  <si>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</si>
  <si>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</si>
  <si>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</si>
  <si>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</si>
  <si>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</si>
  <si>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</si>
  <si>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</si>
  <si>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</si>
  <si>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</si>
  <si>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</si>
  <si>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</si>
  <si>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</si>
  <si>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</si>
  <si>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</si>
  <si>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</si>
  <si>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</si>
  <si>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</si>
  <si>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</si>
  <si>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</si>
  <si>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</si>
  <si>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</si>
  <si>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</si>
  <si>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</si>
  <si>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</si>
  <si>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</si>
  <si>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</si>
  <si>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</si>
  <si>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</si>
  <si>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</si>
  <si>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</si>
  <si>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</si>
  <si>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</si>
  <si>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</si>
  <si>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</si>
  <si>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</si>
  <si>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</si>
  <si>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</si>
  <si>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</si>
  <si>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</si>
  <si>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</si>
  <si>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</si>
  <si>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</si>
  <si>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</si>
  <si>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</si>
  <si>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</si>
  <si>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</si>
  <si>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</si>
  <si>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</si>
  <si>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</si>
  <si>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</si>
  <si>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</si>
  <si>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</si>
  <si>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</si>
  <si>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</si>
  <si>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</si>
  <si>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</si>
  <si>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</si>
  <si>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</si>
  <si>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</si>
  <si>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</si>
  <si>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</si>
  <si>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</si>
  <si>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</si>
  <si>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</si>
  <si>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</si>
  <si>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</si>
  <si>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</si>
  <si>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</si>
  <si>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</si>
  <si>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</si>
  <si>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</si>
  <si>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</si>
  <si>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</si>
  <si>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</si>
  <si>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</si>
  <si>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</si>
  <si>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</si>
  <si>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</si>
  <si>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</si>
  <si>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</si>
  <si>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</si>
  <si>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</si>
  <si>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</si>
  <si>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</si>
  <si>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</si>
  <si>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</si>
  <si>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</si>
  <si>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</si>
  <si>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</si>
  <si>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</si>
  <si>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</si>
  <si>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</si>
  <si>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</si>
  <si>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</si>
  <si>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</si>
  <si>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</si>
  <si>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</si>
  <si>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</si>
  <si>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</si>
  <si>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</si>
  <si>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</si>
  <si>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</si>
  <si>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</si>
  <si>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</si>
  <si>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</si>
  <si>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</si>
  <si>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</si>
  <si>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</si>
  <si>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</si>
  <si>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</si>
  <si>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</si>
  <si>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</si>
  <si>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</si>
  <si>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</si>
  <si>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</si>
  <si>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</si>
  <si>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</si>
  <si>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</si>
  <si>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</si>
  <si>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</si>
  <si>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</si>
  <si>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</si>
  <si>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</si>
  <si>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</si>
  <si>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</si>
  <si>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</si>
  <si>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</si>
  <si>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</si>
  <si>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</si>
  <si>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</si>
  <si>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</si>
  <si>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</si>
  <si>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</si>
  <si>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</si>
  <si>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</si>
  <si>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</si>
  <si>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</si>
  <si>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</si>
  <si>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</si>
  <si>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</si>
  <si>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</si>
  <si>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</si>
  <si>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</si>
  <si>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</si>
  <si>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</si>
  <si>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</si>
  <si>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</si>
  <si>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</si>
  <si>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</si>
  <si>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</si>
  <si>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</si>
  <si>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</si>
  <si>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</si>
  <si>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</si>
  <si>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</si>
  <si>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</si>
  <si>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</si>
  <si>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</si>
  <si>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</si>
  <si>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</si>
  <si>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</si>
  <si>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</si>
  <si>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</si>
  <si>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</si>
  <si>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</si>
  <si>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</si>
  <si>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</si>
  <si>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</si>
  <si>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</si>
  <si>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</si>
  <si>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</si>
  <si>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</si>
  <si>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</si>
  <si>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</si>
  <si>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</si>
  <si>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</si>
  <si>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</si>
  <si>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</si>
  <si>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</si>
  <si>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</si>
  <si>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</si>
  <si>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</si>
  <si>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</si>
  <si>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</si>
  <si>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</si>
  <si>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</si>
  <si>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</si>
  <si>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</si>
  <si>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</si>
  <si>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</si>
  <si>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</si>
  <si>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</si>
  <si>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</si>
  <si>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</si>
  <si>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</si>
  <si>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</si>
  <si>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</si>
  <si>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</si>
  <si>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</si>
  <si>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</si>
  <si>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</si>
  <si>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</si>
  <si>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</si>
  <si>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</si>
  <si>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</si>
  <si>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</si>
  <si>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</si>
  <si>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</si>
  <si>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</si>
  <si>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</si>
  <si>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</si>
  <si>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</si>
  <si>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</si>
  <si>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</si>
  <si>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</si>
  <si>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</si>
  <si>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</si>
  <si>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</si>
  <si>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</si>
  <si>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</si>
  <si>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</si>
  <si>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</si>
  <si>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</si>
  <si>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</si>
  <si>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</si>
  <si>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</si>
  <si>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</si>
  <si>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</si>
  <si>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</si>
  <si>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</si>
  <si>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</si>
  <si>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</si>
  <si>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</si>
  <si>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</si>
  <si>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</si>
  <si>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</si>
  <si>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</si>
  <si>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</si>
  <si>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</si>
  <si>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</si>
  <si>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</si>
  <si>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</si>
  <si>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</si>
  <si>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</si>
  <si>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</si>
  <si>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</si>
  <si>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</si>
  <si>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</si>
  <si>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</si>
  <si>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</si>
  <si>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</si>
  <si>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</si>
  <si>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</si>
  <si>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</si>
  <si>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</si>
  <si>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</si>
  <si>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</si>
  <si>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</si>
  <si>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</si>
  <si>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</si>
  <si>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</si>
  <si>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</si>
  <si>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</si>
  <si>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</si>
  <si>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</si>
  <si>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</si>
  <si>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</si>
  <si>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</si>
  <si>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</si>
  <si>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</si>
  <si>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</si>
  <si>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</si>
  <si>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</si>
  <si>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</si>
  <si>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</si>
  <si>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</si>
  <si>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</si>
  <si>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</si>
  <si>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</si>
  <si>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</si>
  <si>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</si>
  <si>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</si>
  <si>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</si>
  <si>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</si>
  <si>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</si>
  <si>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</si>
  <si>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</si>
  <si>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</si>
  <si>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</si>
  <si>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</si>
  <si>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</si>
  <si>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</si>
  <si>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</si>
  <si>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</si>
  <si>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</si>
  <si>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</si>
  <si>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</si>
  <si>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</si>
  <si>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</si>
  <si>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</si>
  <si>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</si>
  <si>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</si>
  <si>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</si>
  <si>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</si>
  <si>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</si>
  <si>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</si>
  <si>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</si>
  <si>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</si>
  <si>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</si>
  <si>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</si>
  <si>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</si>
  <si>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</si>
  <si>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</si>
  <si>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</si>
  <si>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</si>
  <si>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</si>
  <si>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</si>
  <si>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</si>
  <si>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</si>
  <si>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</si>
  <si>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</si>
  <si>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</si>
  <si>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</si>
  <si>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</si>
  <si>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</si>
  <si>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</si>
  <si>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</si>
  <si>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</si>
  <si>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</si>
  <si>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</si>
  <si>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</si>
  <si>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</si>
  <si>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</si>
  <si>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</si>
  <si>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</si>
  <si>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</si>
  <si>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</si>
  <si>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</si>
  <si>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</si>
  <si>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</si>
  <si>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</si>
  <si>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</si>
  <si>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</si>
  <si>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</si>
  <si>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</si>
  <si>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</si>
  <si>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</si>
  <si>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</si>
  <si>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</si>
  <si>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</si>
  <si>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</si>
  <si>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</si>
  <si>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</si>
  <si>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</si>
  <si>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</si>
  <si>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</si>
  <si>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</si>
  <si>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</si>
  <si>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</si>
  <si>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</si>
  <si>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</si>
  <si>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16133-002.2</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</si>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</sst>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205" activePane="bottomLeft" state="frozen"/>
      <selection pane="bottomLeft" activeCell="G177" sqref="G177"/>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5" t="s">
        <v>289</v>
      </c>
      <c r="D4" s="827"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29"/>
      <c r="D5" s="830"/>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26"/>
      <c r="D6" s="828"/>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42" t="s">
        <v>302</v>
      </c>
      <c r="C8" s="836" t="s">
        <v>303</v>
      </c>
      <c r="D8" s="839"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43"/>
      <c r="C9" s="837"/>
      <c r="D9" s="840"/>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43"/>
      <c r="C10" s="837"/>
      <c r="D10" s="840"/>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43"/>
      <c r="C11" s="837"/>
      <c r="D11" s="840"/>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43"/>
      <c r="C12" s="837"/>
      <c r="D12" s="840"/>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43"/>
      <c r="C13" s="837"/>
      <c r="D13" s="840"/>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43"/>
      <c r="C14" s="837"/>
      <c r="D14" s="840"/>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44"/>
      <c r="C15" s="838"/>
      <c r="D15" s="841"/>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42" t="s">
        <v>85</v>
      </c>
      <c r="C16" s="836" t="s">
        <v>303</v>
      </c>
      <c r="D16" s="839"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43"/>
      <c r="C17" s="837"/>
      <c r="D17" s="840"/>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43"/>
      <c r="C18" s="837"/>
      <c r="D18" s="840"/>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43"/>
      <c r="C19" s="837"/>
      <c r="D19" s="840"/>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43"/>
      <c r="C20" s="837"/>
      <c r="D20" s="840"/>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43"/>
      <c r="C21" s="837"/>
      <c r="D21" s="840"/>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43"/>
      <c r="C22" s="837"/>
      <c r="D22" s="840"/>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44"/>
      <c r="C23" s="838"/>
      <c r="D23" s="841"/>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20" t="s">
        <v>318</v>
      </c>
      <c r="B24" s="833" t="s">
        <v>319</v>
      </c>
      <c r="C24" s="836" t="s">
        <v>303</v>
      </c>
      <c r="D24" s="839"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20"/>
      <c r="B25" s="834"/>
      <c r="C25" s="837"/>
      <c r="D25" s="840"/>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20"/>
      <c r="B26" s="834"/>
      <c r="C26" s="837"/>
      <c r="D26" s="840"/>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20"/>
      <c r="B27" s="834"/>
      <c r="C27" s="837"/>
      <c r="D27" s="840"/>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20"/>
      <c r="B28" s="834"/>
      <c r="C28" s="837"/>
      <c r="D28" s="840"/>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20"/>
      <c r="B29" s="834"/>
      <c r="C29" s="837"/>
      <c r="D29" s="840"/>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20"/>
      <c r="B30" s="834"/>
      <c r="C30" s="837"/>
      <c r="D30" s="840"/>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20"/>
      <c r="B31" s="835"/>
      <c r="C31" s="838"/>
      <c r="D31" s="841"/>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1" t="s">
        <v>510</v>
      </c>
      <c r="D156" s="832"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29"/>
      <c r="D157" s="830"/>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29"/>
      <c r="D158" s="830"/>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29"/>
      <c r="D159" s="830"/>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29"/>
      <c r="D160" s="830"/>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26"/>
      <c r="D161" s="828"/>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5" t="s">
        <v>528</v>
      </c>
      <c r="D166" s="827"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29"/>
      <c r="D167" s="830"/>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26"/>
      <c r="D168" s="828"/>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5" t="s">
        <v>534</v>
      </c>
      <c r="D170" s="827"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29"/>
      <c r="D171" s="830"/>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26"/>
      <c r="D172" s="828"/>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21" t="s">
        <v>536</v>
      </c>
      <c r="D173" s="823"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5" t="s">
        <v>562</v>
      </c>
      <c r="D186" s="827"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29"/>
      <c r="D187" s="830"/>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26"/>
      <c r="D188" s="828"/>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21" t="s">
        <v>566</v>
      </c>
      <c r="D189" s="823"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5" t="s">
        <v>569</v>
      </c>
      <c r="D191" s="827"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26"/>
      <c r="D192" s="828"/>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21" t="s">
        <v>598</v>
      </c>
      <c r="D205" s="823"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22"/>
      <c r="D206" s="82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5" t="s">
        <v>602</v>
      </c>
      <c r="D208" s="827"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26"/>
      <c r="D209" s="828"/>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21" t="s">
        <v>606</v>
      </c>
      <c r="D210" s="823"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623</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626</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627</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628</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629</v>
      </c>
      <c r="D227" s="647" t="s">
        <v>630</v>
      </c>
      <c r="E227" s="342" t="s">
        <v>631</v>
      </c>
      <c r="F227" s="647" t="s">
        <v>577</v>
      </c>
      <c r="G227" s="645" t="s">
        <v>632</v>
      </c>
      <c r="H227" s="648" t="s">
        <v>633</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634</v>
      </c>
      <c r="C228" s="310" t="s">
        <v>629</v>
      </c>
      <c r="D228" s="76" t="s">
        <v>630</v>
      </c>
      <c r="E228" s="23" t="s">
        <v>631</v>
      </c>
      <c r="F228" s="76" t="s">
        <v>577</v>
      </c>
      <c r="G228" s="335" t="s">
        <v>632</v>
      </c>
      <c r="H228" s="28" t="s">
        <v>633</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630</v>
      </c>
      <c r="E229" s="604" t="s">
        <v>635</v>
      </c>
      <c r="F229" s="219" t="s">
        <v>577</v>
      </c>
      <c r="G229" s="543" t="s">
        <v>336</v>
      </c>
      <c r="H229" s="193" t="s">
        <v>636</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637</v>
      </c>
      <c r="C230" s="96">
        <v>15230</v>
      </c>
      <c r="D230" s="27" t="s">
        <v>630</v>
      </c>
      <c r="E230" s="336" t="s">
        <v>635</v>
      </c>
      <c r="F230" s="27" t="s">
        <v>577</v>
      </c>
      <c r="G230" s="335" t="s">
        <v>336</v>
      </c>
      <c r="H230" s="28" t="s">
        <v>636</v>
      </c>
      <c r="I230" s="25">
        <v>45911</v>
      </c>
      <c r="J230" s="588">
        <v>45926</v>
      </c>
      <c r="K230" s="557" t="str" cm="1">
        <f t="array" ref="K230">IF(ISBLANK(J230), IF(ISBLANK(I230), "N/A", _xlfn.IFS(L230="AS", I230+15, L230="NCR", I230+30, L230="submitted", I230+30, TRUE, "N/A")), _xlfn.IFS(L230="AS", J230+15, L230="NCR", J230+30, L230="submitted", J230+30, TRUE, "N/A"))</f>
        <v>N/A</v>
      </c>
      <c r="L230" s="591" t="s">
        <v>638</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630</v>
      </c>
      <c r="E232" s="219" t="s">
        <v>639</v>
      </c>
      <c r="F232" s="219" t="s">
        <v>640</v>
      </c>
      <c r="G232" s="146" t="s">
        <v>336</v>
      </c>
      <c r="H232" s="147" t="s">
        <v>641</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642</v>
      </c>
      <c r="C233" s="333">
        <v>15230</v>
      </c>
      <c r="D233" s="219" t="s">
        <v>630</v>
      </c>
      <c r="E233" s="219" t="s">
        <v>639</v>
      </c>
      <c r="F233" s="219" t="s">
        <v>640</v>
      </c>
      <c r="G233" s="146" t="s">
        <v>336</v>
      </c>
      <c r="H233" s="147" t="s">
        <v>641</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643</v>
      </c>
      <c r="C234" s="522">
        <v>15230</v>
      </c>
      <c r="D234" s="263" t="s">
        <v>630</v>
      </c>
      <c r="E234" s="263" t="s">
        <v>644</v>
      </c>
      <c r="F234" s="263" t="s">
        <v>645</v>
      </c>
      <c r="G234" s="262" t="s">
        <v>646</v>
      </c>
      <c r="H234" s="264" t="s">
        <v>647</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648</v>
      </c>
      <c r="D235" s="76" t="s">
        <v>649</v>
      </c>
      <c r="E235" s="76"/>
      <c r="F235" s="76"/>
      <c r="G235" s="22" t="s">
        <v>336</v>
      </c>
      <c r="H235" s="28" t="s">
        <v>650</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651</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651</v>
      </c>
      <c r="E239" s="494" t="s">
        <v>652</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651</v>
      </c>
      <c r="E240" s="495"/>
      <c r="F240" s="240"/>
      <c r="G240" s="146" t="s">
        <v>404</v>
      </c>
      <c r="H240" s="193" t="s">
        <v>653</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654</v>
      </c>
      <c r="C241" s="661">
        <v>15241</v>
      </c>
      <c r="D241" s="662" t="s">
        <v>651</v>
      </c>
      <c r="E241" s="663" t="s">
        <v>655</v>
      </c>
      <c r="F241" s="133" t="s">
        <v>577</v>
      </c>
      <c r="G241" s="151"/>
      <c r="H241" s="153" t="s">
        <v>656</v>
      </c>
      <c r="I241" s="261">
        <v>45891</v>
      </c>
      <c r="J241" s="261"/>
      <c r="K241" s="557" t="str" cm="1">
        <f t="array" ref="K241">IF(ISBLANK(J241), IF(ISBLANK(I241), "N/A", _xlfn.IFS(L241="AS", I241+15, L241="NCR", I241+30, L241="submitted", I241+30, TRUE, "N/A")), _xlfn.IFS(L241="AS", J241+15, L241="NCR", J241+30, L241="submitted", J241+30, TRUE, "N/A"))</f>
        <v>N/A</v>
      </c>
      <c r="L241" s="139" t="s">
        <v>638</v>
      </c>
    </row>
    <row r="242" spans="2:12" s="1" customFormat="1" ht="47.25" customHeight="1">
      <c r="B242" s="21"/>
      <c r="C242" s="97" t="s">
        <v>657</v>
      </c>
      <c r="D242" s="46" t="s">
        <v>658</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659</v>
      </c>
      <c r="D243" s="34" t="s">
        <v>660</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626</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627</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661</v>
      </c>
      <c r="D246" s="37" t="s">
        <v>662</v>
      </c>
      <c r="E246" s="37"/>
      <c r="F246" s="37"/>
      <c r="G246" s="9" t="s">
        <v>336</v>
      </c>
      <c r="H246" s="7" t="s">
        <v>663</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664</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665</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666</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667</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668</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669</v>
      </c>
      <c r="D252" s="17" t="s">
        <v>670</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671</v>
      </c>
      <c r="D253" s="37" t="s">
        <v>672</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673</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674</v>
      </c>
      <c r="D256" s="34" t="s">
        <v>675</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676</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677</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678</v>
      </c>
      <c r="D259" s="13" t="s">
        <v>679</v>
      </c>
      <c r="E259" s="13"/>
      <c r="F259" s="13"/>
      <c r="G259" s="9" t="s">
        <v>483</v>
      </c>
      <c r="H259" s="7" t="s">
        <v>650</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680</v>
      </c>
      <c r="D260" s="17" t="s">
        <v>681</v>
      </c>
      <c r="E260" s="17"/>
      <c r="F260" s="17"/>
      <c r="G260" s="4" t="s">
        <v>212</v>
      </c>
      <c r="H260" s="3" t="s">
        <v>682</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683</v>
      </c>
      <c r="D261" s="37" t="s">
        <v>684</v>
      </c>
      <c r="E261" s="37"/>
      <c r="F261" s="37"/>
      <c r="G261" s="9" t="s">
        <v>212</v>
      </c>
      <c r="H261" s="7" t="s">
        <v>685</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686</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687</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688</v>
      </c>
      <c r="D264" s="34" t="s">
        <v>689</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690</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691</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692</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693</v>
      </c>
      <c r="H268" s="3" t="s">
        <v>694</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695</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696</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697</v>
      </c>
      <c r="D271" s="37" t="s">
        <v>698</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699</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700</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701</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702</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703</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704</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705</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706</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707</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708</v>
      </c>
      <c r="H282" s="7" t="s">
        <v>709</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710</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711</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712</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713</v>
      </c>
      <c r="H286" s="7" t="s">
        <v>714</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715</v>
      </c>
      <c r="H287" s="13" t="s">
        <v>716</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717</v>
      </c>
      <c r="H288" s="13" t="s">
        <v>718</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719</v>
      </c>
      <c r="D289" s="34" t="s">
        <v>720</v>
      </c>
      <c r="E289" s="34"/>
      <c r="F289" s="34"/>
      <c r="G289" s="4" t="s">
        <v>721</v>
      </c>
      <c r="H289" s="17" t="s">
        <v>722</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723</v>
      </c>
      <c r="H290" s="17" t="s">
        <v>724</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725</v>
      </c>
      <c r="H291" s="3" t="s">
        <v>726</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727</v>
      </c>
      <c r="H292" s="3" t="s">
        <v>728</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729</v>
      </c>
      <c r="H293" s="17" t="s">
        <v>730</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731</v>
      </c>
      <c r="H294" s="17" t="s">
        <v>732</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733</v>
      </c>
      <c r="H295" s="17" t="s">
        <v>734</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735</v>
      </c>
      <c r="H296" s="17" t="s">
        <v>736</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737</v>
      </c>
      <c r="H297" s="17" t="s">
        <v>738</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739</v>
      </c>
      <c r="H298" s="17" t="s">
        <v>740</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741</v>
      </c>
      <c r="H299" s="3" t="s">
        <v>742</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743</v>
      </c>
      <c r="D300" s="37" t="s">
        <v>744</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707</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745</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746</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696</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747</v>
      </c>
      <c r="D308" s="34" t="s">
        <v>748</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749</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750</v>
      </c>
      <c r="D310" s="332" t="s">
        <v>98</v>
      </c>
      <c r="E310" s="231" t="s">
        <v>751</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1:14" s="149" customFormat="1" ht="15" customHeight="1">
      <c r="A311" s="1"/>
      <c r="B311" s="146" t="s">
        <v>97</v>
      </c>
      <c r="C311" s="245" t="s">
        <v>750</v>
      </c>
      <c r="D311" s="332" t="s">
        <v>98</v>
      </c>
      <c r="E311" s="231" t="s">
        <v>751</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752</v>
      </c>
    </row>
    <row r="312" spans="1:14" s="696" customFormat="1" ht="15" customHeight="1">
      <c r="A312" s="1"/>
      <c r="B312" s="689" t="s">
        <v>753</v>
      </c>
      <c r="C312" s="690" t="s">
        <v>750</v>
      </c>
      <c r="D312" s="691" t="s">
        <v>98</v>
      </c>
      <c r="E312" s="692"/>
      <c r="F312" s="692"/>
      <c r="G312" s="689" t="s">
        <v>259</v>
      </c>
      <c r="H312" s="693" t="s">
        <v>754</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750</v>
      </c>
      <c r="D313" s="332" t="s">
        <v>98</v>
      </c>
      <c r="E313" s="231" t="s">
        <v>751</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1:14" s="149" customFormat="1" ht="27" customHeight="1">
      <c r="A314" s="1"/>
      <c r="B314" s="146" t="s">
        <v>97</v>
      </c>
      <c r="C314" s="245" t="s">
        <v>750</v>
      </c>
      <c r="D314" s="332" t="s">
        <v>98</v>
      </c>
      <c r="E314" s="231" t="s">
        <v>751</v>
      </c>
      <c r="F314" s="217"/>
      <c r="G314" s="146" t="s">
        <v>354</v>
      </c>
      <c r="H314" s="193" t="s">
        <v>755</v>
      </c>
      <c r="I314" s="233">
        <v>45880</v>
      </c>
      <c r="J314" s="233"/>
      <c r="K314" s="557" cm="1">
        <f t="array" ref="K314">IF(ISBLANK(J314), IF(ISBLANK(I314), "N/A", _xlfn.IFS(L314="AS", I314+15, L314="NCR", I314+30, L314="submitted", I314+30, TRUE, "N/A")), _xlfn.IFS(L314="AS", J314+15, L314="NCR", J314+30, L314="submitted", J314+30, TRUE, "N/A"))</f>
        <v>45895</v>
      </c>
      <c r="L314" s="148" t="s">
        <v>752</v>
      </c>
    </row>
    <row r="315" spans="1:14" s="266" customFormat="1" ht="26.25" customHeight="1">
      <c r="A315" s="1"/>
      <c r="B315" s="264" t="s">
        <v>99</v>
      </c>
      <c r="C315" s="521" t="s">
        <v>756</v>
      </c>
      <c r="D315" s="267" t="s">
        <v>757</v>
      </c>
      <c r="E315" s="267" t="s">
        <v>751</v>
      </c>
      <c r="F315" s="267" t="s">
        <v>322</v>
      </c>
      <c r="G315" s="262" t="s">
        <v>758</v>
      </c>
      <c r="H315" s="424" t="s">
        <v>759</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756</v>
      </c>
      <c r="D316" s="267" t="s">
        <v>757</v>
      </c>
      <c r="E316" s="267" t="s">
        <v>751</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756</v>
      </c>
      <c r="D317" s="267" t="s">
        <v>757</v>
      </c>
      <c r="E317" s="267" t="s">
        <v>751</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756</v>
      </c>
      <c r="D318" s="37" t="s">
        <v>757</v>
      </c>
      <c r="F318" s="39"/>
      <c r="G318" s="38" t="s">
        <v>486</v>
      </c>
      <c r="H318" s="40" t="s">
        <v>760</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761</v>
      </c>
      <c r="D319" s="741" t="s">
        <v>762</v>
      </c>
      <c r="E319" s="741" t="s">
        <v>751</v>
      </c>
      <c r="F319" s="741" t="s">
        <v>322</v>
      </c>
      <c r="G319" s="742" t="s">
        <v>212</v>
      </c>
      <c r="H319" s="743" t="s">
        <v>763</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761</v>
      </c>
      <c r="D320" s="741" t="s">
        <v>762</v>
      </c>
      <c r="E320" s="741" t="s">
        <v>751</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761</v>
      </c>
      <c r="D321" s="741" t="s">
        <v>762</v>
      </c>
      <c r="E321" s="741" t="s">
        <v>751</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761</v>
      </c>
      <c r="D322" s="741" t="s">
        <v>762</v>
      </c>
      <c r="E322" s="741" t="s">
        <v>751</v>
      </c>
      <c r="F322" s="741" t="s">
        <v>764</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765</v>
      </c>
      <c r="C323" s="605" t="s">
        <v>761</v>
      </c>
      <c r="D323" s="202" t="s">
        <v>762</v>
      </c>
      <c r="E323" s="202" t="s">
        <v>751</v>
      </c>
      <c r="F323" s="202" t="s">
        <v>322</v>
      </c>
      <c r="G323" s="580" t="s">
        <v>212</v>
      </c>
      <c r="H323" s="606" t="s">
        <v>763</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1:12" s="26" customFormat="1" ht="15" customHeight="1">
      <c r="A324" s="1"/>
      <c r="B324" s="272" t="s">
        <v>765</v>
      </c>
      <c r="C324" s="605" t="s">
        <v>761</v>
      </c>
      <c r="D324" s="202" t="s">
        <v>762</v>
      </c>
      <c r="E324" s="202" t="s">
        <v>751</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1:12" s="26" customFormat="1" ht="27" customHeight="1">
      <c r="A325" s="1"/>
      <c r="B325" s="272" t="s">
        <v>765</v>
      </c>
      <c r="C325" s="605" t="s">
        <v>761</v>
      </c>
      <c r="D325" s="202" t="s">
        <v>762</v>
      </c>
      <c r="E325" s="202" t="s">
        <v>751</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1:12" s="26" customFormat="1" ht="27" customHeight="1">
      <c r="A326" s="1"/>
      <c r="B326" s="272" t="s">
        <v>765</v>
      </c>
      <c r="C326" s="605" t="s">
        <v>761</v>
      </c>
      <c r="D326" s="202" t="s">
        <v>762</v>
      </c>
      <c r="E326" s="202" t="s">
        <v>751</v>
      </c>
      <c r="F326" s="202" t="s">
        <v>764</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638</v>
      </c>
    </row>
    <row r="327" spans="1:12" s="5" customFormat="1" ht="15" customHeight="1">
      <c r="B327" s="73"/>
      <c r="C327" s="111" t="s">
        <v>766</v>
      </c>
      <c r="D327" s="35" t="s">
        <v>767</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724</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738</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768</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769</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770</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771</v>
      </c>
      <c r="D333" s="37" t="s">
        <v>772</v>
      </c>
      <c r="E333" s="37"/>
      <c r="F333" s="37"/>
      <c r="G333" s="9" t="s">
        <v>212</v>
      </c>
      <c r="H333" s="7" t="s">
        <v>773</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774</v>
      </c>
      <c r="D335" s="34" t="s">
        <v>775</v>
      </c>
      <c r="E335" s="34"/>
      <c r="F335" s="34"/>
      <c r="G335" s="4" t="s">
        <v>281</v>
      </c>
      <c r="H335" s="17" t="s">
        <v>776</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777</v>
      </c>
      <c r="D339" s="37" t="s">
        <v>778</v>
      </c>
      <c r="E339" s="37"/>
      <c r="F339" s="37"/>
      <c r="G339" s="9" t="s">
        <v>208</v>
      </c>
      <c r="H339" s="13" t="s">
        <v>779</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780</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781</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782</v>
      </c>
      <c r="D342" s="17" t="s">
        <v>783</v>
      </c>
      <c r="E342" s="17"/>
      <c r="F342" s="17"/>
      <c r="G342" s="4" t="s">
        <v>336</v>
      </c>
      <c r="H342" s="17" t="s">
        <v>784</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785</v>
      </c>
      <c r="D343" s="37" t="s">
        <v>786</v>
      </c>
      <c r="E343" s="37"/>
      <c r="F343" s="37"/>
      <c r="G343" s="38" t="s">
        <v>208</v>
      </c>
      <c r="H343" s="37" t="s">
        <v>787</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788</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789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790</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791</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792</v>
      </c>
      <c r="C349" s="734" t="s">
        <v>785</v>
      </c>
      <c r="D349" s="735" t="s">
        <v>793</v>
      </c>
      <c r="E349" s="736" t="s">
        <v>794</v>
      </c>
      <c r="F349" s="736" t="s">
        <v>795</v>
      </c>
      <c r="G349" s="733">
        <v>3.07</v>
      </c>
      <c r="H349" s="737" t="s">
        <v>796</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797</v>
      </c>
      <c r="C350" s="729" t="s">
        <v>785</v>
      </c>
      <c r="D350" s="730" t="s">
        <v>793</v>
      </c>
      <c r="E350" s="575" t="s">
        <v>794</v>
      </c>
      <c r="F350" s="575" t="s">
        <v>795</v>
      </c>
      <c r="G350" s="525">
        <v>3.07</v>
      </c>
      <c r="H350" s="731" t="s">
        <v>796</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394" activePane="bottomLeft" state="frozen"/>
      <selection pane="bottomLeft" activeCell="J405" sqref="J405"/>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19" activePane="bottomLeft" state="frozen"/>
      <selection pane="bottomLeft" sqref="A1:A1048576"/>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22" t="s">
        <v>1376</v>
      </c>
      <c r="D3" s="88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8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21" t="s">
        <v>1388</v>
      </c>
      <c r="D6" s="87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22"/>
      <c r="D7" s="88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22"/>
      <c r="D8" s="88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22"/>
      <c r="D9" s="88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22"/>
      <c r="D10" s="88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8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5" t="s">
        <v>1413</v>
      </c>
      <c r="D18" s="827"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26"/>
      <c r="D19" s="828"/>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21"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22"/>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22"/>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22"/>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22"/>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22"/>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22"/>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5" t="s">
        <v>1438</v>
      </c>
      <c r="D32" s="876"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29"/>
      <c r="D33" s="877"/>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26"/>
      <c r="D34" s="878"/>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21" t="s">
        <v>1462</v>
      </c>
      <c r="D41" s="823"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22"/>
      <c r="D42" s="82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5" t="s">
        <v>1466</v>
      </c>
      <c r="D44" s="827"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29"/>
      <c r="D45" s="830"/>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29"/>
      <c r="D46" s="830"/>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26"/>
      <c r="D47" s="828"/>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5" t="s">
        <v>1477</v>
      </c>
      <c r="D50" s="827"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29"/>
      <c r="D51" s="830"/>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29"/>
      <c r="D52" s="830"/>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29"/>
      <c r="D53" s="830"/>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29"/>
      <c r="D54" s="830"/>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26"/>
      <c r="D55" s="828"/>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62" t="s">
        <v>1486</v>
      </c>
      <c r="D56" s="859" t="s">
        <v>1487</v>
      </c>
      <c r="E56" s="872" t="s">
        <v>1488</v>
      </c>
      <c r="F56" s="875"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59" t="s">
        <v>151</v>
      </c>
      <c r="M56" s="317"/>
      <c r="N56" s="802"/>
      <c r="O56" s="803"/>
      <c r="P56" s="803"/>
      <c r="Q56" s="804"/>
    </row>
    <row r="57" spans="2:17" s="138" customFormat="1" ht="15" customHeight="1">
      <c r="B57" s="298"/>
      <c r="C57" s="863"/>
      <c r="D57" s="860"/>
      <c r="E57" s="873"/>
      <c r="F57" s="871"/>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60"/>
      <c r="M57" s="317"/>
      <c r="N57" s="802"/>
      <c r="O57" s="803"/>
      <c r="P57" s="803"/>
      <c r="Q57" s="804"/>
    </row>
    <row r="58" spans="2:17" s="138" customFormat="1" ht="15" customHeight="1">
      <c r="B58" s="298"/>
      <c r="C58" s="863"/>
      <c r="D58" s="860"/>
      <c r="E58" s="873"/>
      <c r="F58" s="871"/>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60"/>
      <c r="M58" s="317"/>
      <c r="N58" s="802"/>
      <c r="O58" s="803"/>
      <c r="P58" s="803"/>
      <c r="Q58" s="804"/>
    </row>
    <row r="59" spans="2:17" s="138" customFormat="1" ht="15" hidden="1" customHeight="1">
      <c r="B59" s="133"/>
      <c r="C59" s="864"/>
      <c r="D59" s="861"/>
      <c r="E59" s="874"/>
      <c r="F59" s="871"/>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61"/>
      <c r="M59" s="317"/>
      <c r="N59" s="802"/>
      <c r="O59" s="803"/>
      <c r="P59" s="803"/>
      <c r="Q59" s="804"/>
    </row>
    <row r="60" spans="2:17" s="138" customFormat="1" ht="15" customHeight="1">
      <c r="B60" s="297" t="s">
        <v>1491</v>
      </c>
      <c r="C60" s="862" t="s">
        <v>1492</v>
      </c>
      <c r="D60" s="859" t="s">
        <v>1493</v>
      </c>
      <c r="E60" s="872" t="s">
        <v>1494</v>
      </c>
      <c r="F60" s="870"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59" t="s">
        <v>151</v>
      </c>
      <c r="M60" s="317"/>
      <c r="N60" s="802"/>
      <c r="O60" s="803"/>
      <c r="P60" s="803"/>
      <c r="Q60" s="804"/>
    </row>
    <row r="61" spans="2:17" s="138" customFormat="1" ht="15" customHeight="1">
      <c r="B61" s="298"/>
      <c r="C61" s="863"/>
      <c r="D61" s="860"/>
      <c r="E61" s="873"/>
      <c r="F61" s="871"/>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60"/>
      <c r="M61" s="317"/>
      <c r="N61" s="802"/>
      <c r="O61" s="803"/>
      <c r="P61" s="803"/>
      <c r="Q61" s="804"/>
    </row>
    <row r="62" spans="2:17" s="138" customFormat="1" ht="15" customHeight="1">
      <c r="B62" s="298"/>
      <c r="C62" s="863"/>
      <c r="D62" s="860"/>
      <c r="E62" s="873"/>
      <c r="F62" s="871"/>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60"/>
      <c r="M62" s="317"/>
      <c r="N62" s="802"/>
      <c r="O62" s="803"/>
      <c r="P62" s="803"/>
      <c r="Q62" s="804"/>
    </row>
    <row r="63" spans="2:17" s="138" customFormat="1" ht="15" hidden="1" customHeight="1">
      <c r="B63" s="133"/>
      <c r="C63" s="864"/>
      <c r="D63" s="861"/>
      <c r="E63" s="874"/>
      <c r="F63" s="871"/>
      <c r="G63" s="178" t="s">
        <v>242</v>
      </c>
      <c r="H63" s="162" t="s">
        <v>444</v>
      </c>
      <c r="I63" s="198"/>
      <c r="J63" s="216"/>
      <c r="K63" s="697" t="str" cm="1">
        <f t="array" ref="K63">IF(ISBLANK(J63), IF(ISBLANK(I63), "N/A", _xlfn.IFS(L63="AS", I63+15, L63="NCR", I63+30, L63="submitted", I63+30, TRUE, "N/A")), _xlfn.IFS(L63="AS", J63+15, L63="NCR", J63+30, L63="submitted", J63+30, TRUE, "N/A"))</f>
        <v>N/A</v>
      </c>
      <c r="L63" s="861"/>
      <c r="M63" s="317"/>
      <c r="N63" s="802"/>
      <c r="O63" s="803"/>
      <c r="P63" s="803"/>
      <c r="Q63" s="804"/>
    </row>
    <row r="64" spans="2:17" s="5" customFormat="1" ht="15" customHeight="1">
      <c r="C64" s="825" t="s">
        <v>1496</v>
      </c>
      <c r="D64" s="827"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26"/>
      <c r="D65" s="828"/>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5" t="s">
        <v>1508</v>
      </c>
      <c r="D69" s="827"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26"/>
      <c r="D70" s="828"/>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36" t="s">
        <v>1513</v>
      </c>
      <c r="D71" s="839"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37"/>
      <c r="D72" s="840"/>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37"/>
      <c r="D73" s="840"/>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38"/>
      <c r="D74" s="841"/>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36" t="s">
        <v>1513</v>
      </c>
      <c r="D75" s="839"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37"/>
      <c r="D76" s="840"/>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37"/>
      <c r="D77" s="840"/>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38"/>
      <c r="D78" s="841"/>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62" t="s">
        <v>1513</v>
      </c>
      <c r="D79" s="865"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63"/>
      <c r="D80" s="866"/>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63"/>
      <c r="D81" s="866"/>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64"/>
      <c r="D82" s="867"/>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5" t="s">
        <v>1520</v>
      </c>
      <c r="D83" s="827"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29"/>
      <c r="D84" s="830"/>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68"/>
      <c r="D85" s="869"/>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4"/>
  <sheetViews>
    <sheetView zoomScale="80" zoomScaleNormal="80" workbookViewId="0">
      <pane ySplit="2" topLeftCell="A35" activePane="bottomLeft" state="frozen"/>
      <selection pane="bottomLeft" activeCell="E45" sqref="E45"/>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911"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911"/>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911"/>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912"/>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913" t="s">
        <v>1543</v>
      </c>
      <c r="D12" s="915"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914"/>
      <c r="D13" s="916"/>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5" t="s">
        <v>1548</v>
      </c>
      <c r="D15" s="827"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29"/>
      <c r="D16" s="830"/>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29"/>
      <c r="D17" s="830"/>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62" t="s">
        <v>1556</v>
      </c>
      <c r="D18" s="865"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64"/>
      <c r="D19" s="867"/>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62" t="s">
        <v>1556</v>
      </c>
      <c r="D20" s="865"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64"/>
      <c r="D21" s="867"/>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8" t="s">
        <v>1556</v>
      </c>
      <c r="D22" s="899"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86"/>
      <c r="D23" s="88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8" t="s">
        <v>1556</v>
      </c>
      <c r="D24" s="899"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86"/>
      <c r="D25" s="88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1: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1: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1: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1: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1: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1: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1: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1: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1: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1: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1: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1:17" s="26" customFormat="1" ht="27" customHeight="1">
      <c r="A44" s="26" t="s">
        <v>318</v>
      </c>
      <c r="B44" s="22" t="s">
        <v>1606</v>
      </c>
      <c r="C44" s="390" t="s">
        <v>1588</v>
      </c>
      <c r="D44" s="358" t="s">
        <v>1589</v>
      </c>
      <c r="E44" s="606" t="s">
        <v>1605</v>
      </c>
      <c r="F44" s="359" t="s">
        <v>1535</v>
      </c>
      <c r="G44" s="22" t="s">
        <v>337</v>
      </c>
      <c r="H44" s="24" t="s">
        <v>282</v>
      </c>
      <c r="I44" s="25">
        <v>45940</v>
      </c>
      <c r="J44" s="25"/>
      <c r="K44" s="288"/>
      <c r="L44" s="22" t="s">
        <v>581</v>
      </c>
      <c r="M44" s="317"/>
      <c r="N44" s="799"/>
      <c r="O44" s="800"/>
      <c r="P44" s="800"/>
      <c r="Q44" s="801"/>
    </row>
    <row r="45" spans="1:17" s="26" customFormat="1" ht="27" customHeight="1">
      <c r="A45" s="26" t="s">
        <v>318</v>
      </c>
      <c r="B45" s="22" t="s">
        <v>1607</v>
      </c>
      <c r="C45" s="390" t="s">
        <v>1588</v>
      </c>
      <c r="D45" s="358" t="s">
        <v>1589</v>
      </c>
      <c r="E45" s="606" t="s">
        <v>1608</v>
      </c>
      <c r="F45" s="359" t="s">
        <v>1535</v>
      </c>
      <c r="G45" s="22" t="s">
        <v>337</v>
      </c>
      <c r="H45" s="24" t="s">
        <v>282</v>
      </c>
      <c r="I45" s="25">
        <v>45940</v>
      </c>
      <c r="J45" s="25"/>
      <c r="K45" s="288"/>
      <c r="L45" s="22" t="s">
        <v>581</v>
      </c>
      <c r="M45" s="317"/>
      <c r="N45" s="799"/>
      <c r="O45" s="800"/>
      <c r="P45" s="800"/>
      <c r="Q45" s="801"/>
    </row>
    <row r="46" spans="1:17" s="408" customFormat="1" ht="40.5" customHeight="1">
      <c r="B46" s="397"/>
      <c r="C46" s="403" t="s">
        <v>1588</v>
      </c>
      <c r="D46" s="404" t="s">
        <v>1589</v>
      </c>
      <c r="E46" s="405" t="s">
        <v>1609</v>
      </c>
      <c r="F46" s="406" t="s">
        <v>1541</v>
      </c>
      <c r="G46" s="397" t="s">
        <v>338</v>
      </c>
      <c r="H46" s="407" t="s">
        <v>1610</v>
      </c>
      <c r="I46" s="383"/>
      <c r="J46" s="383"/>
      <c r="K46" s="288" t="str" cm="1">
        <f t="array" ref="K46">IF(ISBLANK(J46), IF(ISBLANK(I46), "N/A", _xlfn.IFS(L46="AS", I46+15, L46="NCR", I46+30, L46="submitted", I46+30, TRUE, "N/A")), _xlfn.IFS(L46="AS", J46+15, L46="NCR", J46+30, L46="submitted", J46+30, TRUE, "N/A"))</f>
        <v>N/A</v>
      </c>
      <c r="L46" s="397"/>
      <c r="M46" s="317"/>
      <c r="N46" s="799"/>
      <c r="O46" s="800"/>
      <c r="P46" s="800"/>
      <c r="Q46" s="801"/>
    </row>
    <row r="47" spans="1:17" s="408" customFormat="1" ht="27" customHeight="1">
      <c r="B47" s="397"/>
      <c r="C47" s="403" t="s">
        <v>1588</v>
      </c>
      <c r="D47" s="404" t="s">
        <v>1589</v>
      </c>
      <c r="E47" s="405" t="s">
        <v>1609</v>
      </c>
      <c r="F47" s="406" t="s">
        <v>1541</v>
      </c>
      <c r="G47" s="397" t="s">
        <v>1265</v>
      </c>
      <c r="H47" s="407" t="s">
        <v>1611</v>
      </c>
      <c r="I47" s="383"/>
      <c r="J47" s="383"/>
      <c r="K47" s="288" t="str" cm="1">
        <f t="array" ref="K47">IF(ISBLANK(J47), IF(ISBLANK(I47), "N/A", _xlfn.IFS(L47="AS", I47+15, L47="NCR", I47+30, L47="submitted", I47+30, TRUE, "N/A")), _xlfn.IFS(L47="AS", J47+15, L47="NCR", J47+30, L47="submitted", J47+30, TRUE, "N/A"))</f>
        <v>N/A</v>
      </c>
      <c r="L47" s="397"/>
      <c r="M47" s="317"/>
      <c r="N47" s="799"/>
      <c r="O47" s="800"/>
      <c r="P47" s="800"/>
      <c r="Q47" s="801"/>
    </row>
    <row r="48" spans="1:17" s="5" customFormat="1" ht="27" customHeight="1">
      <c r="B48" s="4"/>
      <c r="C48" s="390" t="s">
        <v>1588</v>
      </c>
      <c r="D48" s="345" t="s">
        <v>1589</v>
      </c>
      <c r="E48" s="385" t="s">
        <v>1612</v>
      </c>
      <c r="F48" s="307" t="s">
        <v>1535</v>
      </c>
      <c r="G48" s="4" t="s">
        <v>340</v>
      </c>
      <c r="H48" s="3" t="s">
        <v>1613</v>
      </c>
      <c r="I48" s="18"/>
      <c r="J48" s="18"/>
      <c r="K48" s="288" t="str" cm="1">
        <f t="array" ref="K48">IF(ISBLANK(J48), IF(ISBLANK(I48), "N/A", _xlfn.IFS(L48="AS", I48+15, L48="NCR", I48+30, L48="submitted", I48+30, TRUE, "N/A")), _xlfn.IFS(L48="AS", J48+15, L48="NCR", J48+30, L48="submitted", J48+30, TRUE, "N/A"))</f>
        <v>N/A</v>
      </c>
      <c r="L48" s="4"/>
      <c r="M48" s="317"/>
      <c r="N48" s="799"/>
      <c r="O48" s="800"/>
      <c r="P48" s="800"/>
      <c r="Q48" s="801"/>
    </row>
    <row r="49" spans="2:17" s="5" customFormat="1" ht="40.5" customHeight="1">
      <c r="B49" s="4"/>
      <c r="C49" s="390" t="s">
        <v>1588</v>
      </c>
      <c r="D49" s="345" t="s">
        <v>1589</v>
      </c>
      <c r="E49" s="385" t="s">
        <v>1612</v>
      </c>
      <c r="F49" s="307" t="s">
        <v>1535</v>
      </c>
      <c r="G49" s="4" t="s">
        <v>1151</v>
      </c>
      <c r="H49" s="3" t="s">
        <v>1614</v>
      </c>
      <c r="I49" s="18"/>
      <c r="J49" s="18"/>
      <c r="K49" s="288" t="str" cm="1">
        <f t="array" ref="K49">IF(ISBLANK(J49), IF(ISBLANK(I49), "N/A", _xlfn.IFS(L49="AS", I49+15, L49="NCR", I49+30, L49="submitted", I49+30, TRUE, "N/A")), _xlfn.IFS(L49="AS", J49+15, L49="NCR", J49+30, L49="submitted", J49+30, TRUE, "N/A"))</f>
        <v>N/A</v>
      </c>
      <c r="L49" s="4"/>
      <c r="M49" s="317"/>
      <c r="N49" s="799"/>
      <c r="O49" s="800"/>
      <c r="P49" s="800"/>
      <c r="Q49" s="801"/>
    </row>
    <row r="50" spans="2:17" s="5" customFormat="1" ht="27" customHeight="1">
      <c r="B50" s="4"/>
      <c r="C50" s="390" t="s">
        <v>1588</v>
      </c>
      <c r="D50" s="345" t="s">
        <v>1589</v>
      </c>
      <c r="E50" s="385" t="s">
        <v>1612</v>
      </c>
      <c r="F50" s="307" t="s">
        <v>1535</v>
      </c>
      <c r="G50" s="4" t="s">
        <v>1615</v>
      </c>
      <c r="H50" s="3" t="s">
        <v>1616</v>
      </c>
      <c r="I50" s="18"/>
      <c r="J50" s="18"/>
      <c r="K50" s="288" t="str" cm="1">
        <f t="array" ref="K50">IF(ISBLANK(J50), IF(ISBLANK(I50), "N/A", _xlfn.IFS(L50="AS", I50+15, L50="NCR", I50+30, L50="submitted", I50+30, TRUE, "N/A")), _xlfn.IFS(L50="AS", J50+15, L50="NCR", J50+30, L50="submitted", J50+30, TRUE, "N/A"))</f>
        <v>N/A</v>
      </c>
      <c r="L50" s="4"/>
      <c r="M50" s="317"/>
      <c r="N50" s="802" t="s">
        <v>148</v>
      </c>
      <c r="O50" s="803"/>
      <c r="P50" s="803"/>
      <c r="Q50" s="804"/>
    </row>
    <row r="51" spans="2:17" s="5" customFormat="1" ht="27" customHeight="1">
      <c r="B51" s="4"/>
      <c r="C51" s="390" t="s">
        <v>1588</v>
      </c>
      <c r="D51" s="345" t="s">
        <v>1589</v>
      </c>
      <c r="E51" s="385" t="s">
        <v>1612</v>
      </c>
      <c r="F51" s="307" t="s">
        <v>1535</v>
      </c>
      <c r="G51" s="4" t="s">
        <v>1617</v>
      </c>
      <c r="H51" s="3" t="s">
        <v>1618</v>
      </c>
      <c r="I51" s="18"/>
      <c r="J51" s="18"/>
      <c r="K51" s="288" t="str" cm="1">
        <f t="array" ref="K51">IF(ISBLANK(J51), IF(ISBLANK(I51), "N/A", _xlfn.IFS(L51="AS", I51+15, L51="NCR", I51+30, L51="submitted", I51+30, TRUE, "N/A")), _xlfn.IFS(L51="AS", J51+15, L51="NCR", J51+30, L51="submitted", J51+30, TRUE, "N/A"))</f>
        <v>N/A</v>
      </c>
      <c r="L51" s="4"/>
      <c r="M51" s="317"/>
      <c r="N51" s="802"/>
      <c r="O51" s="803"/>
      <c r="P51" s="803"/>
      <c r="Q51" s="804"/>
    </row>
    <row r="52" spans="2:17" s="138" customFormat="1" ht="15" customHeight="1">
      <c r="B52" s="151" t="s">
        <v>46</v>
      </c>
      <c r="C52" s="535" t="s">
        <v>1588</v>
      </c>
      <c r="D52" s="388" t="s">
        <v>1589</v>
      </c>
      <c r="E52" s="158" t="s">
        <v>1592</v>
      </c>
      <c r="F52" s="536" t="s">
        <v>1535</v>
      </c>
      <c r="G52" s="151" t="s">
        <v>1619</v>
      </c>
      <c r="H52" s="152" t="s">
        <v>1620</v>
      </c>
      <c r="I52" s="261">
        <v>45867</v>
      </c>
      <c r="J52" s="261">
        <v>45888</v>
      </c>
      <c r="K52" s="288" t="str" cm="1">
        <f t="array" ref="K52">IF(ISBLANK(J52), IF(ISBLANK(I52), "N/A", _xlfn.IFS(L52="AS", I52+15, L52="NCR", I52+30, L52="submitted", I52+30, TRUE, "N/A")), _xlfn.IFS(L52="AS", J52+15, L52="NCR", J52+30, L52="submitted", J52+30, TRUE, "N/A"))</f>
        <v>N/A</v>
      </c>
      <c r="L52" s="151" t="s">
        <v>638</v>
      </c>
      <c r="M52" s="317"/>
      <c r="N52" s="802"/>
      <c r="O52" s="803"/>
      <c r="P52" s="803"/>
      <c r="Q52" s="804"/>
    </row>
    <row r="53" spans="2:17" s="138" customFormat="1" ht="27" customHeight="1">
      <c r="B53" s="151" t="s">
        <v>46</v>
      </c>
      <c r="C53" s="535" t="s">
        <v>1588</v>
      </c>
      <c r="D53" s="388" t="s">
        <v>1589</v>
      </c>
      <c r="E53" s="158" t="s">
        <v>1592</v>
      </c>
      <c r="F53" s="536" t="s">
        <v>1535</v>
      </c>
      <c r="G53" s="151" t="s">
        <v>1621</v>
      </c>
      <c r="H53" s="153" t="s">
        <v>1622</v>
      </c>
      <c r="I53" s="261">
        <v>45867</v>
      </c>
      <c r="J53" s="261">
        <v>45888</v>
      </c>
      <c r="K53" s="288" t="str" cm="1">
        <f t="array" ref="K53">IF(ISBLANK(J53), IF(ISBLANK(I53), "N/A", _xlfn.IFS(L53="AS", I53+15, L53="NCR", I53+30, L53="submitted", I53+30, TRUE, "N/A")), _xlfn.IFS(L53="AS", J53+15, L53="NCR", J53+30, L53="submitted", J53+30, TRUE, "N/A"))</f>
        <v>N/A</v>
      </c>
      <c r="L53" s="151" t="s">
        <v>638</v>
      </c>
      <c r="M53" s="317"/>
      <c r="N53" s="802"/>
      <c r="O53" s="803"/>
      <c r="P53" s="803"/>
      <c r="Q53" s="804"/>
    </row>
    <row r="54" spans="2:17" s="5" customFormat="1" ht="27" customHeight="1">
      <c r="B54" s="4"/>
      <c r="C54" s="390" t="s">
        <v>1588</v>
      </c>
      <c r="D54" s="345" t="s">
        <v>1589</v>
      </c>
      <c r="E54" s="385" t="s">
        <v>1623</v>
      </c>
      <c r="F54" s="307" t="s">
        <v>1535</v>
      </c>
      <c r="G54" s="4" t="s">
        <v>1624</v>
      </c>
      <c r="H54" s="3" t="s">
        <v>1625</v>
      </c>
      <c r="I54" s="18"/>
      <c r="J54" s="18"/>
      <c r="K54" s="288"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390" t="s">
        <v>1588</v>
      </c>
      <c r="D55" s="345" t="s">
        <v>1589</v>
      </c>
      <c r="E55" s="385" t="s">
        <v>1623</v>
      </c>
      <c r="F55" s="307" t="s">
        <v>1535</v>
      </c>
      <c r="G55" s="4" t="s">
        <v>410</v>
      </c>
      <c r="H55" s="17" t="s">
        <v>1626</v>
      </c>
      <c r="I55" s="18"/>
      <c r="J55" s="18"/>
      <c r="K55" s="288" t="str" cm="1">
        <f t="array" ref="K55">IF(ISBLANK(J55), IF(ISBLANK(I55), "N/A", _xlfn.IFS(L55="AS", I55+15, L55="NCR", I55+30, L55="submitted", I55+30, TRUE, "N/A")), _xlfn.IFS(L55="AS", J55+15, L55="NCR", J55+30, L55="submitted", J55+30, TRUE, "N/A"))</f>
        <v>N/A</v>
      </c>
      <c r="L55" s="4"/>
      <c r="M55" s="318"/>
      <c r="N55" s="802"/>
      <c r="O55" s="803"/>
      <c r="P55" s="803"/>
      <c r="Q55" s="804"/>
    </row>
    <row r="56" spans="2:17" s="408" customFormat="1" ht="15" customHeight="1">
      <c r="B56" s="397"/>
      <c r="C56" s="403" t="s">
        <v>1588</v>
      </c>
      <c r="D56" s="404" t="s">
        <v>1589</v>
      </c>
      <c r="E56" s="227"/>
      <c r="F56" s="409" t="s">
        <v>161</v>
      </c>
      <c r="G56" s="397" t="s">
        <v>414</v>
      </c>
      <c r="H56" s="410" t="s">
        <v>1627</v>
      </c>
      <c r="I56" s="383"/>
      <c r="J56" s="383"/>
      <c r="K56" s="288" t="str" cm="1">
        <f t="array" ref="K56">IF(ISBLANK(J56), IF(ISBLANK(I56), "N/A", _xlfn.IFS(L56="AS", I56+15, L56="NCR", I56+30, L56="submitted", I56+30, TRUE, "N/A")), _xlfn.IFS(L56="AS", J56+15, L56="NCR", J56+30, L56="submitted", J56+30, TRUE, "N/A"))</f>
        <v>N/A</v>
      </c>
      <c r="L56" s="397"/>
      <c r="M56" s="317"/>
      <c r="N56" s="802"/>
      <c r="O56" s="803"/>
      <c r="P56" s="803"/>
      <c r="Q56" s="804"/>
    </row>
    <row r="57" spans="2:17" s="408" customFormat="1" ht="15" customHeight="1">
      <c r="B57" s="397"/>
      <c r="C57" s="403" t="s">
        <v>1588</v>
      </c>
      <c r="D57" s="404" t="s">
        <v>1589</v>
      </c>
      <c r="E57" s="227"/>
      <c r="F57" s="411" t="s">
        <v>161</v>
      </c>
      <c r="G57" s="397" t="s">
        <v>1628</v>
      </c>
      <c r="H57" s="410" t="s">
        <v>1629</v>
      </c>
      <c r="I57" s="383"/>
      <c r="J57" s="383"/>
      <c r="K57" s="288" t="str" cm="1">
        <f t="array" ref="K57">IF(ISBLANK(J57), IF(ISBLANK(I57), "N/A", _xlfn.IFS(L57="AS", I57+15, L57="NCR", I57+30, L57="submitted", I57+30, TRUE, "N/A")), _xlfn.IFS(L57="AS", J57+15, L57="NCR", J57+30, L57="submitted", J57+30, TRUE, "N/A"))</f>
        <v>N/A</v>
      </c>
      <c r="L57" s="397"/>
      <c r="M57" s="317"/>
      <c r="N57" s="802"/>
      <c r="O57" s="803"/>
      <c r="P57" s="803"/>
      <c r="Q57" s="804"/>
    </row>
    <row r="58" spans="2:17" s="138" customFormat="1" ht="25.5" customHeight="1">
      <c r="B58" s="151" t="s">
        <v>1630</v>
      </c>
      <c r="C58" s="169" t="s">
        <v>1631</v>
      </c>
      <c r="D58" s="260" t="s">
        <v>1632</v>
      </c>
      <c r="E58" s="346" t="s">
        <v>1633</v>
      </c>
      <c r="F58" s="168" t="s">
        <v>201</v>
      </c>
      <c r="G58" s="151" t="s">
        <v>868</v>
      </c>
      <c r="H58" s="153" t="s">
        <v>1634</v>
      </c>
      <c r="I58" s="261">
        <v>45783</v>
      </c>
      <c r="J58" s="261">
        <f>I58+14</f>
        <v>45797</v>
      </c>
      <c r="K58" s="288" t="str" cm="1">
        <f t="array" ref="K58">IF(ISBLANK(J58), IF(ISBLANK(I58), "N/A", _xlfn.IFS(L58="AS", I58+15, L58="NCR", I58+30, L58="submitted", I58+30, TRUE, "N/A")), _xlfn.IFS(L58="AS", J58+15, L58="NCR", J58+30, L58="submitted", J58+30, TRUE, "N/A"))</f>
        <v>N/A</v>
      </c>
      <c r="L58" s="151" t="s">
        <v>638</v>
      </c>
      <c r="M58" s="317"/>
      <c r="N58" s="802"/>
      <c r="O58" s="803"/>
      <c r="P58" s="803"/>
      <c r="Q58" s="804"/>
    </row>
    <row r="59" spans="2:17" s="1" customFormat="1" ht="27" customHeight="1">
      <c r="B59" s="9"/>
      <c r="C59" s="48" t="s">
        <v>1631</v>
      </c>
      <c r="D59" s="6" t="s">
        <v>1632</v>
      </c>
      <c r="E59" s="39" t="s">
        <v>1635</v>
      </c>
      <c r="F59" s="39" t="s">
        <v>1636</v>
      </c>
      <c r="G59" s="9" t="s">
        <v>870</v>
      </c>
      <c r="H59" s="7" t="s">
        <v>1637</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27" customHeight="1">
      <c r="B60" s="9"/>
      <c r="C60" s="48" t="s">
        <v>1631</v>
      </c>
      <c r="D60" s="6" t="s">
        <v>1632</v>
      </c>
      <c r="E60" s="39" t="s">
        <v>1638</v>
      </c>
      <c r="F60" s="39" t="s">
        <v>1636</v>
      </c>
      <c r="G60" s="9" t="s">
        <v>1639</v>
      </c>
      <c r="H60" s="7"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1631</v>
      </c>
      <c r="D61" s="6" t="s">
        <v>1632</v>
      </c>
      <c r="E61" s="39" t="s">
        <v>1638</v>
      </c>
      <c r="F61" s="39" t="s">
        <v>1535</v>
      </c>
      <c r="G61" s="9" t="s">
        <v>874</v>
      </c>
      <c r="H61" s="13" t="s">
        <v>1641</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1631</v>
      </c>
      <c r="D62" s="6" t="s">
        <v>1632</v>
      </c>
      <c r="E62" s="39" t="s">
        <v>1642</v>
      </c>
      <c r="F62" s="39" t="s">
        <v>1636</v>
      </c>
      <c r="G62" s="9" t="s">
        <v>876</v>
      </c>
      <c r="H62" s="13" t="s">
        <v>1643</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15" customHeight="1">
      <c r="B63" s="9"/>
      <c r="C63" s="48" t="s">
        <v>1631</v>
      </c>
      <c r="D63" s="6" t="s">
        <v>1632</v>
      </c>
      <c r="E63" s="39"/>
      <c r="F63" s="39" t="s">
        <v>1644</v>
      </c>
      <c r="G63" s="9" t="s">
        <v>1645</v>
      </c>
      <c r="H63" s="13" t="s">
        <v>1646</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1631</v>
      </c>
      <c r="D64" s="6" t="s">
        <v>1632</v>
      </c>
      <c r="E64" s="39"/>
      <c r="F64" s="39" t="s">
        <v>1644</v>
      </c>
      <c r="G64" s="9" t="s">
        <v>931</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25.5" customHeight="1">
      <c r="B65" s="9"/>
      <c r="C65" s="48" t="s">
        <v>1631</v>
      </c>
      <c r="D65" s="6" t="s">
        <v>1632</v>
      </c>
      <c r="E65" s="39"/>
      <c r="F65" s="39" t="s">
        <v>1535</v>
      </c>
      <c r="G65" s="9" t="s">
        <v>1161</v>
      </c>
      <c r="H65" s="7"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1631</v>
      </c>
      <c r="D66" s="6" t="s">
        <v>1632</v>
      </c>
      <c r="E66" s="39" t="s">
        <v>1649</v>
      </c>
      <c r="F66" s="39" t="s">
        <v>1636</v>
      </c>
      <c r="G66" s="9" t="s">
        <v>494</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1" customFormat="1" ht="15" customHeight="1">
      <c r="B67" s="9"/>
      <c r="C67" s="48" t="s">
        <v>1631</v>
      </c>
      <c r="D67" s="6" t="s">
        <v>1632</v>
      </c>
      <c r="E67" s="39" t="s">
        <v>1649</v>
      </c>
      <c r="F67" s="39" t="s">
        <v>1636</v>
      </c>
      <c r="G67" s="9" t="s">
        <v>496</v>
      </c>
      <c r="H67" s="13" t="s">
        <v>1651</v>
      </c>
      <c r="I67" s="14"/>
      <c r="J67" s="14"/>
      <c r="K67" s="288"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48" t="s">
        <v>1631</v>
      </c>
      <c r="D68" s="6" t="s">
        <v>1632</v>
      </c>
      <c r="E68" s="39" t="s">
        <v>1649</v>
      </c>
      <c r="F68" s="39" t="s">
        <v>1636</v>
      </c>
      <c r="G68" s="9" t="s">
        <v>1652</v>
      </c>
      <c r="H68" s="13" t="s">
        <v>1653</v>
      </c>
      <c r="I68" s="14"/>
      <c r="J68" s="14"/>
      <c r="K68" s="288" t="str" cm="1">
        <f t="array" ref="K68">IF(ISBLANK(J68), IF(ISBLANK(I68), "N/A", _xlfn.IFS(L68="AS", I68+15, L68="NCR", I68+30, L68="submitted", I68+30, TRUE, "N/A")), _xlfn.IFS(L68="AS", J68+15, L68="NCR", J68+30, L68="submitted", J68+30, TRUE, "N/A"))</f>
        <v>N/A</v>
      </c>
      <c r="L68" s="9"/>
      <c r="M68" s="317"/>
      <c r="N68" s="802"/>
      <c r="O68" s="803"/>
      <c r="P68" s="803"/>
      <c r="Q68" s="804"/>
    </row>
    <row r="69" spans="2:17" s="228" customFormat="1" ht="25.5" customHeight="1">
      <c r="B69" s="221"/>
      <c r="C69" s="412" t="s">
        <v>1631</v>
      </c>
      <c r="D69" s="422" t="s">
        <v>1632</v>
      </c>
      <c r="E69" s="338"/>
      <c r="F69" s="338" t="s">
        <v>1636</v>
      </c>
      <c r="G69" s="221" t="s">
        <v>488</v>
      </c>
      <c r="H69" s="402" t="s">
        <v>1654</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228" customFormat="1" ht="25.5" customHeight="1">
      <c r="B70" s="221"/>
      <c r="C70" s="412" t="s">
        <v>1631</v>
      </c>
      <c r="D70" s="422" t="s">
        <v>1632</v>
      </c>
      <c r="E70" s="338"/>
      <c r="F70" s="338" t="s">
        <v>161</v>
      </c>
      <c r="G70" s="221" t="s">
        <v>1192</v>
      </c>
      <c r="H70" s="402" t="s">
        <v>1655</v>
      </c>
      <c r="I70" s="421"/>
      <c r="J70" s="421"/>
      <c r="K70" s="288" t="str" cm="1">
        <f t="array" ref="K70">IF(ISBLANK(J70), IF(ISBLANK(I70), "N/A", _xlfn.IFS(L70="AS", I70+15, L70="NCR", I70+30, L70="submitted", I70+30, TRUE, "N/A")), _xlfn.IFS(L70="AS", J70+15, L70="NCR", J70+30, L70="submitted", J70+30, TRUE, "N/A"))</f>
        <v>N/A</v>
      </c>
      <c r="L70" s="221"/>
      <c r="M70" s="317"/>
      <c r="N70" s="802"/>
      <c r="O70" s="803"/>
      <c r="P70" s="803"/>
      <c r="Q70" s="804"/>
    </row>
    <row r="71" spans="2:17" s="228" customFormat="1" ht="15" customHeight="1">
      <c r="B71" s="221"/>
      <c r="C71" s="412" t="s">
        <v>1631</v>
      </c>
      <c r="D71" s="422" t="s">
        <v>1632</v>
      </c>
      <c r="E71" s="338"/>
      <c r="F71" s="338" t="s">
        <v>161</v>
      </c>
      <c r="G71" s="221" t="s">
        <v>1194</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15" customHeight="1">
      <c r="B72" s="9"/>
      <c r="C72" s="48" t="s">
        <v>1631</v>
      </c>
      <c r="D72" s="6" t="s">
        <v>1632</v>
      </c>
      <c r="E72" s="39"/>
      <c r="F72" s="39"/>
      <c r="G72" s="9" t="s">
        <v>499</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228" customFormat="1" ht="51.75" customHeight="1">
      <c r="B73" s="221"/>
      <c r="C73" s="412" t="s">
        <v>1631</v>
      </c>
      <c r="D73" s="422" t="s">
        <v>1632</v>
      </c>
      <c r="E73" s="338"/>
      <c r="F73" s="338" t="s">
        <v>161</v>
      </c>
      <c r="G73" s="221" t="s">
        <v>1658</v>
      </c>
      <c r="H73" s="222" t="s">
        <v>1659</v>
      </c>
      <c r="I73" s="421"/>
      <c r="J73" s="421"/>
      <c r="K73" s="288" t="str" cm="1">
        <f t="array" ref="K73">IF(ISBLANK(J73), IF(ISBLANK(I73), "N/A", _xlfn.IFS(L73="AS", I73+15, L73="NCR", I73+30, L73="submitted", I73+30, TRUE, "N/A")), _xlfn.IFS(L73="AS", J73+15, L73="NCR", J73+30, L73="submitted", J73+30, TRUE, "N/A"))</f>
        <v>N/A</v>
      </c>
      <c r="L73" s="221"/>
      <c r="M73" s="317"/>
      <c r="N73" s="802"/>
      <c r="O73" s="803"/>
      <c r="P73" s="803"/>
      <c r="Q73" s="804"/>
    </row>
    <row r="74" spans="2:17" s="1" customFormat="1" ht="51.75" customHeight="1">
      <c r="B74" s="9"/>
      <c r="C74" s="48" t="s">
        <v>1631</v>
      </c>
      <c r="D74" s="6" t="s">
        <v>1632</v>
      </c>
      <c r="E74" s="39"/>
      <c r="F74" s="39" t="s">
        <v>1535</v>
      </c>
      <c r="G74" s="9" t="s">
        <v>1166</v>
      </c>
      <c r="H74" s="13" t="s">
        <v>1660</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51" customFormat="1" ht="51.75" customHeight="1">
      <c r="B75" s="545" t="s">
        <v>1661</v>
      </c>
      <c r="C75" s="546" t="s">
        <v>1631</v>
      </c>
      <c r="D75" s="547" t="s">
        <v>1632</v>
      </c>
      <c r="E75" s="548" t="s">
        <v>1662</v>
      </c>
      <c r="F75" s="548" t="s">
        <v>1535</v>
      </c>
      <c r="G75" s="545" t="s">
        <v>1663</v>
      </c>
      <c r="H75" s="549" t="s">
        <v>1664</v>
      </c>
      <c r="I75" s="550">
        <v>45783</v>
      </c>
      <c r="J75" s="550">
        <v>45810</v>
      </c>
      <c r="K75" s="288" t="str" cm="1">
        <f t="array" ref="K75">IF(ISBLANK(J75), IF(ISBLANK(I75), "N/A", _xlfn.IFS(L75="AS", I75+15, L75="NCR", I75+30, L75="submitted", I75+30, TRUE, "N/A")), _xlfn.IFS(L75="AS", J75+15, L75="NCR", J75+30, L75="submitted", J75+30, TRUE, "N/A"))</f>
        <v>N/A</v>
      </c>
      <c r="L75" s="545" t="s">
        <v>147</v>
      </c>
      <c r="M75" s="317"/>
      <c r="N75" s="802"/>
      <c r="O75" s="803"/>
      <c r="P75" s="803"/>
      <c r="Q75" s="804"/>
    </row>
    <row r="76" spans="2:17" s="1" customFormat="1" ht="15" customHeight="1">
      <c r="B76" s="9"/>
      <c r="C76" s="48" t="s">
        <v>1631</v>
      </c>
      <c r="D76" s="10" t="s">
        <v>1632</v>
      </c>
      <c r="E76" s="46"/>
      <c r="F76" s="46" t="s">
        <v>1535</v>
      </c>
      <c r="G76" s="9" t="s">
        <v>1665</v>
      </c>
      <c r="H76" s="13" t="s">
        <v>1666</v>
      </c>
      <c r="I76" s="14"/>
      <c r="J76" s="14"/>
      <c r="K76" s="288" t="str" cm="1">
        <f t="array" ref="K76">IF(ISBLANK(J76), IF(ISBLANK(I76), "N/A", _xlfn.IFS(L76="AS", I76+15, L76="NCR", I76+30, L76="submitted", I76+30, TRUE, "N/A")), _xlfn.IFS(L76="AS", J76+15, L76="NCR", J76+30, L76="submitted", J76+30, TRUE, "N/A"))</f>
        <v>N/A</v>
      </c>
      <c r="L76" s="9"/>
      <c r="M76" s="317"/>
      <c r="N76" s="802"/>
      <c r="O76" s="803"/>
      <c r="P76" s="803"/>
      <c r="Q76" s="804"/>
    </row>
    <row r="77" spans="2:17" s="525" customFormat="1" ht="15" customHeight="1">
      <c r="B77" s="523" t="s">
        <v>1667</v>
      </c>
      <c r="C77" s="751">
        <v>3300</v>
      </c>
      <c r="D77" s="730" t="s">
        <v>1668</v>
      </c>
      <c r="E77" s="752" t="s">
        <v>1669</v>
      </c>
      <c r="F77" s="752" t="s">
        <v>54</v>
      </c>
      <c r="G77" s="523">
        <v>1.04</v>
      </c>
      <c r="H77" s="532" t="s">
        <v>1670</v>
      </c>
      <c r="I77" s="533">
        <v>45926</v>
      </c>
      <c r="J77" s="533"/>
      <c r="K77" s="753" cm="1">
        <f t="array" ref="K77">IF(ISBLANK(J77), IF(ISBLANK(I77), "N/A", _xlfn.IFS(L77="AS", I77+15, L77="NCR", I77+30, L77="submitted", I77+30, TRUE, "N/A")), _xlfn.IFS(L77="AS", J77+15, L77="NCR", J77+30, L77="submitted", J77+30, TRUE, "N/A"))</f>
        <v>45956</v>
      </c>
      <c r="L77" s="523" t="s">
        <v>581</v>
      </c>
      <c r="M77" s="528"/>
      <c r="N77" s="802"/>
      <c r="O77" s="803"/>
      <c r="P77" s="803"/>
      <c r="Q77" s="804"/>
    </row>
    <row r="78" spans="2:17" s="5" customFormat="1" ht="15" customHeight="1">
      <c r="B78" s="4"/>
      <c r="C78" s="15" t="s">
        <v>1671</v>
      </c>
      <c r="D78" s="17" t="s">
        <v>1672</v>
      </c>
      <c r="E78" s="17"/>
      <c r="F78" s="17"/>
      <c r="G78" s="4" t="s">
        <v>145</v>
      </c>
      <c r="H78" s="17"/>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1" customFormat="1" ht="15" customHeight="1">
      <c r="B79" s="9"/>
      <c r="C79" s="11" t="s">
        <v>1673</v>
      </c>
      <c r="D79" s="13" t="s">
        <v>1674</v>
      </c>
      <c r="E79" s="13"/>
      <c r="F79" s="13"/>
      <c r="G79" s="9" t="s">
        <v>212</v>
      </c>
      <c r="H79" s="13" t="s">
        <v>1507</v>
      </c>
      <c r="I79" s="14"/>
      <c r="J79" s="14"/>
      <c r="K79" s="288" t="str" cm="1">
        <f t="array" ref="K79">IF(ISBLANK(J79), IF(ISBLANK(I79), "N/A", _xlfn.IFS(L79="AS", I79+15, L79="NCR", I79+30, L79="submitted", I79+30, TRUE, "N/A")), _xlfn.IFS(L79="AS", J79+15, L79="NCR", J79+30, L79="submitted", J79+30, TRUE, "N/A"))</f>
        <v>N/A</v>
      </c>
      <c r="L79" s="9"/>
      <c r="M79" s="317"/>
      <c r="N79" s="802"/>
      <c r="O79" s="803"/>
      <c r="P79" s="803"/>
      <c r="Q79" s="804"/>
    </row>
    <row r="80" spans="2:17" s="5" customFormat="1" ht="15" customHeight="1">
      <c r="B80" s="4"/>
      <c r="C80" s="54" t="s">
        <v>1675</v>
      </c>
      <c r="D80" s="55" t="s">
        <v>1676</v>
      </c>
      <c r="E80" s="34"/>
      <c r="F80" s="34" t="s">
        <v>1535</v>
      </c>
      <c r="G80" s="4" t="s">
        <v>278</v>
      </c>
      <c r="H80" s="17" t="s">
        <v>1677</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54" t="s">
        <v>1675</v>
      </c>
      <c r="D81" s="55" t="s">
        <v>1676</v>
      </c>
      <c r="E81" s="35"/>
      <c r="F81" s="34" t="s">
        <v>1535</v>
      </c>
      <c r="G81" s="4" t="s">
        <v>265</v>
      </c>
      <c r="H81" s="17" t="s">
        <v>1678</v>
      </c>
      <c r="I81" s="18"/>
      <c r="J81" s="18"/>
      <c r="K81" s="288"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54" t="s">
        <v>1675</v>
      </c>
      <c r="D82" s="55" t="s">
        <v>1676</v>
      </c>
      <c r="E82" s="35"/>
      <c r="F82" s="34" t="s">
        <v>1535</v>
      </c>
      <c r="G82" s="4" t="s">
        <v>222</v>
      </c>
      <c r="H82" s="17" t="s">
        <v>1679</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t="s">
        <v>1680</v>
      </c>
      <c r="C83" s="54" t="s">
        <v>1675</v>
      </c>
      <c r="D83" s="55" t="s">
        <v>1676</v>
      </c>
      <c r="E83" s="35" t="s">
        <v>1681</v>
      </c>
      <c r="F83" s="34" t="s">
        <v>1535</v>
      </c>
      <c r="G83" s="4" t="s">
        <v>329</v>
      </c>
      <c r="H83" s="17" t="s">
        <v>1682</v>
      </c>
      <c r="I83" s="18">
        <v>45932</v>
      </c>
      <c r="J83" s="18">
        <v>45939</v>
      </c>
      <c r="K83" s="288" t="str" cm="1">
        <f t="array" ref="K83">IF(ISBLANK(J83), IF(ISBLANK(I83), "N/A", _xlfn.IFS(L83="AS", I83+15, L83="NCR", I83+30, L83="submitted", I83+30, TRUE, "N/A")), _xlfn.IFS(L83="AS", J83+15, L83="NCR", J83+30, L83="submitted", J83+30, TRUE, "N/A"))</f>
        <v>N/A</v>
      </c>
      <c r="L83" s="4" t="s">
        <v>151</v>
      </c>
      <c r="M83" s="317"/>
      <c r="N83" s="802"/>
      <c r="O83" s="803"/>
      <c r="P83" s="803"/>
      <c r="Q83" s="804"/>
    </row>
    <row r="84" spans="2:17" s="5" customFormat="1" ht="15" customHeight="1">
      <c r="B84" s="4"/>
      <c r="C84" s="54" t="s">
        <v>1675</v>
      </c>
      <c r="D84" s="55" t="s">
        <v>1676</v>
      </c>
      <c r="E84" s="35"/>
      <c r="F84" s="34" t="s">
        <v>1644</v>
      </c>
      <c r="G84" s="4" t="s">
        <v>601</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54" t="s">
        <v>1675</v>
      </c>
      <c r="D85" s="55" t="s">
        <v>1676</v>
      </c>
      <c r="E85" s="35"/>
      <c r="F85" s="34" t="s">
        <v>1535</v>
      </c>
      <c r="G85" s="4" t="s">
        <v>372</v>
      </c>
      <c r="H85" s="17" t="s">
        <v>1684</v>
      </c>
      <c r="I85" s="18"/>
      <c r="J85" s="18"/>
      <c r="K85" s="288"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54" t="s">
        <v>1675</v>
      </c>
      <c r="D86" s="55" t="s">
        <v>1676</v>
      </c>
      <c r="E86" s="36"/>
      <c r="F86" s="36" t="s">
        <v>1685</v>
      </c>
      <c r="G86" s="4" t="s">
        <v>374</v>
      </c>
      <c r="H86" s="17" t="s">
        <v>1686</v>
      </c>
      <c r="I86" s="18"/>
      <c r="J86" s="18"/>
      <c r="K86" s="288" t="str" cm="1">
        <f t="array" ref="K86">IF(ISBLANK(J86), IF(ISBLANK(I86), "N/A", _xlfn.IFS(L86="AS", I86+15, L86="NCR", I86+30, L86="submitted", I86+30, TRUE, "N/A")), _xlfn.IFS(L86="AS", J86+15, L86="NCR", J86+30, L86="submitted", J86+30, TRUE, "N/A"))</f>
        <v>N/A</v>
      </c>
      <c r="L86" s="4"/>
      <c r="M86" s="317"/>
      <c r="N86" s="802"/>
      <c r="O86" s="803"/>
      <c r="P86" s="803"/>
      <c r="Q86" s="804"/>
    </row>
    <row r="87" spans="2:17" s="1" customFormat="1" ht="15" customHeight="1">
      <c r="B87" s="9"/>
      <c r="C87" s="821" t="s">
        <v>1687</v>
      </c>
      <c r="D87" s="823" t="s">
        <v>1688</v>
      </c>
      <c r="E87" s="37"/>
      <c r="F87" s="37" t="s">
        <v>1636</v>
      </c>
      <c r="G87" s="9" t="s">
        <v>208</v>
      </c>
      <c r="H87" s="13" t="s">
        <v>484</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22"/>
      <c r="D88" s="824"/>
      <c r="E88" s="39"/>
      <c r="F88" s="39" t="s">
        <v>1636</v>
      </c>
      <c r="G88" s="9" t="s">
        <v>281</v>
      </c>
      <c r="H88" s="13" t="s">
        <v>1689</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15" customHeight="1">
      <c r="B89" s="9"/>
      <c r="C89" s="822"/>
      <c r="D89" s="824"/>
      <c r="E89" s="39"/>
      <c r="F89" s="39" t="s">
        <v>1636</v>
      </c>
      <c r="G89" s="9" t="s">
        <v>269</v>
      </c>
      <c r="H89" s="13" t="s">
        <v>1690</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 customFormat="1" ht="15" customHeight="1">
      <c r="B90" s="9"/>
      <c r="C90" s="822"/>
      <c r="D90" s="824"/>
      <c r="E90" s="39"/>
      <c r="F90" s="39" t="s">
        <v>1636</v>
      </c>
      <c r="G90" s="9" t="s">
        <v>259</v>
      </c>
      <c r="H90" s="13" t="s">
        <v>1691</v>
      </c>
      <c r="I90" s="14"/>
      <c r="J90" s="14"/>
      <c r="K90" s="288" t="str" cm="1">
        <f t="array" ref="K90">IF(ISBLANK(J90), IF(ISBLANK(I90), "N/A", _xlfn.IFS(L90="AS", I90+15, L90="NCR", I90+30, L90="submitted", I90+30, TRUE, "N/A")), _xlfn.IFS(L90="AS", J90+15, L90="NCR", J90+30, L90="submitted", J90+30, TRUE, "N/A"))</f>
        <v>N/A</v>
      </c>
      <c r="L90" s="9"/>
      <c r="M90" s="317"/>
      <c r="N90" s="802"/>
      <c r="O90" s="803"/>
      <c r="P90" s="803"/>
      <c r="Q90" s="804"/>
    </row>
    <row r="91" spans="2:17" s="1" customFormat="1" ht="40.5" customHeight="1">
      <c r="B91" s="9"/>
      <c r="C91" s="807"/>
      <c r="D91" s="809"/>
      <c r="E91" s="46"/>
      <c r="F91" s="46" t="s">
        <v>1636</v>
      </c>
      <c r="G91" s="9" t="s">
        <v>352</v>
      </c>
      <c r="H91" s="7" t="s">
        <v>1692</v>
      </c>
      <c r="I91" s="14"/>
      <c r="J91" s="14"/>
      <c r="K91" s="288" t="str" cm="1">
        <f t="array" ref="K91">IF(ISBLANK(J91), IF(ISBLANK(I91), "N/A", _xlfn.IFS(L91="AS", I91+15, L91="NCR", I91+30, L91="submitted", I91+30, TRUE, "N/A")), _xlfn.IFS(L91="AS", J91+15, L91="NCR", J91+30, L91="submitted", J91+30, TRUE, "N/A"))</f>
        <v>N/A</v>
      </c>
      <c r="L91" s="9"/>
      <c r="M91" s="317"/>
      <c r="N91" s="802"/>
      <c r="O91" s="803"/>
      <c r="P91" s="803"/>
      <c r="Q91" s="804"/>
    </row>
    <row r="92" spans="2:17" s="138" customFormat="1" ht="45" customHeight="1">
      <c r="B92" s="151" t="s">
        <v>1693</v>
      </c>
      <c r="C92" s="169" t="s">
        <v>1694</v>
      </c>
      <c r="D92" s="260" t="s">
        <v>1695</v>
      </c>
      <c r="E92" s="168" t="s">
        <v>1696</v>
      </c>
      <c r="F92" s="168" t="s">
        <v>1535</v>
      </c>
      <c r="G92" s="151" t="s">
        <v>208</v>
      </c>
      <c r="H92" s="153" t="s">
        <v>1697</v>
      </c>
      <c r="I92" s="261">
        <v>45786</v>
      </c>
      <c r="J92" s="261">
        <v>45791</v>
      </c>
      <c r="K92" s="288" t="str" cm="1">
        <f t="array" ref="K92">IF(ISBLANK(J92), IF(ISBLANK(I92), "N/A", _xlfn.IFS(L92="AS", I92+15, L92="NCR", I92+30, L92="submitted", I92+30, TRUE, "N/A")), _xlfn.IFS(L92="AS", J92+15, L92="NCR", J92+30, L92="submitted", J92+30, TRUE, "N/A"))</f>
        <v>N/A</v>
      </c>
      <c r="L92" s="151" t="s">
        <v>151</v>
      </c>
      <c r="M92" s="317"/>
      <c r="N92" s="802"/>
      <c r="O92" s="803"/>
      <c r="P92" s="803"/>
      <c r="Q92" s="804"/>
    </row>
    <row r="93" spans="2:17" s="5" customFormat="1" ht="15" customHeight="1">
      <c r="B93" s="4"/>
      <c r="C93" s="56" t="s">
        <v>1694</v>
      </c>
      <c r="D93" s="57" t="s">
        <v>1695</v>
      </c>
      <c r="E93" s="35"/>
      <c r="F93" s="35" t="s">
        <v>1636</v>
      </c>
      <c r="G93" s="4" t="s">
        <v>281</v>
      </c>
      <c r="H93" s="17" t="s">
        <v>667</v>
      </c>
      <c r="I93" s="18"/>
      <c r="J93" s="18"/>
      <c r="K93" s="288" t="str" cm="1">
        <f t="array" ref="K93">IF(ISBLANK(J93), IF(ISBLANK(I93), "N/A", _xlfn.IFS(L93="AS", I93+15, L93="NCR", I93+30, L93="submitted", I93+30, TRUE, "N/A")), _xlfn.IFS(L93="AS", J93+15, L93="NCR", J93+30, L93="submitted", J93+30, TRUE, "N/A"))</f>
        <v>N/A</v>
      </c>
      <c r="L93" s="4"/>
      <c r="M93" s="317"/>
      <c r="N93" s="802"/>
      <c r="O93" s="803"/>
      <c r="P93" s="803"/>
      <c r="Q93" s="804"/>
    </row>
    <row r="94" spans="2:17" s="5" customFormat="1" ht="15" customHeight="1">
      <c r="B94" s="4"/>
      <c r="C94" s="58" t="s">
        <v>1694</v>
      </c>
      <c r="D94" s="31" t="s">
        <v>1695</v>
      </c>
      <c r="E94" s="36"/>
      <c r="F94" s="36" t="s">
        <v>1636</v>
      </c>
      <c r="G94" s="4" t="s">
        <v>269</v>
      </c>
      <c r="H94" s="17" t="s">
        <v>1698</v>
      </c>
      <c r="I94" s="18"/>
      <c r="J94" s="18"/>
      <c r="K94" s="288" t="str" cm="1">
        <f t="array" ref="K94">IF(ISBLANK(J94), IF(ISBLANK(I94), "N/A", _xlfn.IFS(L94="AS", I94+15, L94="NCR", I94+30, L94="submitted", I94+30, TRUE, "N/A")), _xlfn.IFS(L94="AS", J94+15, L94="NCR", J94+30, L94="submitted", J94+30, TRUE, "N/A"))</f>
        <v>N/A</v>
      </c>
      <c r="L94" s="4"/>
      <c r="M94" s="317"/>
      <c r="N94" s="802"/>
      <c r="O94" s="803"/>
      <c r="P94" s="803"/>
      <c r="Q94" s="804"/>
    </row>
    <row r="95" spans="2:17" s="266" customFormat="1" ht="15" customHeight="1">
      <c r="B95" s="262" t="s">
        <v>17</v>
      </c>
      <c r="C95" s="340" t="s">
        <v>1699</v>
      </c>
      <c r="D95" s="341" t="s">
        <v>1700</v>
      </c>
      <c r="E95" s="267" t="s">
        <v>18</v>
      </c>
      <c r="F95" s="267" t="s">
        <v>1535</v>
      </c>
      <c r="G95" s="262" t="s">
        <v>281</v>
      </c>
      <c r="H95" s="264" t="s">
        <v>235</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1699</v>
      </c>
      <c r="D96" s="2" t="s">
        <v>1700</v>
      </c>
      <c r="E96" s="39"/>
      <c r="F96" s="39" t="s">
        <v>161</v>
      </c>
      <c r="G96" s="38" t="s">
        <v>329</v>
      </c>
      <c r="H96" s="37" t="s">
        <v>1701</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1" customFormat="1" ht="15" customHeight="1">
      <c r="B97" s="262" t="s">
        <v>17</v>
      </c>
      <c r="C97" s="47" t="s">
        <v>1699</v>
      </c>
      <c r="D97" s="2" t="s">
        <v>1700</v>
      </c>
      <c r="E97" s="39"/>
      <c r="F97" s="39" t="s">
        <v>161</v>
      </c>
      <c r="G97" s="38" t="s">
        <v>601</v>
      </c>
      <c r="H97" s="37" t="s">
        <v>1702</v>
      </c>
      <c r="I97" s="265">
        <v>45784</v>
      </c>
      <c r="J97" s="265">
        <v>45790</v>
      </c>
      <c r="K97" s="288" cm="1">
        <f t="array" ref="K97">IF(ISBLANK(J97), IF(ISBLANK(I97), "N/A", _xlfn.IFS(L97="AS", I97+15, L97="NCR", I97+30, L97="submitted", I97+30, TRUE, "N/A")), _xlfn.IFS(L97="AS", J97+15, L97="NCR", J97+30, L97="submitted", J97+30, TRUE, "N/A"))</f>
        <v>45820</v>
      </c>
      <c r="L97" s="262" t="s">
        <v>157</v>
      </c>
      <c r="M97" s="317"/>
      <c r="N97" s="802"/>
      <c r="O97" s="803"/>
      <c r="P97" s="803"/>
      <c r="Q97" s="804"/>
    </row>
    <row r="98" spans="2:17" s="1" customFormat="1" ht="15" customHeight="1">
      <c r="B98" s="262" t="s">
        <v>17</v>
      </c>
      <c r="C98" s="47" t="s">
        <v>1699</v>
      </c>
      <c r="D98" s="2" t="s">
        <v>1700</v>
      </c>
      <c r="E98" s="39"/>
      <c r="F98" s="39" t="s">
        <v>1541</v>
      </c>
      <c r="G98" s="38" t="s">
        <v>372</v>
      </c>
      <c r="H98" s="40" t="s">
        <v>1703</v>
      </c>
      <c r="I98" s="265">
        <v>45784</v>
      </c>
      <c r="J98" s="265">
        <v>45790</v>
      </c>
      <c r="K98" s="288" cm="1">
        <f t="array" ref="K98">IF(ISBLANK(J98), IF(ISBLANK(I98), "N/A", _xlfn.IFS(L98="AS", I98+15, L98="NCR", I98+30, L98="submitted", I98+30, TRUE, "N/A")), _xlfn.IFS(L98="AS", J98+15, L98="NCR", J98+30, L98="submitted", J98+30, TRUE, "N/A"))</f>
        <v>45820</v>
      </c>
      <c r="L98" s="262" t="s">
        <v>157</v>
      </c>
      <c r="M98" s="317"/>
      <c r="N98" s="802"/>
      <c r="O98" s="803"/>
      <c r="P98" s="803"/>
      <c r="Q98" s="804"/>
    </row>
    <row r="99" spans="2:17" s="5" customFormat="1" ht="27" customHeight="1">
      <c r="B99" s="297" t="s">
        <v>1704</v>
      </c>
      <c r="C99" s="169" t="s">
        <v>1705</v>
      </c>
      <c r="D99" s="597" t="s">
        <v>1706</v>
      </c>
      <c r="E99" s="529"/>
      <c r="F99" s="529" t="s">
        <v>1535</v>
      </c>
      <c r="G99" s="297" t="s">
        <v>281</v>
      </c>
      <c r="H99" s="529" t="s">
        <v>1707</v>
      </c>
      <c r="I99" s="598">
        <v>45908</v>
      </c>
      <c r="J99" s="598">
        <v>45909</v>
      </c>
      <c r="K99" s="288" t="str" cm="1">
        <f t="array" ref="K99">IF(ISBLANK(J99), IF(ISBLANK(I99), "N/A", _xlfn.IFS(L99="AS", I99+15, L99="NCR", I99+30, L99="submitted", I99+30, TRUE, "N/A")), _xlfn.IFS(L99="AS", J99+15, L99="NCR", J99+30, L99="submitted", J99+30, TRUE, "N/A"))</f>
        <v>N/A</v>
      </c>
      <c r="L99" s="297" t="s">
        <v>151</v>
      </c>
      <c r="M99" s="317"/>
      <c r="N99" s="802"/>
      <c r="O99" s="803"/>
      <c r="P99" s="803"/>
      <c r="Q99" s="804"/>
    </row>
    <row r="100" spans="2:17" s="5" customFormat="1" ht="24" customHeight="1">
      <c r="B100" s="19"/>
      <c r="C100" s="54" t="s">
        <v>1705</v>
      </c>
      <c r="D100" s="423" t="s">
        <v>1706</v>
      </c>
      <c r="E100" s="59"/>
      <c r="F100" s="79" t="s">
        <v>161</v>
      </c>
      <c r="G100" s="99" t="s">
        <v>329</v>
      </c>
      <c r="H100" s="53" t="s">
        <v>1701</v>
      </c>
      <c r="I100" s="30"/>
      <c r="J100" s="30"/>
      <c r="K100" s="288" t="str" cm="1">
        <f t="array" ref="K100">IF(ISBLANK(J100), IF(ISBLANK(I100), "N/A", _xlfn.IFS(L100="AS", I100+15, L100="NCR", I100+30, L100="submitted", I100+30, TRUE, "N/A")), _xlfn.IFS(L100="AS", J100+15, L100="NCR", J100+30, L100="submitted", J100+30, TRUE, "N/A"))</f>
        <v>N/A</v>
      </c>
      <c r="L100" s="19"/>
      <c r="M100" s="317"/>
      <c r="N100" s="802"/>
      <c r="O100" s="803"/>
      <c r="P100" s="803"/>
      <c r="Q100" s="804"/>
    </row>
    <row r="101" spans="2:17" s="5" customFormat="1" ht="24" customHeight="1">
      <c r="B101" s="19"/>
      <c r="C101" s="54" t="s">
        <v>1705</v>
      </c>
      <c r="D101" s="423" t="s">
        <v>1706</v>
      </c>
      <c r="E101" s="59"/>
      <c r="F101" s="79" t="s">
        <v>161</v>
      </c>
      <c r="G101" s="99" t="s">
        <v>601</v>
      </c>
      <c r="H101" s="53" t="s">
        <v>1702</v>
      </c>
      <c r="I101" s="30"/>
      <c r="J101" s="30"/>
      <c r="K101" s="288" t="str" cm="1">
        <f t="array" ref="K101">IF(ISBLANK(J101), IF(ISBLANK(I101), "N/A", _xlfn.IFS(L101="AS", I101+15, L101="NCR", I101+30, L101="submitted", I101+30, TRUE, "N/A")), _xlfn.IFS(L101="AS", J101+15, L101="NCR", J101+30, L101="submitted", J101+30, TRUE, "N/A"))</f>
        <v>N/A</v>
      </c>
      <c r="L101" s="19"/>
      <c r="M101" s="317"/>
      <c r="N101" s="802"/>
      <c r="O101" s="803"/>
      <c r="P101" s="803"/>
      <c r="Q101" s="804"/>
    </row>
    <row r="102" spans="2:17" s="45" customFormat="1" ht="27" customHeight="1">
      <c r="B102" s="42"/>
      <c r="C102" s="54" t="s">
        <v>1705</v>
      </c>
      <c r="D102" s="423" t="s">
        <v>1706</v>
      </c>
      <c r="E102" s="60"/>
      <c r="F102" s="431" t="s">
        <v>1644</v>
      </c>
      <c r="G102" s="82" t="s">
        <v>1708</v>
      </c>
      <c r="H102" s="61" t="s">
        <v>1709</v>
      </c>
      <c r="I102" s="44"/>
      <c r="J102" s="44"/>
      <c r="K102" s="288" t="str" cm="1">
        <f t="array" ref="K102">IF(ISBLANK(J102), IF(ISBLANK(I102), "N/A", _xlfn.IFS(L102="AS", I102+15, L102="NCR", I102+30, L102="submitted", I102+30, TRUE, "N/A")), _xlfn.IFS(L102="AS", J102+15, L102="NCR", J102+30, L102="submitted", J102+30, TRUE, "N/A"))</f>
        <v>N/A</v>
      </c>
      <c r="L102" s="42"/>
      <c r="M102" s="317"/>
      <c r="N102" s="802"/>
      <c r="O102" s="803"/>
      <c r="P102" s="803"/>
      <c r="Q102" s="804"/>
    </row>
    <row r="103" spans="2:17" s="138" customFormat="1" ht="40.5" customHeight="1">
      <c r="B103" s="133" t="s">
        <v>32</v>
      </c>
      <c r="C103" s="516" t="s">
        <v>1710</v>
      </c>
      <c r="D103" s="517" t="s">
        <v>1711</v>
      </c>
      <c r="E103" s="518" t="s">
        <v>33</v>
      </c>
      <c r="F103" s="518" t="s">
        <v>1535</v>
      </c>
      <c r="G103" s="133" t="s">
        <v>229</v>
      </c>
      <c r="H103" s="520" t="s">
        <v>1712</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38" customFormat="1" ht="27" customHeight="1">
      <c r="B104" s="133" t="s">
        <v>32</v>
      </c>
      <c r="C104" s="516" t="s">
        <v>1710</v>
      </c>
      <c r="D104" s="517" t="s">
        <v>1711</v>
      </c>
      <c r="E104" s="518" t="s">
        <v>33</v>
      </c>
      <c r="F104" s="518" t="s">
        <v>1535</v>
      </c>
      <c r="G104" s="133" t="s">
        <v>232</v>
      </c>
      <c r="H104" s="137" t="s">
        <v>1713</v>
      </c>
      <c r="I104" s="519">
        <v>45834</v>
      </c>
      <c r="J104" s="519">
        <v>45894</v>
      </c>
      <c r="K104" s="288" t="str" cm="1">
        <f t="array" ref="K104">IF(ISBLANK(J104), IF(ISBLANK(I104), "N/A", _xlfn.IFS(L104="AS", I104+15, L104="NCR", I104+30, L104="submitted", I104+30, TRUE, "N/A")), _xlfn.IFS(L104="AS", J104+15, L104="NCR", J104+30, L104="submitted", J104+30, TRUE, "N/A"))</f>
        <v>N/A</v>
      </c>
      <c r="L104" s="133" t="s">
        <v>638</v>
      </c>
      <c r="M104" s="317"/>
      <c r="N104" s="802"/>
      <c r="O104" s="803"/>
      <c r="P104" s="803"/>
      <c r="Q104" s="804"/>
    </row>
    <row r="105" spans="2:17" s="138" customFormat="1" ht="27" customHeight="1">
      <c r="B105" s="133" t="s">
        <v>32</v>
      </c>
      <c r="C105" s="516" t="s">
        <v>1710</v>
      </c>
      <c r="D105" s="517" t="s">
        <v>1711</v>
      </c>
      <c r="E105" s="518" t="s">
        <v>33</v>
      </c>
      <c r="F105" s="518" t="s">
        <v>1535</v>
      </c>
      <c r="G105" s="133" t="s">
        <v>1554</v>
      </c>
      <c r="H105" s="137" t="s">
        <v>1714</v>
      </c>
      <c r="I105" s="519">
        <v>45834</v>
      </c>
      <c r="J105" s="519">
        <v>45894</v>
      </c>
      <c r="K105" s="288" t="str" cm="1">
        <f t="array" ref="K105">IF(ISBLANK(J105), IF(ISBLANK(I105), "N/A", _xlfn.IFS(L105="AS", I105+15, L105="NCR", I105+30, L105="submitted", I105+30, TRUE, "N/A")), _xlfn.IFS(L105="AS", J105+15, L105="NCR", J105+30, L105="submitted", J105+30, TRUE, "N/A"))</f>
        <v>N/A</v>
      </c>
      <c r="L105" s="133" t="s">
        <v>638</v>
      </c>
      <c r="M105" s="317"/>
      <c r="N105" s="802"/>
      <c r="O105" s="803"/>
      <c r="P105" s="803"/>
      <c r="Q105" s="804"/>
    </row>
    <row r="106" spans="2:17" s="1" customFormat="1" ht="36.75" customHeight="1">
      <c r="B106" s="21"/>
      <c r="C106" s="361" t="s">
        <v>1710</v>
      </c>
      <c r="D106" s="360" t="s">
        <v>1711</v>
      </c>
      <c r="E106" s="50"/>
      <c r="F106" s="432" t="s">
        <v>1541</v>
      </c>
      <c r="G106" s="433" t="s">
        <v>234</v>
      </c>
      <c r="H106" s="52" t="s">
        <v>1715</v>
      </c>
      <c r="I106" s="51"/>
      <c r="J106" s="51"/>
      <c r="K106" s="288" t="str" cm="1">
        <f t="array" ref="K106">IF(ISBLANK(J106), IF(ISBLANK(I106), "N/A", _xlfn.IFS(L106="AS", I106+15, L106="NCR", I106+30, L106="submitted", I106+30, TRUE, "N/A")), _xlfn.IFS(L106="AS", J106+15, L106="NCR", J106+30, L106="submitted", J106+30, TRUE, "N/A"))</f>
        <v>N/A</v>
      </c>
      <c r="L106" s="21"/>
      <c r="M106" s="317"/>
      <c r="N106" s="802"/>
      <c r="O106" s="803"/>
      <c r="P106" s="803"/>
      <c r="Q106" s="804"/>
    </row>
    <row r="107" spans="2:17" s="1" customFormat="1" ht="27" customHeight="1">
      <c r="B107" s="21"/>
      <c r="C107" s="361" t="s">
        <v>1710</v>
      </c>
      <c r="D107" s="360" t="s">
        <v>1711</v>
      </c>
      <c r="E107" s="52"/>
      <c r="F107" s="432" t="s">
        <v>1541</v>
      </c>
      <c r="G107" s="21" t="s">
        <v>236</v>
      </c>
      <c r="H107" s="52" t="s">
        <v>1716</v>
      </c>
      <c r="I107" s="51"/>
      <c r="J107" s="51"/>
      <c r="K107" s="288" t="str" cm="1">
        <f t="array" ref="K107">IF(ISBLANK(J107), IF(ISBLANK(I107), "N/A", _xlfn.IFS(L107="AS", I107+15, L107="NCR", I107+30, L107="submitted", I107+30, TRUE, "N/A")), _xlfn.IFS(L107="AS", J107+15, L107="NCR", J107+30, L107="submitted", J107+30, TRUE, "N/A"))</f>
        <v>N/A</v>
      </c>
      <c r="L107" s="21"/>
      <c r="M107" s="317"/>
      <c r="N107" s="802"/>
      <c r="O107" s="803"/>
      <c r="P107" s="803"/>
      <c r="Q107" s="804"/>
    </row>
    <row r="108" spans="2:17" s="5" customFormat="1" ht="27" customHeight="1">
      <c r="B108" s="4"/>
      <c r="C108" s="54" t="s">
        <v>1717</v>
      </c>
      <c r="D108" s="55" t="s">
        <v>1718</v>
      </c>
      <c r="E108" s="34"/>
      <c r="F108" s="34" t="s">
        <v>1535</v>
      </c>
      <c r="G108" s="4" t="s">
        <v>1719</v>
      </c>
      <c r="H108" s="3" t="s">
        <v>1720</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35.25" customHeight="1">
      <c r="B109" s="4"/>
      <c r="C109" s="54" t="s">
        <v>1717</v>
      </c>
      <c r="D109" s="55" t="s">
        <v>1718</v>
      </c>
      <c r="E109" s="35"/>
      <c r="F109" s="34" t="s">
        <v>1535</v>
      </c>
      <c r="G109" s="4" t="s">
        <v>1721</v>
      </c>
      <c r="H109" s="3" t="s">
        <v>1722</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35.25" customHeight="1">
      <c r="B110" s="4"/>
      <c r="C110" s="54" t="s">
        <v>1717</v>
      </c>
      <c r="D110" s="55" t="s">
        <v>1718</v>
      </c>
      <c r="E110" s="35"/>
      <c r="F110" s="34" t="s">
        <v>1535</v>
      </c>
      <c r="G110" s="4" t="s">
        <v>1723</v>
      </c>
      <c r="H110" s="3" t="s">
        <v>1724</v>
      </c>
      <c r="I110" s="18"/>
      <c r="J110" s="18"/>
      <c r="K110" s="288"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5" customFormat="1" ht="15" customHeight="1">
      <c r="B111" s="4"/>
      <c r="C111" s="54" t="s">
        <v>1717</v>
      </c>
      <c r="D111" s="55" t="s">
        <v>1718</v>
      </c>
      <c r="E111" s="36"/>
      <c r="F111" s="34" t="s">
        <v>1535</v>
      </c>
      <c r="G111" s="4" t="s">
        <v>281</v>
      </c>
      <c r="H111" s="17" t="s">
        <v>235</v>
      </c>
      <c r="I111" s="18"/>
      <c r="J111" s="18"/>
      <c r="K111" s="288" t="str" cm="1">
        <f t="array" ref="K111">IF(ISBLANK(J111), IF(ISBLANK(I111), "N/A", _xlfn.IFS(L111="AS", I111+15, L111="NCR", I111+30, L111="submitted", I111+30, TRUE, "N/A")), _xlfn.IFS(L111="AS", J111+15, L111="NCR", J111+30, L111="submitted", J111+30, TRUE, "N/A"))</f>
        <v>N/A</v>
      </c>
      <c r="L111" s="4"/>
      <c r="M111" s="317"/>
      <c r="N111" s="802"/>
      <c r="O111" s="803"/>
      <c r="P111" s="803"/>
      <c r="Q111" s="804"/>
    </row>
    <row r="112" spans="2:17" s="1" customFormat="1" ht="15" customHeight="1">
      <c r="B112" s="9"/>
      <c r="C112" s="821" t="s">
        <v>1725</v>
      </c>
      <c r="D112" s="823" t="s">
        <v>1726</v>
      </c>
      <c r="E112" s="37"/>
      <c r="F112" s="37" t="s">
        <v>1636</v>
      </c>
      <c r="G112" s="9" t="s">
        <v>212</v>
      </c>
      <c r="H112" s="13" t="s">
        <v>484</v>
      </c>
      <c r="I112" s="14"/>
      <c r="J112" s="14"/>
      <c r="K112" s="288"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38"/>
      <c r="C113" s="822"/>
      <c r="D113" s="824"/>
      <c r="E113" s="39"/>
      <c r="F113" s="37" t="s">
        <v>1636</v>
      </c>
      <c r="G113" s="38" t="s">
        <v>336</v>
      </c>
      <c r="H113" s="37" t="s">
        <v>274</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22"/>
      <c r="D114" s="824"/>
      <c r="E114" s="39"/>
      <c r="F114" s="37" t="s">
        <v>1636</v>
      </c>
      <c r="G114" s="38" t="s">
        <v>337</v>
      </c>
      <c r="H114" s="37" t="s">
        <v>1727</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22"/>
      <c r="D115" s="824"/>
      <c r="E115" s="39"/>
      <c r="F115" s="37" t="s">
        <v>1636</v>
      </c>
      <c r="G115" s="38" t="s">
        <v>404</v>
      </c>
      <c r="H115" s="37" t="s">
        <v>1728</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1" customFormat="1" ht="15" customHeight="1">
      <c r="B116" s="38"/>
      <c r="C116" s="822"/>
      <c r="D116" s="824"/>
      <c r="E116" s="39"/>
      <c r="F116" s="39" t="s">
        <v>161</v>
      </c>
      <c r="G116" s="38" t="s">
        <v>340</v>
      </c>
      <c r="H116" s="37" t="s">
        <v>1729</v>
      </c>
      <c r="I116" s="41"/>
      <c r="J116" s="41"/>
      <c r="K116" s="288" t="str" cm="1">
        <f t="array" ref="K116">IF(ISBLANK(J116), IF(ISBLANK(I116), "N/A", _xlfn.IFS(L116="AS", I116+15, L116="NCR", I116+30, L116="submitted", I116+30, TRUE, "N/A")), _xlfn.IFS(L116="AS", J116+15, L116="NCR", J116+30, L116="submitted", J116+30, TRUE, "N/A"))</f>
        <v>N/A</v>
      </c>
      <c r="L116" s="38"/>
      <c r="M116" s="317"/>
      <c r="N116" s="802"/>
      <c r="O116" s="803"/>
      <c r="P116" s="803"/>
      <c r="Q116" s="804"/>
    </row>
    <row r="117" spans="2:17" s="1" customFormat="1" ht="15" customHeight="1">
      <c r="B117" s="38"/>
      <c r="C117" s="807"/>
      <c r="D117" s="809"/>
      <c r="E117" s="39"/>
      <c r="F117" s="39" t="s">
        <v>161</v>
      </c>
      <c r="G117" s="38" t="s">
        <v>342</v>
      </c>
      <c r="H117" s="37" t="s">
        <v>1730</v>
      </c>
      <c r="I117" s="41"/>
      <c r="J117" s="41"/>
      <c r="K117" s="288" t="str" cm="1">
        <f t="array" ref="K117">IF(ISBLANK(J117), IF(ISBLANK(I117), "N/A", _xlfn.IFS(L117="AS", I117+15, L117="NCR", I117+30, L117="submitted", I117+30, TRUE, "N/A")), _xlfn.IFS(L117="AS", J117+15, L117="NCR", J117+30, L117="submitted", J117+30, TRUE, "N/A"))</f>
        <v>N/A</v>
      </c>
      <c r="L117" s="38"/>
      <c r="M117" s="317"/>
      <c r="N117" s="802"/>
      <c r="O117" s="803"/>
      <c r="P117" s="803"/>
      <c r="Q117" s="804"/>
    </row>
    <row r="118" spans="2:17" s="5" customFormat="1" ht="15" customHeight="1">
      <c r="B118" s="19"/>
      <c r="C118" s="825" t="s">
        <v>1731</v>
      </c>
      <c r="D118" s="827" t="s">
        <v>1732</v>
      </c>
      <c r="E118" s="34"/>
      <c r="F118" s="34" t="s">
        <v>1535</v>
      </c>
      <c r="G118" s="19" t="s">
        <v>234</v>
      </c>
      <c r="H118" s="34" t="s">
        <v>1733</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75" customHeight="1">
      <c r="B119" s="19"/>
      <c r="C119" s="829"/>
      <c r="D119" s="830"/>
      <c r="E119" s="35"/>
      <c r="F119" s="34" t="s">
        <v>1535</v>
      </c>
      <c r="G119" s="19" t="s">
        <v>236</v>
      </c>
      <c r="H119" s="34" t="s">
        <v>1734</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29"/>
      <c r="D120" s="830"/>
      <c r="E120" s="35"/>
      <c r="F120" s="34" t="s">
        <v>1535</v>
      </c>
      <c r="G120" s="19" t="s">
        <v>337</v>
      </c>
      <c r="H120" s="34" t="s">
        <v>282</v>
      </c>
      <c r="I120" s="30"/>
      <c r="J120" s="30"/>
      <c r="K120" s="288" t="str" cm="1">
        <f t="array" ref="K120">IF(ISBLANK(J120), IF(ISBLANK(I120), "N/A", _xlfn.IFS(L120="AS", I120+15, L120="NCR", I120+30, L120="submitted", I120+30, TRUE, "N/A")), _xlfn.IFS(L120="AS", J120+15, L120="NCR", J120+30, L120="submitted", J120+30, TRUE, "N/A"))</f>
        <v>N/A</v>
      </c>
      <c r="L120" s="19"/>
      <c r="M120" s="317"/>
      <c r="N120" s="802"/>
      <c r="O120" s="803"/>
      <c r="P120" s="803"/>
      <c r="Q120" s="804"/>
    </row>
    <row r="121" spans="2:17" s="5" customFormat="1" ht="15" customHeight="1">
      <c r="B121" s="19"/>
      <c r="C121" s="829"/>
      <c r="D121" s="830"/>
      <c r="E121" s="35"/>
      <c r="F121" s="34" t="s">
        <v>1535</v>
      </c>
      <c r="G121" s="19" t="s">
        <v>404</v>
      </c>
      <c r="H121" s="53" t="s">
        <v>1735</v>
      </c>
      <c r="I121" s="30"/>
      <c r="J121" s="30"/>
      <c r="K121" s="288" t="str" cm="1">
        <f t="array" ref="K121">IF(ISBLANK(J121), IF(ISBLANK(I121), "N/A", _xlfn.IFS(L121="AS", I121+15, L121="NCR", I121+30, L121="submitted", I121+30, TRUE, "N/A")), _xlfn.IFS(L121="AS", J121+15, L121="NCR", J121+30, L121="submitted", J121+30, TRUE, "N/A"))</f>
        <v>N/A</v>
      </c>
      <c r="L121" s="19"/>
      <c r="M121" s="317"/>
      <c r="N121" s="802"/>
      <c r="O121" s="803"/>
      <c r="P121" s="803"/>
      <c r="Q121" s="804"/>
    </row>
    <row r="122" spans="2:17" s="5" customFormat="1" ht="15" customHeight="1">
      <c r="B122" s="19"/>
      <c r="C122" s="829"/>
      <c r="D122" s="830"/>
      <c r="E122" s="35"/>
      <c r="F122" s="35" t="s">
        <v>161</v>
      </c>
      <c r="G122" s="19" t="s">
        <v>340</v>
      </c>
      <c r="H122" s="53" t="s">
        <v>1736</v>
      </c>
      <c r="I122" s="30"/>
      <c r="J122" s="30"/>
      <c r="K122" s="288" t="str" cm="1">
        <f t="array" ref="K122">IF(ISBLANK(J122), IF(ISBLANK(I122), "N/A", _xlfn.IFS(L122="AS", I122+15, L122="NCR", I122+30, L122="submitted", I122+30, TRUE, "N/A")), _xlfn.IFS(L122="AS", J122+15, L122="NCR", J122+30, L122="submitted", J122+30, TRUE, "N/A"))</f>
        <v>N/A</v>
      </c>
      <c r="L122" s="19"/>
      <c r="M122" s="317"/>
      <c r="N122" s="796" t="s">
        <v>133</v>
      </c>
      <c r="O122" s="797"/>
      <c r="P122" s="797"/>
      <c r="Q122" s="798"/>
    </row>
    <row r="123" spans="2:17" s="5" customFormat="1" ht="15" customHeight="1">
      <c r="B123" s="19"/>
      <c r="C123" s="829"/>
      <c r="D123" s="830"/>
      <c r="E123" s="35"/>
      <c r="F123" s="35" t="s">
        <v>161</v>
      </c>
      <c r="G123" s="19" t="s">
        <v>342</v>
      </c>
      <c r="H123" s="53" t="s">
        <v>1737</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29"/>
      <c r="D124" s="830"/>
      <c r="E124" s="35"/>
      <c r="F124" s="35" t="s">
        <v>161</v>
      </c>
      <c r="G124" s="19" t="s">
        <v>344</v>
      </c>
      <c r="H124" s="53" t="s">
        <v>1738</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29"/>
      <c r="D125" s="830"/>
      <c r="E125" s="35"/>
      <c r="F125" s="35" t="s">
        <v>161</v>
      </c>
      <c r="G125" s="19" t="s">
        <v>1154</v>
      </c>
      <c r="H125" s="53" t="s">
        <v>1739</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15" customHeight="1">
      <c r="B126" s="19"/>
      <c r="C126" s="829"/>
      <c r="D126" s="830"/>
      <c r="E126" s="35"/>
      <c r="F126" s="35" t="s">
        <v>161</v>
      </c>
      <c r="G126" s="19" t="s">
        <v>1155</v>
      </c>
      <c r="H126" s="34" t="s">
        <v>1740</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5" customFormat="1" ht="15" customHeight="1">
      <c r="B127" s="19"/>
      <c r="C127" s="829"/>
      <c r="D127" s="830"/>
      <c r="E127" s="35"/>
      <c r="F127" s="35" t="s">
        <v>1636</v>
      </c>
      <c r="G127" s="19" t="s">
        <v>406</v>
      </c>
      <c r="H127" s="34" t="s">
        <v>1741</v>
      </c>
      <c r="I127" s="30"/>
      <c r="J127" s="30"/>
      <c r="K127" s="288" t="str" cm="1">
        <f t="array" ref="K127">IF(ISBLANK(J127), IF(ISBLANK(I127), "N/A", _xlfn.IFS(L127="AS", I127+15, L127="NCR", I127+30, L127="submitted", I127+30, TRUE, "N/A")), _xlfn.IFS(L127="AS", J127+15, L127="NCR", J127+30, L127="submitted", J127+30, TRUE, "N/A"))</f>
        <v>N/A</v>
      </c>
      <c r="L127" s="19"/>
      <c r="M127" s="317"/>
      <c r="N127" s="799"/>
      <c r="O127" s="800"/>
      <c r="P127" s="800"/>
      <c r="Q127" s="801"/>
    </row>
    <row r="128" spans="2:17" s="5" customFormat="1" ht="27" customHeight="1">
      <c r="B128" s="19"/>
      <c r="C128" s="829"/>
      <c r="D128" s="830"/>
      <c r="E128" s="35"/>
      <c r="F128" s="35" t="s">
        <v>1537</v>
      </c>
      <c r="G128" s="19" t="s">
        <v>746</v>
      </c>
      <c r="H128" s="53" t="s">
        <v>1742</v>
      </c>
      <c r="I128" s="30"/>
      <c r="J128" s="30"/>
      <c r="K128" s="288" t="str" cm="1">
        <f t="array" ref="K128">IF(ISBLANK(J128), IF(ISBLANK(I128), "N/A", _xlfn.IFS(L128="AS", I128+15, L128="NCR", I128+30, L128="submitted", I128+30, TRUE, "N/A")), _xlfn.IFS(L128="AS", J128+15, L128="NCR", J128+30, L128="submitted", J128+30, TRUE, "N/A"))</f>
        <v>N/A</v>
      </c>
      <c r="L128" s="19"/>
      <c r="M128" s="317"/>
      <c r="N128" s="799"/>
      <c r="O128" s="800"/>
      <c r="P128" s="800"/>
      <c r="Q128" s="801"/>
    </row>
    <row r="129" spans="1:17" s="45" customFormat="1" ht="27" customHeight="1">
      <c r="B129" s="42"/>
      <c r="C129" s="868"/>
      <c r="D129" s="869"/>
      <c r="E129" s="49"/>
      <c r="F129" s="49" t="s">
        <v>1537</v>
      </c>
      <c r="G129" s="42" t="s">
        <v>892</v>
      </c>
      <c r="H129" s="61" t="s">
        <v>1743</v>
      </c>
      <c r="I129" s="44"/>
      <c r="J129" s="44"/>
      <c r="K129" s="288" t="str" cm="1">
        <f t="array" ref="K129">IF(ISBLANK(J129), IF(ISBLANK(I129), "N/A", _xlfn.IFS(L129="AS", I129+15, L129="NCR", I129+30, L129="submitted", I129+30, TRUE, "N/A")), _xlfn.IFS(L129="AS", J129+15, L129="NCR", J129+30, L129="submitted", J129+30, TRUE, "N/A"))</f>
        <v>N/A</v>
      </c>
      <c r="L129" s="42"/>
      <c r="M129" s="317"/>
      <c r="N129" s="799"/>
      <c r="O129" s="800"/>
      <c r="P129" s="800"/>
      <c r="Q129" s="801"/>
    </row>
    <row r="130" spans="1:17" s="1" customFormat="1" ht="15" customHeight="1">
      <c r="B130" s="21"/>
      <c r="C130" s="920" t="s">
        <v>1744</v>
      </c>
      <c r="D130" s="921" t="s">
        <v>1745</v>
      </c>
      <c r="E130" s="50"/>
      <c r="F130" s="50" t="s">
        <v>1636</v>
      </c>
      <c r="G130" s="21" t="s">
        <v>229</v>
      </c>
      <c r="H130" s="46" t="s">
        <v>1746</v>
      </c>
      <c r="I130" s="51"/>
      <c r="J130" s="51"/>
      <c r="K130" s="288" t="str" cm="1">
        <f t="array" ref="K130">IF(ISBLANK(J130), IF(ISBLANK(I130), "N/A", _xlfn.IFS(L130="AS", I130+15, L130="NCR", I130+30, L130="submitted", I130+30, TRUE, "N/A")), _xlfn.IFS(L130="AS", J130+15, L130="NCR", J130+30, L130="submitted", J130+30, TRUE, "N/A"))</f>
        <v>N/A</v>
      </c>
      <c r="L130" s="21"/>
      <c r="M130" s="317"/>
      <c r="N130" s="802" t="s">
        <v>148</v>
      </c>
      <c r="O130" s="803"/>
      <c r="P130" s="803"/>
      <c r="Q130" s="804"/>
    </row>
    <row r="131" spans="1:17" s="1" customFormat="1" ht="15" customHeight="1">
      <c r="B131" s="21"/>
      <c r="C131" s="822"/>
      <c r="D131" s="824"/>
      <c r="E131" s="39"/>
      <c r="F131" s="50" t="s">
        <v>1636</v>
      </c>
      <c r="G131" s="21" t="s">
        <v>232</v>
      </c>
      <c r="H131" s="52" t="s">
        <v>1747</v>
      </c>
      <c r="I131" s="51"/>
      <c r="J131" s="51"/>
      <c r="K131" s="288" t="str" cm="1">
        <f t="array" ref="K131">IF(ISBLANK(J131), IF(ISBLANK(I131), "N/A", _xlfn.IFS(L131="AS", I131+15, L131="NCR", I131+30, L131="submitted", I131+30, TRUE, "N/A")), _xlfn.IFS(L131="AS", J131+15, L131="NCR", J131+30, L131="submitted", J131+30, TRUE, "N/A"))</f>
        <v>N/A</v>
      </c>
      <c r="L131" s="21"/>
      <c r="M131" s="317"/>
      <c r="N131" s="802"/>
      <c r="O131" s="803"/>
      <c r="P131" s="803"/>
      <c r="Q131" s="804"/>
    </row>
    <row r="132" spans="1:17" s="1" customFormat="1" ht="15" customHeight="1">
      <c r="B132" s="21"/>
      <c r="C132" s="822"/>
      <c r="D132" s="824"/>
      <c r="E132" s="39"/>
      <c r="F132" s="50" t="s">
        <v>1636</v>
      </c>
      <c r="G132" s="21" t="s">
        <v>1554</v>
      </c>
      <c r="H132" s="46" t="s">
        <v>1748</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A133" s="1" t="s">
        <v>318</v>
      </c>
      <c r="B133" s="21" t="s">
        <v>1749</v>
      </c>
      <c r="C133" s="822"/>
      <c r="D133" s="824"/>
      <c r="E133" s="39"/>
      <c r="F133" s="50" t="s">
        <v>322</v>
      </c>
      <c r="G133" s="21" t="s">
        <v>336</v>
      </c>
      <c r="H133" s="46" t="s">
        <v>282</v>
      </c>
      <c r="I133" s="51">
        <v>45939</v>
      </c>
      <c r="J133" s="51"/>
      <c r="K133" s="288" cm="1">
        <f t="array" ref="K133">IF(ISBLANK(J133), IF(ISBLANK(I133), "N/A", _xlfn.IFS(L133="AS", I133+15, L133="NCR", I133+30, L133="submitted", I133+30, TRUE, "N/A")), _xlfn.IFS(L133="AS", J133+15, L133="NCR", J133+30, L133="submitted", J133+30, TRUE, "N/A"))</f>
        <v>45969</v>
      </c>
      <c r="L133" s="21" t="s">
        <v>581</v>
      </c>
      <c r="M133" s="317"/>
      <c r="N133" s="802"/>
      <c r="O133" s="803"/>
      <c r="P133" s="803"/>
      <c r="Q133" s="804"/>
    </row>
    <row r="134" spans="1:17" s="1" customFormat="1" ht="27" customHeight="1">
      <c r="B134" s="21"/>
      <c r="C134" s="822"/>
      <c r="D134" s="824"/>
      <c r="E134" s="39"/>
      <c r="F134" s="39" t="s">
        <v>1644</v>
      </c>
      <c r="G134" s="21" t="s">
        <v>240</v>
      </c>
      <c r="H134" s="52" t="s">
        <v>1750</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1:17" s="1" customFormat="1" ht="15" customHeight="1">
      <c r="B135" s="21"/>
      <c r="C135" s="822"/>
      <c r="D135" s="824"/>
      <c r="E135" s="39"/>
      <c r="F135" s="39" t="s">
        <v>1644</v>
      </c>
      <c r="G135" s="21" t="s">
        <v>242</v>
      </c>
      <c r="H135" s="46" t="s">
        <v>1751</v>
      </c>
      <c r="I135" s="51"/>
      <c r="J135" s="51"/>
      <c r="K135" s="288" t="str" cm="1">
        <f t="array" ref="K135">IF(ISBLANK(J135), IF(ISBLANK(I135), "N/A", _xlfn.IFS(L135="AS", I135+15, L135="NCR", I135+30, L135="submitted", I135+30, TRUE, "N/A")), _xlfn.IFS(L135="AS", J135+15, L135="NCR", J135+30, L135="submitted", J135+30, TRUE, "N/A"))</f>
        <v>N/A</v>
      </c>
      <c r="L135" s="21"/>
      <c r="M135" s="318"/>
      <c r="N135" s="802"/>
      <c r="O135" s="803"/>
      <c r="P135" s="803"/>
      <c r="Q135" s="804"/>
    </row>
    <row r="136" spans="1:17" s="1" customFormat="1" ht="15" customHeight="1">
      <c r="B136" s="21"/>
      <c r="C136" s="822"/>
      <c r="D136" s="824"/>
      <c r="E136" s="39"/>
      <c r="F136" s="39" t="s">
        <v>1644</v>
      </c>
      <c r="G136" s="21" t="s">
        <v>1232</v>
      </c>
      <c r="H136" s="46" t="s">
        <v>1752</v>
      </c>
      <c r="I136" s="51"/>
      <c r="J136" s="51"/>
      <c r="K136" s="288" t="str" cm="1">
        <f t="array" ref="K136">IF(ISBLANK(J136), IF(ISBLANK(I136), "N/A", _xlfn.IFS(L136="AS", I136+15, L136="NCR", I136+30, L136="submitted", I136+30, TRUE, "N/A")), _xlfn.IFS(L136="AS", J136+15, L136="NCR", J136+30, L136="submitted", J136+30, TRUE, "N/A"))</f>
        <v>N/A</v>
      </c>
      <c r="L136" s="21"/>
      <c r="M136" s="317"/>
      <c r="N136" s="802"/>
      <c r="O136" s="803"/>
      <c r="P136" s="803"/>
      <c r="Q136" s="804"/>
    </row>
    <row r="137" spans="1:17" s="1" customFormat="1" ht="40.5" customHeight="1">
      <c r="B137" s="21"/>
      <c r="C137" s="807"/>
      <c r="D137" s="809"/>
      <c r="E137" s="46"/>
      <c r="F137" s="46" t="s">
        <v>1644</v>
      </c>
      <c r="G137" s="21" t="s">
        <v>338</v>
      </c>
      <c r="H137" s="52" t="s">
        <v>1753</v>
      </c>
      <c r="I137" s="51"/>
      <c r="J137" s="51"/>
      <c r="K137" s="288" t="str" cm="1">
        <f t="array" ref="K137">IF(ISBLANK(J137), IF(ISBLANK(I137), "N/A", _xlfn.IFS(L137="AS", I137+15, L137="NCR", I137+30, L137="submitted", I137+30, TRUE, "N/A")), _xlfn.IFS(L137="AS", J137+15, L137="NCR", J137+30, L137="submitted", J137+30, TRUE, "N/A"))</f>
        <v>N/A</v>
      </c>
      <c r="L137" s="21"/>
      <c r="M137" s="317"/>
      <c r="N137" s="802"/>
      <c r="O137" s="803"/>
      <c r="P137" s="803"/>
      <c r="Q137" s="804"/>
    </row>
    <row r="138" spans="1:17" s="5" customFormat="1" ht="53.25">
      <c r="B138" s="4"/>
      <c r="C138" s="825" t="s">
        <v>1754</v>
      </c>
      <c r="D138" s="827" t="s">
        <v>1755</v>
      </c>
      <c r="E138" s="34"/>
      <c r="F138" s="34" t="s">
        <v>1644</v>
      </c>
      <c r="G138" s="4" t="s">
        <v>278</v>
      </c>
      <c r="H138" s="3" t="s">
        <v>1756</v>
      </c>
      <c r="I138" s="18"/>
      <c r="J138" s="18"/>
      <c r="K138" s="288" t="str" cm="1">
        <f t="array" ref="K138">IF(ISBLANK(J138), IF(ISBLANK(I138), "N/A", _xlfn.IFS(L138="AS", I138+15, L138="NCR", I138+30, L138="submitted", I138+30, TRUE, "N/A")), _xlfn.IFS(L138="AS", J138+15, L138="NCR", J138+30, L138="submitted", J138+30, TRUE, "N/A"))</f>
        <v>N/A</v>
      </c>
      <c r="L138" s="4"/>
      <c r="M138" s="317"/>
      <c r="N138" s="802"/>
      <c r="O138" s="803"/>
      <c r="P138" s="803"/>
      <c r="Q138" s="804"/>
    </row>
    <row r="139" spans="1:17" s="5" customFormat="1" ht="15" customHeight="1">
      <c r="B139" s="4"/>
      <c r="C139" s="826"/>
      <c r="D139" s="828"/>
      <c r="E139" s="36"/>
      <c r="F139" s="36" t="s">
        <v>1644</v>
      </c>
      <c r="G139" s="4" t="s">
        <v>265</v>
      </c>
      <c r="H139" s="17" t="s">
        <v>1757</v>
      </c>
      <c r="I139" s="18"/>
      <c r="J139" s="18"/>
      <c r="K139" s="288" t="str" cm="1">
        <f t="array" ref="K139">IF(ISBLANK(J139), IF(ISBLANK(I139), "N/A", _xlfn.IFS(L139="AS", I139+15, L139="NCR", I139+30, L139="submitted", I139+30, TRUE, "N/A")), _xlfn.IFS(L139="AS", J139+15, L139="NCR", J139+30, L139="submitted", J139+30, TRUE, "N/A"))</f>
        <v>N/A</v>
      </c>
      <c r="L139" s="4"/>
      <c r="M139" s="317"/>
      <c r="N139" s="802"/>
      <c r="O139" s="803"/>
      <c r="P139" s="803"/>
      <c r="Q139" s="804"/>
    </row>
    <row r="140" spans="1:17" s="1" customFormat="1" ht="25.5" customHeight="1">
      <c r="B140" s="9"/>
      <c r="C140" s="821" t="s">
        <v>1758</v>
      </c>
      <c r="D140" s="917" t="s">
        <v>1759</v>
      </c>
      <c r="E140" s="40"/>
      <c r="F140" s="40" t="s">
        <v>1535</v>
      </c>
      <c r="G140" s="9" t="s">
        <v>1760</v>
      </c>
      <c r="H140" s="13" t="s">
        <v>1761</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1:17" s="1" customFormat="1" ht="15" customHeight="1">
      <c r="B141" s="9"/>
      <c r="C141" s="822"/>
      <c r="D141" s="918"/>
      <c r="E141" s="50"/>
      <c r="F141" s="40" t="s">
        <v>1535</v>
      </c>
      <c r="G141" s="9" t="s">
        <v>868</v>
      </c>
      <c r="H141" s="13" t="s">
        <v>235</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22"/>
      <c r="D142" s="918"/>
      <c r="E142" s="50"/>
      <c r="F142" s="40" t="s">
        <v>1535</v>
      </c>
      <c r="G142" s="9" t="s">
        <v>870</v>
      </c>
      <c r="H142" s="13" t="s">
        <v>544</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22"/>
      <c r="D143" s="918"/>
      <c r="E143" s="50"/>
      <c r="F143" s="40" t="s">
        <v>1535</v>
      </c>
      <c r="G143" s="9" t="s">
        <v>872</v>
      </c>
      <c r="H143" s="13" t="s">
        <v>490</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22"/>
      <c r="D144" s="918"/>
      <c r="E144" s="50"/>
      <c r="F144" s="50" t="s">
        <v>1541</v>
      </c>
      <c r="G144" s="9" t="s">
        <v>874</v>
      </c>
      <c r="H144" s="13" t="s">
        <v>1762</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1:17" s="1" customFormat="1" ht="15" customHeight="1">
      <c r="B145" s="9"/>
      <c r="C145" s="822"/>
      <c r="D145" s="918"/>
      <c r="E145" s="50"/>
      <c r="F145" s="50" t="s">
        <v>1535</v>
      </c>
      <c r="G145" s="9" t="s">
        <v>1351</v>
      </c>
      <c r="H145" s="13" t="s">
        <v>1763</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1:17" s="1" customFormat="1" ht="15" customHeight="1">
      <c r="B146" s="9"/>
      <c r="C146" s="822"/>
      <c r="D146" s="918"/>
      <c r="E146" s="50"/>
      <c r="F146" s="50" t="s">
        <v>1535</v>
      </c>
      <c r="G146" s="9" t="s">
        <v>1353</v>
      </c>
      <c r="H146" s="13" t="s">
        <v>1764</v>
      </c>
      <c r="I146" s="14"/>
      <c r="J146" s="14"/>
      <c r="K146" s="288"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1:17" s="1" customFormat="1" ht="53.25">
      <c r="B147" s="9"/>
      <c r="C147" s="807"/>
      <c r="D147" s="919"/>
      <c r="E147" s="52"/>
      <c r="F147" s="50" t="s">
        <v>1535</v>
      </c>
      <c r="G147" s="9" t="s">
        <v>1765</v>
      </c>
      <c r="H147" s="7" t="s">
        <v>1766</v>
      </c>
      <c r="I147" s="14"/>
      <c r="J147" s="14"/>
      <c r="K147" s="288"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1:17" s="5" customFormat="1" ht="15" customHeight="1">
      <c r="B148" s="4"/>
      <c r="C148" s="825" t="s">
        <v>1767</v>
      </c>
      <c r="D148" s="827" t="s">
        <v>1768</v>
      </c>
      <c r="E148" s="34"/>
      <c r="F148" s="34" t="s">
        <v>1535</v>
      </c>
      <c r="G148" s="4" t="s">
        <v>208</v>
      </c>
      <c r="H148" s="17" t="s">
        <v>484</v>
      </c>
      <c r="I148" s="18"/>
      <c r="J148" s="18"/>
      <c r="K148" s="288" t="str" cm="1">
        <f t="array" ref="K148">IF(ISBLANK(J148), IF(ISBLANK(I148), "N/A", _xlfn.IFS(L148="AS", I148+15, L148="NCR", I148+30, L148="submitted", I148+30, TRUE, "N/A")), _xlfn.IFS(L148="AS", J148+15, L148="NCR", J148+30, L148="submitted", J148+30, TRUE, "N/A"))</f>
        <v>N/A</v>
      </c>
      <c r="L148" s="4"/>
      <c r="M148" s="317"/>
      <c r="N148" s="802"/>
      <c r="O148" s="803"/>
      <c r="P148" s="803"/>
      <c r="Q148" s="804"/>
    </row>
    <row r="149" spans="1:17" s="5" customFormat="1" ht="15" customHeight="1">
      <c r="B149" s="19"/>
      <c r="C149" s="826"/>
      <c r="D149" s="828"/>
      <c r="E149" s="35"/>
      <c r="F149" s="34" t="s">
        <v>1535</v>
      </c>
      <c r="G149" s="19" t="s">
        <v>281</v>
      </c>
      <c r="H149" s="34" t="s">
        <v>274</v>
      </c>
      <c r="I149" s="30"/>
      <c r="J149" s="30"/>
      <c r="K149" s="288" t="str" cm="1">
        <f t="array" ref="K149">IF(ISBLANK(J149), IF(ISBLANK(I149), "N/A", _xlfn.IFS(L149="AS", I149+15, L149="NCR", I149+30, L149="submitted", I149+30, TRUE, "N/A")), _xlfn.IFS(L149="AS", J149+15, L149="NCR", J149+30, L149="submitted", J149+30, TRUE, "N/A"))</f>
        <v>N/A</v>
      </c>
      <c r="L149" s="19"/>
      <c r="M149" s="317"/>
      <c r="N149" s="802"/>
      <c r="O149" s="803"/>
      <c r="P149" s="803"/>
      <c r="Q149" s="804"/>
    </row>
    <row r="150" spans="1:17" s="1" customFormat="1" ht="15" customHeight="1">
      <c r="A150" s="1" t="s">
        <v>318</v>
      </c>
      <c r="B150" s="38" t="s">
        <v>1769</v>
      </c>
      <c r="C150" s="47" t="s">
        <v>1770</v>
      </c>
      <c r="D150" s="2" t="s">
        <v>1771</v>
      </c>
      <c r="E150" s="37"/>
      <c r="F150" s="34" t="s">
        <v>1535</v>
      </c>
      <c r="G150" s="38" t="s">
        <v>212</v>
      </c>
      <c r="H150" s="37" t="s">
        <v>1772</v>
      </c>
      <c r="I150" s="600">
        <v>45939</v>
      </c>
      <c r="J150" s="41"/>
      <c r="K150" s="288" cm="1">
        <f t="array" ref="K150">IF(ISBLANK(J150), IF(ISBLANK(I150), "N/A", _xlfn.IFS(L150="AS", I150+15, L150="NCR", I150+30, L150="submitted", I150+30, TRUE, "N/A")), _xlfn.IFS(L150="AS", J150+15, L150="NCR", J150+30, L150="submitted", J150+30, TRUE, "N/A"))</f>
        <v>45969</v>
      </c>
      <c r="L150" s="38" t="s">
        <v>581</v>
      </c>
      <c r="M150" s="317"/>
      <c r="N150" s="802"/>
      <c r="O150" s="803"/>
      <c r="P150" s="803"/>
      <c r="Q150" s="804"/>
    </row>
    <row r="151" spans="1:17" s="149" customFormat="1" ht="15.75" customHeight="1">
      <c r="A151" s="149" t="s">
        <v>318</v>
      </c>
      <c r="B151" s="599" t="s">
        <v>1769</v>
      </c>
      <c r="C151" s="245" t="s">
        <v>1770</v>
      </c>
      <c r="D151" s="332" t="s">
        <v>1771</v>
      </c>
      <c r="E151" s="219" t="s">
        <v>1773</v>
      </c>
      <c r="F151" s="231" t="s">
        <v>1774</v>
      </c>
      <c r="G151" s="599" t="s">
        <v>336</v>
      </c>
      <c r="H151" s="231" t="s">
        <v>282</v>
      </c>
      <c r="I151" s="600">
        <v>45939</v>
      </c>
      <c r="J151" s="600"/>
      <c r="K151" s="288" cm="1">
        <f t="array" ref="K151">IF(ISBLANK(J151), IF(ISBLANK(I151), "N/A", _xlfn.IFS(L151="AS", I151+15, L151="NCR", I151+30, L151="submitted", I151+30, TRUE, "N/A")), _xlfn.IFS(L151="AS", J151+15, L151="NCR", J151+30, L151="submitted", J151+30, TRUE, "N/A"))</f>
        <v>45969</v>
      </c>
      <c r="L151" s="599" t="s">
        <v>581</v>
      </c>
      <c r="M151" s="317"/>
      <c r="N151" s="802"/>
      <c r="O151" s="803"/>
      <c r="P151" s="803"/>
      <c r="Q151" s="804"/>
    </row>
    <row r="152" spans="1:17" s="149" customFormat="1" ht="15.75" customHeight="1">
      <c r="B152" s="599" t="s">
        <v>1775</v>
      </c>
      <c r="C152" s="245" t="s">
        <v>1770</v>
      </c>
      <c r="D152" s="332" t="s">
        <v>1771</v>
      </c>
      <c r="E152" s="219" t="s">
        <v>1773</v>
      </c>
      <c r="F152" s="231" t="s">
        <v>1774</v>
      </c>
      <c r="G152" s="599" t="s">
        <v>336</v>
      </c>
      <c r="H152" s="231" t="s">
        <v>282</v>
      </c>
      <c r="I152" s="600">
        <v>45908</v>
      </c>
      <c r="J152" s="600">
        <v>45910</v>
      </c>
      <c r="K152" s="288" t="str" cm="1">
        <f t="array" ref="K152">IF(ISBLANK(J152), IF(ISBLANK(I152), "N/A", _xlfn.IFS(L152="AS", I152+15, L152="NCR", I152+30, L152="submitted", I152+30, TRUE, "N/A")), _xlfn.IFS(L152="AS", J152+15, L152="NCR", J152+30, L152="submitted", J152+30, TRUE, "N/A"))</f>
        <v>N/A</v>
      </c>
      <c r="L152" s="599" t="s">
        <v>147</v>
      </c>
      <c r="M152" s="317"/>
      <c r="N152" s="802"/>
      <c r="O152" s="803"/>
      <c r="P152" s="803"/>
      <c r="Q152" s="804"/>
    </row>
    <row r="153" spans="1:17" s="774" customFormat="1" ht="15.75" customHeight="1">
      <c r="B153" s="766" t="s">
        <v>1776</v>
      </c>
      <c r="C153" s="767" t="s">
        <v>1770</v>
      </c>
      <c r="D153" s="768" t="s">
        <v>1771</v>
      </c>
      <c r="E153" s="769" t="s">
        <v>1773</v>
      </c>
      <c r="F153" s="770" t="s">
        <v>1774</v>
      </c>
      <c r="G153" s="766" t="s">
        <v>336</v>
      </c>
      <c r="H153" s="770" t="s">
        <v>282</v>
      </c>
      <c r="I153" s="771">
        <v>45922</v>
      </c>
      <c r="J153" s="771">
        <v>45931</v>
      </c>
      <c r="K153" s="772" cm="1">
        <f t="array" ref="K153">IF(ISBLANK(J153), IF(ISBLANK(I153), "N/A", _xlfn.IFS(L153="AS", I153+15, L153="NCR", I153+30, L153="submitted", I153+30, TRUE, "N/A")), _xlfn.IFS(L153="AS", J153+15, L153="NCR", J153+30, L153="submitted", J153+30, TRUE, "N/A"))</f>
        <v>45946</v>
      </c>
      <c r="L153" s="766" t="s">
        <v>752</v>
      </c>
      <c r="M153" s="773"/>
      <c r="N153" s="802"/>
      <c r="O153" s="803"/>
      <c r="P153" s="803"/>
      <c r="Q153" s="804"/>
    </row>
    <row r="154" spans="1:17" s="1" customFormat="1" ht="15" customHeight="1">
      <c r="B154" s="38"/>
      <c r="C154" s="47" t="s">
        <v>1770</v>
      </c>
      <c r="D154" s="2" t="s">
        <v>1771</v>
      </c>
      <c r="E154" s="39"/>
      <c r="F154" s="34" t="s">
        <v>1535</v>
      </c>
      <c r="G154" s="38" t="s">
        <v>240</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1:17" s="1" customFormat="1" ht="15" customHeight="1">
      <c r="B155" s="38"/>
      <c r="C155" s="47" t="s">
        <v>1770</v>
      </c>
      <c r="D155" s="2" t="s">
        <v>1771</v>
      </c>
      <c r="E155" s="39"/>
      <c r="F155" s="34" t="s">
        <v>1535</v>
      </c>
      <c r="G155" s="38" t="s">
        <v>338</v>
      </c>
      <c r="H155" s="37" t="s">
        <v>1778</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1:17" s="1" customFormat="1" ht="15" customHeight="1">
      <c r="B156" s="38"/>
      <c r="C156" s="47" t="s">
        <v>1770</v>
      </c>
      <c r="D156" s="2" t="s">
        <v>1771</v>
      </c>
      <c r="E156" s="39"/>
      <c r="F156" s="39" t="s">
        <v>161</v>
      </c>
      <c r="G156" s="38" t="s">
        <v>1779</v>
      </c>
      <c r="H156" s="37" t="s">
        <v>1780</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1:17" s="1" customFormat="1" ht="15" customHeight="1">
      <c r="B157" s="38"/>
      <c r="C157" s="47" t="s">
        <v>1770</v>
      </c>
      <c r="D157" s="2" t="s">
        <v>1771</v>
      </c>
      <c r="E157" s="39"/>
      <c r="F157" s="39" t="s">
        <v>161</v>
      </c>
      <c r="G157" s="38" t="s">
        <v>1781</v>
      </c>
      <c r="H157" s="37" t="s">
        <v>1782</v>
      </c>
      <c r="I157" s="41"/>
      <c r="J157" s="41"/>
      <c r="K157" s="288" t="str" cm="1">
        <f t="array" ref="K157">IF(ISBLANK(J157), IF(ISBLANK(I157), "N/A", _xlfn.IFS(L157="AS", I157+15, L157="NCR", I157+30, L157="submitted", I157+30, TRUE, "N/A")), _xlfn.IFS(L157="AS", J157+15, L157="NCR", J157+30, L157="submitted", J157+30, TRUE, "N/A"))</f>
        <v>N/A</v>
      </c>
      <c r="L157" s="38"/>
      <c r="M157" s="317"/>
      <c r="N157" s="802"/>
      <c r="O157" s="803"/>
      <c r="P157" s="803"/>
      <c r="Q157" s="804"/>
    </row>
    <row r="158" spans="1:17" s="1" customFormat="1" ht="36" customHeight="1">
      <c r="B158" s="38"/>
      <c r="C158" s="47" t="s">
        <v>1770</v>
      </c>
      <c r="D158" s="2" t="s">
        <v>1771</v>
      </c>
      <c r="E158" s="39"/>
      <c r="F158" s="39" t="s">
        <v>161</v>
      </c>
      <c r="G158" s="38" t="s">
        <v>1783</v>
      </c>
      <c r="H158" s="37" t="s">
        <v>1784</v>
      </c>
      <c r="I158" s="41"/>
      <c r="J158" s="41"/>
      <c r="K158" s="288" t="str" cm="1">
        <f t="array" ref="K158">IF(ISBLANK(J158), IF(ISBLANK(I158), "N/A", _xlfn.IFS(L158="AS", I158+15, L158="NCR", I158+30, L158="submitted", I158+30, TRUE, "N/A")), _xlfn.IFS(L158="AS", J158+15, L158="NCR", J158+30, L158="submitted", J158+30, TRUE, "N/A"))</f>
        <v>N/A</v>
      </c>
      <c r="L158" s="38"/>
      <c r="M158" s="317"/>
      <c r="N158" s="802"/>
      <c r="O158" s="803"/>
      <c r="P158" s="803"/>
      <c r="Q158" s="804"/>
    </row>
    <row r="159" spans="1:17" s="66" customFormat="1" ht="42.75" customHeight="1">
      <c r="B159" s="62"/>
      <c r="C159" s="905" t="s">
        <v>1785</v>
      </c>
      <c r="D159" s="908" t="s">
        <v>1786</v>
      </c>
      <c r="E159" s="63"/>
      <c r="F159" s="63" t="s">
        <v>1535</v>
      </c>
      <c r="G159" s="62" t="s">
        <v>212</v>
      </c>
      <c r="H159" s="64" t="s">
        <v>1787</v>
      </c>
      <c r="I159" s="65"/>
      <c r="J159" s="65"/>
      <c r="K159" s="288" t="str" cm="1">
        <f t="array" ref="K159">IF(ISBLANK(J159), IF(ISBLANK(I159), "N/A", _xlfn.IFS(L159="AS", I159+15, L159="NCR", I159+30, L159="submitted", I159+30, TRUE, "N/A")), _xlfn.IFS(L159="AS", J159+15, L159="NCR", J159+30, L159="submitted", J159+30, TRUE, "N/A"))</f>
        <v>N/A</v>
      </c>
      <c r="L159" s="62"/>
      <c r="M159" s="317"/>
      <c r="N159" s="802"/>
      <c r="O159" s="803"/>
      <c r="P159" s="803"/>
      <c r="Q159" s="804"/>
    </row>
    <row r="160" spans="1:17" s="71" customFormat="1" ht="15.75" customHeight="1">
      <c r="B160" s="67"/>
      <c r="C160" s="906"/>
      <c r="D160" s="909"/>
      <c r="E160" s="68"/>
      <c r="F160" s="63" t="s">
        <v>1535</v>
      </c>
      <c r="G160" s="67" t="s">
        <v>336</v>
      </c>
      <c r="H160" s="69" t="s">
        <v>1788</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71" customFormat="1" ht="40.5" customHeight="1">
      <c r="B161" s="67"/>
      <c r="C161" s="906"/>
      <c r="D161" s="909"/>
      <c r="E161" s="68"/>
      <c r="F161" s="63" t="s">
        <v>1535</v>
      </c>
      <c r="G161" s="67" t="s">
        <v>337</v>
      </c>
      <c r="H161" s="72" t="s">
        <v>1789</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71" customFormat="1" ht="15.75" customHeight="1">
      <c r="B162" s="67"/>
      <c r="C162" s="906"/>
      <c r="D162" s="909"/>
      <c r="E162" s="68"/>
      <c r="F162" s="63" t="s">
        <v>1535</v>
      </c>
      <c r="G162" s="67" t="s">
        <v>404</v>
      </c>
      <c r="H162" s="69" t="s">
        <v>1790</v>
      </c>
      <c r="I162" s="70"/>
      <c r="J162" s="70"/>
      <c r="K162" s="288" t="str" cm="1">
        <f t="array" ref="K162">IF(ISBLANK(J162), IF(ISBLANK(I162), "N/A", _xlfn.IFS(L162="AS", I162+15, L162="NCR", I162+30, L162="submitted", I162+30, TRUE, "N/A")), _xlfn.IFS(L162="AS", J162+15, L162="NCR", J162+30, L162="submitted", J162+30, TRUE, "N/A"))</f>
        <v>N/A</v>
      </c>
      <c r="L162" s="67"/>
      <c r="M162" s="317"/>
      <c r="N162" s="802"/>
      <c r="O162" s="803"/>
      <c r="P162" s="803"/>
      <c r="Q162" s="804"/>
    </row>
    <row r="163" spans="2:17" s="71" customFormat="1" ht="15.75" customHeight="1">
      <c r="B163" s="67"/>
      <c r="C163" s="907"/>
      <c r="D163" s="910"/>
      <c r="E163" s="69"/>
      <c r="F163" s="63" t="s">
        <v>1535</v>
      </c>
      <c r="G163" s="67" t="s">
        <v>405</v>
      </c>
      <c r="H163" s="69" t="s">
        <v>1791</v>
      </c>
      <c r="I163" s="70"/>
      <c r="J163" s="70"/>
      <c r="K163" s="288" t="str" cm="1">
        <f t="array" ref="K163">IF(ISBLANK(J163), IF(ISBLANK(I163), "N/A", _xlfn.IFS(L163="AS", I163+15, L163="NCR", I163+30, L163="submitted", I163+30, TRUE, "N/A")), _xlfn.IFS(L163="AS", J163+15, L163="NCR", J163+30, L163="submitted", J163+30, TRUE, "N/A"))</f>
        <v>N/A</v>
      </c>
      <c r="L163" s="67"/>
      <c r="M163" s="317"/>
      <c r="N163" s="802"/>
      <c r="O163" s="803"/>
      <c r="P163" s="803"/>
      <c r="Q163" s="804"/>
    </row>
    <row r="164" spans="2:17" s="4" customFormat="1" ht="15" customHeight="1">
      <c r="C164" s="825" t="s">
        <v>1792</v>
      </c>
      <c r="D164" s="827" t="s">
        <v>1793</v>
      </c>
      <c r="E164" s="34"/>
      <c r="F164" s="34" t="s">
        <v>1535</v>
      </c>
      <c r="G164" s="4" t="s">
        <v>208</v>
      </c>
      <c r="H164" s="17" t="s">
        <v>1794</v>
      </c>
      <c r="I164" s="18"/>
      <c r="J164" s="18"/>
      <c r="K164" s="288" t="str" cm="1">
        <f t="array" ref="K164">IF(ISBLANK(J164), IF(ISBLANK(I164), "N/A", _xlfn.IFS(L164="AS", I164+15, L164="NCR", I164+30, L164="submitted", I164+30, TRUE, "N/A")), _xlfn.IFS(L164="AS", J164+15, L164="NCR", J164+30, L164="submitted", J164+30, TRUE, "N/A"))</f>
        <v>N/A</v>
      </c>
      <c r="M164" s="317"/>
      <c r="N164" s="802"/>
      <c r="O164" s="803"/>
      <c r="P164" s="803"/>
      <c r="Q164" s="804"/>
    </row>
    <row r="165" spans="2:17" s="5" customFormat="1" ht="15" customHeight="1">
      <c r="B165" s="73"/>
      <c r="C165" s="829"/>
      <c r="D165" s="830"/>
      <c r="E165" s="35"/>
      <c r="F165" s="34" t="s">
        <v>1535</v>
      </c>
      <c r="G165" s="73" t="s">
        <v>281</v>
      </c>
      <c r="H165" s="36" t="s">
        <v>1795</v>
      </c>
      <c r="I165" s="74"/>
      <c r="J165" s="74"/>
      <c r="K165" s="288" t="str" cm="1">
        <f t="array" ref="K165">IF(ISBLANK(J165), IF(ISBLANK(I165), "N/A", _xlfn.IFS(L165="AS", I165+15, L165="NCR", I165+30, L165="submitted", I165+30, TRUE, "N/A")), _xlfn.IFS(L165="AS", J165+15, L165="NCR", J165+30, L165="submitted", J165+30, TRUE, "N/A"))</f>
        <v>N/A</v>
      </c>
      <c r="L165" s="73"/>
      <c r="M165" s="317"/>
      <c r="N165" s="802"/>
      <c r="O165" s="803"/>
      <c r="P165" s="803"/>
      <c r="Q165" s="804"/>
    </row>
    <row r="166" spans="2:17" s="5" customFormat="1" ht="27" customHeight="1">
      <c r="B166" s="73"/>
      <c r="C166" s="826"/>
      <c r="D166" s="828"/>
      <c r="E166" s="36"/>
      <c r="F166" s="34" t="s">
        <v>1535</v>
      </c>
      <c r="G166" s="73" t="s">
        <v>269</v>
      </c>
      <c r="H166" s="75" t="s">
        <v>1796</v>
      </c>
      <c r="I166" s="74"/>
      <c r="J166" s="74"/>
      <c r="K166" s="288" t="str" cm="1">
        <f t="array" ref="K166">IF(ISBLANK(J166), IF(ISBLANK(I166), "N/A", _xlfn.IFS(L166="AS", I166+15, L166="NCR", I166+30, L166="submitted", I166+30, TRUE, "N/A")), _xlfn.IFS(L166="AS", J166+15, L166="NCR", J166+30, L166="submitted", J166+30, TRUE, "N/A"))</f>
        <v>N/A</v>
      </c>
      <c r="L166" s="73"/>
      <c r="M166" s="317"/>
      <c r="N166" s="802"/>
      <c r="O166" s="803"/>
      <c r="P166" s="803"/>
      <c r="Q166" s="804"/>
    </row>
    <row r="167" spans="2:17" s="1" customFormat="1" ht="15" customHeight="1">
      <c r="B167" s="9"/>
      <c r="C167" s="821" t="s">
        <v>1797</v>
      </c>
      <c r="D167" s="823" t="s">
        <v>1798</v>
      </c>
      <c r="E167" s="37"/>
      <c r="F167" s="37" t="s">
        <v>1535</v>
      </c>
      <c r="G167" s="9" t="s">
        <v>278</v>
      </c>
      <c r="H167" s="13" t="s">
        <v>328</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22"/>
      <c r="D168" s="824"/>
      <c r="E168" s="39"/>
      <c r="F168" s="37" t="s">
        <v>1535</v>
      </c>
      <c r="G168" s="9" t="s">
        <v>265</v>
      </c>
      <c r="H168" s="13" t="s">
        <v>484</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22"/>
      <c r="D169" s="824"/>
      <c r="E169" s="39"/>
      <c r="F169" s="37" t="s">
        <v>1535</v>
      </c>
      <c r="G169" s="9" t="s">
        <v>1799</v>
      </c>
      <c r="H169" s="13" t="s">
        <v>1800</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7" t="s">
        <v>1535</v>
      </c>
      <c r="G170" s="9" t="s">
        <v>1801</v>
      </c>
      <c r="H170" s="13" t="s">
        <v>1802</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22"/>
      <c r="D171" s="824"/>
      <c r="E171" s="39"/>
      <c r="F171" s="37" t="s">
        <v>1535</v>
      </c>
      <c r="G171" s="9" t="s">
        <v>1803</v>
      </c>
      <c r="H171" s="13" t="s">
        <v>1804</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22"/>
      <c r="D172" s="824"/>
      <c r="E172" s="39"/>
      <c r="F172" s="37" t="s">
        <v>1535</v>
      </c>
      <c r="G172" s="9" t="s">
        <v>1805</v>
      </c>
      <c r="H172" s="13" t="s">
        <v>444</v>
      </c>
      <c r="I172" s="14"/>
      <c r="J172" s="14"/>
      <c r="K172" s="288"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1" customFormat="1" ht="15" customHeight="1">
      <c r="B173" s="9"/>
      <c r="C173" s="807"/>
      <c r="D173" s="809"/>
      <c r="E173" s="46"/>
      <c r="F173" s="37" t="s">
        <v>1535</v>
      </c>
      <c r="G173" s="9" t="s">
        <v>1806</v>
      </c>
      <c r="H173" s="13" t="s">
        <v>365</v>
      </c>
      <c r="I173" s="14"/>
      <c r="J173" s="14"/>
      <c r="K173" s="288" t="str" cm="1">
        <f t="array" ref="K173">IF(ISBLANK(J173), IF(ISBLANK(I173), "N/A", _xlfn.IFS(L173="AS", I173+15, L173="NCR", I173+30, L173="submitted", I173+30, TRUE, "N/A")), _xlfn.IFS(L173="AS", J173+15, L173="NCR", J173+30, L173="submitted", J173+30, TRUE, "N/A"))</f>
        <v>N/A</v>
      </c>
      <c r="L173" s="9"/>
      <c r="M173" s="317"/>
      <c r="N173" s="802"/>
      <c r="O173" s="803"/>
      <c r="P173" s="803"/>
      <c r="Q173" s="804"/>
    </row>
    <row r="174" spans="2:17" s="26" customFormat="1" ht="15" customHeight="1">
      <c r="B174" s="22"/>
      <c r="C174" s="898" t="s">
        <v>1807</v>
      </c>
      <c r="D174" s="899" t="s">
        <v>1808</v>
      </c>
      <c r="E174" s="76"/>
      <c r="F174" s="76" t="s">
        <v>1535</v>
      </c>
      <c r="G174" s="22" t="s">
        <v>281</v>
      </c>
      <c r="H174" s="24" t="s">
        <v>1809</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27" customHeight="1">
      <c r="B175" s="22"/>
      <c r="C175" s="885"/>
      <c r="D175" s="888"/>
      <c r="E175" s="27"/>
      <c r="F175" s="76" t="s">
        <v>1535</v>
      </c>
      <c r="G175" s="22" t="s">
        <v>269</v>
      </c>
      <c r="H175" s="28" t="s">
        <v>1810</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86"/>
      <c r="D176" s="889"/>
      <c r="E176" s="29"/>
      <c r="F176" s="76" t="s">
        <v>1535</v>
      </c>
      <c r="G176" s="22" t="s">
        <v>259</v>
      </c>
      <c r="H176" s="24" t="s">
        <v>1811</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48.75" customHeight="1">
      <c r="B177" s="22"/>
      <c r="C177" s="898" t="s">
        <v>1812</v>
      </c>
      <c r="D177" s="899" t="s">
        <v>1813</v>
      </c>
      <c r="E177" s="76"/>
      <c r="F177" s="76" t="s">
        <v>1535</v>
      </c>
      <c r="G177" s="22" t="s">
        <v>234</v>
      </c>
      <c r="H177" s="28" t="s">
        <v>1371</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885"/>
      <c r="D178" s="888"/>
      <c r="E178" s="27"/>
      <c r="F178" s="76" t="s">
        <v>1535</v>
      </c>
      <c r="G178" s="22" t="s">
        <v>1142</v>
      </c>
      <c r="H178" s="24" t="s">
        <v>919</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885"/>
      <c r="D179" s="888"/>
      <c r="E179" s="27"/>
      <c r="F179" s="76" t="s">
        <v>1535</v>
      </c>
      <c r="G179" s="22" t="s">
        <v>1144</v>
      </c>
      <c r="H179" s="24" t="s">
        <v>965</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885"/>
      <c r="D180" s="888"/>
      <c r="E180" s="27"/>
      <c r="F180" s="27" t="s">
        <v>1541</v>
      </c>
      <c r="G180" s="22" t="s">
        <v>1146</v>
      </c>
      <c r="H180" s="24" t="s">
        <v>1814</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26" customFormat="1" ht="15" customHeight="1">
      <c r="B181" s="22"/>
      <c r="C181" s="885"/>
      <c r="D181" s="888"/>
      <c r="E181" s="27"/>
      <c r="F181" s="27" t="s">
        <v>1535</v>
      </c>
      <c r="G181" s="22" t="s">
        <v>1147</v>
      </c>
      <c r="H181" s="24" t="s">
        <v>926</v>
      </c>
      <c r="I181" s="25"/>
      <c r="J181" s="25"/>
      <c r="K181" s="288" t="str" cm="1">
        <f t="array" ref="K181">IF(ISBLANK(J181), IF(ISBLANK(I181), "N/A", _xlfn.IFS(L181="AS", I181+15, L181="NCR", I181+30, L181="submitted", I181+30, TRUE, "N/A")), _xlfn.IFS(L181="AS", J181+15, L181="NCR", J181+30, L181="submitted", J181+30, TRUE, "N/A"))</f>
        <v>N/A</v>
      </c>
      <c r="L181" s="22"/>
      <c r="M181" s="317"/>
      <c r="N181" s="802"/>
      <c r="O181" s="803"/>
      <c r="P181" s="803"/>
      <c r="Q181" s="804"/>
    </row>
    <row r="182" spans="1:17" s="26" customFormat="1" ht="15" customHeight="1">
      <c r="B182" s="22"/>
      <c r="C182" s="886"/>
      <c r="D182" s="889"/>
      <c r="E182" s="29"/>
      <c r="F182" s="29" t="s">
        <v>1535</v>
      </c>
      <c r="G182" s="22" t="s">
        <v>338</v>
      </c>
      <c r="H182" s="24" t="s">
        <v>1228</v>
      </c>
      <c r="I182" s="25"/>
      <c r="J182" s="25"/>
      <c r="K182" s="288" t="str" cm="1">
        <f t="array" ref="K182">IF(ISBLANK(J182), IF(ISBLANK(I182), "N/A", _xlfn.IFS(L182="AS", I182+15, L182="NCR", I182+30, L182="submitted", I182+30, TRUE, "N/A")), _xlfn.IFS(L182="AS", J182+15, L182="NCR", J182+30, L182="submitted", J182+30, TRUE, "N/A"))</f>
        <v>N/A</v>
      </c>
      <c r="L182" s="22"/>
      <c r="M182" s="317"/>
      <c r="N182" s="802"/>
      <c r="O182" s="803"/>
      <c r="P182" s="803"/>
      <c r="Q182" s="804"/>
    </row>
    <row r="183" spans="1:17" s="5" customFormat="1" ht="15" customHeight="1">
      <c r="B183" s="4"/>
      <c r="C183" s="825" t="s">
        <v>1815</v>
      </c>
      <c r="D183" s="827" t="s">
        <v>1816</v>
      </c>
      <c r="E183" s="34"/>
      <c r="F183" s="34"/>
      <c r="G183" s="4" t="s">
        <v>229</v>
      </c>
      <c r="H183" s="3" t="s">
        <v>1817</v>
      </c>
      <c r="I183" s="18"/>
      <c r="J183" s="18"/>
      <c r="K183" s="288"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1:17" s="5" customFormat="1" ht="15" customHeight="1">
      <c r="B184" s="4"/>
      <c r="C184" s="829"/>
      <c r="D184" s="830"/>
      <c r="E184" s="35"/>
      <c r="F184" s="35"/>
      <c r="G184" s="4" t="s">
        <v>336</v>
      </c>
      <c r="H184" s="17" t="s">
        <v>1818</v>
      </c>
      <c r="I184" s="18"/>
      <c r="J184" s="18"/>
      <c r="K184" s="288"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1:17" s="5" customFormat="1" ht="15" customHeight="1">
      <c r="B185" s="4"/>
      <c r="C185" s="826"/>
      <c r="D185" s="828"/>
      <c r="E185" s="36"/>
      <c r="F185" s="36"/>
      <c r="G185" s="4" t="s">
        <v>337</v>
      </c>
      <c r="H185" s="17" t="s">
        <v>506</v>
      </c>
      <c r="I185" s="18"/>
      <c r="J185" s="18"/>
      <c r="K185" s="288" t="str" cm="1">
        <f t="array" ref="K185">IF(ISBLANK(J185), IF(ISBLANK(I185), "N/A", _xlfn.IFS(L185="AS", I185+15, L185="NCR", I185+30, L185="submitted", I185+30, TRUE, "N/A")), _xlfn.IFS(L185="AS", J185+15, L185="NCR", J185+30, L185="submitted", J185+30, TRUE, "N/A"))</f>
        <v>N/A</v>
      </c>
      <c r="L185" s="4"/>
      <c r="M185" s="317"/>
      <c r="N185" s="802"/>
      <c r="O185" s="803"/>
      <c r="P185" s="803"/>
      <c r="Q185" s="804"/>
    </row>
    <row r="186" spans="1:17" s="1" customFormat="1" ht="15" customHeight="1">
      <c r="A186" s="1" t="s">
        <v>318</v>
      </c>
      <c r="B186" s="38" t="s">
        <v>1819</v>
      </c>
      <c r="C186" s="47" t="s">
        <v>1820</v>
      </c>
      <c r="D186" s="2" t="s">
        <v>1821</v>
      </c>
      <c r="E186" s="37"/>
      <c r="F186" s="37" t="s">
        <v>764</v>
      </c>
      <c r="G186" s="9" t="s">
        <v>208</v>
      </c>
      <c r="H186" s="13" t="s">
        <v>328</v>
      </c>
      <c r="I186" s="14">
        <v>45930</v>
      </c>
      <c r="J186" s="14"/>
      <c r="K186" s="288" cm="1">
        <f t="array" ref="K186">IF(ISBLANK(J186), IF(ISBLANK(I186), "N/A", _xlfn.IFS(L186="AS", I186+15, L186="NCR", I186+30, L186="submitted", I186+30, TRUE, "N/A")), _xlfn.IFS(L186="AS", J186+15, L186="NCR", J186+30, L186="submitted", J186+30, TRUE, "N/A"))</f>
        <v>45960</v>
      </c>
      <c r="L186" s="9" t="s">
        <v>581</v>
      </c>
      <c r="M186" s="317"/>
      <c r="N186" s="802"/>
      <c r="O186" s="803"/>
      <c r="P186" s="803"/>
      <c r="Q186" s="804"/>
    </row>
    <row r="187" spans="1:17" s="1" customFormat="1" ht="27" customHeight="1">
      <c r="A187" s="1" t="s">
        <v>318</v>
      </c>
      <c r="B187" s="38" t="s">
        <v>1819</v>
      </c>
      <c r="C187" s="47" t="s">
        <v>1820</v>
      </c>
      <c r="D187" s="2" t="s">
        <v>1821</v>
      </c>
      <c r="E187" s="39"/>
      <c r="F187" s="37" t="s">
        <v>764</v>
      </c>
      <c r="G187" s="38" t="s">
        <v>281</v>
      </c>
      <c r="H187" s="40" t="s">
        <v>1822</v>
      </c>
      <c r="I187" s="14">
        <v>45930</v>
      </c>
      <c r="J187" s="41"/>
      <c r="K187" s="288" cm="1">
        <f t="array" ref="K187">IF(ISBLANK(J187), IF(ISBLANK(I187), "N/A", _xlfn.IFS(L187="AS", I187+15, L187="NCR", I187+30, L187="submitted", I187+30, TRUE, "N/A")), _xlfn.IFS(L187="AS", J187+15, L187="NCR", J187+30, L187="submitted", J187+30, TRUE, "N/A"))</f>
        <v>45960</v>
      </c>
      <c r="L187" s="38" t="s">
        <v>581</v>
      </c>
      <c r="M187" s="317"/>
      <c r="N187" s="802"/>
      <c r="O187" s="803"/>
      <c r="P187" s="803"/>
      <c r="Q187" s="804"/>
    </row>
    <row r="188" spans="1:17" s="1" customFormat="1" ht="15" customHeight="1">
      <c r="C188" s="47" t="s">
        <v>1820</v>
      </c>
      <c r="D188" s="2" t="s">
        <v>1821</v>
      </c>
      <c r="E188" s="39"/>
      <c r="F188" s="39"/>
      <c r="G188" s="38" t="s">
        <v>269</v>
      </c>
      <c r="H188" s="37" t="s">
        <v>1823</v>
      </c>
      <c r="I188" s="41"/>
      <c r="J188" s="41"/>
      <c r="K188" s="288" t="str" cm="1">
        <f t="array" ref="K188">IF(ISBLANK(J188), IF(ISBLANK(I188), "N/A", _xlfn.IFS(L188="AS", I188+15, L188="NCR", I188+30, L188="submitted", I188+30, TRUE, "N/A")), _xlfn.IFS(L188="AS", J188+15, L188="NCR", J188+30, L188="submitted", J188+30, TRUE, "N/A"))</f>
        <v>N/A</v>
      </c>
      <c r="L188" s="38"/>
      <c r="M188" s="317"/>
      <c r="N188" s="802"/>
      <c r="O188" s="803"/>
      <c r="P188" s="803"/>
      <c r="Q188" s="804"/>
    </row>
    <row r="189" spans="1:17" s="1" customFormat="1" ht="15" customHeight="1">
      <c r="B189" s="38"/>
      <c r="C189" s="47" t="s">
        <v>1820</v>
      </c>
      <c r="D189" s="2" t="s">
        <v>1821</v>
      </c>
      <c r="E189" s="39"/>
      <c r="F189" s="39"/>
      <c r="G189" s="38" t="s">
        <v>259</v>
      </c>
      <c r="H189" s="37" t="s">
        <v>444</v>
      </c>
      <c r="I189" s="41"/>
      <c r="J189" s="41"/>
      <c r="K189" s="288" t="str" cm="1">
        <f t="array" ref="K189">IF(ISBLANK(J189), IF(ISBLANK(I189), "N/A", _xlfn.IFS(L189="AS", I189+15, L189="NCR", I189+30, L189="submitted", I189+30, TRUE, "N/A")), _xlfn.IFS(L189="AS", J189+15, L189="NCR", J189+30, L189="submitted", J189+30, TRUE, "N/A"))</f>
        <v>N/A</v>
      </c>
      <c r="L189" s="38"/>
      <c r="M189" s="317"/>
      <c r="N189" s="802"/>
      <c r="O189" s="803"/>
      <c r="P189" s="803"/>
      <c r="Q189" s="804"/>
    </row>
    <row r="190" spans="1:17" s="1" customFormat="1" ht="27" customHeight="1">
      <c r="B190" s="38"/>
      <c r="C190" s="47" t="s">
        <v>1820</v>
      </c>
      <c r="D190" s="2" t="s">
        <v>1821</v>
      </c>
      <c r="E190" s="39"/>
      <c r="F190" s="39"/>
      <c r="G190" s="38" t="s">
        <v>503</v>
      </c>
      <c r="H190" s="40" t="s">
        <v>1824</v>
      </c>
      <c r="I190" s="41"/>
      <c r="J190" s="41"/>
      <c r="K190" s="288" t="str" cm="1">
        <f t="array" ref="K190">IF(ISBLANK(J190), IF(ISBLANK(I190), "N/A", _xlfn.IFS(L190="AS", I190+15, L190="NCR", I190+30, L190="submitted", I190+30, TRUE, "N/A")), _xlfn.IFS(L190="AS", J190+15, L190="NCR", J190+30, L190="submitted", J190+30, TRUE, "N/A"))</f>
        <v>N/A</v>
      </c>
      <c r="L190" s="38"/>
      <c r="M190" s="317"/>
      <c r="N190" s="802"/>
      <c r="O190" s="803"/>
      <c r="P190" s="803"/>
      <c r="Q190" s="804"/>
    </row>
    <row r="191" spans="1:17" s="5" customFormat="1" ht="15" customHeight="1">
      <c r="B191" s="19"/>
      <c r="C191" s="825" t="s">
        <v>1825</v>
      </c>
      <c r="D191" s="827" t="s">
        <v>1826</v>
      </c>
      <c r="E191" s="34"/>
      <c r="F191" s="34"/>
      <c r="G191" s="19" t="s">
        <v>208</v>
      </c>
      <c r="H191" s="53" t="s">
        <v>1827</v>
      </c>
      <c r="I191" s="30"/>
      <c r="J191" s="30"/>
      <c r="K191" s="288" t="str" cm="1">
        <f t="array" ref="K191">IF(ISBLANK(J191), IF(ISBLANK(I191), "N/A", _xlfn.IFS(L191="AS", I191+15, L191="NCR", I191+30, L191="submitted", I191+30, TRUE, "N/A")), _xlfn.IFS(L191="AS", J191+15, L191="NCR", J191+30, L191="submitted", J191+30, TRUE, "N/A"))</f>
        <v>N/A</v>
      </c>
      <c r="L191" s="19"/>
      <c r="M191" s="317"/>
      <c r="N191" s="802"/>
      <c r="O191" s="803"/>
      <c r="P191" s="803"/>
      <c r="Q191" s="804"/>
    </row>
    <row r="192" spans="1:17" s="77" customFormat="1" ht="40.5" customHeight="1">
      <c r="B192" s="4"/>
      <c r="C192" s="826"/>
      <c r="D192" s="828"/>
      <c r="E192" s="36"/>
      <c r="F192" s="36"/>
      <c r="G192" s="4" t="s">
        <v>281</v>
      </c>
      <c r="H192" s="3" t="s">
        <v>1828</v>
      </c>
      <c r="I192" s="18"/>
      <c r="J192" s="18"/>
      <c r="K192" s="288" t="str" cm="1">
        <f t="array" ref="K192">IF(ISBLANK(J192), IF(ISBLANK(I192), "N/A", _xlfn.IFS(L192="AS", I192+15, L192="NCR", I192+30, L192="submitted", I192+30, TRUE, "N/A")), _xlfn.IFS(L192="AS", J192+15, L192="NCR", J192+30, L192="submitted", J192+30, TRUE, "N/A"))</f>
        <v>N/A</v>
      </c>
      <c r="L192" s="4"/>
      <c r="M192" s="317"/>
      <c r="N192" s="802"/>
      <c r="O192" s="803"/>
      <c r="P192" s="803"/>
      <c r="Q192" s="804"/>
    </row>
    <row r="193" spans="2:17" s="26" customFormat="1" ht="15" customHeight="1">
      <c r="B193" s="78"/>
      <c r="C193" s="885" t="s">
        <v>1829</v>
      </c>
      <c r="D193" s="903" t="s">
        <v>1830</v>
      </c>
      <c r="E193" s="78"/>
      <c r="F193" s="78"/>
      <c r="G193" s="78" t="s">
        <v>212</v>
      </c>
      <c r="H193" s="79" t="s">
        <v>328</v>
      </c>
      <c r="I193" s="80"/>
      <c r="J193" s="80"/>
      <c r="K193" s="288" t="str" cm="1">
        <f t="array" ref="K193">IF(ISBLANK(J193), IF(ISBLANK(I193), "N/A", _xlfn.IFS(L193="AS", I193+15, L193="NCR", I193+30, L193="submitted", I193+30, TRUE, "N/A")), _xlfn.IFS(L193="AS", J193+15, L193="NCR", J193+30, L193="submitted", J193+30, TRUE, "N/A"))</f>
        <v>N/A</v>
      </c>
      <c r="L193" s="78"/>
      <c r="M193" s="317"/>
      <c r="N193" s="802"/>
      <c r="O193" s="803"/>
      <c r="P193" s="803"/>
      <c r="Q193" s="804"/>
    </row>
    <row r="194" spans="2:17" s="26" customFormat="1" ht="27" customHeight="1">
      <c r="B194" s="78"/>
      <c r="C194" s="885"/>
      <c r="D194" s="903"/>
      <c r="E194" s="78"/>
      <c r="F194" s="78"/>
      <c r="G194" s="22" t="s">
        <v>336</v>
      </c>
      <c r="H194" s="28" t="s">
        <v>1831</v>
      </c>
      <c r="I194" s="80"/>
      <c r="J194" s="80"/>
      <c r="K194" s="288" t="str" cm="1">
        <f t="array" ref="K194">IF(ISBLANK(J194), IF(ISBLANK(I194), "N/A", _xlfn.IFS(L194="AS", I194+15, L194="NCR", I194+30, L194="submitted", I194+30, TRUE, "N/A")), _xlfn.IFS(L194="AS", J194+15, L194="NCR", J194+30, L194="submitted", J194+30, TRUE, "N/A"))</f>
        <v>N/A</v>
      </c>
      <c r="L194" s="78"/>
      <c r="M194" s="317"/>
      <c r="N194" s="802"/>
      <c r="O194" s="803"/>
      <c r="P194" s="803"/>
      <c r="Q194" s="804"/>
    </row>
    <row r="195" spans="2:17" s="85" customFormat="1" ht="31.5" customHeight="1">
      <c r="B195" s="81"/>
      <c r="C195" s="902"/>
      <c r="D195" s="904"/>
      <c r="E195" s="81"/>
      <c r="F195" s="81"/>
      <c r="G195" s="82" t="s">
        <v>337</v>
      </c>
      <c r="H195" s="83" t="s">
        <v>1832</v>
      </c>
      <c r="I195" s="84"/>
      <c r="J195" s="84"/>
      <c r="K195" s="288" t="str" cm="1">
        <f t="array" ref="K195">IF(ISBLANK(J195), IF(ISBLANK(I195), "N/A", _xlfn.IFS(L195="AS", I195+15, L195="NCR", I195+30, L195="submitted", I195+30, TRUE, "N/A")), _xlfn.IFS(L195="AS", J195+15, L195="NCR", J195+30, L195="submitted", J195+30, TRUE, "N/A"))</f>
        <v>N/A</v>
      </c>
      <c r="L195" s="81"/>
      <c r="M195" s="317"/>
      <c r="N195" s="802"/>
      <c r="O195" s="803"/>
      <c r="P195" s="803"/>
      <c r="Q195" s="804"/>
    </row>
    <row r="196" spans="2:17" s="21" customFormat="1" ht="15" customHeight="1">
      <c r="C196" s="808" t="s">
        <v>1833</v>
      </c>
      <c r="D196" s="810" t="s">
        <v>1834</v>
      </c>
      <c r="E196" s="46"/>
      <c r="F196" s="46"/>
      <c r="G196" s="21" t="s">
        <v>208</v>
      </c>
      <c r="H196" s="46" t="s">
        <v>235</v>
      </c>
      <c r="I196" s="51"/>
      <c r="J196" s="51"/>
      <c r="K196" s="288" t="str" cm="1">
        <f t="array" ref="K196">IF(ISBLANK(J196), IF(ISBLANK(I196), "N/A", _xlfn.IFS(L196="AS", I196+15, L196="NCR", I196+30, L196="submitted", I196+30, TRUE, "N/A")), _xlfn.IFS(L196="AS", J196+15, L196="NCR", J196+30, L196="submitted", J196+30, TRUE, "N/A"))</f>
        <v>N/A</v>
      </c>
      <c r="M196" s="317"/>
      <c r="N196" s="802"/>
      <c r="O196" s="803"/>
      <c r="P196" s="803"/>
      <c r="Q196" s="804"/>
    </row>
    <row r="197" spans="2:17" s="1" customFormat="1" ht="15" customHeight="1">
      <c r="B197" s="21"/>
      <c r="C197" s="808"/>
      <c r="D197" s="810"/>
      <c r="E197" s="46"/>
      <c r="F197" s="46"/>
      <c r="G197" s="21" t="s">
        <v>281</v>
      </c>
      <c r="H197" s="46" t="s">
        <v>274</v>
      </c>
      <c r="I197" s="51"/>
      <c r="J197" s="51"/>
      <c r="K197" s="288" t="str" cm="1">
        <f t="array" ref="K197">IF(ISBLANK(J197), IF(ISBLANK(I197), "N/A", _xlfn.IFS(L197="AS", I197+15, L197="NCR", I197+30, L197="submitted", I197+30, TRUE, "N/A")), _xlfn.IFS(L197="AS", J197+15, L197="NCR", J197+30, L197="submitted", J197+30, TRUE, "N/A"))</f>
        <v>N/A</v>
      </c>
      <c r="L197" s="21"/>
      <c r="M197" s="317"/>
      <c r="N197" s="802"/>
      <c r="O197" s="803"/>
      <c r="P197" s="803"/>
      <c r="Q197" s="804"/>
    </row>
    <row r="198" spans="2:17" s="1" customFormat="1" ht="15" customHeight="1">
      <c r="B198" s="21"/>
      <c r="C198" s="808"/>
      <c r="D198" s="810"/>
      <c r="E198" s="46"/>
      <c r="F198" s="46"/>
      <c r="G198" s="21" t="s">
        <v>269</v>
      </c>
      <c r="H198" s="46" t="s">
        <v>444</v>
      </c>
      <c r="I198" s="51"/>
      <c r="J198" s="51"/>
      <c r="K198" s="288" t="str" cm="1">
        <f t="array" ref="K198">IF(ISBLANK(J198), IF(ISBLANK(I198), "N/A", _xlfn.IFS(L198="AS", I198+15, L198="NCR", I198+30, L198="submitted", I198+30, TRUE, "N/A")), _xlfn.IFS(L198="AS", J198+15, L198="NCR", J198+30, L198="submitted", J198+30, TRUE, "N/A"))</f>
        <v>N/A</v>
      </c>
      <c r="L198" s="21"/>
      <c r="M198" s="317"/>
      <c r="N198" s="802"/>
      <c r="O198" s="803"/>
      <c r="P198" s="803"/>
      <c r="Q198" s="804"/>
    </row>
    <row r="199" spans="2:17" s="1" customFormat="1" ht="15" customHeight="1">
      <c r="B199" s="21"/>
      <c r="C199" s="808"/>
      <c r="D199" s="810"/>
      <c r="E199" s="46"/>
      <c r="F199" s="46"/>
      <c r="G199" s="21" t="s">
        <v>259</v>
      </c>
      <c r="H199" s="46" t="s">
        <v>506</v>
      </c>
      <c r="I199" s="51"/>
      <c r="J199" s="51"/>
      <c r="K199" s="288" t="str" cm="1">
        <f t="array" ref="K199">IF(ISBLANK(J199), IF(ISBLANK(I199), "N/A", _xlfn.IFS(L199="AS", I199+15, L199="NCR", I199+30, L199="submitted", I199+30, TRUE, "N/A")), _xlfn.IFS(L199="AS", J199+15, L199="NCR", J199+30, L199="submitted", J199+30, TRUE, "N/A"))</f>
        <v>N/A</v>
      </c>
      <c r="L199" s="21"/>
      <c r="M199" s="317"/>
      <c r="N199" s="802"/>
      <c r="O199" s="803"/>
      <c r="P199" s="803"/>
      <c r="Q199" s="804"/>
    </row>
    <row r="200" spans="2:17" s="5" customFormat="1" ht="15" customHeight="1">
      <c r="B200" s="4"/>
      <c r="C200" s="825" t="s">
        <v>1835</v>
      </c>
      <c r="D200" s="827" t="s">
        <v>1836</v>
      </c>
      <c r="E200" s="34"/>
      <c r="F200" s="34"/>
      <c r="G200" s="4" t="s">
        <v>208</v>
      </c>
      <c r="H200" s="17" t="s">
        <v>1837</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27" customHeight="1">
      <c r="B201" s="4"/>
      <c r="C201" s="829"/>
      <c r="D201" s="830"/>
      <c r="E201" s="35"/>
      <c r="F201" s="35"/>
      <c r="G201" s="4" t="s">
        <v>222</v>
      </c>
      <c r="H201" s="3" t="s">
        <v>1838</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40.5" customHeight="1">
      <c r="B202" s="4"/>
      <c r="C202" s="829"/>
      <c r="D202" s="830"/>
      <c r="E202" s="35"/>
      <c r="F202" s="35"/>
      <c r="G202" s="4" t="s">
        <v>543</v>
      </c>
      <c r="H202" s="3" t="s">
        <v>1839</v>
      </c>
      <c r="I202" s="18"/>
      <c r="J202" s="18"/>
      <c r="K202" s="288"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826"/>
      <c r="D203" s="828"/>
      <c r="E203" s="36"/>
      <c r="F203" s="36" t="s">
        <v>1541</v>
      </c>
      <c r="G203" s="4" t="s">
        <v>269</v>
      </c>
      <c r="H203" s="17" t="s">
        <v>1840</v>
      </c>
      <c r="I203" s="18"/>
      <c r="J203" s="18"/>
      <c r="K203" s="288"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1" customFormat="1" ht="15" customHeight="1">
      <c r="B204" s="9"/>
      <c r="C204" s="821" t="s">
        <v>1841</v>
      </c>
      <c r="D204" s="823" t="s">
        <v>1842</v>
      </c>
      <c r="E204" s="37"/>
      <c r="F204" s="37"/>
      <c r="G204" s="9" t="s">
        <v>212</v>
      </c>
      <c r="H204" s="13" t="s">
        <v>437</v>
      </c>
      <c r="I204" s="14"/>
      <c r="J204" s="14"/>
      <c r="K204" s="288" t="str" cm="1">
        <f t="array" ref="K204">IF(ISBLANK(J204), IF(ISBLANK(I204), "N/A", _xlfn.IFS(L204="AS", I204+15, L204="NCR", I204+30, L204="submitted", I204+30, TRUE, "N/A")), _xlfn.IFS(L204="AS", J204+15, L204="NCR", J204+30, L204="submitted", J204+30, TRUE, "N/A"))</f>
        <v>N/A</v>
      </c>
      <c r="L204" s="9"/>
      <c r="M204" s="317"/>
      <c r="N204" s="802"/>
      <c r="O204" s="803"/>
      <c r="P204" s="803"/>
      <c r="Q204" s="804"/>
    </row>
    <row r="205" spans="2:17" s="1" customFormat="1" ht="27" customHeight="1">
      <c r="B205" s="9"/>
      <c r="C205" s="822"/>
      <c r="D205" s="824"/>
      <c r="E205" s="39"/>
      <c r="F205" s="39"/>
      <c r="G205" s="9" t="s">
        <v>336</v>
      </c>
      <c r="H205" s="7" t="s">
        <v>1843</v>
      </c>
      <c r="I205" s="14"/>
      <c r="J205" s="14"/>
      <c r="K205" s="288" t="str" cm="1">
        <f t="array" ref="K205">IF(ISBLANK(J205), IF(ISBLANK(I205), "N/A", _xlfn.IFS(L205="AS", I205+15, L205="NCR", I205+30, L205="submitted", I205+30, TRUE, "N/A")), _xlfn.IFS(L205="AS", J205+15, L205="NCR", J205+30, L205="submitted", J205+30, TRUE, "N/A"))</f>
        <v>N/A</v>
      </c>
      <c r="L205" s="9"/>
      <c r="M205" s="317"/>
      <c r="N205" s="802"/>
      <c r="O205" s="803"/>
      <c r="P205" s="803"/>
      <c r="Q205" s="804"/>
    </row>
    <row r="206" spans="2:17" s="1" customFormat="1" ht="15" customHeight="1">
      <c r="B206" s="9"/>
      <c r="C206" s="807"/>
      <c r="D206" s="809"/>
      <c r="E206" s="46"/>
      <c r="F206" s="46"/>
      <c r="G206" s="9" t="s">
        <v>337</v>
      </c>
      <c r="H206" s="13" t="s">
        <v>1844</v>
      </c>
      <c r="I206" s="14"/>
      <c r="J206" s="14"/>
      <c r="K206" s="288" t="str" cm="1">
        <f t="array" ref="K206">IF(ISBLANK(J206), IF(ISBLANK(I206), "N/A", _xlfn.IFS(L206="AS", I206+15, L206="NCR", I206+30, L206="submitted", I206+30, TRUE, "N/A")), _xlfn.IFS(L206="AS", J206+15, L206="NCR", J206+30, L206="submitted", J206+30, TRUE, "N/A"))</f>
        <v>N/A</v>
      </c>
      <c r="L206" s="9"/>
      <c r="M206" s="317"/>
      <c r="N206" s="802"/>
      <c r="O206" s="803"/>
      <c r="P206" s="803"/>
      <c r="Q206" s="804"/>
    </row>
    <row r="207" spans="2:17" s="138" customFormat="1" ht="40.5" customHeight="1">
      <c r="B207" s="151" t="s">
        <v>36</v>
      </c>
      <c r="C207" s="898" t="s">
        <v>1845</v>
      </c>
      <c r="D207" s="899" t="s">
        <v>1846</v>
      </c>
      <c r="E207" s="589" t="s">
        <v>37</v>
      </c>
      <c r="F207" s="589" t="s">
        <v>1541</v>
      </c>
      <c r="G207" s="151" t="s">
        <v>281</v>
      </c>
      <c r="H207" s="153" t="s">
        <v>1847</v>
      </c>
      <c r="I207" s="261">
        <v>45869</v>
      </c>
      <c r="J207" s="261">
        <v>45905</v>
      </c>
      <c r="K207" s="288" t="str" cm="1">
        <f t="array" ref="K207">IF(ISBLANK(J207), IF(ISBLANK(I207), "N/A", _xlfn.IFS(L207="AS", I207+15, L207="NCR", I207+30, L207="submitted", I207+30, TRUE, "N/A")), _xlfn.IFS(L207="AS", J207+15, L207="NCR", J207+30, L207="submitted", J207+30, TRUE, "N/A"))</f>
        <v>N/A</v>
      </c>
      <c r="L207" s="151" t="s">
        <v>151</v>
      </c>
      <c r="M207" s="317"/>
      <c r="N207" s="796" t="s">
        <v>133</v>
      </c>
      <c r="O207" s="797"/>
      <c r="P207" s="797"/>
      <c r="Q207" s="798"/>
    </row>
    <row r="208" spans="2:17" s="26" customFormat="1" ht="15" customHeight="1">
      <c r="B208" s="22"/>
      <c r="C208" s="886"/>
      <c r="D208" s="889"/>
      <c r="E208" s="29"/>
      <c r="F208" s="29"/>
      <c r="G208" s="22" t="s">
        <v>269</v>
      </c>
      <c r="H208" s="24" t="s">
        <v>1848</v>
      </c>
      <c r="I208" s="25"/>
      <c r="J208" s="25"/>
      <c r="K208" s="288" t="str" cm="1">
        <f t="array" ref="K208">IF(ISBLANK(J208), IF(ISBLANK(I208), "N/A", _xlfn.IFS(L208="AS", I208+15, L208="NCR", I208+30, L208="submitted", I208+30, TRUE, "N/A")), _xlfn.IFS(L208="AS", J208+15, L208="NCR", J208+30, L208="submitted", J208+30, TRUE, "N/A"))</f>
        <v>N/A</v>
      </c>
      <c r="L208" s="22"/>
      <c r="M208" s="317"/>
      <c r="N208" s="799"/>
      <c r="O208" s="800"/>
      <c r="P208" s="800"/>
      <c r="Q208" s="801"/>
    </row>
    <row r="209" spans="2:17" s="26" customFormat="1" ht="15" customHeight="1">
      <c r="B209" s="22"/>
      <c r="C209" s="898" t="s">
        <v>1849</v>
      </c>
      <c r="D209" s="899" t="s">
        <v>1850</v>
      </c>
      <c r="E209" s="76"/>
      <c r="F209" s="76"/>
      <c r="G209" s="22" t="s">
        <v>208</v>
      </c>
      <c r="H209" s="24" t="s">
        <v>484</v>
      </c>
      <c r="I209" s="25"/>
      <c r="J209" s="25"/>
      <c r="K209" s="288" t="str" cm="1">
        <f t="array" ref="K209">IF(ISBLANK(J209), IF(ISBLANK(I209), "N/A", _xlfn.IFS(L209="AS", I209+15, L209="NCR", I209+30, L209="submitted", I209+30, TRUE, "N/A")), _xlfn.IFS(L209="AS", J209+15, L209="NCR", J209+30, L209="submitted", J209+30, TRUE, "N/A"))</f>
        <v>N/A</v>
      </c>
      <c r="L209" s="22"/>
      <c r="M209" s="317"/>
      <c r="N209" s="799"/>
      <c r="O209" s="800"/>
      <c r="P209" s="800"/>
      <c r="Q209" s="801"/>
    </row>
    <row r="210" spans="2:17" s="26" customFormat="1" ht="15" customHeight="1">
      <c r="B210" s="22"/>
      <c r="C210" s="886"/>
      <c r="D210" s="889"/>
      <c r="E210" s="29"/>
      <c r="F210" s="29"/>
      <c r="G210" s="22" t="s">
        <v>281</v>
      </c>
      <c r="H210" s="24" t="s">
        <v>341</v>
      </c>
      <c r="I210" s="25"/>
      <c r="J210" s="25"/>
      <c r="K210" s="288" t="str" cm="1">
        <f t="array" ref="K210">IF(ISBLANK(J210), IF(ISBLANK(I210), "N/A", _xlfn.IFS(L210="AS", I210+15, L210="NCR", I210+30, L210="submitted", I210+30, TRUE, "N/A")), _xlfn.IFS(L210="AS", J210+15, L210="NCR", J210+30, L210="submitted", J210+30, TRUE, "N/A"))</f>
        <v>N/A</v>
      </c>
      <c r="L210" s="22"/>
      <c r="M210" s="317"/>
      <c r="N210" s="799"/>
      <c r="O210" s="800"/>
      <c r="P210" s="800"/>
      <c r="Q210" s="801"/>
    </row>
    <row r="211" spans="2:17" s="5" customFormat="1" ht="15" customHeight="1">
      <c r="B211" s="4"/>
      <c r="C211" s="825" t="s">
        <v>1851</v>
      </c>
      <c r="D211" s="827" t="s">
        <v>1852</v>
      </c>
      <c r="E211" s="34"/>
      <c r="F211" s="34"/>
      <c r="G211" s="4" t="s">
        <v>208</v>
      </c>
      <c r="H211" s="17" t="s">
        <v>484</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27" customHeight="1">
      <c r="B212" s="4"/>
      <c r="C212" s="829"/>
      <c r="D212" s="830"/>
      <c r="E212" s="35"/>
      <c r="F212" s="35"/>
      <c r="G212" s="4" t="s">
        <v>281</v>
      </c>
      <c r="H212" s="3" t="s">
        <v>1853</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15" customHeight="1">
      <c r="B213" s="4"/>
      <c r="C213" s="829"/>
      <c r="D213" s="830"/>
      <c r="E213" s="35"/>
      <c r="F213" s="35"/>
      <c r="G213" s="4" t="s">
        <v>269</v>
      </c>
      <c r="H213" s="17" t="s">
        <v>1854</v>
      </c>
      <c r="I213" s="18"/>
      <c r="J213" s="18"/>
      <c r="K213" s="288" t="str" cm="1">
        <f t="array" ref="K213">IF(ISBLANK(J213), IF(ISBLANK(I213), "N/A", _xlfn.IFS(L213="AS", I213+15, L213="NCR", I213+30, L213="submitted", I213+30, TRUE, "N/A")), _xlfn.IFS(L213="AS", J213+15, L213="NCR", J213+30, L213="submitted", J213+30, TRUE, "N/A"))</f>
        <v>N/A</v>
      </c>
      <c r="L213" s="4"/>
      <c r="M213" s="317"/>
      <c r="N213" s="799"/>
      <c r="O213" s="800"/>
      <c r="P213" s="800"/>
      <c r="Q213" s="801"/>
    </row>
    <row r="214" spans="2:17" s="5" customFormat="1" ht="15" customHeight="1">
      <c r="B214" s="4"/>
      <c r="C214" s="829"/>
      <c r="D214" s="830"/>
      <c r="E214" s="35"/>
      <c r="F214" s="35"/>
      <c r="G214" s="4" t="s">
        <v>259</v>
      </c>
      <c r="H214" s="17" t="s">
        <v>444</v>
      </c>
      <c r="I214" s="18"/>
      <c r="J214" s="18"/>
      <c r="K214" s="288" t="str" cm="1">
        <f t="array" ref="K214">IF(ISBLANK(J214), IF(ISBLANK(I214), "N/A", _xlfn.IFS(L214="AS", I214+15, L214="NCR", I214+30, L214="submitted", I214+30, TRUE, "N/A")), _xlfn.IFS(L214="AS", J214+15, L214="NCR", J214+30, L214="submitted", J214+30, TRUE, "N/A"))</f>
        <v>N/A</v>
      </c>
      <c r="L214" s="4"/>
      <c r="M214" s="317"/>
      <c r="N214" s="799"/>
      <c r="O214" s="800"/>
      <c r="P214" s="800"/>
      <c r="Q214" s="801"/>
    </row>
    <row r="215" spans="2:17" s="5" customFormat="1" ht="15" customHeight="1">
      <c r="B215" s="4"/>
      <c r="C215" s="829"/>
      <c r="D215" s="830"/>
      <c r="E215" s="35"/>
      <c r="F215" s="35"/>
      <c r="G215" s="4" t="s">
        <v>503</v>
      </c>
      <c r="H215" s="17" t="s">
        <v>1855</v>
      </c>
      <c r="I215" s="18"/>
      <c r="J215" s="18"/>
      <c r="K215" s="288" t="str" cm="1">
        <f t="array" ref="K215">IF(ISBLANK(J215), IF(ISBLANK(I215), "N/A", _xlfn.IFS(L215="AS", I215+15, L215="NCR", I215+30, L215="submitted", I215+30, TRUE, "N/A")), _xlfn.IFS(L215="AS", J215+15, L215="NCR", J215+30, L215="submitted", J215+30, TRUE, "N/A"))</f>
        <v>N/A</v>
      </c>
      <c r="L215" s="4"/>
      <c r="M215" s="317"/>
      <c r="N215" s="747" t="s">
        <v>148</v>
      </c>
      <c r="O215" s="748"/>
      <c r="P215" s="748"/>
      <c r="Q215" s="749"/>
    </row>
    <row r="216" spans="2:17" s="5" customFormat="1" ht="27" customHeight="1">
      <c r="B216" s="4"/>
      <c r="C216" s="829"/>
      <c r="D216" s="830"/>
      <c r="E216" s="35"/>
      <c r="F216" s="35"/>
      <c r="G216" s="4" t="s">
        <v>1120</v>
      </c>
      <c r="H216" s="3" t="s">
        <v>1856</v>
      </c>
      <c r="I216" s="18"/>
      <c r="J216" s="18"/>
      <c r="K216" s="288" t="str" cm="1">
        <f t="array" ref="K216">IF(ISBLANK(J216), IF(ISBLANK(I216), "N/A", _xlfn.IFS(L216="AS", I216+15, L216="NCR", I216+30, L216="submitted", I216+30, TRUE, "N/A")), _xlfn.IFS(L216="AS", J216+15, L216="NCR", J216+30, L216="submitted", J216+30, TRUE, "N/A"))</f>
        <v>N/A</v>
      </c>
      <c r="L216" s="4"/>
      <c r="M216" s="317"/>
      <c r="N216" s="747"/>
      <c r="O216" s="748"/>
      <c r="P216" s="748"/>
      <c r="Q216" s="749"/>
    </row>
    <row r="217" spans="2:17" s="5" customFormat="1" ht="15" customHeight="1">
      <c r="B217" s="4"/>
      <c r="C217" s="829"/>
      <c r="D217" s="830"/>
      <c r="E217" s="35"/>
      <c r="F217" s="35"/>
      <c r="G217" s="4" t="s">
        <v>354</v>
      </c>
      <c r="H217" s="17" t="s">
        <v>1857</v>
      </c>
      <c r="I217" s="18"/>
      <c r="J217" s="18"/>
      <c r="K217" s="288" t="str" cm="1">
        <f t="array" ref="K217">IF(ISBLANK(J217), IF(ISBLANK(I217), "N/A", _xlfn.IFS(L217="AS", I217+15, L217="NCR", I217+30, L217="submitted", I217+30, TRUE, "N/A")), _xlfn.IFS(L217="AS", J217+15, L217="NCR", J217+30, L217="submitted", J217+30, TRUE, "N/A"))</f>
        <v>N/A</v>
      </c>
      <c r="L217" s="4"/>
      <c r="M217" s="317"/>
      <c r="N217" s="747"/>
      <c r="O217" s="748"/>
      <c r="P217" s="748"/>
      <c r="Q217" s="749"/>
    </row>
    <row r="218" spans="2:17" s="5" customFormat="1" ht="15" customHeight="1">
      <c r="B218" s="4"/>
      <c r="C218" s="826"/>
      <c r="D218" s="828"/>
      <c r="E218" s="36"/>
      <c r="F218" s="36"/>
      <c r="G218" s="4" t="s">
        <v>356</v>
      </c>
      <c r="H218" s="17" t="s">
        <v>365</v>
      </c>
      <c r="I218" s="18"/>
      <c r="J218" s="18"/>
      <c r="K218" s="288" t="str" cm="1">
        <f t="array" ref="K218">IF(ISBLANK(J218), IF(ISBLANK(I218), "N/A", _xlfn.IFS(L218="AS", I218+15, L218="NCR", I218+30, L218="submitted", I218+30, TRUE, "N/A")), _xlfn.IFS(L218="AS", J218+15, L218="NCR", J218+30, L218="submitted", J218+30, TRUE, "N/A"))</f>
        <v>N/A</v>
      </c>
      <c r="L218" s="4"/>
      <c r="M218" s="317"/>
      <c r="N218" s="747"/>
      <c r="O218" s="748"/>
      <c r="P218" s="748"/>
      <c r="Q218" s="749"/>
    </row>
    <row r="219" spans="2:17" s="483" customFormat="1" ht="53.25">
      <c r="B219" s="348" t="s">
        <v>40</v>
      </c>
      <c r="C219" s="552" t="s">
        <v>1858</v>
      </c>
      <c r="D219" s="351" t="s">
        <v>1859</v>
      </c>
      <c r="E219" s="544" t="s">
        <v>1860</v>
      </c>
      <c r="F219" s="544" t="s">
        <v>1541</v>
      </c>
      <c r="G219" s="348" t="s">
        <v>281</v>
      </c>
      <c r="H219" s="481" t="s">
        <v>1861</v>
      </c>
      <c r="I219" s="482">
        <v>45869</v>
      </c>
      <c r="J219" s="482">
        <v>45903</v>
      </c>
      <c r="K219" s="288" t="str" cm="1">
        <f t="array" ref="K219">IF(ISBLANK(J219), IF(ISBLANK(I219), "N/A", _xlfn.IFS(L219="AS", I219+15, L219="NCR", I219+30, L219="submitted", I219+30, TRUE, "N/A")), _xlfn.IFS(L219="AS", J219+15, L219="NCR", J219+30, L219="submitted", J219+30, TRUE, "N/A"))</f>
        <v>N/A</v>
      </c>
      <c r="L219" s="348" t="s">
        <v>638</v>
      </c>
      <c r="M219" s="317"/>
      <c r="N219" s="747"/>
      <c r="O219" s="748"/>
      <c r="P219" s="748"/>
      <c r="Q219" s="749"/>
    </row>
    <row r="220" spans="2:17" s="26" customFormat="1" ht="15" customHeight="1">
      <c r="B220" s="22"/>
      <c r="C220" s="128" t="s">
        <v>1858</v>
      </c>
      <c r="D220" s="129" t="s">
        <v>1859</v>
      </c>
      <c r="E220" s="27"/>
      <c r="F220" s="27"/>
      <c r="G220" s="22" t="s">
        <v>269</v>
      </c>
      <c r="H220" s="24" t="s">
        <v>328</v>
      </c>
      <c r="I220" s="25"/>
      <c r="J220" s="25"/>
      <c r="K220" s="288" t="str" cm="1">
        <f t="array" ref="K220">IF(ISBLANK(J220), IF(ISBLANK(I220), "N/A", _xlfn.IFS(L220="AS", I220+15, L220="NCR", I220+30, L220="submitted", I220+30, TRUE, "N/A")), _xlfn.IFS(L220="AS", J220+15, L220="NCR", J220+30, L220="submitted", J220+30, TRUE, "N/A"))</f>
        <v>N/A</v>
      </c>
      <c r="L220" s="22"/>
      <c r="M220" s="318"/>
      <c r="N220" s="747"/>
      <c r="O220" s="748"/>
      <c r="P220" s="748"/>
      <c r="Q220" s="749"/>
    </row>
    <row r="221" spans="2:17" s="26" customFormat="1" ht="15" customHeight="1">
      <c r="B221" s="22"/>
      <c r="C221" s="128" t="s">
        <v>1858</v>
      </c>
      <c r="D221" s="129" t="s">
        <v>1859</v>
      </c>
      <c r="E221" s="27"/>
      <c r="F221" s="27"/>
      <c r="G221" s="22" t="s">
        <v>259</v>
      </c>
      <c r="H221" s="24" t="s">
        <v>1862</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26" customFormat="1" ht="36.75" customHeight="1">
      <c r="B222" s="22"/>
      <c r="C222" s="128" t="s">
        <v>1858</v>
      </c>
      <c r="D222" s="129" t="s">
        <v>1859</v>
      </c>
      <c r="E222" s="27"/>
      <c r="F222" s="27" t="s">
        <v>1541</v>
      </c>
      <c r="G222" s="22" t="s">
        <v>352</v>
      </c>
      <c r="H222" s="28" t="s">
        <v>1863</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26" customFormat="1" ht="42" customHeight="1">
      <c r="B223" s="22"/>
      <c r="C223" s="128" t="s">
        <v>1858</v>
      </c>
      <c r="D223" s="129" t="s">
        <v>1859</v>
      </c>
      <c r="E223" s="27"/>
      <c r="F223" s="27"/>
      <c r="G223" s="22" t="s">
        <v>354</v>
      </c>
      <c r="H223" s="28" t="s">
        <v>1864</v>
      </c>
      <c r="I223" s="25"/>
      <c r="J223" s="25"/>
      <c r="K223" s="288" t="str" cm="1">
        <f t="array" ref="K223">IF(ISBLANK(J223), IF(ISBLANK(I223), "N/A", _xlfn.IFS(L223="AS", I223+15, L223="NCR", I223+30, L223="submitted", I223+30, TRUE, "N/A")), _xlfn.IFS(L223="AS", J223+15, L223="NCR", J223+30, L223="submitted", J223+30, TRUE, "N/A"))</f>
        <v>N/A</v>
      </c>
      <c r="L223" s="22"/>
      <c r="M223" s="317"/>
      <c r="N223" s="747"/>
      <c r="O223" s="748"/>
      <c r="P223" s="748"/>
      <c r="Q223" s="749"/>
    </row>
    <row r="224" spans="2:17" s="26" customFormat="1" ht="15" customHeight="1">
      <c r="B224" s="22"/>
      <c r="C224" s="128" t="s">
        <v>1858</v>
      </c>
      <c r="D224" s="129" t="s">
        <v>1859</v>
      </c>
      <c r="E224" s="29"/>
      <c r="F224" s="29"/>
      <c r="G224" s="22" t="s">
        <v>356</v>
      </c>
      <c r="H224" s="24" t="s">
        <v>1865</v>
      </c>
      <c r="I224" s="25"/>
      <c r="J224" s="25"/>
      <c r="K224" s="288" t="str" cm="1">
        <f t="array" ref="K224">IF(ISBLANK(J224), IF(ISBLANK(I224), "N/A", _xlfn.IFS(L224="AS", I224+15, L224="NCR", I224+30, L224="submitted", I224+30, TRUE, "N/A")), _xlfn.IFS(L224="AS", J224+15, L224="NCR", J224+30, L224="submitted", J224+30, TRUE, "N/A"))</f>
        <v>N/A</v>
      </c>
      <c r="L224" s="22"/>
      <c r="M224" s="317"/>
      <c r="N224" s="747"/>
      <c r="O224" s="748"/>
      <c r="P224" s="748"/>
      <c r="Q224" s="749"/>
    </row>
    <row r="225" spans="2:17" s="1" customFormat="1" ht="15" customHeight="1">
      <c r="B225" s="9"/>
      <c r="C225" s="821" t="s">
        <v>1866</v>
      </c>
      <c r="D225" s="823" t="s">
        <v>1867</v>
      </c>
      <c r="E225" s="37"/>
      <c r="F225" s="37"/>
      <c r="G225" s="9" t="s">
        <v>208</v>
      </c>
      <c r="H225" s="13" t="s">
        <v>1868</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22"/>
      <c r="D226" s="824"/>
      <c r="E226" s="39"/>
      <c r="F226" s="39"/>
      <c r="G226" s="9" t="s">
        <v>281</v>
      </c>
      <c r="H226" s="13" t="s">
        <v>1869</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22"/>
      <c r="D227" s="824"/>
      <c r="E227" s="39"/>
      <c r="F227" s="39"/>
      <c r="G227" s="9" t="s">
        <v>269</v>
      </c>
      <c r="H227" s="13" t="s">
        <v>1870</v>
      </c>
      <c r="I227" s="14"/>
      <c r="J227" s="14"/>
      <c r="K227" s="288" t="str" cm="1">
        <f t="array" ref="K227">IF(ISBLANK(J227), IF(ISBLANK(I227), "N/A", _xlfn.IFS(L227="AS", I227+15, L227="NCR", I227+30, L227="submitted", I227+30, TRUE, "N/A")), _xlfn.IFS(L227="AS", J227+15, L227="NCR", J227+30, L227="submitted", J227+30, TRUE, "N/A"))</f>
        <v>N/A</v>
      </c>
      <c r="L227" s="9"/>
      <c r="M227" s="317"/>
      <c r="N227" s="747"/>
      <c r="O227" s="748"/>
      <c r="P227" s="748"/>
      <c r="Q227" s="749"/>
    </row>
    <row r="228" spans="2:17" s="1" customFormat="1" ht="15" customHeight="1">
      <c r="B228" s="9"/>
      <c r="C228" s="822"/>
      <c r="D228" s="824"/>
      <c r="E228" s="39"/>
      <c r="F228" s="39"/>
      <c r="G228" s="9" t="s">
        <v>259</v>
      </c>
      <c r="H228" s="13" t="s">
        <v>444</v>
      </c>
      <c r="I228" s="14"/>
      <c r="J228" s="14"/>
      <c r="K228" s="288" t="str" cm="1">
        <f t="array" ref="K228">IF(ISBLANK(J228), IF(ISBLANK(I228), "N/A", _xlfn.IFS(L228="AS", I228+15, L228="NCR", I228+30, L228="submitted", I228+30, TRUE, "N/A")), _xlfn.IFS(L228="AS", J228+15, L228="NCR", J228+30, L228="submitted", J228+30, TRUE, "N/A"))</f>
        <v>N/A</v>
      </c>
      <c r="L228" s="9"/>
      <c r="M228" s="317"/>
      <c r="N228" s="747"/>
      <c r="O228" s="748"/>
      <c r="P228" s="748"/>
      <c r="Q228" s="749"/>
    </row>
    <row r="229" spans="2:17" s="1" customFormat="1" ht="15" customHeight="1">
      <c r="B229" s="9"/>
      <c r="C229" s="822"/>
      <c r="D229" s="824"/>
      <c r="E229" s="39"/>
      <c r="F229" s="39"/>
      <c r="G229" s="9" t="s">
        <v>503</v>
      </c>
      <c r="H229" s="13" t="s">
        <v>1871</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27" customHeight="1">
      <c r="B230" s="9"/>
      <c r="C230" s="822"/>
      <c r="D230" s="824"/>
      <c r="E230" s="39"/>
      <c r="F230" s="39"/>
      <c r="G230" s="9" t="s">
        <v>1120</v>
      </c>
      <c r="H230" s="7" t="s">
        <v>1872</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1873</v>
      </c>
      <c r="H231" s="13" t="s">
        <v>1874</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22"/>
      <c r="D232" s="824"/>
      <c r="E232" s="39"/>
      <c r="F232" s="39"/>
      <c r="G232" s="9" t="s">
        <v>354</v>
      </c>
      <c r="H232" s="7" t="s">
        <v>1875</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22"/>
      <c r="D233" s="824"/>
      <c r="E233" s="39"/>
      <c r="F233" s="39"/>
      <c r="G233" s="9" t="s">
        <v>356</v>
      </c>
      <c r="H233" s="13"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22"/>
      <c r="D234" s="824"/>
      <c r="E234" s="39"/>
      <c r="F234" s="39"/>
      <c r="G234" s="9" t="s">
        <v>1133</v>
      </c>
      <c r="H234" s="13" t="s">
        <v>1877</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22"/>
      <c r="D235" s="824"/>
      <c r="E235" s="39"/>
      <c r="F235" s="39"/>
      <c r="G235" s="9" t="s">
        <v>1878</v>
      </c>
      <c r="H235" s="7" t="s">
        <v>1879</v>
      </c>
      <c r="I235" s="14"/>
      <c r="J235" s="14"/>
      <c r="K235" s="288" t="str" cm="1">
        <f t="array" ref="K235">IF(ISBLANK(J235), IF(ISBLANK(I235), "N/A", _xlfn.IFS(L235="AS", I235+15, L235="NCR", I235+30, L235="submitted", I235+30, TRUE, "N/A")), _xlfn.IFS(L235="AS", J235+15, L235="NCR", J235+30, L235="submitted", J235+30, TRUE, "N/A"))</f>
        <v>N/A</v>
      </c>
      <c r="L235" s="9"/>
    </row>
    <row r="236" spans="2:17" s="1" customFormat="1" ht="27" customHeight="1">
      <c r="B236" s="9"/>
      <c r="C236" s="822"/>
      <c r="D236" s="824"/>
      <c r="E236" s="39"/>
      <c r="F236" s="39"/>
      <c r="G236" s="9" t="s">
        <v>1880</v>
      </c>
      <c r="H236" s="7" t="s">
        <v>1881</v>
      </c>
      <c r="I236" s="14"/>
      <c r="J236" s="14"/>
      <c r="K236" s="288"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1318</v>
      </c>
      <c r="H237" s="13" t="s">
        <v>1882</v>
      </c>
      <c r="I237" s="14"/>
      <c r="J237" s="14"/>
      <c r="K237" s="288"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5" t="s">
        <v>1883</v>
      </c>
      <c r="D238" s="827" t="s">
        <v>1884</v>
      </c>
      <c r="E238" s="34"/>
      <c r="F238" s="34"/>
      <c r="G238" s="4" t="s">
        <v>208</v>
      </c>
      <c r="H238" s="17" t="s">
        <v>1885</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281</v>
      </c>
      <c r="H239" s="17" t="s">
        <v>1886</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27" customHeight="1">
      <c r="B240" s="4"/>
      <c r="C240" s="829"/>
      <c r="D240" s="830"/>
      <c r="E240" s="35"/>
      <c r="F240" s="35"/>
      <c r="G240" s="4" t="s">
        <v>269</v>
      </c>
      <c r="H240" s="3" t="s">
        <v>1887</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9"/>
      <c r="D241" s="830"/>
      <c r="E241" s="35"/>
      <c r="F241" s="35"/>
      <c r="G241" s="4" t="s">
        <v>259</v>
      </c>
      <c r="H241" s="17" t="s">
        <v>1888</v>
      </c>
      <c r="I241" s="18"/>
      <c r="J241" s="18"/>
      <c r="K241" s="288"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352</v>
      </c>
      <c r="H242" s="17" t="s">
        <v>444</v>
      </c>
      <c r="I242" s="18"/>
      <c r="J242" s="18"/>
      <c r="K242" s="288"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26"/>
      <c r="D243" s="828"/>
      <c r="E243" s="36"/>
      <c r="F243" s="36"/>
      <c r="G243" s="4" t="s">
        <v>354</v>
      </c>
      <c r="H243" s="17" t="s">
        <v>696</v>
      </c>
      <c r="I243" s="18"/>
      <c r="J243" s="18"/>
      <c r="K243" s="288" t="str" cm="1">
        <f t="array" ref="K243">IF(ISBLANK(J243), IF(ISBLANK(I243), "N/A", _xlfn.IFS(L243="AS", I243+15, L243="NCR", I243+30, L243="submitted", I243+30, TRUE, "N/A")), _xlfn.IFS(L243="AS", J243+15, L243="NCR", J243+30, L243="submitted", J243+30, TRUE, "N/A"))</f>
        <v>N/A</v>
      </c>
      <c r="L243" s="4"/>
    </row>
    <row r="244" spans="2:12" s="1" customFormat="1" ht="15" customHeight="1">
      <c r="B244" s="9"/>
      <c r="C244" s="821" t="s">
        <v>1889</v>
      </c>
      <c r="D244" s="823" t="s">
        <v>1890</v>
      </c>
      <c r="E244" s="37"/>
      <c r="F244" s="37"/>
      <c r="G244" s="9" t="s">
        <v>208</v>
      </c>
      <c r="H244" s="13" t="s">
        <v>1891</v>
      </c>
      <c r="I244" s="14"/>
      <c r="J244" s="14"/>
      <c r="K244" s="288" t="str" cm="1">
        <f t="array" ref="K244">IF(ISBLANK(J244), IF(ISBLANK(I244), "N/A", _xlfn.IFS(L244="AS", I244+15, L244="NCR", I244+30, L244="submitted", I244+30, TRUE, "N/A")), _xlfn.IFS(L244="AS", J244+15, L244="NCR", J244+30, L244="submitted", J244+30, TRUE, "N/A"))</f>
        <v>N/A</v>
      </c>
      <c r="L244" s="9"/>
    </row>
    <row r="245" spans="2:12" s="1" customFormat="1" ht="15" customHeight="1">
      <c r="B245" s="9"/>
      <c r="C245" s="822"/>
      <c r="D245" s="824"/>
      <c r="E245" s="39"/>
      <c r="F245" s="39"/>
      <c r="G245" s="9" t="s">
        <v>281</v>
      </c>
      <c r="H245" s="13" t="s">
        <v>1892</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07"/>
      <c r="D246" s="809"/>
      <c r="E246" s="46"/>
      <c r="F246" s="46"/>
      <c r="G246" s="9" t="s">
        <v>269</v>
      </c>
      <c r="H246" s="13" t="s">
        <v>444</v>
      </c>
      <c r="I246" s="14"/>
      <c r="J246" s="14"/>
      <c r="K246" s="288" t="str" cm="1">
        <f t="array" ref="K246">IF(ISBLANK(J246), IF(ISBLANK(I246), "N/A", _xlfn.IFS(L246="AS", I246+15, L246="NCR", I246+30, L246="submitted", I246+30, TRUE, "N/A")), _xlfn.IFS(L246="AS", J246+15, L246="NCR", J246+30, L246="submitted", J246+30, TRUE, "N/A"))</f>
        <v>N/A</v>
      </c>
      <c r="L246" s="9"/>
    </row>
    <row r="247" spans="2:12" s="5" customFormat="1" ht="15" customHeight="1">
      <c r="B247" s="4"/>
      <c r="C247" s="15" t="s">
        <v>1893</v>
      </c>
      <c r="D247" s="17" t="s">
        <v>1894</v>
      </c>
      <c r="E247" s="17"/>
      <c r="F247" s="17" t="s">
        <v>1895</v>
      </c>
      <c r="G247" s="4" t="s">
        <v>208</v>
      </c>
      <c r="H247" s="17" t="s">
        <v>1896</v>
      </c>
      <c r="I247" s="18"/>
      <c r="J247" s="18"/>
      <c r="K247" s="288" t="str" cm="1">
        <f t="array" ref="K247">IF(ISBLANK(J247), IF(ISBLANK(I247), "N/A", _xlfn.IFS(L247="AS", I247+15, L247="NCR", I247+30, L247="submitted", I247+30, TRUE, "N/A")), _xlfn.IFS(L247="AS", J247+15, L247="NCR", J247+30, L247="submitted", J247+30, TRUE, "N/A"))</f>
        <v>N/A</v>
      </c>
      <c r="L247" s="4"/>
    </row>
    <row r="248" spans="2:12" s="1" customFormat="1" ht="15" customHeight="1">
      <c r="B248" s="9"/>
      <c r="C248" s="821" t="s">
        <v>1897</v>
      </c>
      <c r="D248" s="823" t="s">
        <v>1898</v>
      </c>
      <c r="E248" s="37"/>
      <c r="F248" s="37"/>
      <c r="G248" s="9" t="s">
        <v>208</v>
      </c>
      <c r="H248" s="13" t="s">
        <v>484</v>
      </c>
      <c r="I248" s="14"/>
      <c r="J248" s="14"/>
      <c r="K248" s="288" t="str" cm="1">
        <f t="array" ref="K248">IF(ISBLANK(J248), IF(ISBLANK(I248), "N/A", _xlfn.IFS(L248="AS", I248+15, L248="NCR", I248+30, L248="submitted", I248+30, TRUE, "N/A")), _xlfn.IFS(L248="AS", J248+15, L248="NCR", J248+30, L248="submitted", J248+30, TRUE, "N/A"))</f>
        <v>N/A</v>
      </c>
      <c r="L248" s="9"/>
    </row>
    <row r="249" spans="2:12" s="1" customFormat="1" ht="15" customHeight="1">
      <c r="B249" s="38"/>
      <c r="C249" s="822"/>
      <c r="D249" s="824"/>
      <c r="E249" s="39"/>
      <c r="F249" s="39"/>
      <c r="G249" s="38" t="s">
        <v>281</v>
      </c>
      <c r="H249" s="37" t="s">
        <v>1899</v>
      </c>
      <c r="I249" s="41"/>
      <c r="J249" s="41"/>
      <c r="K249" s="288" t="str" cm="1">
        <f t="array" ref="K249">IF(ISBLANK(J249), IF(ISBLANK(I249), "N/A", _xlfn.IFS(L249="AS", I249+15, L249="NCR", I249+30, L249="submitted", I249+30, TRUE, "N/A")), _xlfn.IFS(L249="AS", J249+15, L249="NCR", J249+30, L249="submitted", J249+30, TRUE, "N/A"))</f>
        <v>N/A</v>
      </c>
      <c r="L249" s="38"/>
    </row>
    <row r="250" spans="2:12" s="1" customFormat="1" ht="15" customHeight="1">
      <c r="B250" s="38"/>
      <c r="C250" s="822"/>
      <c r="D250" s="824"/>
      <c r="E250" s="39"/>
      <c r="F250" s="39"/>
      <c r="G250" s="38" t="s">
        <v>269</v>
      </c>
      <c r="H250" s="37" t="s">
        <v>444</v>
      </c>
      <c r="I250" s="41"/>
      <c r="J250" s="41"/>
      <c r="K250" s="288" t="str" cm="1">
        <f t="array" ref="K250">IF(ISBLANK(J250), IF(ISBLANK(I250), "N/A", _xlfn.IFS(L250="AS", I250+15, L250="NCR", I250+30, L250="submitted", I250+30, TRUE, "N/A")), _xlfn.IFS(L250="AS", J250+15, L250="NCR", J250+30, L250="submitted", J250+30, TRUE, "N/A"))</f>
        <v>N/A</v>
      </c>
      <c r="L250" s="38"/>
    </row>
    <row r="251" spans="2:12" s="1" customFormat="1" ht="15" customHeight="1">
      <c r="B251" s="38"/>
      <c r="C251" s="807"/>
      <c r="D251" s="809"/>
      <c r="E251" s="39"/>
      <c r="F251" s="39"/>
      <c r="G251" s="38" t="s">
        <v>259</v>
      </c>
      <c r="H251" s="37" t="s">
        <v>506</v>
      </c>
      <c r="I251" s="41"/>
      <c r="J251" s="41"/>
      <c r="K251" s="288" t="str" cm="1">
        <f t="array" ref="K251">IF(ISBLANK(J251), IF(ISBLANK(I251), "N/A", _xlfn.IFS(L251="AS", I251+15, L251="NCR", I251+30, L251="submitted", I251+30, TRUE, "N/A")), _xlfn.IFS(L251="AS", J251+15, L251="NCR", J251+30, L251="submitted", J251+30, TRUE, "N/A"))</f>
        <v>N/A</v>
      </c>
      <c r="L251" s="38"/>
    </row>
    <row r="252" spans="2:12" s="5" customFormat="1" ht="15" customHeight="1">
      <c r="B252" s="19"/>
      <c r="C252" s="86" t="s">
        <v>1900</v>
      </c>
      <c r="D252" s="34" t="s">
        <v>1901</v>
      </c>
      <c r="E252" s="34"/>
      <c r="F252" s="34"/>
      <c r="G252" s="19" t="s">
        <v>145</v>
      </c>
      <c r="H252" s="34"/>
      <c r="I252" s="30"/>
      <c r="J252" s="30"/>
      <c r="K252" s="288" t="str" cm="1">
        <f t="array" ref="K252">IF(ISBLANK(J252), IF(ISBLANK(I252), "N/A", _xlfn.IFS(L252="AS", I252+15, L252="NCR", I252+30, L252="submitted", I252+30, TRUE, "N/A")), _xlfn.IFS(L252="AS", J252+15, L252="NCR", J252+30, L252="submitted", J252+30, TRUE, "N/A"))</f>
        <v>N/A</v>
      </c>
      <c r="L252" s="19"/>
    </row>
    <row r="253" spans="2:12" s="82" customFormat="1" ht="53.25" customHeight="1">
      <c r="C253" s="87" t="s">
        <v>1902</v>
      </c>
      <c r="D253" s="88" t="s">
        <v>1903</v>
      </c>
      <c r="E253" s="88"/>
      <c r="F253" s="88"/>
      <c r="G253" s="82" t="s">
        <v>145</v>
      </c>
      <c r="H253" s="88"/>
      <c r="I253" s="89"/>
      <c r="J253" s="89"/>
      <c r="K253" s="288" t="str" cm="1">
        <f t="array" ref="K253">IF(ISBLANK(J253), IF(ISBLANK(I253), "N/A", _xlfn.IFS(L253="AS", I253+15, L253="NCR", I253+30, L253="submitted", I253+30, TRUE, "N/A")), _xlfn.IFS(L253="AS", J253+15, L253="NCR", J253+30, L253="submitted", J253+30, TRUE, "N/A"))</f>
        <v>N/A</v>
      </c>
    </row>
    <row r="254" spans="2:12" s="21" customFormat="1" ht="15" customHeight="1">
      <c r="C254" s="821" t="s">
        <v>1904</v>
      </c>
      <c r="D254" s="823" t="s">
        <v>1905</v>
      </c>
      <c r="E254" s="39"/>
      <c r="F254" s="39"/>
      <c r="G254" s="21" t="s">
        <v>1906</v>
      </c>
      <c r="H254" s="46" t="s">
        <v>1907</v>
      </c>
      <c r="I254" s="51"/>
      <c r="J254" s="51"/>
      <c r="K254" s="288" t="str" cm="1">
        <f t="array" ref="K254">IF(ISBLANK(J254), IF(ISBLANK(I254), "N/A", _xlfn.IFS(L254="AS", I254+15, L254="NCR", I254+30, L254="submitted", I254+30, TRUE, "N/A")), _xlfn.IFS(L254="AS", J254+15, L254="NCR", J254+30, L254="submitted", J254+30, TRUE, "N/A"))</f>
        <v>N/A</v>
      </c>
    </row>
    <row r="255" spans="2:12" s="1" customFormat="1" ht="15" customHeight="1">
      <c r="B255" s="21"/>
      <c r="C255" s="822"/>
      <c r="D255" s="824"/>
      <c r="E255" s="39"/>
      <c r="F255" s="39"/>
      <c r="G255" s="21" t="s">
        <v>134</v>
      </c>
      <c r="H255" s="46" t="s">
        <v>282</v>
      </c>
      <c r="I255" s="51"/>
      <c r="J255" s="51"/>
      <c r="K255" s="288" t="str" cm="1">
        <f t="array" ref="K255">IF(ISBLANK(J255), IF(ISBLANK(I255), "N/A", _xlfn.IFS(L255="AS", I255+15, L255="NCR", I255+30, L255="submitted", I255+30, TRUE, "N/A")), _xlfn.IFS(L255="AS", J255+15, L255="NCR", J255+30, L255="submitted", J255+30, TRUE, "N/A"))</f>
        <v>N/A</v>
      </c>
      <c r="L255" s="21"/>
    </row>
    <row r="256" spans="2:12" s="1" customFormat="1" ht="27" customHeight="1">
      <c r="B256" s="21"/>
      <c r="C256" s="822"/>
      <c r="D256" s="824"/>
      <c r="E256" s="39"/>
      <c r="F256" s="39"/>
      <c r="G256" s="21" t="s">
        <v>136</v>
      </c>
      <c r="H256" s="52" t="s">
        <v>1908</v>
      </c>
      <c r="I256" s="51"/>
      <c r="J256" s="51"/>
      <c r="K256" s="288" t="str" cm="1">
        <f t="array" ref="K256">IF(ISBLANK(J256), IF(ISBLANK(I256), "N/A", _xlfn.IFS(L256="AS", I256+15, L256="NCR", I256+30, L256="submitted", I256+30, TRUE, "N/A")), _xlfn.IFS(L256="AS", J256+15, L256="NCR", J256+30, L256="submitted", J256+30, TRUE, "N/A"))</f>
        <v>N/A</v>
      </c>
      <c r="L256" s="21"/>
    </row>
    <row r="257" spans="2:12" s="1" customFormat="1" ht="15" customHeight="1">
      <c r="B257" s="21"/>
      <c r="C257" s="807"/>
      <c r="D257" s="809"/>
      <c r="E257" s="46"/>
      <c r="F257" s="46"/>
      <c r="G257" s="21" t="s">
        <v>138</v>
      </c>
      <c r="H257" s="46" t="s">
        <v>1909</v>
      </c>
      <c r="I257" s="51"/>
      <c r="J257" s="51"/>
      <c r="K257" s="288" t="str" cm="1">
        <f t="array" ref="K257">IF(ISBLANK(J257), IF(ISBLANK(I257), "N/A", _xlfn.IFS(L257="AS", I257+15, L257="NCR", I257+30, L257="submitted", I257+30, TRUE, "N/A")), _xlfn.IFS(L257="AS", J257+15, L257="NCR", J257+30, L257="submitted", J257+30, TRUE, "N/A"))</f>
        <v>N/A</v>
      </c>
      <c r="L257" s="21"/>
    </row>
    <row r="258" spans="2:12" s="5" customFormat="1" ht="15" customHeight="1">
      <c r="B258" s="4"/>
      <c r="C258" s="825" t="s">
        <v>1910</v>
      </c>
      <c r="D258" s="827" t="s">
        <v>1911</v>
      </c>
      <c r="E258" s="34"/>
      <c r="F258" s="34"/>
      <c r="G258" s="4" t="s">
        <v>208</v>
      </c>
      <c r="H258" s="17" t="s">
        <v>484</v>
      </c>
      <c r="I258" s="18"/>
      <c r="J258" s="18"/>
      <c r="K258" s="288" t="str" cm="1">
        <f t="array" ref="K258">IF(ISBLANK(J258), IF(ISBLANK(I258), "N/A", _xlfn.IFS(L258="AS", I258+15, L258="NCR", I258+30, L258="submitted", I258+30, TRUE, "N/A")), _xlfn.IFS(L258="AS", J258+15, L258="NCR", J258+30, L258="submitted", J258+30, TRUE, "N/A"))</f>
        <v>N/A</v>
      </c>
      <c r="L258" s="4"/>
    </row>
    <row r="259" spans="2:12" s="5" customFormat="1" ht="15" customHeight="1">
      <c r="B259" s="4"/>
      <c r="C259" s="826"/>
      <c r="D259" s="828"/>
      <c r="E259" s="36"/>
      <c r="F259" s="36"/>
      <c r="G259" s="4" t="s">
        <v>281</v>
      </c>
      <c r="H259" s="17" t="s">
        <v>282</v>
      </c>
      <c r="I259" s="18"/>
      <c r="J259" s="18"/>
      <c r="K259" s="288" t="str" cm="1">
        <f t="array" ref="K259">IF(ISBLANK(J259), IF(ISBLANK(I259), "N/A", _xlfn.IFS(L259="AS", I259+15, L259="NCR", I259+30, L259="submitted", I259+30, TRUE, "N/A")), _xlfn.IFS(L259="AS", J259+15, L259="NCR", J259+30, L259="submitted", J259+30, TRUE, "N/A"))</f>
        <v>N/A</v>
      </c>
      <c r="L259" s="4"/>
    </row>
    <row r="260" spans="2:12" s="1" customFormat="1" ht="15" customHeight="1">
      <c r="B260" s="9"/>
      <c r="C260" s="821" t="s">
        <v>1912</v>
      </c>
      <c r="D260" s="823" t="s">
        <v>1913</v>
      </c>
      <c r="E260" s="37"/>
      <c r="F260" s="37"/>
      <c r="G260" s="9" t="s">
        <v>208</v>
      </c>
      <c r="H260" s="13" t="s">
        <v>235</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2"/>
      <c r="D261" s="824"/>
      <c r="E261" s="39"/>
      <c r="F261" s="39"/>
      <c r="G261" s="9" t="s">
        <v>281</v>
      </c>
      <c r="H261" s="13" t="s">
        <v>282</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2"/>
      <c r="D262" s="824"/>
      <c r="E262" s="39"/>
      <c r="F262" s="39"/>
      <c r="G262" s="9" t="s">
        <v>269</v>
      </c>
      <c r="H262" s="13" t="s">
        <v>1914</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259</v>
      </c>
      <c r="H263" s="7" t="s">
        <v>1915</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503</v>
      </c>
      <c r="H264" s="13" t="s">
        <v>1153</v>
      </c>
      <c r="I264" s="14"/>
      <c r="J264" s="14"/>
      <c r="K264" s="288"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22"/>
      <c r="D265" s="824"/>
      <c r="E265" s="39"/>
      <c r="F265" s="39"/>
      <c r="G265" s="9" t="s">
        <v>816</v>
      </c>
      <c r="H265" s="13" t="s">
        <v>1916</v>
      </c>
      <c r="I265" s="14"/>
      <c r="J265" s="14"/>
      <c r="K265" s="288"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817</v>
      </c>
      <c r="H266" s="13" t="s">
        <v>1917</v>
      </c>
      <c r="I266" s="14"/>
      <c r="J266" s="14"/>
      <c r="K266" s="288"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5" t="s">
        <v>1918</v>
      </c>
      <c r="D267" s="827" t="s">
        <v>1919</v>
      </c>
      <c r="E267" s="34"/>
      <c r="F267" s="34"/>
      <c r="G267" s="4" t="s">
        <v>1442</v>
      </c>
      <c r="H267" s="17" t="s">
        <v>1772</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29"/>
      <c r="D268" s="830"/>
      <c r="E268" s="35"/>
      <c r="F268" s="35"/>
      <c r="G268" s="4" t="s">
        <v>1444</v>
      </c>
      <c r="H268" s="17" t="s">
        <v>1156</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15" customHeight="1">
      <c r="B269" s="4"/>
      <c r="C269" s="829"/>
      <c r="D269" s="830"/>
      <c r="E269" s="35"/>
      <c r="F269" s="35"/>
      <c r="G269" s="4" t="s">
        <v>1920</v>
      </c>
      <c r="H269" s="17" t="s">
        <v>1921</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29"/>
      <c r="D270" s="830"/>
      <c r="E270" s="35"/>
      <c r="F270" s="35"/>
      <c r="G270" s="4" t="s">
        <v>1922</v>
      </c>
      <c r="H270" s="17" t="s">
        <v>282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29"/>
      <c r="D271" s="830"/>
      <c r="E271" s="35"/>
      <c r="F271" s="35"/>
      <c r="G271" s="4" t="s">
        <v>1923</v>
      </c>
      <c r="H271" s="3"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29"/>
      <c r="D272" s="830"/>
      <c r="E272" s="35"/>
      <c r="F272" s="35"/>
      <c r="G272" s="4" t="s">
        <v>512</v>
      </c>
      <c r="H272" s="3" t="s">
        <v>1925</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29"/>
      <c r="D273" s="830"/>
      <c r="E273" s="35"/>
      <c r="F273" s="35"/>
      <c r="G273" s="4" t="s">
        <v>1926</v>
      </c>
      <c r="H273" s="17" t="s">
        <v>1927</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t="s">
        <v>161</v>
      </c>
      <c r="G274" s="4" t="s">
        <v>1928</v>
      </c>
      <c r="H274" s="17" t="s">
        <v>1929</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9"/>
      <c r="D275" s="830"/>
      <c r="E275" s="35"/>
      <c r="F275" s="35" t="s">
        <v>161</v>
      </c>
      <c r="G275" s="4" t="s">
        <v>1930</v>
      </c>
      <c r="H275" s="3" t="s">
        <v>1931</v>
      </c>
      <c r="I275" s="18"/>
      <c r="J275" s="18"/>
      <c r="K275" s="288"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29"/>
      <c r="D276" s="830"/>
      <c r="E276" s="35"/>
      <c r="F276" s="35" t="s">
        <v>161</v>
      </c>
      <c r="G276" s="4" t="s">
        <v>1932</v>
      </c>
      <c r="H276" s="3" t="s">
        <v>1933</v>
      </c>
      <c r="I276" s="18"/>
      <c r="J276" s="18"/>
      <c r="K276" s="288" t="str" cm="1">
        <f t="array" ref="K276">IF(ISBLANK(J276), IF(ISBLANK(I276), "N/A", _xlfn.IFS(L276="AS", I276+15, L276="NCR", I276+30, L276="submitted", I276+30, TRUE, "N/A")), _xlfn.IFS(L276="AS", J276+15, L276="NCR", J276+30, L276="submitted", J276+30, TRUE, "N/A"))</f>
        <v>N/A</v>
      </c>
      <c r="L276" s="4"/>
    </row>
    <row r="277" spans="2:14" s="5" customFormat="1" ht="15" customHeight="1">
      <c r="B277" s="4"/>
      <c r="C277" s="829"/>
      <c r="D277" s="830"/>
      <c r="E277" s="35"/>
      <c r="F277" s="35" t="s">
        <v>161</v>
      </c>
      <c r="G277" s="4" t="s">
        <v>1934</v>
      </c>
      <c r="H277" s="3" t="s">
        <v>1935</v>
      </c>
      <c r="I277" s="18"/>
      <c r="J277" s="18"/>
      <c r="K277" s="288" t="str" cm="1">
        <f t="array" ref="K277">IF(ISBLANK(J277), IF(ISBLANK(I277), "N/A", _xlfn.IFS(L277="AS", I277+15, L277="NCR", I277+30, L277="submitted", I277+30, TRUE, "N/A")), _xlfn.IFS(L277="AS", J277+15, L277="NCR", J277+30, L277="submitted", J277+30, TRUE, "N/A"))</f>
        <v>N/A</v>
      </c>
      <c r="L277" s="4"/>
      <c r="M277" s="317"/>
      <c r="N277" s="747"/>
    </row>
    <row r="278" spans="2:14" s="5" customFormat="1" ht="27" customHeight="1">
      <c r="B278" s="4"/>
      <c r="C278" s="826"/>
      <c r="D278" s="828"/>
      <c r="E278" s="36"/>
      <c r="F278" s="36"/>
      <c r="G278" s="4" t="s">
        <v>835</v>
      </c>
      <c r="H278" s="3" t="s">
        <v>1936</v>
      </c>
      <c r="I278" s="18"/>
      <c r="J278" s="18"/>
      <c r="K278" s="288" t="str" cm="1">
        <f t="array" ref="K278">IF(ISBLANK(J278), IF(ISBLANK(I278), "N/A", _xlfn.IFS(L278="AS", I278+15, L278="NCR", I278+30, L278="submitted", I278+30, TRUE, "N/A")), _xlfn.IFS(L278="AS", J278+15, L278="NCR", J278+30, L278="submitted", J278+30, TRUE, "N/A"))</f>
        <v>N/A</v>
      </c>
      <c r="L278" s="4"/>
      <c r="M278" s="317"/>
      <c r="N278" s="747"/>
    </row>
    <row r="279" spans="2:14" s="26" customFormat="1" ht="27" customHeight="1">
      <c r="B279" s="22"/>
      <c r="C279" s="898" t="s">
        <v>1937</v>
      </c>
      <c r="D279" s="899" t="s">
        <v>1938</v>
      </c>
      <c r="E279" s="76"/>
      <c r="F279" s="76"/>
      <c r="G279" s="22" t="s">
        <v>134</v>
      </c>
      <c r="H279" s="28" t="s">
        <v>1939</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15" customHeight="1">
      <c r="B280" s="22"/>
      <c r="C280" s="885"/>
      <c r="D280" s="888"/>
      <c r="E280" s="27"/>
      <c r="F280" s="27"/>
      <c r="G280" s="22" t="s">
        <v>136</v>
      </c>
      <c r="H280" s="28" t="s">
        <v>328</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27" customHeight="1">
      <c r="B281" s="22"/>
      <c r="C281" s="885"/>
      <c r="D281" s="888"/>
      <c r="E281" s="27"/>
      <c r="F281" s="27"/>
      <c r="G281" s="22" t="s">
        <v>138</v>
      </c>
      <c r="H281" s="28" t="s">
        <v>1940</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40.5" customHeight="1">
      <c r="B282" s="22"/>
      <c r="C282" s="885"/>
      <c r="D282" s="888"/>
      <c r="E282" s="27"/>
      <c r="F282" s="27" t="s">
        <v>161</v>
      </c>
      <c r="G282" s="22" t="s">
        <v>166</v>
      </c>
      <c r="H282" s="28" t="s">
        <v>1941</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27" customHeight="1">
      <c r="B283" s="22"/>
      <c r="C283" s="885"/>
      <c r="D283" s="888"/>
      <c r="E283" s="27"/>
      <c r="F283" s="27"/>
      <c r="G283" s="22" t="s">
        <v>169</v>
      </c>
      <c r="H283" s="28" t="s">
        <v>1942</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26" customFormat="1" ht="15" customHeight="1">
      <c r="B284" s="22"/>
      <c r="C284" s="885"/>
      <c r="D284" s="888"/>
      <c r="E284" s="27"/>
      <c r="F284" s="27"/>
      <c r="G284" s="22" t="s">
        <v>312</v>
      </c>
      <c r="H284" s="28" t="s">
        <v>1943</v>
      </c>
      <c r="I284" s="25"/>
      <c r="J284" s="25"/>
      <c r="K284" s="288" t="str" cm="1">
        <f t="array" ref="K284">IF(ISBLANK(J284), IF(ISBLANK(I284), "N/A", _xlfn.IFS(L284="AS", I284+15, L284="NCR", I284+30, L284="submitted", I284+30, TRUE, "N/A")), _xlfn.IFS(L284="AS", J284+15, L284="NCR", J284+30, L284="submitted", J284+30, TRUE, "N/A"))</f>
        <v>N/A</v>
      </c>
      <c r="L284" s="22"/>
      <c r="M284" s="317"/>
      <c r="N284" s="747"/>
    </row>
    <row r="285" spans="2:14" s="26" customFormat="1" ht="27" customHeight="1">
      <c r="B285" s="22"/>
      <c r="C285" s="886"/>
      <c r="D285" s="889"/>
      <c r="E285" s="29"/>
      <c r="F285" s="29"/>
      <c r="G285" s="22" t="s">
        <v>314</v>
      </c>
      <c r="H285" s="28" t="s">
        <v>1944</v>
      </c>
      <c r="I285" s="25"/>
      <c r="J285" s="25"/>
      <c r="K285" s="288" t="str" cm="1">
        <f t="array" ref="K285">IF(ISBLANK(J285), IF(ISBLANK(I285), "N/A", _xlfn.IFS(L285="AS", I285+15, L285="NCR", I285+30, L285="submitted", I285+30, TRUE, "N/A")), _xlfn.IFS(L285="AS", J285+15, L285="NCR", J285+30, L285="submitted", J285+30, TRUE, "N/A"))</f>
        <v>N/A</v>
      </c>
      <c r="L285" s="22"/>
      <c r="M285" s="317"/>
      <c r="N285" s="747"/>
    </row>
    <row r="286" spans="2:14" s="1" customFormat="1" ht="15" customHeight="1">
      <c r="B286" s="9"/>
      <c r="C286" s="821" t="s">
        <v>1945</v>
      </c>
      <c r="D286" s="823" t="s">
        <v>1946</v>
      </c>
      <c r="E286" s="37"/>
      <c r="F286" s="37"/>
      <c r="G286" s="9" t="s">
        <v>278</v>
      </c>
      <c r="H286" s="13" t="s">
        <v>1947</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22"/>
      <c r="D287" s="824"/>
      <c r="E287" s="39"/>
      <c r="F287" s="39"/>
      <c r="G287" s="9" t="s">
        <v>265</v>
      </c>
      <c r="H287" s="13" t="s">
        <v>1948</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22"/>
      <c r="D288" s="824"/>
      <c r="E288" s="39"/>
      <c r="F288" s="39"/>
      <c r="G288" s="9" t="s">
        <v>281</v>
      </c>
      <c r="H288" s="13" t="s">
        <v>1949</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22"/>
      <c r="D289" s="824"/>
      <c r="E289" s="39"/>
      <c r="F289" s="39"/>
      <c r="G289" s="9" t="s">
        <v>269</v>
      </c>
      <c r="H289" s="13" t="s">
        <v>1950</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22"/>
      <c r="D290" s="824"/>
      <c r="E290" s="39"/>
      <c r="F290" s="39"/>
      <c r="G290" s="9" t="s">
        <v>259</v>
      </c>
      <c r="H290" s="13" t="s">
        <v>1951</v>
      </c>
      <c r="I290" s="14"/>
      <c r="J290" s="14"/>
      <c r="K290" s="288" t="str" cm="1">
        <f t="array" ref="K290">IF(ISBLANK(J290), IF(ISBLANK(I290), "N/A", _xlfn.IFS(L290="AS", I290+15, L290="NCR", I290+30, L290="submitted", I290+30, TRUE, "N/A")), _xlfn.IFS(L290="AS", J290+15, L290="NCR", J290+30, L290="submitted", J290+30, TRUE, "N/A"))</f>
        <v>N/A</v>
      </c>
      <c r="L290" s="9"/>
      <c r="M290" s="317"/>
      <c r="N290" s="747"/>
    </row>
    <row r="291" spans="2:14" s="1" customFormat="1" ht="15" customHeight="1">
      <c r="B291" s="9"/>
      <c r="C291" s="822"/>
      <c r="D291" s="824"/>
      <c r="E291" s="39"/>
      <c r="F291" s="39"/>
      <c r="G291" s="9" t="s">
        <v>352</v>
      </c>
      <c r="H291" s="13" t="s">
        <v>1952</v>
      </c>
      <c r="I291" s="14"/>
      <c r="J291" s="14"/>
      <c r="K291" s="288" t="str" cm="1">
        <f t="array" ref="K291">IF(ISBLANK(J291), IF(ISBLANK(I291), "N/A", _xlfn.IFS(L291="AS", I291+15, L291="NCR", I291+30, L291="submitted", I291+30, TRUE, "N/A")), _xlfn.IFS(L291="AS", J291+15, L291="NCR", J291+30, L291="submitted", J291+30, TRUE, "N/A"))</f>
        <v>N/A</v>
      </c>
      <c r="L291" s="9"/>
      <c r="M291" s="317"/>
      <c r="N291" s="747"/>
    </row>
    <row r="292" spans="2:14" s="1" customFormat="1" ht="15" customHeight="1">
      <c r="B292" s="9"/>
      <c r="C292" s="822"/>
      <c r="D292" s="824"/>
      <c r="E292" s="39"/>
      <c r="F292" s="39"/>
      <c r="G292" s="9" t="s">
        <v>354</v>
      </c>
      <c r="H292" s="13" t="s">
        <v>1953</v>
      </c>
      <c r="I292" s="14"/>
      <c r="J292" s="14"/>
      <c r="K292" s="288" t="str" cm="1">
        <f t="array" ref="K292">IF(ISBLANK(J292), IF(ISBLANK(I292), "N/A", _xlfn.IFS(L292="AS", I292+15, L292="NCR", I292+30, L292="submitted", I292+30, TRUE, "N/A")), _xlfn.IFS(L292="AS", J292+15, L292="NCR", J292+30, L292="submitted", J292+30, TRUE, "N/A"))</f>
        <v>N/A</v>
      </c>
      <c r="L292" s="9"/>
      <c r="M292" s="317"/>
      <c r="N292" s="745" t="s">
        <v>133</v>
      </c>
    </row>
    <row r="293" spans="2:14" s="1" customFormat="1" ht="15" customHeight="1">
      <c r="B293" s="9"/>
      <c r="C293" s="807"/>
      <c r="D293" s="809"/>
      <c r="E293" s="46"/>
      <c r="F293" s="46"/>
      <c r="G293" s="9" t="s">
        <v>356</v>
      </c>
      <c r="H293" s="13" t="s">
        <v>1954</v>
      </c>
      <c r="I293" s="14"/>
      <c r="J293" s="14"/>
      <c r="K293" s="288" t="str" cm="1">
        <f t="array" ref="K293">IF(ISBLANK(J293), IF(ISBLANK(I293), "N/A", _xlfn.IFS(L293="AS", I293+15, L293="NCR", I293+30, L293="submitted", I293+30, TRUE, "N/A")), _xlfn.IFS(L293="AS", J293+15, L293="NCR", J293+30, L293="submitted", J293+30, TRUE, "N/A"))</f>
        <v>N/A</v>
      </c>
      <c r="L293" s="9"/>
      <c r="M293" s="317"/>
      <c r="N293" s="746"/>
    </row>
    <row r="294" spans="2:14" s="5" customFormat="1" ht="15" customHeight="1">
      <c r="B294" s="4"/>
      <c r="C294" s="825" t="s">
        <v>1955</v>
      </c>
      <c r="D294" s="827" t="s">
        <v>1956</v>
      </c>
      <c r="E294" s="34"/>
      <c r="F294" s="34"/>
      <c r="G294" s="4" t="s">
        <v>212</v>
      </c>
      <c r="H294" s="17" t="s">
        <v>235</v>
      </c>
      <c r="I294" s="18"/>
      <c r="J294" s="18"/>
      <c r="K294" s="288" t="str" cm="1">
        <f t="array" ref="K294">IF(ISBLANK(J294), IF(ISBLANK(I294), "N/A", _xlfn.IFS(L294="AS", I294+15, L294="NCR", I294+30, L294="submitted", I294+30, TRUE, "N/A")), _xlfn.IFS(L294="AS", J294+15, L294="NCR", J294+30, L294="submitted", J294+30, TRUE, "N/A"))</f>
        <v>N/A</v>
      </c>
      <c r="L294" s="4"/>
      <c r="M294" s="317"/>
      <c r="N294" s="746"/>
    </row>
    <row r="295" spans="2:14" s="5" customFormat="1" ht="15" customHeight="1">
      <c r="B295" s="19"/>
      <c r="C295" s="829"/>
      <c r="D295" s="830"/>
      <c r="E295" s="35"/>
      <c r="F295" s="35"/>
      <c r="G295" s="19" t="s">
        <v>336</v>
      </c>
      <c r="H295" s="34" t="s">
        <v>1957</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29"/>
      <c r="D296" s="830"/>
      <c r="E296" s="35"/>
      <c r="F296" s="35"/>
      <c r="G296" s="19" t="s">
        <v>240</v>
      </c>
      <c r="H296" s="34" t="s">
        <v>1958</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29"/>
      <c r="D297" s="830"/>
      <c r="E297" s="35"/>
      <c r="F297" s="35"/>
      <c r="G297" s="19" t="s">
        <v>242</v>
      </c>
      <c r="H297" s="34" t="s">
        <v>1959</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5" customFormat="1" ht="27" customHeight="1">
      <c r="B298" s="19"/>
      <c r="C298" s="829"/>
      <c r="D298" s="830"/>
      <c r="E298" s="35"/>
      <c r="F298" s="35"/>
      <c r="G298" s="19" t="s">
        <v>404</v>
      </c>
      <c r="H298" s="53" t="s">
        <v>1960</v>
      </c>
      <c r="I298" s="30"/>
      <c r="J298" s="30"/>
      <c r="K298" s="288"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26"/>
      <c r="D299" s="828"/>
      <c r="E299" s="35"/>
      <c r="F299" s="35"/>
      <c r="G299" s="19" t="s">
        <v>405</v>
      </c>
      <c r="H299" s="34" t="s">
        <v>444</v>
      </c>
      <c r="I299" s="30"/>
      <c r="J299" s="30"/>
      <c r="K299" s="288" t="str" cm="1">
        <f t="array" ref="K299">IF(ISBLANK(J299), IF(ISBLANK(I299), "N/A", _xlfn.IFS(L299="AS", I299+15, L299="NCR", I299+30, L299="submitted", I299+30, TRUE, "N/A")), _xlfn.IFS(L299="AS", J299+15, L299="NCR", J299+30, L299="submitted", J299+30, TRUE, "N/A"))</f>
        <v>N/A</v>
      </c>
      <c r="L299" s="19"/>
      <c r="M299" s="317"/>
      <c r="N299" s="746"/>
    </row>
    <row r="300" spans="2:14" s="1" customFormat="1" ht="15" customHeight="1">
      <c r="B300" s="38"/>
      <c r="C300" s="821" t="s">
        <v>1961</v>
      </c>
      <c r="D300" s="823" t="s">
        <v>1962</v>
      </c>
      <c r="E300" s="37"/>
      <c r="F300" s="37"/>
      <c r="G300" s="38" t="s">
        <v>208</v>
      </c>
      <c r="H300" s="37" t="s">
        <v>282</v>
      </c>
      <c r="I300" s="41"/>
      <c r="J300" s="41"/>
      <c r="K300" s="288" t="str" cm="1">
        <f t="array" ref="K300">IF(ISBLANK(J300), IF(ISBLANK(I300), "N/A", _xlfn.IFS(L300="AS", I300+15, L300="NCR", I300+30, L300="submitted", I300+30, TRUE, "N/A")), _xlfn.IFS(L300="AS", J300+15, L300="NCR", J300+30, L300="submitted", J300+30, TRUE, "N/A"))</f>
        <v>N/A</v>
      </c>
      <c r="L300" s="38"/>
      <c r="M300" s="317"/>
      <c r="N300" s="747" t="s">
        <v>148</v>
      </c>
    </row>
    <row r="301" spans="2:14" s="1" customFormat="1" ht="27" customHeight="1">
      <c r="B301" s="38"/>
      <c r="C301" s="822"/>
      <c r="D301" s="824"/>
      <c r="E301" s="39"/>
      <c r="F301" s="39"/>
      <c r="G301" s="38" t="s">
        <v>281</v>
      </c>
      <c r="H301" s="40" t="s">
        <v>1963</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27" customHeight="1">
      <c r="B302" s="38"/>
      <c r="C302" s="822"/>
      <c r="D302" s="824"/>
      <c r="E302" s="39"/>
      <c r="F302" s="39"/>
      <c r="G302" s="38" t="s">
        <v>269</v>
      </c>
      <c r="H302" s="40" t="s">
        <v>1964</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15" customHeight="1">
      <c r="B303" s="38"/>
      <c r="C303" s="822"/>
      <c r="D303" s="824"/>
      <c r="E303" s="39"/>
      <c r="F303" s="39"/>
      <c r="G303" s="38" t="s">
        <v>259</v>
      </c>
      <c r="H303" s="37" t="s">
        <v>1965</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1" customFormat="1" ht="15" customHeight="1">
      <c r="B304" s="38"/>
      <c r="C304" s="822"/>
      <c r="D304" s="824"/>
      <c r="E304" s="39"/>
      <c r="F304" s="39"/>
      <c r="G304" s="38" t="s">
        <v>352</v>
      </c>
      <c r="H304" s="37" t="s">
        <v>365</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1" customFormat="1" ht="15" customHeight="1">
      <c r="B305" s="38"/>
      <c r="C305" s="822"/>
      <c r="D305" s="824"/>
      <c r="E305" s="39"/>
      <c r="F305" s="39"/>
      <c r="G305" s="38" t="s">
        <v>354</v>
      </c>
      <c r="H305" s="40" t="s">
        <v>1966</v>
      </c>
      <c r="I305" s="41"/>
      <c r="J305" s="41"/>
      <c r="K305" s="288" t="str" cm="1">
        <f t="array" ref="K305">IF(ISBLANK(J305), IF(ISBLANK(I305), "N/A", _xlfn.IFS(L305="AS", I305+15, L305="NCR", I305+30, L305="submitted", I305+30, TRUE, "N/A")), _xlfn.IFS(L305="AS", J305+15, L305="NCR", J305+30, L305="submitted", J305+30, TRUE, "N/A"))</f>
        <v>N/A</v>
      </c>
      <c r="L305" s="38"/>
      <c r="M305" s="318"/>
      <c r="N305" s="747"/>
    </row>
    <row r="306" spans="2:14" s="1" customFormat="1" ht="15" customHeight="1">
      <c r="B306" s="38"/>
      <c r="C306" s="822"/>
      <c r="D306" s="824"/>
      <c r="E306" s="39"/>
      <c r="F306" s="39"/>
      <c r="G306" s="38" t="s">
        <v>356</v>
      </c>
      <c r="H306" s="40" t="s">
        <v>1967</v>
      </c>
      <c r="I306" s="41"/>
      <c r="J306" s="41"/>
      <c r="K306" s="288" t="str" cm="1">
        <f t="array" ref="K306">IF(ISBLANK(J306), IF(ISBLANK(I306), "N/A", _xlfn.IFS(L306="AS", I306+15, L306="NCR", I306+30, L306="submitted", I306+30, TRUE, "N/A")), _xlfn.IFS(L306="AS", J306+15, L306="NCR", J306+30, L306="submitted", J306+30, TRUE, "N/A"))</f>
        <v>N/A</v>
      </c>
      <c r="L306" s="38"/>
      <c r="M306" s="317"/>
      <c r="N306" s="747"/>
    </row>
    <row r="307" spans="2:14" s="94" customFormat="1" ht="27" customHeight="1">
      <c r="B307" s="90"/>
      <c r="C307" s="900"/>
      <c r="D307" s="901"/>
      <c r="E307" s="91"/>
      <c r="F307" s="91"/>
      <c r="G307" s="90" t="s">
        <v>358</v>
      </c>
      <c r="H307" s="92" t="s">
        <v>1968</v>
      </c>
      <c r="I307" s="93"/>
      <c r="J307" s="93"/>
      <c r="K307" s="288" t="str" cm="1">
        <f t="array" ref="K307">IF(ISBLANK(J307), IF(ISBLANK(I307), "N/A", _xlfn.IFS(L307="AS", I307+15, L307="NCR", I307+30, L307="submitted", I307+30, TRUE, "N/A")), _xlfn.IFS(L307="AS", J307+15, L307="NCR", J307+30, L307="submitted", J307+30, TRUE, "N/A"))</f>
        <v>N/A</v>
      </c>
      <c r="L307" s="90"/>
      <c r="M307" s="317"/>
      <c r="N307" s="747"/>
    </row>
    <row r="308" spans="2:14" s="5" customFormat="1" ht="15" customHeight="1">
      <c r="B308" s="73"/>
      <c r="C308" s="95" t="s">
        <v>1969</v>
      </c>
      <c r="D308" s="36" t="s">
        <v>1970</v>
      </c>
      <c r="E308" s="36"/>
      <c r="F308" s="36"/>
      <c r="G308" s="73" t="s">
        <v>208</v>
      </c>
      <c r="H308" s="36" t="s">
        <v>1971</v>
      </c>
      <c r="I308" s="74"/>
      <c r="J308" s="74"/>
      <c r="K308" s="288" t="str" cm="1">
        <f t="array" ref="K308">IF(ISBLANK(J308), IF(ISBLANK(I308), "N/A", _xlfn.IFS(L308="AS", I308+15, L308="NCR", I308+30, L308="submitted", I308+30, TRUE, "N/A")), _xlfn.IFS(L308="AS", J308+15, L308="NCR", J308+30, L308="submitted", J308+30, TRUE, "N/A"))</f>
        <v>N/A</v>
      </c>
      <c r="L308" s="73"/>
      <c r="M308" s="317"/>
      <c r="N308" s="747"/>
    </row>
    <row r="309" spans="2:14" s="1" customFormat="1" ht="15" customHeight="1">
      <c r="B309" s="9"/>
      <c r="C309" s="821" t="s">
        <v>1972</v>
      </c>
      <c r="D309" s="823" t="s">
        <v>1973</v>
      </c>
      <c r="E309" s="37"/>
      <c r="F309" s="37"/>
      <c r="G309" s="9" t="s">
        <v>208</v>
      </c>
      <c r="H309" s="13" t="s">
        <v>1974</v>
      </c>
      <c r="I309" s="14"/>
      <c r="J309" s="14"/>
      <c r="K309" s="288" t="str" cm="1">
        <f t="array" ref="K309">IF(ISBLANK(J309), IF(ISBLANK(I309), "N/A", _xlfn.IFS(L309="AS", I309+15, L309="NCR", I309+30, L309="submitted", I309+30, TRUE, "N/A")), _xlfn.IFS(L309="AS", J309+15, L309="NCR", J309+30, L309="submitted", J309+30, TRUE, "N/A"))</f>
        <v>N/A</v>
      </c>
      <c r="L309" s="9"/>
    </row>
    <row r="310" spans="2:14" s="1" customFormat="1" ht="15" customHeight="1">
      <c r="B310" s="9"/>
      <c r="C310" s="822"/>
      <c r="D310" s="824"/>
      <c r="E310" s="39"/>
      <c r="F310" s="39"/>
      <c r="G310" s="9" t="s">
        <v>281</v>
      </c>
      <c r="H310" s="13" t="s">
        <v>1975</v>
      </c>
      <c r="I310" s="14"/>
      <c r="J310" s="14"/>
      <c r="K310" s="288" t="str" cm="1">
        <f t="array" ref="K310">IF(ISBLANK(J310), IF(ISBLANK(I310), "N/A", _xlfn.IFS(L310="AS", I310+15, L310="NCR", I310+30, L310="submitted", I310+30, TRUE, "N/A")), _xlfn.IFS(L310="AS", J310+15, L310="NCR", J310+30, L310="submitted", J310+30, TRUE, "N/A"))</f>
        <v>N/A</v>
      </c>
      <c r="L310" s="9"/>
    </row>
    <row r="311" spans="2:14" s="1" customFormat="1" ht="27" customHeight="1">
      <c r="B311" s="9"/>
      <c r="C311" s="807"/>
      <c r="D311" s="809"/>
      <c r="E311" s="46"/>
      <c r="F311" s="46"/>
      <c r="G311" s="9" t="s">
        <v>269</v>
      </c>
      <c r="H311" s="7" t="s">
        <v>1976</v>
      </c>
      <c r="I311" s="14"/>
      <c r="J311" s="14"/>
      <c r="K311" s="288" t="str" cm="1">
        <f t="array" ref="K311">IF(ISBLANK(J311), IF(ISBLANK(I311), "N/A", _xlfn.IFS(L311="AS", I311+15, L311="NCR", I311+30, L311="submitted", I311+30, TRUE, "N/A")), _xlfn.IFS(L311="AS", J311+15, L311="NCR", J311+30, L311="submitted", J311+30, TRUE, "N/A"))</f>
        <v>N/A</v>
      </c>
      <c r="L311" s="9"/>
    </row>
    <row r="312" spans="2:14" s="5" customFormat="1" ht="27" customHeight="1">
      <c r="B312" s="4"/>
      <c r="C312" s="825" t="s">
        <v>1977</v>
      </c>
      <c r="D312" s="827" t="s">
        <v>1978</v>
      </c>
      <c r="E312" s="34"/>
      <c r="F312" s="34"/>
      <c r="G312" s="4" t="s">
        <v>208</v>
      </c>
      <c r="H312" s="3" t="s">
        <v>1979</v>
      </c>
      <c r="I312" s="18"/>
      <c r="J312" s="18"/>
      <c r="K312" s="288" t="str" cm="1">
        <f t="array" ref="K312">IF(ISBLANK(J312), IF(ISBLANK(I312), "N/A", _xlfn.IFS(L312="AS", I312+15, L312="NCR", I312+30, L312="submitted", I312+30, TRUE, "N/A")), _xlfn.IFS(L312="AS", J312+15, L312="NCR", J312+30, L312="submitted", J312+30, TRUE, "N/A"))</f>
        <v>N/A</v>
      </c>
      <c r="L312" s="4"/>
    </row>
    <row r="313" spans="2:14" s="5" customFormat="1" ht="15" customHeight="1">
      <c r="B313" s="4"/>
      <c r="C313" s="826"/>
      <c r="D313" s="828"/>
      <c r="E313" s="36"/>
      <c r="F313" s="36"/>
      <c r="G313" s="4" t="s">
        <v>281</v>
      </c>
      <c r="H313" s="17" t="s">
        <v>1980</v>
      </c>
      <c r="I313" s="18"/>
      <c r="J313" s="18"/>
      <c r="K313" s="288" t="str" cm="1">
        <f t="array" ref="K313">IF(ISBLANK(J313), IF(ISBLANK(I313), "N/A", _xlfn.IFS(L313="AS", I313+15, L313="NCR", I313+30, L313="submitted", I313+30, TRUE, "N/A")), _xlfn.IFS(L313="AS", J313+15, L313="NCR", J313+30, L313="submitted", J313+30, TRUE, "N/A"))</f>
        <v>N/A</v>
      </c>
      <c r="L313" s="4"/>
    </row>
    <row r="314" spans="2:14" s="483" customFormat="1" ht="15" customHeight="1">
      <c r="B314" s="348" t="s">
        <v>44</v>
      </c>
      <c r="C314" s="552" t="s">
        <v>1981</v>
      </c>
      <c r="D314" s="351" t="s">
        <v>1982</v>
      </c>
      <c r="E314" s="480" t="s">
        <v>1278</v>
      </c>
      <c r="F314" s="480" t="s">
        <v>1983</v>
      </c>
      <c r="G314" s="348" t="s">
        <v>208</v>
      </c>
      <c r="H314" s="352" t="s">
        <v>1984</v>
      </c>
      <c r="I314" s="482">
        <v>45867</v>
      </c>
      <c r="J314" s="482">
        <v>45903</v>
      </c>
      <c r="K314" s="288" t="str" cm="1">
        <f t="array" ref="K314">IF(ISBLANK(J314), IF(ISBLANK(I314), "N/A", _xlfn.IFS(L314="AS", I314+15, L314="NCR", I314+30, L314="submitted", I314+30, TRUE, "N/A")), _xlfn.IFS(L314="AS", J314+15, L314="NCR", J314+30, L314="submitted", J314+30, TRUE, "N/A"))</f>
        <v>N/A</v>
      </c>
      <c r="L314" s="348" t="s">
        <v>638</v>
      </c>
    </row>
    <row r="315" spans="2:14" s="558" customFormat="1" ht="27" customHeight="1">
      <c r="B315" s="122"/>
      <c r="C315" s="553" t="s">
        <v>1981</v>
      </c>
      <c r="D315" s="554" t="s">
        <v>1982</v>
      </c>
      <c r="E315" s="555" t="s">
        <v>1985</v>
      </c>
      <c r="F315" s="555"/>
      <c r="G315" s="122" t="s">
        <v>281</v>
      </c>
      <c r="H315" s="556" t="s">
        <v>1986</v>
      </c>
      <c r="I315" s="557"/>
      <c r="J315" s="557"/>
      <c r="K315" s="288" t="str" cm="1">
        <f t="array" ref="K315">IF(ISBLANK(J315), IF(ISBLANK(I315), "N/A", _xlfn.IFS(L315="AS", I315+15, L315="NCR", I315+30, L315="submitted", I315+30, TRUE, "N/A")), _xlfn.IFS(L315="AS", J315+15, L315="NCR", J315+30, L315="submitted", J315+30, TRUE, "N/A"))</f>
        <v>N/A</v>
      </c>
      <c r="L315" s="122"/>
    </row>
    <row r="316" spans="2:14" s="26" customFormat="1" ht="15" customHeight="1">
      <c r="B316" s="22"/>
      <c r="C316" s="96" t="s">
        <v>1987</v>
      </c>
      <c r="D316" s="27" t="s">
        <v>1988</v>
      </c>
      <c r="E316" s="27"/>
      <c r="F316" s="27"/>
      <c r="G316" s="22" t="s">
        <v>145</v>
      </c>
      <c r="H316" s="28"/>
      <c r="I316" s="25"/>
      <c r="J316" s="25"/>
      <c r="K316" s="288" t="str" cm="1">
        <f t="array" ref="K316">IF(ISBLANK(J316), IF(ISBLANK(I316), "N/A", _xlfn.IFS(L316="AS", I316+15, L316="NCR", I316+30, L316="submitted", I316+30, TRUE, "N/A")), _xlfn.IFS(L316="AS", J316+15, L316="NCR", J316+30, L316="submitted", J316+30, TRUE, "N/A"))</f>
        <v>N/A</v>
      </c>
      <c r="L316" s="22"/>
    </row>
    <row r="317" spans="2:14" s="5" customFormat="1" ht="15" customHeight="1">
      <c r="B317" s="4"/>
      <c r="C317" s="825" t="s">
        <v>1989</v>
      </c>
      <c r="D317" s="827" t="s">
        <v>1990</v>
      </c>
      <c r="E317" s="34"/>
      <c r="F317" s="34"/>
      <c r="G317" s="4" t="s">
        <v>208</v>
      </c>
      <c r="H317" s="17" t="s">
        <v>484</v>
      </c>
      <c r="I317" s="18"/>
      <c r="J317" s="18"/>
      <c r="K317" s="288" t="str" cm="1">
        <f t="array" ref="K317">IF(ISBLANK(J317), IF(ISBLANK(I317), "N/A", _xlfn.IFS(L317="AS", I317+15, L317="NCR", I317+30, L317="submitted", I317+30, TRUE, "N/A")), _xlfn.IFS(L317="AS", J317+15, L317="NCR", J317+30, L317="submitted", J317+30, TRUE, "N/A"))</f>
        <v>N/A</v>
      </c>
      <c r="L317" s="4"/>
    </row>
    <row r="318" spans="2:14" s="5" customFormat="1" ht="15" customHeight="1">
      <c r="B318" s="4"/>
      <c r="C318" s="829"/>
      <c r="D318" s="830"/>
      <c r="E318" s="35"/>
      <c r="F318" s="35"/>
      <c r="G318" s="4" t="s">
        <v>281</v>
      </c>
      <c r="H318" s="17" t="s">
        <v>1991</v>
      </c>
      <c r="I318" s="18"/>
      <c r="J318" s="18"/>
      <c r="K318" s="288" t="str" cm="1">
        <f t="array" ref="K318">IF(ISBLANK(J318), IF(ISBLANK(I318), "N/A", _xlfn.IFS(L318="AS", I318+15, L318="NCR", I318+30, L318="submitted", I318+30, TRUE, "N/A")), _xlfn.IFS(L318="AS", J318+15, L318="NCR", J318+30, L318="submitted", J318+30, TRUE, "N/A"))</f>
        <v>N/A</v>
      </c>
      <c r="L318" s="4"/>
    </row>
    <row r="319" spans="2:14" s="5" customFormat="1" ht="15" customHeight="1">
      <c r="B319" s="4"/>
      <c r="C319" s="826"/>
      <c r="D319" s="828"/>
      <c r="E319" s="36"/>
      <c r="F319" s="36"/>
      <c r="G319" s="4" t="s">
        <v>269</v>
      </c>
      <c r="H319" s="17" t="s">
        <v>1965</v>
      </c>
      <c r="I319" s="18"/>
      <c r="J319" s="18"/>
      <c r="K319" s="288" t="str" cm="1">
        <f t="array" ref="K319">IF(ISBLANK(J319), IF(ISBLANK(I319), "N/A", _xlfn.IFS(L319="AS", I319+15, L319="NCR", I319+30, L319="submitted", I319+30, TRUE, "N/A")), _xlfn.IFS(L319="AS", J319+15, L319="NCR", J319+30, L319="submitted", J319+30, TRUE, "N/A"))</f>
        <v>N/A</v>
      </c>
      <c r="L319" s="4"/>
    </row>
    <row r="320" spans="2:14" s="1" customFormat="1" ht="27" customHeight="1">
      <c r="B320" s="9"/>
      <c r="C320" s="821" t="s">
        <v>1992</v>
      </c>
      <c r="D320" s="823" t="s">
        <v>1993</v>
      </c>
      <c r="E320" s="37"/>
      <c r="F320" s="37"/>
      <c r="G320" s="9" t="s">
        <v>208</v>
      </c>
      <c r="H320" s="7" t="s">
        <v>1994</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822"/>
      <c r="D321" s="824"/>
      <c r="E321" s="39"/>
      <c r="F321" s="39"/>
      <c r="G321" s="9" t="s">
        <v>281</v>
      </c>
      <c r="H321" s="13" t="s">
        <v>282</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22"/>
      <c r="D322" s="824"/>
      <c r="E322" s="39"/>
      <c r="F322" s="39" t="s">
        <v>161</v>
      </c>
      <c r="G322" s="9" t="s">
        <v>269</v>
      </c>
      <c r="H322" s="7" t="s">
        <v>1995</v>
      </c>
      <c r="I322" s="14"/>
      <c r="J322" s="14"/>
      <c r="K322" s="288" t="str" cm="1">
        <f t="array" ref="K322">IF(ISBLANK(J322), IF(ISBLANK(I322), "N/A", _xlfn.IFS(L322="AS", I322+15, L322="NCR", I322+30, L322="submitted", I322+30, TRUE, "N/A")), _xlfn.IFS(L322="AS", J322+15, L322="NCR", J322+30, L322="submitted", J322+30, TRUE, "N/A"))</f>
        <v>N/A</v>
      </c>
      <c r="L322" s="9"/>
    </row>
    <row r="323" spans="2:12" s="1" customFormat="1" ht="27" customHeight="1">
      <c r="B323" s="9"/>
      <c r="C323" s="822"/>
      <c r="D323" s="824"/>
      <c r="E323" s="39"/>
      <c r="F323" s="39"/>
      <c r="G323" s="9" t="s">
        <v>259</v>
      </c>
      <c r="H323" s="7" t="s">
        <v>1996</v>
      </c>
      <c r="I323" s="14"/>
      <c r="J323" s="14"/>
      <c r="K323" s="288" t="str" cm="1">
        <f t="array" ref="K323">IF(ISBLANK(J323), IF(ISBLANK(I323), "N/A", _xlfn.IFS(L323="AS", I323+15, L323="NCR", I323+30, L323="submitted", I323+30, TRUE, "N/A")), _xlfn.IFS(L323="AS", J323+15, L323="NCR", J323+30, L323="submitted", J323+30, TRUE, "N/A"))</f>
        <v>N/A</v>
      </c>
      <c r="L323" s="9"/>
    </row>
    <row r="324" spans="2:12" s="1" customFormat="1" ht="15" customHeight="1">
      <c r="B324" s="9"/>
      <c r="C324" s="807"/>
      <c r="D324" s="809"/>
      <c r="E324" s="46"/>
      <c r="F324" s="46"/>
      <c r="G324" s="9" t="s">
        <v>352</v>
      </c>
      <c r="H324" s="13" t="s">
        <v>1870</v>
      </c>
      <c r="I324" s="14"/>
      <c r="J324" s="14"/>
      <c r="K324" s="288" t="str" cm="1">
        <f t="array" ref="K324">IF(ISBLANK(J324), IF(ISBLANK(I324), "N/A", _xlfn.IFS(L324="AS", I324+15, L324="NCR", I324+30, L324="submitted", I324+30, TRUE, "N/A")), _xlfn.IFS(L324="AS", J324+15, L324="NCR", J324+30, L324="submitted", J324+30, TRUE, "N/A"))</f>
        <v>N/A</v>
      </c>
      <c r="L324" s="9"/>
    </row>
    <row r="325" spans="2:12" s="652" customFormat="1" ht="27" customHeight="1">
      <c r="B325" s="187" t="s">
        <v>48</v>
      </c>
      <c r="C325" s="892" t="s">
        <v>1997</v>
      </c>
      <c r="D325" s="895" t="s">
        <v>1998</v>
      </c>
      <c r="E325" s="647" t="s">
        <v>49</v>
      </c>
      <c r="F325" s="647"/>
      <c r="G325" s="187" t="s">
        <v>134</v>
      </c>
      <c r="H325" s="648" t="s">
        <v>1999</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893"/>
      <c r="D326" s="896"/>
      <c r="E326" s="671"/>
      <c r="F326" s="671"/>
      <c r="G326" s="187" t="s">
        <v>136</v>
      </c>
      <c r="H326" s="648" t="s">
        <v>2000</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893"/>
      <c r="D327" s="896"/>
      <c r="E327" s="647" t="s">
        <v>49</v>
      </c>
      <c r="F327" s="671"/>
      <c r="G327" s="187" t="s">
        <v>138</v>
      </c>
      <c r="H327" s="648" t="s">
        <v>2001</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652" customFormat="1" ht="27" customHeight="1">
      <c r="B328" s="187" t="s">
        <v>48</v>
      </c>
      <c r="C328" s="893"/>
      <c r="D328" s="896"/>
      <c r="E328" s="647" t="s">
        <v>49</v>
      </c>
      <c r="F328" s="671" t="s">
        <v>161</v>
      </c>
      <c r="G328" s="187" t="s">
        <v>166</v>
      </c>
      <c r="H328" s="648" t="s">
        <v>2002</v>
      </c>
      <c r="I328" s="649">
        <v>45854</v>
      </c>
      <c r="J328" s="649">
        <v>45922</v>
      </c>
      <c r="K328" s="288" cm="1">
        <f t="array" ref="K328">IF(ISBLANK(J328), IF(ISBLANK(I328), "N/A", _xlfn.IFS(L328="AS", I328+15, L328="NCR", I328+30, L328="submitted", I328+30, TRUE, "N/A")), _xlfn.IFS(L328="AS", J328+15, L328="NCR", J328+30, L328="submitted", J328+30, TRUE, "N/A"))</f>
        <v>45952</v>
      </c>
      <c r="L328" s="187" t="s">
        <v>157</v>
      </c>
    </row>
    <row r="329" spans="2:12" s="652" customFormat="1" ht="27" customHeight="1">
      <c r="B329" s="187" t="s">
        <v>48</v>
      </c>
      <c r="C329" s="894"/>
      <c r="D329" s="897"/>
      <c r="E329" s="647" t="s">
        <v>49</v>
      </c>
      <c r="F329" s="672"/>
      <c r="G329" s="187" t="s">
        <v>169</v>
      </c>
      <c r="H329" s="648" t="s">
        <v>2003</v>
      </c>
      <c r="I329" s="649">
        <v>45854</v>
      </c>
      <c r="J329" s="649">
        <v>45922</v>
      </c>
      <c r="K329" s="288" cm="1">
        <f t="array" ref="K329">IF(ISBLANK(J329), IF(ISBLANK(I329), "N/A", _xlfn.IFS(L329="AS", I329+15, L329="NCR", I329+30, L329="submitted", I329+30, TRUE, "N/A")), _xlfn.IFS(L329="AS", J329+15, L329="NCR", J329+30, L329="submitted", J329+30, TRUE, "N/A"))</f>
        <v>45952</v>
      </c>
      <c r="L329" s="187" t="s">
        <v>157</v>
      </c>
    </row>
    <row r="330" spans="2:12" s="138" customFormat="1" ht="27" customHeight="1">
      <c r="B330" s="151" t="s">
        <v>50</v>
      </c>
      <c r="C330" s="169" t="s">
        <v>2004</v>
      </c>
      <c r="D330" s="388" t="s">
        <v>2005</v>
      </c>
      <c r="E330" s="155" t="s">
        <v>2006</v>
      </c>
      <c r="F330" s="536"/>
      <c r="G330" s="151" t="s">
        <v>131</v>
      </c>
      <c r="H330" s="152" t="s">
        <v>484</v>
      </c>
      <c r="I330" s="261">
        <v>45854</v>
      </c>
      <c r="J330" s="261">
        <v>45922</v>
      </c>
      <c r="K330" s="288" t="str" cm="1">
        <f t="array" ref="K330">IF(ISBLANK(J330), IF(ISBLANK(I330), "N/A", _xlfn.IFS(L330="AS", I330+15, L330="NCR", I330+30, L330="submitted", I330+30, TRUE, "N/A")), _xlfn.IFS(L330="AS", J330+15, L330="NCR", J330+30, L330="submitted", J330+30, TRUE, "N/A"))</f>
        <v>N/A</v>
      </c>
      <c r="L330" s="151" t="s">
        <v>638</v>
      </c>
    </row>
    <row r="331" spans="2:12" s="5" customFormat="1" ht="15" customHeight="1">
      <c r="B331" s="4"/>
      <c r="C331" s="54" t="s">
        <v>2004</v>
      </c>
      <c r="D331" s="345" t="s">
        <v>2005</v>
      </c>
      <c r="E331" s="157"/>
      <c r="F331" s="308"/>
      <c r="G331" s="4" t="s">
        <v>131</v>
      </c>
      <c r="H331" s="17" t="s">
        <v>484</v>
      </c>
      <c r="I331" s="18"/>
      <c r="J331" s="18"/>
      <c r="K331" s="288" t="str" cm="1">
        <f t="array" ref="K331">IF(ISBLANK(J331), IF(ISBLANK(I331), "N/A", _xlfn.IFS(L331="AS", I331+15, L331="NCR", I331+30, L331="submitted", I331+30, TRUE, "N/A")), _xlfn.IFS(L331="AS", J331+15, L331="NCR", J331+30, L331="submitted", J331+30, TRUE, "N/A"))</f>
        <v>N/A</v>
      </c>
      <c r="L331" s="4"/>
    </row>
    <row r="332" spans="2:12" s="5" customFormat="1" ht="15" customHeight="1">
      <c r="B332" s="4"/>
      <c r="C332" s="54" t="s">
        <v>2004</v>
      </c>
      <c r="D332" s="345" t="s">
        <v>2005</v>
      </c>
      <c r="E332" s="143"/>
      <c r="F332" s="309"/>
      <c r="G332" s="4" t="s">
        <v>134</v>
      </c>
      <c r="H332" s="3" t="s">
        <v>2007</v>
      </c>
      <c r="I332" s="18"/>
      <c r="J332" s="18"/>
      <c r="K332" s="288" t="str" cm="1">
        <f t="array" ref="K332">IF(ISBLANK(J332), IF(ISBLANK(I332), "N/A", _xlfn.IFS(L332="AS", I332+15, L332="NCR", I332+30, L332="submitted", I332+30, TRUE, "N/A")), _xlfn.IFS(L332="AS", J332+15, L332="NCR", J332+30, L332="submitted", J332+30, TRUE, "N/A"))</f>
        <v>N/A</v>
      </c>
      <c r="L332" s="4"/>
    </row>
    <row r="333" spans="2:12" s="1" customFormat="1" ht="15" customHeight="1">
      <c r="B333" s="9"/>
      <c r="C333" s="821" t="s">
        <v>2008</v>
      </c>
      <c r="D333" s="823" t="s">
        <v>2009</v>
      </c>
      <c r="E333" s="39"/>
      <c r="F333" s="37"/>
      <c r="G333" s="9" t="s">
        <v>208</v>
      </c>
      <c r="H333" s="13" t="s">
        <v>484</v>
      </c>
      <c r="I333" s="14"/>
      <c r="J333" s="14"/>
      <c r="K333" s="288" t="str" cm="1">
        <f t="array" ref="K333">IF(ISBLANK(J333), IF(ISBLANK(I333), "N/A", _xlfn.IFS(L333="AS", I333+15, L333="NCR", I333+30, L333="submitted", I333+30, TRUE, "N/A")), _xlfn.IFS(L333="AS", J333+15, L333="NCR", J333+30, L333="submitted", J333+30, TRUE, "N/A"))</f>
        <v>N/A</v>
      </c>
      <c r="L333" s="9"/>
    </row>
    <row r="334" spans="2:12" s="1" customFormat="1" ht="15" customHeight="1">
      <c r="B334" s="9"/>
      <c r="C334" s="822"/>
      <c r="D334" s="824"/>
      <c r="E334" s="39"/>
      <c r="F334" s="39"/>
      <c r="G334" s="9" t="s">
        <v>281</v>
      </c>
      <c r="H334" s="13" t="s">
        <v>282</v>
      </c>
      <c r="I334" s="14"/>
      <c r="J334" s="14"/>
      <c r="K334" s="288" t="str" cm="1">
        <f t="array" ref="K334">IF(ISBLANK(J334), IF(ISBLANK(I334), "N/A", _xlfn.IFS(L334="AS", I334+15, L334="NCR", I334+30, L334="submitted", I334+30, TRUE, "N/A")), _xlfn.IFS(L334="AS", J334+15, L334="NCR", J334+30, L334="submitted", J334+30, TRUE, "N/A"))</f>
        <v>N/A</v>
      </c>
      <c r="L334" s="9"/>
    </row>
    <row r="335" spans="2:12" s="1" customFormat="1" ht="15" customHeight="1">
      <c r="B335" s="9"/>
      <c r="C335" s="822"/>
      <c r="D335" s="824"/>
      <c r="E335" s="39"/>
      <c r="F335" s="39"/>
      <c r="G335" s="9" t="s">
        <v>269</v>
      </c>
      <c r="H335" s="7" t="s">
        <v>2010</v>
      </c>
      <c r="I335" s="14"/>
      <c r="J335" s="14"/>
      <c r="K335" s="288" t="str" cm="1">
        <f t="array" ref="K335">IF(ISBLANK(J335), IF(ISBLANK(I335), "N/A", _xlfn.IFS(L335="AS", I335+15, L335="NCR", I335+30, L335="submitted", I335+30, TRUE, "N/A")), _xlfn.IFS(L335="AS", J335+15, L335="NCR", J335+30, L335="submitted", J335+30, TRUE, "N/A"))</f>
        <v>N/A</v>
      </c>
      <c r="L335" s="9"/>
    </row>
    <row r="336" spans="2:12" s="1" customFormat="1" ht="15" customHeight="1">
      <c r="B336" s="9"/>
      <c r="C336" s="807"/>
      <c r="D336" s="809"/>
      <c r="E336" s="46"/>
      <c r="F336" s="46"/>
      <c r="G336" s="9" t="s">
        <v>259</v>
      </c>
      <c r="H336" s="13" t="s">
        <v>341</v>
      </c>
      <c r="I336" s="14"/>
      <c r="J336" s="14"/>
      <c r="K336" s="288" t="str" cm="1">
        <f t="array" ref="K336">IF(ISBLANK(J336), IF(ISBLANK(I336), "N/A", _xlfn.IFS(L336="AS", I336+15, L336="NCR", I336+30, L336="submitted", I336+30, TRUE, "N/A")), _xlfn.IFS(L336="AS", J336+15, L336="NCR", J336+30, L336="submitted", J336+30, TRUE, "N/A"))</f>
        <v>N/A</v>
      </c>
      <c r="L336" s="9"/>
    </row>
    <row r="337" spans="2:12" s="26" customFormat="1" ht="46.5" customHeight="1">
      <c r="B337" s="22" t="s">
        <v>2011</v>
      </c>
      <c r="C337" s="128" t="s">
        <v>2012</v>
      </c>
      <c r="D337" s="129" t="s">
        <v>2013</v>
      </c>
      <c r="E337" s="27" t="s">
        <v>2014</v>
      </c>
      <c r="F337" s="76" t="s">
        <v>524</v>
      </c>
      <c r="G337" s="22" t="s">
        <v>208</v>
      </c>
      <c r="H337" s="28" t="s">
        <v>2015</v>
      </c>
      <c r="I337" s="25">
        <v>45912</v>
      </c>
      <c r="J337" s="25">
        <v>45926</v>
      </c>
      <c r="K337" s="288" cm="1">
        <f t="array" ref="K337">IF(ISBLANK(J337), IF(ISBLANK(I337), "N/A", _xlfn.IFS(L337="AS", I337+15, L337="NCR", I337+30, L337="submitted", I337+30, TRUE, "N/A")), _xlfn.IFS(L337="AS", J337+15, L337="NCR", J337+30, L337="submitted", J337+30, TRUE, "N/A"))</f>
        <v>45956</v>
      </c>
      <c r="L337" s="22" t="s">
        <v>157</v>
      </c>
    </row>
    <row r="338" spans="2:12" s="26" customFormat="1" ht="61.5" customHeight="1">
      <c r="B338" s="22"/>
      <c r="C338" s="128" t="s">
        <v>2012</v>
      </c>
      <c r="D338" s="358" t="s">
        <v>2013</v>
      </c>
      <c r="E338" s="202"/>
      <c r="F338" s="202"/>
      <c r="G338" s="203" t="s">
        <v>281</v>
      </c>
      <c r="H338" s="28" t="s">
        <v>2016</v>
      </c>
      <c r="I338" s="25"/>
      <c r="J338" s="25"/>
      <c r="K338" s="288" t="str" cm="1">
        <f t="array" ref="K338">IF(ISBLANK(J338), IF(ISBLANK(I338), "N/A", _xlfn.IFS(L338="AS", I338+15, L338="NCR", I338+30, L338="submitted", I338+30, TRUE, "N/A")), _xlfn.IFS(L338="AS", J338+15, L338="NCR", J338+30, L338="submitted", J338+30, TRUE, "N/A"))</f>
        <v>N/A</v>
      </c>
      <c r="L338" s="22"/>
    </row>
    <row r="339" spans="2:12" s="26" customFormat="1" ht="30.75" customHeight="1">
      <c r="B339" s="22"/>
      <c r="C339" s="128" t="s">
        <v>2012</v>
      </c>
      <c r="D339" s="358" t="s">
        <v>2013</v>
      </c>
      <c r="E339" s="625"/>
      <c r="F339" s="202"/>
      <c r="G339" s="203" t="s">
        <v>269</v>
      </c>
      <c r="H339" s="28" t="s">
        <v>2017</v>
      </c>
      <c r="I339" s="25"/>
      <c r="J339" s="25"/>
      <c r="K339" s="288" t="str" cm="1">
        <f t="array" ref="K339">IF(ISBLANK(J339), IF(ISBLANK(I339), "N/A", _xlfn.IFS(L339="AS", I339+15, L339="NCR", I339+30, L339="submitted", I339+30, TRUE, "N/A")), _xlfn.IFS(L339="AS", J339+15, L339="NCR", J339+30, L339="submitted", J339+30, TRUE, "N/A"))</f>
        <v>N/A</v>
      </c>
      <c r="L339" s="22"/>
    </row>
    <row r="340" spans="2:12" s="26" customFormat="1" ht="53.25" customHeight="1">
      <c r="B340" s="22" t="s">
        <v>2011</v>
      </c>
      <c r="C340" s="128" t="s">
        <v>2012</v>
      </c>
      <c r="D340" s="358" t="s">
        <v>2013</v>
      </c>
      <c r="E340" s="202" t="s">
        <v>2014</v>
      </c>
      <c r="F340" s="587" t="s">
        <v>524</v>
      </c>
      <c r="G340" s="22" t="s">
        <v>259</v>
      </c>
      <c r="H340" s="28" t="s">
        <v>2018</v>
      </c>
      <c r="I340" s="25">
        <v>45912</v>
      </c>
      <c r="J340" s="25">
        <v>45926</v>
      </c>
      <c r="K340" s="288" cm="1">
        <f t="array" ref="K340">IF(ISBLANK(J340), IF(ISBLANK(I340), "N/A", _xlfn.IFS(L340="AS", I340+15, L340="NCR", I340+30, L340="submitted", I340+30, TRUE, "N/A")), _xlfn.IFS(L340="AS", J340+15, L340="NCR", J340+30, L340="submitted", J340+30, TRUE, "N/A"))</f>
        <v>45956</v>
      </c>
      <c r="L340" s="22" t="s">
        <v>157</v>
      </c>
    </row>
    <row r="341" spans="2:12" s="26" customFormat="1" ht="65.25" customHeight="1">
      <c r="B341" s="22" t="s">
        <v>2011</v>
      </c>
      <c r="C341" s="128" t="s">
        <v>2012</v>
      </c>
      <c r="D341" s="358" t="s">
        <v>2013</v>
      </c>
      <c r="E341" s="202" t="s">
        <v>2014</v>
      </c>
      <c r="F341" s="359" t="s">
        <v>524</v>
      </c>
      <c r="G341" s="22" t="s">
        <v>352</v>
      </c>
      <c r="H341" s="28" t="s">
        <v>2019</v>
      </c>
      <c r="I341" s="25">
        <v>45912</v>
      </c>
      <c r="J341" s="25">
        <v>45926</v>
      </c>
      <c r="K341" s="288" cm="1">
        <f t="array" ref="K341">IF(ISBLANK(J341), IF(ISBLANK(I341), "N/A", _xlfn.IFS(L341="AS", I341+15, L341="NCR", I341+30, L341="submitted", I341+30, TRUE, "N/A")), _xlfn.IFS(L341="AS", J341+15, L341="NCR", J341+30, L341="submitted", J341+30, TRUE, "N/A"))</f>
        <v>45956</v>
      </c>
      <c r="L341" s="22" t="s">
        <v>157</v>
      </c>
    </row>
    <row r="342" spans="2:12" s="26" customFormat="1" ht="27" customHeight="1">
      <c r="B342" s="22" t="s">
        <v>2011</v>
      </c>
      <c r="C342" s="128" t="s">
        <v>2012</v>
      </c>
      <c r="D342" s="358" t="s">
        <v>2013</v>
      </c>
      <c r="E342" s="202" t="s">
        <v>2014</v>
      </c>
      <c r="F342" s="359" t="s">
        <v>524</v>
      </c>
      <c r="G342" s="22" t="s">
        <v>354</v>
      </c>
      <c r="H342" s="28" t="s">
        <v>2020</v>
      </c>
      <c r="I342" s="25">
        <v>45912</v>
      </c>
      <c r="J342" s="25">
        <v>45926</v>
      </c>
      <c r="K342" s="288" cm="1">
        <f t="array" ref="K342">IF(ISBLANK(J342), IF(ISBLANK(I342), "N/A", _xlfn.IFS(L342="AS", I342+15, L342="NCR", I342+30, L342="submitted", I342+30, TRUE, "N/A")), _xlfn.IFS(L342="AS", J342+15, L342="NCR", J342+30, L342="submitted", J342+30, TRUE, "N/A"))</f>
        <v>45956</v>
      </c>
      <c r="L342" s="22" t="s">
        <v>157</v>
      </c>
    </row>
    <row r="343" spans="2:12" s="138" customFormat="1" ht="15" customHeight="1">
      <c r="B343" s="151" t="s">
        <v>2021</v>
      </c>
      <c r="C343" s="169" t="s">
        <v>2022</v>
      </c>
      <c r="D343" s="260" t="s">
        <v>2023</v>
      </c>
      <c r="E343" s="518" t="s">
        <v>2023</v>
      </c>
      <c r="F343" s="168" t="s">
        <v>2024</v>
      </c>
      <c r="G343" s="151" t="s">
        <v>281</v>
      </c>
      <c r="H343" s="152" t="s">
        <v>282</v>
      </c>
      <c r="I343" s="261">
        <v>45908</v>
      </c>
      <c r="J343" s="261"/>
      <c r="K343" s="288" t="str" cm="1">
        <f t="array" ref="K343">IF(ISBLANK(J343), IF(ISBLANK(I343), "N/A", _xlfn.IFS(L343="AS", I343+15, L343="NCR", I343+30, L343="submitted", I343+30, TRUE, "N/A")), _xlfn.IFS(L343="AS", J343+15, L343="NCR", J343+30, L343="submitted", J343+30, TRUE, "N/A"))</f>
        <v>N/A</v>
      </c>
      <c r="L343" s="151" t="s">
        <v>638</v>
      </c>
    </row>
    <row r="344" spans="2:12" s="138" customFormat="1" ht="54.75" customHeight="1">
      <c r="B344" s="151" t="s">
        <v>2021</v>
      </c>
      <c r="C344" s="169" t="s">
        <v>2022</v>
      </c>
      <c r="D344" s="260" t="s">
        <v>2023</v>
      </c>
      <c r="E344" s="346" t="s">
        <v>2023</v>
      </c>
      <c r="F344" s="168" t="s">
        <v>2024</v>
      </c>
      <c r="G344" s="151" t="s">
        <v>269</v>
      </c>
      <c r="H344" s="153" t="s">
        <v>2025</v>
      </c>
      <c r="I344" s="261">
        <v>45908</v>
      </c>
      <c r="J344" s="261"/>
      <c r="K344" s="288" t="str" cm="1">
        <f t="array" ref="K344">IF(ISBLANK(J344), IF(ISBLANK(I344), "N/A", _xlfn.IFS(L344="AS", I344+15, L344="NCR", I344+30, L344="submitted", I344+30, TRUE, "N/A")), _xlfn.IFS(L344="AS", J344+15, L344="NCR", J344+30, L344="submitted", J344+30, TRUE, "N/A"))</f>
        <v>N/A</v>
      </c>
      <c r="L344" s="151" t="s">
        <v>638</v>
      </c>
    </row>
    <row r="345" spans="2:12" s="676" customFormat="1" ht="53.25" customHeight="1">
      <c r="B345" s="673"/>
      <c r="C345" s="674" t="s">
        <v>2022</v>
      </c>
      <c r="D345" s="675" t="s">
        <v>2023</v>
      </c>
      <c r="F345" s="676" t="s">
        <v>161</v>
      </c>
      <c r="G345" s="673" t="s">
        <v>259</v>
      </c>
      <c r="H345" s="677" t="s">
        <v>2026</v>
      </c>
      <c r="I345" s="678"/>
      <c r="J345" s="678"/>
      <c r="K345" s="288" t="str" cm="1">
        <f t="array" ref="K345">IF(ISBLANK(J345), IF(ISBLANK(I345), "N/A", _xlfn.IFS(L345="AS", I345+15, L345="NCR", I345+30, L345="submitted", I345+30, TRUE, "N/A")), _xlfn.IFS(L345="AS", J345+15, L345="NCR", J345+30, L345="submitted", J345+30, TRUE, "N/A"))</f>
        <v>N/A</v>
      </c>
      <c r="L345" s="673"/>
    </row>
    <row r="346" spans="2:12" s="138" customFormat="1" ht="45" customHeight="1">
      <c r="B346" s="151" t="s">
        <v>2021</v>
      </c>
      <c r="C346" s="169" t="s">
        <v>2022</v>
      </c>
      <c r="D346" s="260" t="s">
        <v>2023</v>
      </c>
      <c r="E346" s="346" t="s">
        <v>2023</v>
      </c>
      <c r="F346" s="168" t="s">
        <v>2024</v>
      </c>
      <c r="G346" s="151" t="s">
        <v>352</v>
      </c>
      <c r="H346" s="153" t="s">
        <v>2027</v>
      </c>
      <c r="I346" s="261">
        <v>45908</v>
      </c>
      <c r="J346" s="261"/>
      <c r="K346" s="288" t="str" cm="1">
        <f t="array" ref="K346">IF(ISBLANK(J346), IF(ISBLANK(I346), "N/A", _xlfn.IFS(L346="AS", I346+15, L346="NCR", I346+30, L346="submitted", I346+30, TRUE, "N/A")), _xlfn.IFS(L346="AS", J346+15, L346="NCR", J346+30, L346="submitted", J346+30, TRUE, "N/A"))</f>
        <v>N/A</v>
      </c>
      <c r="L346" s="151" t="s">
        <v>638</v>
      </c>
    </row>
    <row r="347" spans="2:12" s="1" customFormat="1" ht="15" customHeight="1">
      <c r="B347" s="9"/>
      <c r="C347" s="47" t="s">
        <v>2028</v>
      </c>
      <c r="D347" s="2" t="s">
        <v>2029</v>
      </c>
      <c r="E347" s="37"/>
      <c r="F347" s="37"/>
      <c r="G347" s="9" t="s">
        <v>2030</v>
      </c>
      <c r="H347" s="13" t="s">
        <v>2031</v>
      </c>
      <c r="I347" s="14"/>
      <c r="J347" s="14"/>
      <c r="K347" s="288" t="str" cm="1">
        <f t="array" ref="K347">IF(ISBLANK(J347), IF(ISBLANK(I347), "N/A", _xlfn.IFS(L347="AS", I347+15, L347="NCR", I347+30, L347="submitted", I347+30, TRUE, "N/A")), _xlfn.IFS(L347="AS", J347+15, L347="NCR", J347+30, L347="submitted", J347+30, TRUE, "N/A"))</f>
        <v>N/A</v>
      </c>
      <c r="L347" s="9"/>
    </row>
    <row r="348" spans="2:12" s="1" customFormat="1" ht="15" customHeight="1">
      <c r="B348" s="38"/>
      <c r="C348" s="47" t="s">
        <v>2028</v>
      </c>
      <c r="D348" s="2" t="s">
        <v>2029</v>
      </c>
      <c r="E348" s="39"/>
      <c r="F348" s="39"/>
      <c r="G348" s="38" t="s">
        <v>1760</v>
      </c>
      <c r="H348" s="37" t="s">
        <v>2032</v>
      </c>
      <c r="I348" s="41"/>
      <c r="J348" s="41"/>
      <c r="K348" s="288"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2028</v>
      </c>
      <c r="D349" s="2" t="s">
        <v>2029</v>
      </c>
      <c r="E349" s="39"/>
      <c r="F349" s="39"/>
      <c r="G349" s="38" t="s">
        <v>2033</v>
      </c>
      <c r="H349" s="37" t="s">
        <v>2034</v>
      </c>
      <c r="I349" s="41"/>
      <c r="J349" s="41"/>
      <c r="K349" s="288" t="str" cm="1">
        <f t="array" ref="K349">IF(ISBLANK(J349), IF(ISBLANK(I349), "N/A", _xlfn.IFS(L349="AS", I349+15, L349="NCR", I349+30, L349="submitted", I349+30, TRUE, "N/A")), _xlfn.IFS(L349="AS", J349+15, L349="NCR", J349+30, L349="submitted", J349+30, TRUE, "N/A"))</f>
        <v>N/A</v>
      </c>
      <c r="L349" s="38"/>
    </row>
    <row r="350" spans="2:12" s="26" customFormat="1" ht="15" customHeight="1">
      <c r="B350" s="99" t="s">
        <v>2035</v>
      </c>
      <c r="C350" s="128" t="s">
        <v>2028</v>
      </c>
      <c r="D350" s="129" t="s">
        <v>2029</v>
      </c>
      <c r="E350" s="27" t="s">
        <v>2036</v>
      </c>
      <c r="F350" s="27"/>
      <c r="G350" s="99" t="s">
        <v>2037</v>
      </c>
      <c r="H350" s="76" t="s">
        <v>235</v>
      </c>
      <c r="I350" s="608">
        <v>45909</v>
      </c>
      <c r="J350" s="608"/>
      <c r="K350" s="288" cm="1">
        <f t="array" ref="K350">IF(ISBLANK(J350), IF(ISBLANK(I350), "N/A", _xlfn.IFS(L350="AS", I350+15, L350="NCR", I350+30, L350="submitted", I350+30, TRUE, "N/A")), _xlfn.IFS(L350="AS", J350+15, L350="NCR", J350+30, L350="submitted", J350+30, TRUE, "N/A"))</f>
        <v>45939</v>
      </c>
      <c r="L350" s="99" t="s">
        <v>581</v>
      </c>
    </row>
    <row r="351" spans="2:12" s="1" customFormat="1" ht="15" customHeight="1">
      <c r="B351" s="38"/>
      <c r="C351" s="47" t="s">
        <v>2028</v>
      </c>
      <c r="D351" s="2" t="s">
        <v>2029</v>
      </c>
      <c r="E351" s="39"/>
      <c r="F351" s="39"/>
      <c r="G351" s="38" t="s">
        <v>2038</v>
      </c>
      <c r="H351" s="37" t="s">
        <v>2039</v>
      </c>
      <c r="I351" s="41"/>
      <c r="J351" s="41"/>
      <c r="K351" s="288" t="str" cm="1">
        <f t="array" ref="K351">IF(ISBLANK(J351), IF(ISBLANK(I351), "N/A", _xlfn.IFS(L351="AS", I351+15, L351="NCR", I351+30, L351="submitted", I351+30, TRUE, "N/A")), _xlfn.IFS(L351="AS", J351+15, L351="NCR", J351+30, L351="submitted", J351+30, TRUE, "N/A"))</f>
        <v>N/A</v>
      </c>
      <c r="L351" s="38"/>
    </row>
    <row r="352" spans="2:12" s="1" customFormat="1" ht="15" customHeight="1">
      <c r="B352" s="38"/>
      <c r="C352" s="47" t="s">
        <v>2028</v>
      </c>
      <c r="D352" s="2" t="s">
        <v>2029</v>
      </c>
      <c r="E352" s="39"/>
      <c r="F352" s="39"/>
      <c r="G352" s="38" t="s">
        <v>2040</v>
      </c>
      <c r="H352" s="37" t="s">
        <v>2041</v>
      </c>
      <c r="I352" s="41"/>
      <c r="J352" s="41"/>
      <c r="K352" s="288" t="str" cm="1">
        <f t="array" ref="K352">IF(ISBLANK(J352), IF(ISBLANK(I352), "N/A", _xlfn.IFS(L352="AS", I352+15, L352="NCR", I352+30, L352="submitted", I352+30, TRUE, "N/A")), _xlfn.IFS(L352="AS", J352+15, L352="NCR", J352+30, L352="submitted", J352+30, TRUE, "N/A"))</f>
        <v>N/A</v>
      </c>
      <c r="L352" s="38"/>
    </row>
    <row r="353" spans="2:12" s="1" customFormat="1" ht="15" customHeight="1">
      <c r="B353" s="38"/>
      <c r="C353" s="47" t="s">
        <v>2028</v>
      </c>
      <c r="D353" s="2" t="s">
        <v>2029</v>
      </c>
      <c r="E353" s="39"/>
      <c r="F353" s="39"/>
      <c r="G353" s="38" t="s">
        <v>2042</v>
      </c>
      <c r="H353" s="37" t="s">
        <v>2043</v>
      </c>
      <c r="I353" s="41"/>
      <c r="J353" s="41"/>
      <c r="K353" s="288" t="str" cm="1">
        <f t="array" ref="K353">IF(ISBLANK(J353), IF(ISBLANK(I353), "N/A", _xlfn.IFS(L353="AS", I353+15, L353="NCR", I353+30, L353="submitted", I353+30, TRUE, "N/A")), _xlfn.IFS(L353="AS", J353+15, L353="NCR", J353+30, L353="submitted", J353+30, TRUE, "N/A"))</f>
        <v>N/A</v>
      </c>
      <c r="L353" s="38"/>
    </row>
    <row r="354" spans="2:12" s="1" customFormat="1" ht="15" customHeight="1">
      <c r="B354" s="38"/>
      <c r="C354" s="47" t="s">
        <v>2028</v>
      </c>
      <c r="D354" s="2" t="s">
        <v>2029</v>
      </c>
      <c r="E354" s="39"/>
      <c r="F354" s="39"/>
      <c r="G354" s="38" t="s">
        <v>2044</v>
      </c>
      <c r="H354" s="37" t="s">
        <v>2045</v>
      </c>
      <c r="I354" s="41"/>
      <c r="J354" s="41"/>
      <c r="K354" s="288" t="str" cm="1">
        <f t="array" ref="K354">IF(ISBLANK(J354), IF(ISBLANK(I354), "N/A", _xlfn.IFS(L354="AS", I354+15, L354="NCR", I354+30, L354="submitted", I354+30, TRUE, "N/A")), _xlfn.IFS(L354="AS", J354+15, L354="NCR", J354+30, L354="submitted", J354+30, TRUE, "N/A"))</f>
        <v>N/A</v>
      </c>
      <c r="L354" s="38"/>
    </row>
    <row r="355" spans="2:12" s="5" customFormat="1" ht="15" customHeight="1">
      <c r="B355" s="19"/>
      <c r="C355" s="825" t="s">
        <v>2046</v>
      </c>
      <c r="D355" s="827" t="s">
        <v>2047</v>
      </c>
      <c r="E355" s="34"/>
      <c r="F355" s="34"/>
      <c r="G355" s="19" t="s">
        <v>391</v>
      </c>
      <c r="H355" s="34" t="s">
        <v>282</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15.75" customHeight="1">
      <c r="B356" s="19"/>
      <c r="C356" s="829"/>
      <c r="D356" s="830"/>
      <c r="E356" s="35"/>
      <c r="F356" s="35"/>
      <c r="G356" s="19" t="s">
        <v>393</v>
      </c>
      <c r="H356" s="34" t="s">
        <v>2048</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29"/>
      <c r="D357" s="830"/>
      <c r="E357" s="35"/>
      <c r="F357" s="35"/>
      <c r="G357" s="19" t="s">
        <v>2049</v>
      </c>
      <c r="H357" s="53" t="s">
        <v>2050</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40.5" customHeight="1">
      <c r="B358" s="19"/>
      <c r="C358" s="829"/>
      <c r="D358" s="830"/>
      <c r="E358" s="35"/>
      <c r="F358" s="35"/>
      <c r="G358" s="19" t="s">
        <v>2051</v>
      </c>
      <c r="H358" s="53" t="s">
        <v>2052</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40.5" customHeight="1">
      <c r="B359" s="19"/>
      <c r="C359" s="829"/>
      <c r="D359" s="830"/>
      <c r="E359" s="35"/>
      <c r="F359" s="35"/>
      <c r="G359" s="19" t="s">
        <v>2053</v>
      </c>
      <c r="H359" s="53" t="s">
        <v>2054</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27" customHeight="1">
      <c r="B360" s="19"/>
      <c r="C360" s="829"/>
      <c r="D360" s="830"/>
      <c r="E360" s="35"/>
      <c r="F360" s="35"/>
      <c r="G360" s="19" t="s">
        <v>2055</v>
      </c>
      <c r="H360" s="53" t="s">
        <v>2056</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15" customHeight="1">
      <c r="B361" s="19"/>
      <c r="C361" s="829"/>
      <c r="D361" s="830"/>
      <c r="E361" s="35"/>
      <c r="F361" s="35"/>
      <c r="G361" s="19" t="s">
        <v>513</v>
      </c>
      <c r="H361" s="34" t="s">
        <v>2057</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15" customHeight="1">
      <c r="B362" s="19"/>
      <c r="C362" s="829"/>
      <c r="D362" s="830"/>
      <c r="E362" s="35"/>
      <c r="F362" s="35"/>
      <c r="G362" s="19" t="s">
        <v>514</v>
      </c>
      <c r="H362" s="34" t="s">
        <v>2058</v>
      </c>
      <c r="I362" s="30"/>
      <c r="J362" s="30"/>
      <c r="K362" s="288" t="str" cm="1">
        <f t="array" ref="K362">IF(ISBLANK(J362), IF(ISBLANK(I362), "N/A", _xlfn.IFS(L362="AS", I362+15, L362="NCR", I362+30, L362="submitted", I362+30, TRUE, "N/A")), _xlfn.IFS(L362="AS", J362+15, L362="NCR", J362+30, L362="submitted", J362+30, TRUE, "N/A"))</f>
        <v>N/A</v>
      </c>
      <c r="L362" s="19"/>
    </row>
    <row r="363" spans="2:12" s="5" customFormat="1" ht="55.5" customHeight="1">
      <c r="B363" s="19"/>
      <c r="C363" s="829"/>
      <c r="D363" s="830"/>
      <c r="E363" s="35"/>
      <c r="F363" s="35"/>
      <c r="G363" s="19" t="s">
        <v>2059</v>
      </c>
      <c r="H363" s="53" t="s">
        <v>2060</v>
      </c>
      <c r="I363" s="30"/>
      <c r="J363" s="30"/>
      <c r="K363" s="288" t="str" cm="1">
        <f t="array" ref="K363">IF(ISBLANK(J363), IF(ISBLANK(I363), "N/A", _xlfn.IFS(L363="AS", I363+15, L363="NCR", I363+30, L363="submitted", I363+30, TRUE, "N/A")), _xlfn.IFS(L363="AS", J363+15, L363="NCR", J363+30, L363="submitted", J363+30, TRUE, "N/A"))</f>
        <v>N/A</v>
      </c>
      <c r="L363" s="19"/>
    </row>
    <row r="364" spans="2:12" s="5" customFormat="1" ht="51.75" customHeight="1">
      <c r="B364" s="19"/>
      <c r="C364" s="829"/>
      <c r="D364" s="830"/>
      <c r="E364" s="35"/>
      <c r="F364" s="35"/>
      <c r="G364" s="19" t="s">
        <v>516</v>
      </c>
      <c r="H364" s="53" t="s">
        <v>2061</v>
      </c>
      <c r="I364" s="30"/>
      <c r="J364" s="30"/>
      <c r="K364" s="288" t="str" cm="1">
        <f t="array" ref="K364">IF(ISBLANK(J364), IF(ISBLANK(I364), "N/A", _xlfn.IFS(L364="AS", I364+15, L364="NCR", I364+30, L364="submitted", I364+30, TRUE, "N/A")), _xlfn.IFS(L364="AS", J364+15, L364="NCR", J364+30, L364="submitted", J364+30, TRUE, "N/A"))</f>
        <v>N/A</v>
      </c>
      <c r="L364" s="19"/>
    </row>
    <row r="365" spans="2:12" s="45" customFormat="1" ht="15.75" customHeight="1">
      <c r="B365" s="42"/>
      <c r="C365" s="868"/>
      <c r="D365" s="869"/>
      <c r="E365" s="49"/>
      <c r="F365" s="49"/>
      <c r="G365" s="42" t="s">
        <v>518</v>
      </c>
      <c r="H365" s="43" t="s">
        <v>2062</v>
      </c>
      <c r="I365" s="44"/>
      <c r="J365" s="44"/>
      <c r="K365" s="288" t="str" cm="1">
        <f t="array" ref="K365">IF(ISBLANK(J365), IF(ISBLANK(I365), "N/A", _xlfn.IFS(L365="AS", I365+15, L365="NCR", I365+30, L365="submitted", I365+30, TRUE, "N/A")), _xlfn.IFS(L365="AS", J365+15, L365="NCR", J365+30, L365="submitted", J365+30, TRUE, "N/A"))</f>
        <v>N/A</v>
      </c>
      <c r="L365" s="42"/>
    </row>
    <row r="366" spans="2:12" s="1" customFormat="1" ht="15" customHeight="1">
      <c r="B366" s="21"/>
      <c r="C366" s="890" t="s">
        <v>2063</v>
      </c>
      <c r="D366" s="891" t="s">
        <v>2064</v>
      </c>
      <c r="E366" s="39"/>
      <c r="F366" s="39"/>
      <c r="G366" s="21" t="s">
        <v>131</v>
      </c>
      <c r="H366" s="46" t="s">
        <v>484</v>
      </c>
      <c r="I366" s="51"/>
      <c r="J366" s="51"/>
      <c r="K366" s="288" t="str" cm="1">
        <f t="array" ref="K366">IF(ISBLANK(J366), IF(ISBLANK(I366), "N/A", _xlfn.IFS(L366="AS", I366+15, L366="NCR", I366+30, L366="submitted", I366+30, TRUE, "N/A")), _xlfn.IFS(L366="AS", J366+15, L366="NCR", J366+30, L366="submitted", J366+30, TRUE, "N/A"))</f>
        <v>N/A</v>
      </c>
      <c r="L366" s="21"/>
    </row>
    <row r="367" spans="2:12" s="1" customFormat="1" ht="15" customHeight="1">
      <c r="B367" s="21"/>
      <c r="C367" s="822"/>
      <c r="D367" s="824"/>
      <c r="E367" s="39"/>
      <c r="F367" s="39"/>
      <c r="G367" s="21" t="s">
        <v>134</v>
      </c>
      <c r="H367" s="46" t="s">
        <v>2065</v>
      </c>
      <c r="I367" s="51"/>
      <c r="J367" s="51"/>
      <c r="K367" s="288" t="str" cm="1">
        <f t="array" ref="K367">IF(ISBLANK(J367), IF(ISBLANK(I367), "N/A", _xlfn.IFS(L367="AS", I367+15, L367="NCR", I367+30, L367="submitted", I367+30, TRUE, "N/A")), _xlfn.IFS(L367="AS", J367+15, L367="NCR", J367+30, L367="submitted", J367+30, TRUE, "N/A"))</f>
        <v>N/A</v>
      </c>
      <c r="L367" s="21"/>
    </row>
    <row r="368" spans="2:12" s="1" customFormat="1" ht="15" customHeight="1">
      <c r="B368" s="21"/>
      <c r="C368" s="822"/>
      <c r="D368" s="824"/>
      <c r="E368" s="39"/>
      <c r="F368" s="39"/>
      <c r="G368" s="21" t="s">
        <v>136</v>
      </c>
      <c r="H368" s="46" t="s">
        <v>341</v>
      </c>
      <c r="I368" s="51"/>
      <c r="J368" s="51"/>
      <c r="K368" s="288" t="str" cm="1">
        <f t="array" ref="K368">IF(ISBLANK(J368), IF(ISBLANK(I368), "N/A", _xlfn.IFS(L368="AS", I368+15, L368="NCR", I368+30, L368="submitted", I368+30, TRUE, "N/A")), _xlfn.IFS(L368="AS", J368+15, L368="NCR", J368+30, L368="submitted", J368+30, TRUE, "N/A"))</f>
        <v>N/A</v>
      </c>
      <c r="L368" s="21"/>
    </row>
    <row r="369" spans="2:12" s="1" customFormat="1" ht="15" customHeight="1">
      <c r="B369" s="21"/>
      <c r="C369" s="807"/>
      <c r="D369" s="809"/>
      <c r="E369" s="46"/>
      <c r="F369" s="46"/>
      <c r="G369" s="21" t="s">
        <v>138</v>
      </c>
      <c r="H369" s="46" t="s">
        <v>2066</v>
      </c>
      <c r="I369" s="51"/>
      <c r="J369" s="51"/>
      <c r="K369" s="288" t="str" cm="1">
        <f t="array" ref="K369">IF(ISBLANK(J369), IF(ISBLANK(I369), "N/A", _xlfn.IFS(L369="AS", I369+15, L369="NCR", I369+30, L369="submitted", I369+30, TRUE, "N/A")), _xlfn.IFS(L369="AS", J369+15, L369="NCR", J369+30, L369="submitted", J369+30, TRUE, "N/A"))</f>
        <v>N/A</v>
      </c>
      <c r="L369" s="21"/>
    </row>
    <row r="370" spans="2:12" s="5" customFormat="1" ht="15" customHeight="1">
      <c r="B370" s="4"/>
      <c r="C370" s="825" t="s">
        <v>2067</v>
      </c>
      <c r="D370" s="827" t="s">
        <v>2068</v>
      </c>
      <c r="E370" s="34"/>
      <c r="F370" s="34"/>
      <c r="G370" s="4" t="s">
        <v>208</v>
      </c>
      <c r="H370" s="17" t="s">
        <v>484</v>
      </c>
      <c r="I370" s="18"/>
      <c r="J370" s="18"/>
      <c r="K370" s="288" t="str" cm="1">
        <f t="array" ref="K370">IF(ISBLANK(J370), IF(ISBLANK(I370), "N/A", _xlfn.IFS(L370="AS", I370+15, L370="NCR", I370+30, L370="submitted", I370+30, TRUE, "N/A")), _xlfn.IFS(L370="AS", J370+15, L370="NCR", J370+30, L370="submitted", J370+30, TRUE, "N/A"))</f>
        <v>N/A</v>
      </c>
      <c r="L370" s="4"/>
    </row>
    <row r="371" spans="2:12" s="5" customFormat="1" ht="15" customHeight="1">
      <c r="B371" s="4"/>
      <c r="C371" s="829"/>
      <c r="D371" s="830"/>
      <c r="E371" s="35"/>
      <c r="F371" s="35"/>
      <c r="G371" s="4" t="s">
        <v>281</v>
      </c>
      <c r="H371" s="17" t="s">
        <v>282</v>
      </c>
      <c r="I371" s="18"/>
      <c r="J371" s="18"/>
      <c r="K371" s="288" t="str" cm="1">
        <f t="array" ref="K371">IF(ISBLANK(J371), IF(ISBLANK(I371), "N/A", _xlfn.IFS(L371="AS", I371+15, L371="NCR", I371+30, L371="submitted", I371+30, TRUE, "N/A")), _xlfn.IFS(L371="AS", J371+15, L371="NCR", J371+30, L371="submitted", J371+30, TRUE, "N/A"))</f>
        <v>N/A</v>
      </c>
      <c r="L371" s="4"/>
    </row>
    <row r="372" spans="2:12" s="5" customFormat="1" ht="15" customHeight="1">
      <c r="B372" s="4"/>
      <c r="C372" s="829"/>
      <c r="D372" s="830"/>
      <c r="E372" s="35"/>
      <c r="F372" s="35"/>
      <c r="G372" s="4" t="s">
        <v>269</v>
      </c>
      <c r="H372" s="17" t="s">
        <v>2069</v>
      </c>
      <c r="I372" s="18"/>
      <c r="J372" s="18"/>
      <c r="K372" s="288" t="str" cm="1">
        <f t="array" ref="K372">IF(ISBLANK(J372), IF(ISBLANK(I372), "N/A", _xlfn.IFS(L372="AS", I372+15, L372="NCR", I372+30, L372="submitted", I372+30, TRUE, "N/A")), _xlfn.IFS(L372="AS", J372+15, L372="NCR", J372+30, L372="submitted", J372+30, TRUE, "N/A"))</f>
        <v>N/A</v>
      </c>
      <c r="L372" s="4"/>
    </row>
    <row r="373" spans="2:12" s="5" customFormat="1" ht="15" customHeight="1">
      <c r="B373" s="4"/>
      <c r="C373" s="826"/>
      <c r="D373" s="828"/>
      <c r="E373" s="36"/>
      <c r="F373" s="36"/>
      <c r="G373" s="4" t="s">
        <v>259</v>
      </c>
      <c r="H373" s="17" t="s">
        <v>341</v>
      </c>
      <c r="I373" s="18"/>
      <c r="J373" s="18"/>
      <c r="K373" s="288" t="str" cm="1">
        <f t="array" ref="K373">IF(ISBLANK(J373), IF(ISBLANK(I373), "N/A", _xlfn.IFS(L373="AS", I373+15, L373="NCR", I373+30, L373="submitted", I373+30, TRUE, "N/A")), _xlfn.IFS(L373="AS", J373+15, L373="NCR", J373+30, L373="submitted", J373+30, TRUE, "N/A"))</f>
        <v>N/A</v>
      </c>
      <c r="L373" s="4"/>
    </row>
    <row r="374" spans="2:12" s="1" customFormat="1" ht="15" customHeight="1">
      <c r="B374" s="38"/>
      <c r="C374" s="47" t="s">
        <v>2070</v>
      </c>
      <c r="D374" s="2" t="s">
        <v>2071</v>
      </c>
      <c r="E374" s="37"/>
      <c r="G374" s="38" t="s">
        <v>208</v>
      </c>
      <c r="H374" s="37" t="s">
        <v>282</v>
      </c>
      <c r="I374" s="38"/>
      <c r="J374" s="41"/>
      <c r="K374" s="288" t="str" cm="1">
        <f t="array" ref="K374">IF(ISBLANK(J374), IF(ISBLANK(I374), "N/A", _xlfn.IFS(L374="AS", I374+15, L374="NCR", I374+30, L374="submitted", I374+30, TRUE, "N/A")), _xlfn.IFS(L374="AS", J374+15, L374="NCR", J374+30, L374="submitted", J374+30, TRUE, "N/A"))</f>
        <v>N/A</v>
      </c>
      <c r="L374" s="41"/>
    </row>
    <row r="375" spans="2:12" s="1" customFormat="1" ht="33.6" customHeight="1">
      <c r="B375" s="38"/>
      <c r="C375" s="48"/>
      <c r="D375" s="2" t="s">
        <v>2071</v>
      </c>
      <c r="E375" s="39"/>
      <c r="G375" s="38" t="s">
        <v>281</v>
      </c>
      <c r="H375" s="40" t="s">
        <v>2072</v>
      </c>
      <c r="I375" s="38"/>
      <c r="J375" s="41"/>
      <c r="K375" s="288" t="str" cm="1">
        <f t="array" ref="K375">IF(ISBLANK(J375), IF(ISBLANK(I375), "N/A", _xlfn.IFS(L375="AS", I375+15, L375="NCR", I375+30, L375="submitted", I375+30, TRUE, "N/A")), _xlfn.IFS(L375="AS", J375+15, L375="NCR", J375+30, L375="submitted", J375+30, TRUE, "N/A"))</f>
        <v>N/A</v>
      </c>
      <c r="L375" s="41"/>
    </row>
    <row r="376" spans="2:12" s="94" customFormat="1" ht="15.75" customHeight="1">
      <c r="B376" s="90"/>
      <c r="C376" s="127"/>
      <c r="D376" s="2" t="s">
        <v>2071</v>
      </c>
      <c r="E376" s="91"/>
      <c r="G376" s="90" t="s">
        <v>329</v>
      </c>
      <c r="H376" s="98" t="s">
        <v>2073</v>
      </c>
      <c r="I376" s="90"/>
      <c r="J376" s="93"/>
      <c r="K376" s="288" t="str" cm="1">
        <f t="array" ref="K376">IF(ISBLANK(J376), IF(ISBLANK(I376), "N/A", _xlfn.IFS(L376="AS", I376+15, L376="NCR", I376+30, L376="submitted", I376+30, TRUE, "N/A")), _xlfn.IFS(L376="AS", J376+15, L376="NCR", J376+30, L376="submitted", J376+30, TRUE, "N/A"))</f>
        <v>N/A</v>
      </c>
      <c r="L376" s="93"/>
    </row>
    <row r="377" spans="2:12" s="149" customFormat="1" ht="15.75" customHeight="1">
      <c r="B377" s="541" t="s">
        <v>52</v>
      </c>
      <c r="C377" s="884" t="s">
        <v>2074</v>
      </c>
      <c r="D377" s="887" t="s">
        <v>2075</v>
      </c>
      <c r="E377" s="219" t="s">
        <v>53</v>
      </c>
      <c r="F377" s="149" t="s">
        <v>1644</v>
      </c>
      <c r="G377" s="334" t="s">
        <v>758</v>
      </c>
      <c r="H377" s="219" t="s">
        <v>2076</v>
      </c>
      <c r="I377" s="542">
        <v>45869</v>
      </c>
      <c r="J377" s="542">
        <v>45903</v>
      </c>
      <c r="K377" s="288" t="str" cm="1">
        <f t="array" ref="K377">IF(ISBLANK(J377), IF(ISBLANK(I377), "N/A", _xlfn.IFS(L377="AS", I377+15, L377="NCR", I377+30, L377="submitted", I377+30, TRUE, "N/A")), _xlfn.IFS(L377="AS", J377+15, L377="NCR", J377+30, L377="submitted", J377+30, TRUE, "N/A"))</f>
        <v>N/A</v>
      </c>
      <c r="L377" s="542" t="s">
        <v>147</v>
      </c>
    </row>
    <row r="378" spans="2:12" s="525" customFormat="1" ht="15.75" customHeight="1">
      <c r="B378" s="754" t="s">
        <v>2077</v>
      </c>
      <c r="C378" s="885"/>
      <c r="D378" s="888"/>
      <c r="E378" s="610" t="s">
        <v>53</v>
      </c>
      <c r="F378" s="525" t="s">
        <v>1644</v>
      </c>
      <c r="G378" s="755" t="s">
        <v>758</v>
      </c>
      <c r="H378" s="610" t="s">
        <v>2076</v>
      </c>
      <c r="I378" s="756">
        <v>45929</v>
      </c>
      <c r="J378" s="756">
        <v>45937</v>
      </c>
      <c r="K378" s="753" t="str" cm="1">
        <f t="array" ref="K378">IF(ISBLANK(J378), IF(ISBLANK(I378), "N/A", _xlfn.IFS(L378="AS", I378+15, L378="NCR", I378+30, L378="submitted", I378+30, TRUE, "N/A")), _xlfn.IFS(L378="AS", J378+15, L378="NCR", J378+30, L378="submitted", J378+30, TRUE, "N/A"))</f>
        <v>N/A</v>
      </c>
      <c r="L378" s="756" t="s">
        <v>151</v>
      </c>
    </row>
    <row r="379" spans="2:12" s="26" customFormat="1" ht="15.75" customHeight="1">
      <c r="B379" s="78"/>
      <c r="C379" s="885"/>
      <c r="D379" s="888"/>
      <c r="E379" s="27"/>
      <c r="G379" s="22" t="s">
        <v>483</v>
      </c>
      <c r="H379" s="24" t="s">
        <v>328</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27" customHeight="1">
      <c r="B380" s="78"/>
      <c r="C380" s="885"/>
      <c r="D380" s="888"/>
      <c r="E380" s="27"/>
      <c r="G380" s="22" t="s">
        <v>485</v>
      </c>
      <c r="H380" s="28" t="s">
        <v>2078</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15.75" customHeight="1">
      <c r="B381" s="78"/>
      <c r="C381" s="885"/>
      <c r="D381" s="888"/>
      <c r="E381" s="27"/>
      <c r="G381" s="22" t="s">
        <v>486</v>
      </c>
      <c r="H381" s="24" t="s">
        <v>2079</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27" customHeight="1">
      <c r="B382" s="78"/>
      <c r="C382" s="885"/>
      <c r="D382" s="888"/>
      <c r="E382" s="27"/>
      <c r="G382" s="22" t="s">
        <v>861</v>
      </c>
      <c r="H382" s="28" t="s">
        <v>2080</v>
      </c>
      <c r="I382" s="78"/>
      <c r="J382" s="80"/>
      <c r="K382" s="288" t="str" cm="1">
        <f t="array" ref="K382">IF(ISBLANK(J382), IF(ISBLANK(I382), "N/A", _xlfn.IFS(L382="AS", I382+15, L382="NCR", I382+30, L382="submitted", I382+30, TRUE, "N/A")), _xlfn.IFS(L382="AS", J382+15, L382="NCR", J382+30, L382="submitted", J382+30, TRUE, "N/A"))</f>
        <v>N/A</v>
      </c>
      <c r="L382" s="80"/>
    </row>
    <row r="383" spans="2:12" s="26" customFormat="1" ht="15.75" customHeight="1">
      <c r="B383" s="78"/>
      <c r="C383" s="885"/>
      <c r="D383" s="888"/>
      <c r="E383" s="27"/>
      <c r="G383" s="22" t="s">
        <v>497</v>
      </c>
      <c r="H383" s="24" t="s">
        <v>2081</v>
      </c>
      <c r="I383" s="78"/>
      <c r="J383" s="80"/>
      <c r="K383" s="288" t="str" cm="1">
        <f t="array" ref="K383">IF(ISBLANK(J383), IF(ISBLANK(I383), "N/A", _xlfn.IFS(L383="AS", I383+15, L383="NCR", I383+30, L383="submitted", I383+30, TRUE, "N/A")), _xlfn.IFS(L383="AS", J383+15, L383="NCR", J383+30, L383="submitted", J383+30, TRUE, "N/A"))</f>
        <v>N/A</v>
      </c>
      <c r="L383" s="80"/>
    </row>
    <row r="384" spans="2:12" s="26" customFormat="1" ht="45" customHeight="1">
      <c r="B384" s="78"/>
      <c r="C384" s="886"/>
      <c r="D384" s="889"/>
      <c r="E384" s="29"/>
      <c r="G384" s="22" t="s">
        <v>489</v>
      </c>
      <c r="H384" s="28" t="s">
        <v>2082</v>
      </c>
      <c r="I384" s="78"/>
      <c r="J384" s="80"/>
      <c r="K384" s="288" t="str" cm="1">
        <f t="array" ref="K384">IF(ISBLANK(J384), IF(ISBLANK(I384), "N/A", _xlfn.IFS(L384="AS", I384+15, L384="NCR", I384+30, L384="submitted", I384+30, TRUE, "N/A")), _xlfn.IFS(L384="AS", J384+15, L384="NCR", J384+30, L384="submitted", J384+30, TRUE, "N/A"))</f>
        <v>N/A</v>
      </c>
      <c r="L384" s="80"/>
    </row>
  </sheetData>
  <mergeCells count="107">
    <mergeCell ref="C87:C91"/>
    <mergeCell ref="D87:D91"/>
    <mergeCell ref="C159:C163"/>
    <mergeCell ref="D159:D163"/>
    <mergeCell ref="B1:H1"/>
    <mergeCell ref="D3:D6"/>
    <mergeCell ref="C12:C13"/>
    <mergeCell ref="D12:D13"/>
    <mergeCell ref="C15:C17"/>
    <mergeCell ref="D15:D17"/>
    <mergeCell ref="C18:C19"/>
    <mergeCell ref="D18:D19"/>
    <mergeCell ref="C118:C129"/>
    <mergeCell ref="D118:D129"/>
    <mergeCell ref="C22:C23"/>
    <mergeCell ref="D22:D23"/>
    <mergeCell ref="C140:C147"/>
    <mergeCell ref="D140:D147"/>
    <mergeCell ref="C148:C149"/>
    <mergeCell ref="D148:D149"/>
    <mergeCell ref="C130:C137"/>
    <mergeCell ref="D130:D137"/>
    <mergeCell ref="C138:C139"/>
    <mergeCell ref="D138:D139"/>
    <mergeCell ref="C112:C117"/>
    <mergeCell ref="D112:D117"/>
    <mergeCell ref="C174:C176"/>
    <mergeCell ref="D174:D176"/>
    <mergeCell ref="C177:C182"/>
    <mergeCell ref="D177:D182"/>
    <mergeCell ref="C183:C185"/>
    <mergeCell ref="D183:D185"/>
    <mergeCell ref="C164:C166"/>
    <mergeCell ref="D164:D166"/>
    <mergeCell ref="C167:C173"/>
    <mergeCell ref="D167:D173"/>
    <mergeCell ref="C196:C199"/>
    <mergeCell ref="D196:D199"/>
    <mergeCell ref="C200:C203"/>
    <mergeCell ref="D200:D203"/>
    <mergeCell ref="C204:C206"/>
    <mergeCell ref="D204:D206"/>
    <mergeCell ref="C191:C192"/>
    <mergeCell ref="D191:D192"/>
    <mergeCell ref="C193:C195"/>
    <mergeCell ref="D193:D195"/>
    <mergeCell ref="D209:D210"/>
    <mergeCell ref="C211:C218"/>
    <mergeCell ref="D211:D218"/>
    <mergeCell ref="C254:C257"/>
    <mergeCell ref="D254:D257"/>
    <mergeCell ref="C258:C259"/>
    <mergeCell ref="D258:D259"/>
    <mergeCell ref="C260:C266"/>
    <mergeCell ref="D260:D266"/>
    <mergeCell ref="C244:C246"/>
    <mergeCell ref="D244:D246"/>
    <mergeCell ref="C248:C251"/>
    <mergeCell ref="D248:D251"/>
    <mergeCell ref="D317:D319"/>
    <mergeCell ref="C20:C21"/>
    <mergeCell ref="D20:D21"/>
    <mergeCell ref="C24:C25"/>
    <mergeCell ref="D24:D25"/>
    <mergeCell ref="C294:C299"/>
    <mergeCell ref="D294:D299"/>
    <mergeCell ref="C300:C307"/>
    <mergeCell ref="D300:D307"/>
    <mergeCell ref="C309:C311"/>
    <mergeCell ref="D309:D311"/>
    <mergeCell ref="C279:C285"/>
    <mergeCell ref="D279:D285"/>
    <mergeCell ref="C286:C293"/>
    <mergeCell ref="D286:D293"/>
    <mergeCell ref="C225:C237"/>
    <mergeCell ref="D225:D237"/>
    <mergeCell ref="C238:C243"/>
    <mergeCell ref="D238:D243"/>
    <mergeCell ref="C267:C278"/>
    <mergeCell ref="D267:D278"/>
    <mergeCell ref="C207:C208"/>
    <mergeCell ref="D207:D208"/>
    <mergeCell ref="C209:C210"/>
    <mergeCell ref="C377:C384"/>
    <mergeCell ref="D377:D384"/>
    <mergeCell ref="C355:C365"/>
    <mergeCell ref="D355:D365"/>
    <mergeCell ref="C366:C369"/>
    <mergeCell ref="D366:D369"/>
    <mergeCell ref="C333:C336"/>
    <mergeCell ref="D333:D336"/>
    <mergeCell ref="N3:Q6"/>
    <mergeCell ref="N7:Q39"/>
    <mergeCell ref="N40:Q49"/>
    <mergeCell ref="N50:Q121"/>
    <mergeCell ref="N122:Q129"/>
    <mergeCell ref="N130:Q206"/>
    <mergeCell ref="N207:Q214"/>
    <mergeCell ref="C370:C373"/>
    <mergeCell ref="D370:D373"/>
    <mergeCell ref="C320:C324"/>
    <mergeCell ref="D320:D324"/>
    <mergeCell ref="C325:C329"/>
    <mergeCell ref="D325:D329"/>
    <mergeCell ref="C312:C313"/>
    <mergeCell ref="D312:D313"/>
    <mergeCell ref="C317:C319"/>
  </mergeCells>
  <conditionalFormatting sqref="E62">
    <cfRule type="expression" dxfId="83" priority="68">
      <formula>$L61="IN PROGRESS"</formula>
    </cfRule>
    <cfRule type="expression" dxfId="82" priority="69">
      <formula>$L61="N"</formula>
    </cfRule>
    <cfRule type="expression" dxfId="81" priority="70">
      <formula>$L61="Y"</formula>
    </cfRule>
  </conditionalFormatting>
  <conditionalFormatting sqref="E61">
    <cfRule type="expression" dxfId="80" priority="56">
      <formula>$L61="IN PROGRESS"</formula>
    </cfRule>
    <cfRule type="expression" dxfId="79" priority="57">
      <formula>$L61="N"</formula>
    </cfRule>
    <cfRule type="expression" dxfId="78" priority="58">
      <formula>$L61="Y"</formula>
    </cfRule>
  </conditionalFormatting>
  <conditionalFormatting sqref="B374:E384 G374:J384 L374:L384">
    <cfRule type="expression" dxfId="77" priority="386">
      <formula>#REF!="IN PROGRESS"</formula>
    </cfRule>
    <cfRule type="expression" dxfId="76" priority="387">
      <formula>#REF!="N"</formula>
    </cfRule>
    <cfRule type="expression" dxfId="75" priority="388">
      <formula>#REF!="Y"</formula>
    </cfRule>
  </conditionalFormatting>
  <conditionalFormatting sqref="C29 C31 C6 C158">
    <cfRule type="expression" dxfId="74" priority="52">
      <formula>$L6="IN PROGRESS"</formula>
    </cfRule>
    <cfRule type="expression" dxfId="73" priority="53">
      <formula>$L6="Rejected"</formula>
    </cfRule>
  </conditionalFormatting>
  <conditionalFormatting sqref="C29 C31 C6 C158">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6:F346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6:F346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51:C153">
    <cfRule type="expression" dxfId="56" priority="46">
      <formula>$L151="IN PROGRESS"</formula>
    </cfRule>
    <cfRule type="expression" dxfId="55" priority="47">
      <formula>$L151="Rejected"</formula>
    </cfRule>
  </conditionalFormatting>
  <conditionalFormatting sqref="C151:C153">
    <cfRule type="expression" dxfId="54" priority="48">
      <formula>$L151="Accepted"</formula>
    </cfRule>
  </conditionalFormatting>
  <conditionalFormatting sqref="C154">
    <cfRule type="expression" dxfId="53" priority="43">
      <formula>$L154="IN PROGRESS"</formula>
    </cfRule>
    <cfRule type="expression" dxfId="52" priority="44">
      <formula>$L154="Rejected"</formula>
    </cfRule>
  </conditionalFormatting>
  <conditionalFormatting sqref="C154">
    <cfRule type="expression" dxfId="51" priority="45">
      <formula>$L154="Accepted"</formula>
    </cfRule>
  </conditionalFormatting>
  <conditionalFormatting sqref="C155">
    <cfRule type="expression" dxfId="50" priority="40">
      <formula>$L155="IN PROGRESS"</formula>
    </cfRule>
    <cfRule type="expression" dxfId="49" priority="41">
      <formula>$L155="Rejected"</formula>
    </cfRule>
  </conditionalFormatting>
  <conditionalFormatting sqref="C155">
    <cfRule type="expression" dxfId="48" priority="42">
      <formula>$L155="Accepted"</formula>
    </cfRule>
  </conditionalFormatting>
  <conditionalFormatting sqref="C156">
    <cfRule type="expression" dxfId="47" priority="37">
      <formula>$L156="IN PROGRESS"</formula>
    </cfRule>
    <cfRule type="expression" dxfId="46" priority="38">
      <formula>$L156="Rejected"</formula>
    </cfRule>
  </conditionalFormatting>
  <conditionalFormatting sqref="C156">
    <cfRule type="expression" dxfId="45" priority="39">
      <formula>$L156="Accepted"</formula>
    </cfRule>
  </conditionalFormatting>
  <conditionalFormatting sqref="C157">
    <cfRule type="expression" dxfId="44" priority="34">
      <formula>$L157="IN PROGRESS"</formula>
    </cfRule>
    <cfRule type="expression" dxfId="43" priority="35">
      <formula>$L157="Rejected"</formula>
    </cfRule>
  </conditionalFormatting>
  <conditionalFormatting sqref="C157">
    <cfRule type="expression" dxfId="42" priority="36">
      <formula>$L157="Accepted"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89:L9004 C188:L188 B3:L187">
    <cfRule type="expression" dxfId="20" priority="6">
      <formula>NOT(OR(INDEX($L:$L,ROW())="NCR",INDEX($L:$L,ROW())="NR",INDEX($L:$L,ROW())="AS",INDEX($L:$L,ROW())="AC",INDEX($L:$L,ROW())="AN",INDEX($L:$L,ROW())="RC",INDEX($L:$L,ROW())="RA",INDEX($L:$L,ROW())="Submitted",INDEX($L:$L,ROW())="REV"))</formula>
    </cfRule>
  </conditionalFormatting>
  <conditionalFormatting sqref="B189:L9004 C188:L188 B3:L187">
    <cfRule type="expression" dxfId="19" priority="5">
      <formula>OR(INDEX($L:$L,ROW())="Submitted",INDEX($L:$L,ROW())="REV")</formula>
    </cfRule>
  </conditionalFormatting>
  <conditionalFormatting sqref="B189:L9004 C188:L188 B2:L187">
    <cfRule type="expression" dxfId="18" priority="4">
      <formula>OR(INDEX($L:$L,ROW())="AC",INDEX($L:$L,ROW())="AN",INDEX($L:$L,ROW())="RC",INDEX($L:$L,ROW())="RA")</formula>
    </cfRule>
  </conditionalFormatting>
  <conditionalFormatting sqref="B189:L9004 C188:L188 B2:L187">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3"/>
  <sheetViews>
    <sheetView tabSelected="1" workbookViewId="0">
      <pane ySplit="2" topLeftCell="A54" activePane="bottomLeft" state="frozen"/>
      <selection pane="bottomLeft" activeCell="H61" sqref="H61:H62"/>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2083</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2084</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2085</v>
      </c>
      <c r="D6" s="37" t="s">
        <v>2086</v>
      </c>
      <c r="E6" s="37"/>
      <c r="F6" s="37"/>
      <c r="G6" s="9" t="s">
        <v>212</v>
      </c>
      <c r="H6" s="13" t="s">
        <v>2087</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2085</v>
      </c>
      <c r="D7" s="37" t="s">
        <v>2086</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2085</v>
      </c>
      <c r="D8" s="37" t="s">
        <v>2086</v>
      </c>
      <c r="E8" s="37"/>
      <c r="F8" s="37"/>
      <c r="G8" s="9" t="s">
        <v>1142</v>
      </c>
      <c r="H8" s="13" t="s">
        <v>1967</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2085</v>
      </c>
      <c r="D9" s="168" t="s">
        <v>2086</v>
      </c>
      <c r="E9" s="168" t="s">
        <v>103</v>
      </c>
      <c r="F9" s="168"/>
      <c r="G9" s="151" t="s">
        <v>1144</v>
      </c>
      <c r="H9" s="153" t="s">
        <v>2088</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2085</v>
      </c>
      <c r="D10" s="37" t="s">
        <v>2086</v>
      </c>
      <c r="E10" s="37"/>
      <c r="F10" s="37"/>
      <c r="G10" s="9" t="s">
        <v>2089</v>
      </c>
      <c r="H10" s="7" t="s">
        <v>2090</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2085</v>
      </c>
      <c r="D11" s="37" t="s">
        <v>2086</v>
      </c>
      <c r="E11" s="37"/>
      <c r="F11" s="37"/>
      <c r="G11" s="9" t="s">
        <v>421</v>
      </c>
      <c r="H11" s="7" t="s">
        <v>2091</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2085</v>
      </c>
      <c r="D12" s="37" t="s">
        <v>2086</v>
      </c>
      <c r="E12" s="37"/>
      <c r="F12" s="37"/>
      <c r="G12" s="9" t="s">
        <v>423</v>
      </c>
      <c r="H12" s="7" t="s">
        <v>2092</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2085</v>
      </c>
      <c r="D13" s="37" t="s">
        <v>2086</v>
      </c>
      <c r="E13" s="37"/>
      <c r="F13" s="37"/>
      <c r="G13" s="9" t="s">
        <v>346</v>
      </c>
      <c r="H13" s="13" t="s">
        <v>2093</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2085</v>
      </c>
      <c r="D14" s="37" t="s">
        <v>2086</v>
      </c>
      <c r="E14" s="37"/>
      <c r="F14" s="37"/>
      <c r="G14" s="9" t="s">
        <v>1046</v>
      </c>
      <c r="H14" s="13" t="s">
        <v>2094</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2085</v>
      </c>
      <c r="D15" s="37" t="s">
        <v>2086</v>
      </c>
      <c r="E15" s="37"/>
      <c r="F15" s="37"/>
      <c r="G15" s="9" t="s">
        <v>1624</v>
      </c>
      <c r="H15" s="13" t="s">
        <v>2095</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2085</v>
      </c>
      <c r="D16" s="37" t="s">
        <v>2086</v>
      </c>
      <c r="E16" s="37"/>
      <c r="F16" s="37"/>
      <c r="G16" s="9" t="s">
        <v>410</v>
      </c>
      <c r="H16" s="13" t="s">
        <v>2096</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2085</v>
      </c>
      <c r="D17" s="37" t="s">
        <v>2086</v>
      </c>
      <c r="E17" s="37"/>
      <c r="F17" s="37"/>
      <c r="G17" s="9" t="s">
        <v>412</v>
      </c>
      <c r="H17" s="13" t="s">
        <v>2097</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2098</v>
      </c>
      <c r="C18" s="190" t="s">
        <v>2099</v>
      </c>
      <c r="D18" s="24" t="s">
        <v>2100</v>
      </c>
      <c r="E18" s="24" t="s">
        <v>2101</v>
      </c>
      <c r="F18" s="24" t="s">
        <v>2102</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2103</v>
      </c>
      <c r="D19" s="37" t="s">
        <v>2104</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2105</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2106</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2107</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2108</v>
      </c>
      <c r="D24" s="34" t="s">
        <v>2109</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2110</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2111</v>
      </c>
      <c r="C26" s="32" t="s">
        <v>2112</v>
      </c>
      <c r="D26" s="37" t="s">
        <v>2113</v>
      </c>
      <c r="E26" s="37" t="s">
        <v>2114</v>
      </c>
      <c r="F26" s="37" t="s">
        <v>2102</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2112</v>
      </c>
      <c r="D27" s="37" t="s">
        <v>2113</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2115</v>
      </c>
      <c r="D28" s="37" t="s">
        <v>2113</v>
      </c>
      <c r="E28" s="20"/>
      <c r="F28" s="20"/>
      <c r="G28" s="1" t="s">
        <v>259</v>
      </c>
      <c r="H28" s="13" t="s">
        <v>1762</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2116</v>
      </c>
      <c r="D29" s="37" t="s">
        <v>2113</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2117</v>
      </c>
      <c r="D30" s="37" t="s">
        <v>2113</v>
      </c>
      <c r="E30" s="39"/>
      <c r="F30" s="39"/>
      <c r="G30" s="9" t="s">
        <v>382</v>
      </c>
      <c r="H30" s="7" t="s">
        <v>2118</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2119</v>
      </c>
      <c r="D31" s="37" t="s">
        <v>2113</v>
      </c>
      <c r="E31" s="46"/>
      <c r="F31" s="46"/>
      <c r="G31" s="9" t="s">
        <v>384</v>
      </c>
      <c r="H31" s="7" t="s">
        <v>2120</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2121</v>
      </c>
      <c r="D32" s="105" t="s">
        <v>2122</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2123</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1762</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2124</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2125</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2116</v>
      </c>
      <c r="D39" s="37" t="s">
        <v>2126</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2127</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1762</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2125</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2128</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2129</v>
      </c>
      <c r="C47" s="646" t="s">
        <v>2130</v>
      </c>
      <c r="D47" s="647" t="s">
        <v>2131</v>
      </c>
      <c r="E47" s="647" t="s">
        <v>2132</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2133</v>
      </c>
      <c r="C48" s="310" t="s">
        <v>2130</v>
      </c>
      <c r="D48" s="76" t="s">
        <v>2131</v>
      </c>
      <c r="E48" s="76" t="s">
        <v>2132</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2134</v>
      </c>
      <c r="C49" s="239" t="s">
        <v>2130</v>
      </c>
      <c r="D49" s="168" t="s">
        <v>2131</v>
      </c>
      <c r="E49" s="168" t="s">
        <v>2135</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2136</v>
      </c>
      <c r="C50" s="666" t="s">
        <v>2130</v>
      </c>
      <c r="D50" s="667" t="s">
        <v>2131</v>
      </c>
      <c r="E50" s="667" t="s">
        <v>2137</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2138</v>
      </c>
      <c r="C51" s="666" t="s">
        <v>2130</v>
      </c>
      <c r="D51" s="667" t="s">
        <v>2131</v>
      </c>
      <c r="E51" s="667" t="s">
        <v>2137</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2139</v>
      </c>
      <c r="C52" s="666" t="s">
        <v>2130</v>
      </c>
      <c r="D52" s="667" t="s">
        <v>2131</v>
      </c>
      <c r="E52" s="667" t="s">
        <v>2140</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2141</v>
      </c>
      <c r="C53" s="666" t="s">
        <v>2130</v>
      </c>
      <c r="D53" s="667" t="s">
        <v>2131</v>
      </c>
      <c r="E53" s="667" t="s">
        <v>2140</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2142</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2143</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2144</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2145</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2146</v>
      </c>
      <c r="D59" s="168" t="s">
        <v>2147</v>
      </c>
      <c r="E59" s="168" t="s">
        <v>2148</v>
      </c>
      <c r="F59" s="168"/>
      <c r="G59" s="151" t="s">
        <v>2149</v>
      </c>
      <c r="H59" s="152" t="s">
        <v>2150</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2151</v>
      </c>
      <c r="C60" s="425" t="s">
        <v>2146</v>
      </c>
      <c r="D60" s="231" t="s">
        <v>2147</v>
      </c>
      <c r="E60" s="231" t="s">
        <v>2152</v>
      </c>
      <c r="F60" s="231"/>
      <c r="G60" s="146" t="s">
        <v>2153</v>
      </c>
      <c r="H60" s="147" t="s">
        <v>2154</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2155</v>
      </c>
      <c r="C61" s="537" t="s">
        <v>2146</v>
      </c>
      <c r="D61" s="524" t="s">
        <v>2147</v>
      </c>
      <c r="E61" s="524" t="s">
        <v>2152</v>
      </c>
      <c r="F61" s="524"/>
      <c r="G61" s="523" t="s">
        <v>2153</v>
      </c>
      <c r="H61" s="532" t="s">
        <v>2154</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2156</v>
      </c>
      <c r="C62" s="537">
        <v>16133</v>
      </c>
      <c r="D62" s="524" t="s">
        <v>2147</v>
      </c>
      <c r="E62" s="524" t="s">
        <v>2152</v>
      </c>
      <c r="F62" s="524"/>
      <c r="G62" s="523" t="s">
        <v>2153</v>
      </c>
      <c r="H62" s="532" t="s">
        <v>2154</v>
      </c>
      <c r="I62" s="533"/>
      <c r="J62" s="533"/>
      <c r="K62" s="74"/>
      <c r="L62" s="523"/>
      <c r="M62" s="317"/>
      <c r="N62" s="802"/>
      <c r="O62" s="803"/>
      <c r="P62" s="803"/>
      <c r="Q62" s="804"/>
    </row>
    <row r="63" spans="2:17" s="525" customFormat="1" ht="15" customHeight="1">
      <c r="B63" s="523" t="s">
        <v>2157</v>
      </c>
      <c r="C63" s="537" t="s">
        <v>2146</v>
      </c>
      <c r="D63" s="524" t="s">
        <v>2147</v>
      </c>
      <c r="E63" s="524" t="s">
        <v>2158</v>
      </c>
      <c r="F63" s="524"/>
      <c r="G63" s="523" t="s">
        <v>2149</v>
      </c>
      <c r="H63" s="532" t="s">
        <v>2150</v>
      </c>
      <c r="I63" s="533">
        <v>45910</v>
      </c>
      <c r="J63" s="533">
        <v>45931</v>
      </c>
      <c r="K63" s="74" t="str" cm="1">
        <f t="array" ref="K63">IF(ISBLANK(J63), IF(ISBLANK(I63), "N/A", _xlfn.IFS(L63="AS", I63+15, L63="NCR", I63+30, L63="submitted", I63+30, TRUE, "N/A")), _xlfn.IFS(L63="AS", J63+15, L63="NCR", J63+30, L63="submitted", J63+30, TRUE, "N/A"))</f>
        <v>N/A</v>
      </c>
      <c r="L63" s="523" t="s">
        <v>147</v>
      </c>
      <c r="M63" s="317"/>
      <c r="N63" s="802"/>
      <c r="O63" s="803"/>
      <c r="P63" s="803"/>
      <c r="Q63" s="804"/>
    </row>
    <row r="64" spans="2:17" s="525" customFormat="1" ht="15" customHeight="1">
      <c r="B64" s="523" t="s">
        <v>2159</v>
      </c>
      <c r="C64" s="537" t="s">
        <v>2146</v>
      </c>
      <c r="D64" s="524" t="s">
        <v>2147</v>
      </c>
      <c r="E64" s="524" t="s">
        <v>2158</v>
      </c>
      <c r="F64" s="524"/>
      <c r="G64" s="523" t="s">
        <v>2149</v>
      </c>
      <c r="H64" s="532" t="s">
        <v>2150</v>
      </c>
      <c r="I64" s="533">
        <v>45939</v>
      </c>
      <c r="J64" s="533"/>
      <c r="K64" s="74" cm="1">
        <f t="array" ref="K64">IF(ISBLANK(J64), IF(ISBLANK(I64), "N/A", _xlfn.IFS(L64="AS", I64+15, L64="NCR", I64+30, L64="submitted", I64+30, TRUE, "N/A")), _xlfn.IFS(L64="AS", J64+15, L64="NCR", J64+30, L64="submitted", J64+30, TRUE, "N/A"))</f>
        <v>45969</v>
      </c>
      <c r="L64" s="523" t="s">
        <v>581</v>
      </c>
      <c r="M64" s="317"/>
      <c r="N64" s="802"/>
      <c r="O64" s="803"/>
      <c r="P64" s="803"/>
      <c r="Q64" s="804"/>
    </row>
    <row r="65" spans="2:17" s="5" customFormat="1" ht="15" customHeight="1">
      <c r="B65" s="4"/>
      <c r="C65" s="86" t="s">
        <v>2160</v>
      </c>
      <c r="D65" s="34" t="s">
        <v>2161</v>
      </c>
      <c r="E65" s="34"/>
      <c r="F65" s="34"/>
      <c r="G65" s="4" t="s">
        <v>281</v>
      </c>
      <c r="H65" s="17" t="s">
        <v>235</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111"/>
      <c r="D66" s="35"/>
      <c r="E66" s="35"/>
      <c r="F66" s="35"/>
      <c r="G66" s="4" t="s">
        <v>269</v>
      </c>
      <c r="H66" s="17" t="s">
        <v>282</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5" customFormat="1" ht="15" customHeight="1">
      <c r="B67" s="4"/>
      <c r="C67" s="95"/>
      <c r="D67" s="36"/>
      <c r="E67" s="36"/>
      <c r="F67" s="36"/>
      <c r="G67" s="4" t="s">
        <v>259</v>
      </c>
      <c r="H67" s="17" t="s">
        <v>353</v>
      </c>
      <c r="I67" s="18"/>
      <c r="J67" s="18"/>
      <c r="K67" s="74" t="str" cm="1">
        <f t="array" ref="K67">IF(ISBLANK(J67), IF(ISBLANK(I67), "N/A", _xlfn.IFS(L67="AS", I67+15, L67="NCR", I67+30, L67="submitted", I67+30, TRUE, "N/A")), _xlfn.IFS(L67="AS", J67+15, L67="NCR", J67+30, L67="submitted", J67+30, TRUE, "N/A"))</f>
        <v>N/A</v>
      </c>
      <c r="L67" s="4"/>
      <c r="M67" s="317"/>
      <c r="N67" s="802"/>
      <c r="O67" s="803"/>
      <c r="P67" s="803"/>
      <c r="Q67" s="804"/>
    </row>
    <row r="68" spans="2:17" s="1" customFormat="1" ht="15" customHeight="1">
      <c r="B68" s="9"/>
      <c r="C68" s="32" t="s">
        <v>2162</v>
      </c>
      <c r="D68" s="37" t="s">
        <v>2163</v>
      </c>
      <c r="E68" s="37"/>
      <c r="F68" s="37"/>
      <c r="G68" s="9" t="s">
        <v>281</v>
      </c>
      <c r="H68" s="13" t="s">
        <v>235</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1" customFormat="1" ht="15" customHeight="1">
      <c r="B69" s="9"/>
      <c r="C69" s="97"/>
      <c r="D69" s="46"/>
      <c r="E69" s="46"/>
      <c r="F69" s="46"/>
      <c r="G69" s="9" t="s">
        <v>269</v>
      </c>
      <c r="H69" s="13" t="s">
        <v>282</v>
      </c>
      <c r="I69" s="18"/>
      <c r="J69" s="18"/>
      <c r="K69" s="74" t="str" cm="1">
        <f t="array" ref="K69">IF(ISBLANK(J69), IF(ISBLANK(I69), "N/A", _xlfn.IFS(L69="AS", I69+15, L69="NCR", I69+30, L69="submitted", I69+30, TRUE, "N/A")), _xlfn.IFS(L69="AS", J69+15, L69="NCR", J69+30, L69="submitted", J69+30, TRUE, "N/A"))</f>
        <v>N/A</v>
      </c>
      <c r="L69" s="9"/>
      <c r="M69" s="317"/>
      <c r="N69" s="802"/>
      <c r="O69" s="803"/>
      <c r="P69" s="803"/>
      <c r="Q69" s="804"/>
    </row>
    <row r="70" spans="2:17" s="5" customFormat="1" ht="15" customHeight="1">
      <c r="B70" s="4"/>
      <c r="C70" s="15" t="s">
        <v>2164</v>
      </c>
      <c r="D70" s="17" t="s">
        <v>2165</v>
      </c>
      <c r="E70" s="17"/>
      <c r="F70" s="17"/>
      <c r="G70" s="4" t="s">
        <v>281</v>
      </c>
      <c r="H70" s="17" t="s">
        <v>235</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5" customFormat="1" ht="15" customHeight="1">
      <c r="B71" s="4"/>
      <c r="C71" s="15" t="s">
        <v>2166</v>
      </c>
      <c r="D71" s="17" t="s">
        <v>2167</v>
      </c>
      <c r="E71" s="17"/>
      <c r="F71" s="17"/>
      <c r="G71" s="4" t="s">
        <v>281</v>
      </c>
      <c r="H71" s="17" t="s">
        <v>2168</v>
      </c>
      <c r="I71" s="18"/>
      <c r="J71" s="18"/>
      <c r="K71" s="74" t="str" cm="1">
        <f t="array" ref="K71">IF(ISBLANK(J71), IF(ISBLANK(I71), "N/A", _xlfn.IFS(L71="AS", I71+15, L71="NCR", I71+30, L71="submitted", I71+30, TRUE, "N/A")), _xlfn.IFS(L71="AS", J71+15, L71="NCR", J71+30, L71="submitted", J71+30, TRUE, "N/A"))</f>
        <v>N/A</v>
      </c>
      <c r="L71" s="4"/>
      <c r="M71" s="317"/>
      <c r="N71" s="802"/>
      <c r="O71" s="803"/>
      <c r="P71" s="803"/>
      <c r="Q71" s="804"/>
    </row>
    <row r="72" spans="2:17" s="1" customFormat="1" ht="15" customHeight="1">
      <c r="B72" s="9"/>
      <c r="C72" s="32" t="s">
        <v>2169</v>
      </c>
      <c r="D72" s="37" t="s">
        <v>2170</v>
      </c>
      <c r="E72" s="37"/>
      <c r="F72" s="37"/>
      <c r="G72" s="9" t="s">
        <v>281</v>
      </c>
      <c r="H72" s="13" t="s">
        <v>2171</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269</v>
      </c>
      <c r="H73" s="13" t="s">
        <v>235</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15" customHeight="1">
      <c r="B74" s="9"/>
      <c r="C74" s="33"/>
      <c r="D74" s="39"/>
      <c r="E74" s="39"/>
      <c r="F74" s="39"/>
      <c r="G74" s="9" t="s">
        <v>259</v>
      </c>
      <c r="H74" s="13" t="s">
        <v>282</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27" customHeight="1">
      <c r="B75" s="9"/>
      <c r="C75" s="33"/>
      <c r="D75" s="39"/>
      <c r="E75" s="39"/>
      <c r="F75" s="39"/>
      <c r="G75" s="9" t="s">
        <v>352</v>
      </c>
      <c r="H75" s="7" t="s">
        <v>2172</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354</v>
      </c>
      <c r="H76" s="13" t="s">
        <v>1762</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33"/>
      <c r="D77" s="39"/>
      <c r="E77" s="39"/>
      <c r="F77" s="39"/>
      <c r="G77" s="9" t="s">
        <v>356</v>
      </c>
      <c r="H77" s="13" t="s">
        <v>2168</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1" customFormat="1" ht="15" customHeight="1">
      <c r="B78" s="9"/>
      <c r="C78" s="97"/>
      <c r="D78" s="46"/>
      <c r="E78" s="46"/>
      <c r="F78" s="46"/>
      <c r="G78" s="9" t="s">
        <v>358</v>
      </c>
      <c r="H78" s="13" t="s">
        <v>353</v>
      </c>
      <c r="I78" s="18"/>
      <c r="J78" s="18"/>
      <c r="K78" s="74" t="str" cm="1">
        <f t="array" ref="K78">IF(ISBLANK(J78), IF(ISBLANK(I78), "N/A", _xlfn.IFS(L78="AS", I78+15, L78="NCR", I78+30, L78="submitted", I78+30, TRUE, "N/A")), _xlfn.IFS(L78="AS", J78+15, L78="NCR", J78+30, L78="submitted", J78+30, TRUE, "N/A"))</f>
        <v>N/A</v>
      </c>
      <c r="L78" s="9"/>
      <c r="M78" s="317"/>
      <c r="N78" s="802"/>
      <c r="O78" s="803"/>
      <c r="P78" s="803"/>
      <c r="Q78" s="804"/>
    </row>
    <row r="79" spans="2:17" s="5" customFormat="1" ht="15" customHeight="1">
      <c r="B79" s="4"/>
      <c r="C79" s="86" t="s">
        <v>2173</v>
      </c>
      <c r="D79" s="34" t="s">
        <v>2174</v>
      </c>
      <c r="E79" s="34"/>
      <c r="F79" s="34"/>
      <c r="G79" s="4" t="s">
        <v>336</v>
      </c>
      <c r="H79" s="17" t="s">
        <v>235</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111"/>
      <c r="D80" s="35"/>
      <c r="E80" s="35"/>
      <c r="F80" s="35"/>
      <c r="G80" s="4" t="s">
        <v>337</v>
      </c>
      <c r="H80" s="17" t="s">
        <v>282</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40.5" customHeight="1">
      <c r="B81" s="4"/>
      <c r="C81" s="111"/>
      <c r="D81" s="35"/>
      <c r="E81" s="35"/>
      <c r="F81" s="35"/>
      <c r="G81" s="4" t="s">
        <v>404</v>
      </c>
      <c r="H81" s="3" t="s">
        <v>2175</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111"/>
      <c r="D82" s="35"/>
      <c r="E82" s="35"/>
      <c r="F82" s="35"/>
      <c r="G82" s="4" t="s">
        <v>405</v>
      </c>
      <c r="H82" s="17" t="s">
        <v>2127</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27" customHeight="1">
      <c r="B83" s="4"/>
      <c r="C83" s="111"/>
      <c r="D83" s="35"/>
      <c r="E83" s="35"/>
      <c r="F83" s="35"/>
      <c r="G83" s="4" t="s">
        <v>406</v>
      </c>
      <c r="H83" s="3" t="s">
        <v>2176</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2177</v>
      </c>
      <c r="H84" s="17" t="s">
        <v>2178</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2179</v>
      </c>
      <c r="H85" s="17" t="s">
        <v>2180</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2181</v>
      </c>
      <c r="H86" s="17" t="s">
        <v>426</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2182</v>
      </c>
      <c r="H87" s="17" t="s">
        <v>2183</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2184</v>
      </c>
      <c r="H88" s="17" t="s">
        <v>2185</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2186</v>
      </c>
      <c r="H89" s="17" t="s">
        <v>2187</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441</v>
      </c>
      <c r="H90" s="17" t="s">
        <v>380</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443</v>
      </c>
      <c r="H91" s="17" t="s">
        <v>1762</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111"/>
      <c r="D92" s="35"/>
      <c r="E92" s="35"/>
      <c r="F92" s="35"/>
      <c r="G92" s="4" t="s">
        <v>445</v>
      </c>
      <c r="H92" s="17" t="s">
        <v>490</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5" customFormat="1" ht="15" customHeight="1">
      <c r="B93" s="4"/>
      <c r="C93" s="95"/>
      <c r="D93" s="36"/>
      <c r="E93" s="36"/>
      <c r="F93" s="36"/>
      <c r="G93" s="4" t="s">
        <v>470</v>
      </c>
      <c r="H93" s="17" t="s">
        <v>353</v>
      </c>
      <c r="I93" s="18"/>
      <c r="J93" s="18"/>
      <c r="K93" s="74" t="str" cm="1">
        <f t="array" ref="K93">IF(ISBLANK(J93), IF(ISBLANK(I93), "N/A", _xlfn.IFS(L93="AS", I93+15, L93="NCR", I93+30, L93="submitted", I93+30, TRUE, "N/A")), _xlfn.IFS(L93="AS", J93+15, L93="NCR", J93+30, L93="submitted", J93+30, TRUE, "N/A"))</f>
        <v>N/A</v>
      </c>
      <c r="L93" s="4"/>
      <c r="M93" s="317"/>
      <c r="N93" s="802"/>
      <c r="O93" s="803"/>
      <c r="P93" s="803"/>
      <c r="Q93" s="804"/>
    </row>
    <row r="94" spans="2:17" s="1" customFormat="1" ht="15" customHeight="1">
      <c r="B94" s="9"/>
      <c r="C94" s="32" t="s">
        <v>2188</v>
      </c>
      <c r="D94" s="37" t="s">
        <v>2189</v>
      </c>
      <c r="E94" s="37"/>
      <c r="F94" s="37"/>
      <c r="G94" s="9" t="s">
        <v>336</v>
      </c>
      <c r="H94" s="13" t="s">
        <v>235</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15" customHeight="1">
      <c r="B95" s="9"/>
      <c r="C95" s="33"/>
      <c r="D95" s="39"/>
      <c r="E95" s="39"/>
      <c r="F95" s="39"/>
      <c r="G95" s="9" t="s">
        <v>337</v>
      </c>
      <c r="H95" s="13" t="s">
        <v>328</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40.5">
      <c r="B96" s="9"/>
      <c r="C96" s="33"/>
      <c r="D96" s="39"/>
      <c r="E96" s="39"/>
      <c r="F96" s="39"/>
      <c r="G96" s="9" t="s">
        <v>338</v>
      </c>
      <c r="H96" s="7" t="s">
        <v>2190</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15" customHeight="1">
      <c r="B97" s="9"/>
      <c r="C97" s="33"/>
      <c r="D97" s="39"/>
      <c r="E97" s="39"/>
      <c r="F97" s="39"/>
      <c r="G97" s="9" t="s">
        <v>405</v>
      </c>
      <c r="H97" s="13" t="s">
        <v>2127</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1" customFormat="1" ht="27" customHeight="1">
      <c r="B98" s="9"/>
      <c r="C98" s="97"/>
      <c r="D98" s="46"/>
      <c r="E98" s="46"/>
      <c r="F98" s="46"/>
      <c r="G98" s="9" t="s">
        <v>406</v>
      </c>
      <c r="H98" s="7" t="s">
        <v>2191</v>
      </c>
      <c r="I98" s="18"/>
      <c r="J98" s="18"/>
      <c r="K98" s="74" t="str" cm="1">
        <f t="array" ref="K98">IF(ISBLANK(J98), IF(ISBLANK(I98), "N/A", _xlfn.IFS(L98="AS", I98+15, L98="NCR", I98+30, L98="submitted", I98+30, TRUE, "N/A")), _xlfn.IFS(L98="AS", J98+15, L98="NCR", J98+30, L98="submitted", J98+30, TRUE, "N/A"))</f>
        <v>N/A</v>
      </c>
      <c r="L98" s="9"/>
      <c r="M98" s="317"/>
      <c r="N98" s="802"/>
      <c r="O98" s="803"/>
      <c r="P98" s="803"/>
      <c r="Q98" s="804"/>
    </row>
    <row r="99" spans="2:17" s="5" customFormat="1" ht="15" customHeight="1">
      <c r="B99" s="4"/>
      <c r="C99" s="825" t="s">
        <v>2192</v>
      </c>
      <c r="D99" s="827" t="s">
        <v>2193</v>
      </c>
      <c r="E99" s="34"/>
      <c r="F99" s="34"/>
      <c r="G99" s="4" t="s">
        <v>336</v>
      </c>
      <c r="H99" s="17" t="s">
        <v>235</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29"/>
      <c r="D100" s="830"/>
      <c r="E100" s="35"/>
      <c r="F100" s="35"/>
      <c r="G100" s="4" t="s">
        <v>337</v>
      </c>
      <c r="H100" s="17" t="s">
        <v>282</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29"/>
      <c r="D101" s="830"/>
      <c r="E101" s="35"/>
      <c r="F101" s="35"/>
      <c r="G101" s="4" t="s">
        <v>404</v>
      </c>
      <c r="H101" s="17" t="s">
        <v>2194</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29"/>
      <c r="D102" s="830"/>
      <c r="E102" s="35"/>
      <c r="F102" s="35"/>
      <c r="G102" s="4" t="s">
        <v>405</v>
      </c>
      <c r="H102" s="17" t="s">
        <v>2127</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29"/>
      <c r="D103" s="830"/>
      <c r="E103" s="35"/>
      <c r="F103" s="35"/>
      <c r="G103" s="4" t="s">
        <v>2195</v>
      </c>
      <c r="H103" s="17" t="s">
        <v>2178</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29"/>
      <c r="D104" s="830"/>
      <c r="E104" s="35"/>
      <c r="F104" s="35"/>
      <c r="G104" s="4" t="s">
        <v>2196</v>
      </c>
      <c r="H104" s="17" t="s">
        <v>2180</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29"/>
      <c r="D105" s="830"/>
      <c r="E105" s="35"/>
      <c r="F105" s="35"/>
      <c r="G105" s="4" t="s">
        <v>2197</v>
      </c>
      <c r="H105" s="17" t="s">
        <v>426</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29"/>
      <c r="D106" s="830"/>
      <c r="E106" s="35"/>
      <c r="F106" s="35"/>
      <c r="G106" s="4" t="s">
        <v>2198</v>
      </c>
      <c r="H106" s="17" t="s">
        <v>2199</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29"/>
      <c r="D107" s="830"/>
      <c r="E107" s="35"/>
      <c r="F107" s="35"/>
      <c r="G107" s="4" t="s">
        <v>2200</v>
      </c>
      <c r="H107" s="17" t="s">
        <v>2185</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29"/>
      <c r="D108" s="830"/>
      <c r="E108" s="35"/>
      <c r="F108" s="35"/>
      <c r="G108" s="4" t="s">
        <v>2201</v>
      </c>
      <c r="H108" s="17" t="s">
        <v>2202</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29"/>
      <c r="D109" s="830"/>
      <c r="E109" s="35"/>
      <c r="F109" s="35"/>
      <c r="G109" s="4" t="s">
        <v>408</v>
      </c>
      <c r="H109" s="17" t="s">
        <v>2203</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15" customHeight="1">
      <c r="B110" s="4"/>
      <c r="C110" s="826"/>
      <c r="D110" s="828"/>
      <c r="E110" s="36"/>
      <c r="F110" s="36"/>
      <c r="G110" s="4" t="s">
        <v>441</v>
      </c>
      <c r="H110" s="17" t="s">
        <v>380</v>
      </c>
      <c r="I110" s="18"/>
      <c r="J110" s="18"/>
      <c r="K110" s="74"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1" customFormat="1" ht="27" customHeight="1">
      <c r="B111" s="9"/>
      <c r="C111" s="821" t="s">
        <v>2204</v>
      </c>
      <c r="D111" s="823" t="s">
        <v>2205</v>
      </c>
      <c r="E111" s="37"/>
      <c r="F111" s="37"/>
      <c r="G111" s="9" t="s">
        <v>229</v>
      </c>
      <c r="H111" s="7" t="s">
        <v>2206</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22"/>
      <c r="D112" s="824"/>
      <c r="E112" s="39"/>
      <c r="F112" s="39"/>
      <c r="G112" s="9" t="s">
        <v>336</v>
      </c>
      <c r="H112" s="13" t="s">
        <v>235</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9"/>
      <c r="C113" s="822"/>
      <c r="D113" s="824"/>
      <c r="E113" s="39"/>
      <c r="F113" s="39"/>
      <c r="G113" s="9" t="s">
        <v>337</v>
      </c>
      <c r="H113" s="13" t="s">
        <v>282</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67.5">
      <c r="B114" s="9"/>
      <c r="C114" s="822"/>
      <c r="D114" s="824"/>
      <c r="E114" s="39"/>
      <c r="F114" s="39"/>
      <c r="G114" s="9" t="s">
        <v>2089</v>
      </c>
      <c r="H114" s="7" t="s">
        <v>2207</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40.5" customHeight="1">
      <c r="B115" s="9"/>
      <c r="C115" s="822"/>
      <c r="D115" s="824"/>
      <c r="E115" s="39"/>
      <c r="F115" s="39"/>
      <c r="G115" s="9" t="s">
        <v>1779</v>
      </c>
      <c r="H115" s="7" t="s">
        <v>2208</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15" customHeight="1">
      <c r="B116" s="9"/>
      <c r="C116" s="822"/>
      <c r="D116" s="824"/>
      <c r="E116" s="39"/>
      <c r="F116" s="39"/>
      <c r="G116" s="9" t="s">
        <v>405</v>
      </c>
      <c r="H116" s="13" t="s">
        <v>2127</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40.5" customHeight="1">
      <c r="B117" s="9"/>
      <c r="C117" s="822"/>
      <c r="D117" s="824"/>
      <c r="E117" s="39"/>
      <c r="F117" s="39"/>
      <c r="G117" s="9" t="s">
        <v>346</v>
      </c>
      <c r="H117" s="7" t="s">
        <v>2209</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27" customHeight="1">
      <c r="B118" s="9"/>
      <c r="C118" s="822"/>
      <c r="D118" s="824"/>
      <c r="E118" s="39"/>
      <c r="F118" s="39"/>
      <c r="G118" s="9" t="s">
        <v>745</v>
      </c>
      <c r="H118" s="7" t="s">
        <v>2210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22"/>
      <c r="D119" s="824"/>
      <c r="E119" s="39"/>
      <c r="F119" s="39"/>
      <c r="G119" s="9" t="s">
        <v>408</v>
      </c>
      <c r="H119" s="13" t="s">
        <v>380</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22"/>
      <c r="D120" s="824"/>
      <c r="E120" s="39"/>
      <c r="F120" s="39"/>
      <c r="G120" s="9" t="s">
        <v>441</v>
      </c>
      <c r="H120" s="13" t="s">
        <v>2211</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22"/>
      <c r="D121" s="824"/>
      <c r="E121" s="39"/>
      <c r="F121" s="39"/>
      <c r="G121" s="9" t="s">
        <v>443</v>
      </c>
      <c r="H121" s="13" t="s">
        <v>2212</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1" customFormat="1" ht="15" customHeight="1">
      <c r="B122" s="9"/>
      <c r="C122" s="807"/>
      <c r="D122" s="809"/>
      <c r="E122" s="46"/>
      <c r="F122" s="46"/>
      <c r="G122" s="9" t="s">
        <v>445</v>
      </c>
      <c r="H122" s="13" t="s">
        <v>2144</v>
      </c>
      <c r="I122" s="18"/>
      <c r="J122" s="18"/>
      <c r="K122" s="74" t="str" cm="1">
        <f t="array" ref="K122">IF(ISBLANK(J122), IF(ISBLANK(I122), "N/A", _xlfn.IFS(L122="AS", I122+15, L122="NCR", I122+30, L122="submitted", I122+30, TRUE, "N/A")), _xlfn.IFS(L122="AS", J122+15, L122="NCR", J122+30, L122="submitted", J122+30, TRUE, "N/A"))</f>
        <v>N/A</v>
      </c>
      <c r="L122" s="9"/>
      <c r="M122" s="317"/>
      <c r="N122" s="802"/>
      <c r="O122" s="803"/>
      <c r="P122" s="803"/>
      <c r="Q122" s="804"/>
    </row>
    <row r="123" spans="2:17" s="5" customFormat="1" ht="27" customHeight="1">
      <c r="B123" s="4"/>
      <c r="C123" s="825" t="s">
        <v>2213</v>
      </c>
      <c r="D123" s="827" t="s">
        <v>2214</v>
      </c>
      <c r="E123" s="34"/>
      <c r="F123" s="34"/>
      <c r="G123" s="4" t="s">
        <v>2030</v>
      </c>
      <c r="H123" s="3" t="s">
        <v>2206</v>
      </c>
      <c r="I123" s="18"/>
      <c r="J123" s="18"/>
      <c r="K123" s="74" t="str" cm="1">
        <f t="array" ref="K123">IF(ISBLANK(J123), IF(ISBLANK(I123), "N/A", _xlfn.IFS(L123="AS", I123+15, L123="NCR", I123+30, L123="submitted", I123+30, TRUE, "N/A")), _xlfn.IFS(L123="AS", J123+15, L123="NCR", J123+30, L123="submitted", J123+30, TRUE, "N/A"))</f>
        <v>N/A</v>
      </c>
      <c r="L123" s="4"/>
      <c r="M123" s="317"/>
      <c r="N123" s="802"/>
      <c r="O123" s="803"/>
      <c r="P123" s="803"/>
      <c r="Q123" s="804"/>
    </row>
    <row r="124" spans="2:17" s="5" customFormat="1" ht="15" customHeight="1">
      <c r="B124" s="4"/>
      <c r="C124" s="829"/>
      <c r="D124" s="830"/>
      <c r="E124" s="35"/>
      <c r="F124" s="35"/>
      <c r="G124" s="4" t="s">
        <v>483</v>
      </c>
      <c r="H124" s="17" t="s">
        <v>235</v>
      </c>
      <c r="I124" s="18"/>
      <c r="J124" s="18"/>
      <c r="K124" s="74" t="str" cm="1">
        <f t="array" ref="K124">IF(ISBLANK(J124), IF(ISBLANK(I124), "N/A", _xlfn.IFS(L124="AS", I124+15, L124="NCR", I124+30, L124="submitted", I124+30, TRUE, "N/A")), _xlfn.IFS(L124="AS", J124+15, L124="NCR", J124+30, L124="submitted", J124+30, TRUE, "N/A"))</f>
        <v>N/A</v>
      </c>
      <c r="L124" s="4"/>
      <c r="M124" s="317"/>
      <c r="N124" s="796" t="s">
        <v>133</v>
      </c>
      <c r="O124" s="797"/>
      <c r="P124" s="797"/>
      <c r="Q124" s="798"/>
    </row>
    <row r="125" spans="2:17" s="5" customFormat="1" ht="15" customHeight="1">
      <c r="B125" s="4"/>
      <c r="C125" s="829"/>
      <c r="D125" s="830"/>
      <c r="E125" s="35"/>
      <c r="F125" s="35"/>
      <c r="G125" s="4" t="s">
        <v>485</v>
      </c>
      <c r="H125" s="17" t="s">
        <v>328</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15" customHeight="1">
      <c r="B126" s="4"/>
      <c r="C126" s="829"/>
      <c r="D126" s="830"/>
      <c r="E126" s="35"/>
      <c r="F126" s="35"/>
      <c r="G126" s="4" t="s">
        <v>486</v>
      </c>
      <c r="H126" s="17" t="s">
        <v>353</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40.5" customHeight="1">
      <c r="B127" s="4"/>
      <c r="C127" s="829"/>
      <c r="D127" s="830"/>
      <c r="E127" s="35"/>
      <c r="F127" s="35"/>
      <c r="G127" s="4" t="s">
        <v>487</v>
      </c>
      <c r="H127" s="3" t="s">
        <v>2190</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29"/>
      <c r="D128" s="830"/>
      <c r="E128" s="35"/>
      <c r="F128" s="35"/>
      <c r="G128" s="4" t="s">
        <v>497</v>
      </c>
      <c r="H128" s="17" t="s">
        <v>2127</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15" customHeight="1">
      <c r="B129" s="4"/>
      <c r="C129" s="829"/>
      <c r="D129" s="830"/>
      <c r="E129" s="35"/>
      <c r="F129" s="35"/>
      <c r="G129" s="4" t="s">
        <v>1192</v>
      </c>
      <c r="H129" s="17" t="s">
        <v>2215</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29"/>
      <c r="D130" s="830"/>
      <c r="E130" s="35"/>
      <c r="F130" s="35"/>
      <c r="G130" s="4" t="s">
        <v>1194</v>
      </c>
      <c r="H130" s="3" t="s">
        <v>2191</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27" customHeight="1">
      <c r="B131" s="4"/>
      <c r="C131" s="829"/>
      <c r="D131" s="830"/>
      <c r="E131" s="35"/>
      <c r="F131" s="35"/>
      <c r="G131" s="4" t="s">
        <v>2216</v>
      </c>
      <c r="H131" s="3" t="s">
        <v>2217</v>
      </c>
      <c r="I131" s="18"/>
      <c r="J131" s="18"/>
      <c r="K131" s="74" t="str" cm="1">
        <f t="array" ref="K131">IF(ISBLANK(J131), IF(ISBLANK(I131), "N/A", _xlfn.IFS(L131="AS", I131+15, L131="NCR", I131+30, L131="submitted", I131+30, TRUE, "N/A")), _xlfn.IFS(L131="AS", J131+15, L131="NCR", J131+30, L131="submitted", J131+30, TRUE, "N/A"))</f>
        <v>N/A</v>
      </c>
      <c r="L131" s="4"/>
      <c r="M131" s="317"/>
      <c r="N131" s="799"/>
      <c r="O131" s="800"/>
      <c r="P131" s="800"/>
      <c r="Q131" s="801"/>
    </row>
    <row r="132" spans="2:17" s="5" customFormat="1" ht="15" customHeight="1">
      <c r="B132" s="4"/>
      <c r="C132" s="829"/>
      <c r="D132" s="830"/>
      <c r="E132" s="35"/>
      <c r="F132" s="35"/>
      <c r="G132" s="4" t="s">
        <v>2218</v>
      </c>
      <c r="H132" s="17" t="s">
        <v>2219</v>
      </c>
      <c r="I132" s="18"/>
      <c r="J132" s="18"/>
      <c r="K132" s="74" t="str" cm="1">
        <f t="array" ref="K132">IF(ISBLANK(J132), IF(ISBLANK(I132), "N/A", _xlfn.IFS(L132="AS", I132+15, L132="NCR", I132+30, L132="submitted", I132+30, TRUE, "N/A")), _xlfn.IFS(L132="AS", J132+15, L132="NCR", J132+30, L132="submitted", J132+30, TRUE, "N/A"))</f>
        <v>N/A</v>
      </c>
      <c r="L132" s="4"/>
      <c r="M132" s="317"/>
      <c r="N132" s="802" t="s">
        <v>148</v>
      </c>
      <c r="O132" s="803"/>
      <c r="P132" s="803"/>
      <c r="Q132" s="804"/>
    </row>
    <row r="133" spans="2:17" s="5" customFormat="1" ht="27" customHeight="1">
      <c r="B133" s="4"/>
      <c r="C133" s="829"/>
      <c r="D133" s="830"/>
      <c r="E133" s="35"/>
      <c r="F133" s="35"/>
      <c r="G133" s="4" t="s">
        <v>2220</v>
      </c>
      <c r="H133" s="3" t="s">
        <v>2221</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29"/>
      <c r="D134" s="830"/>
      <c r="E134" s="35"/>
      <c r="F134" s="35"/>
      <c r="G134" s="4" t="s">
        <v>499</v>
      </c>
      <c r="H134" s="17" t="s">
        <v>2222</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29"/>
      <c r="D135" s="830"/>
      <c r="E135" s="35"/>
      <c r="F135" s="35"/>
      <c r="G135" s="4" t="s">
        <v>1197</v>
      </c>
      <c r="H135" s="17" t="s">
        <v>2143</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5" customFormat="1" ht="15" customHeight="1">
      <c r="B136" s="4"/>
      <c r="C136" s="826"/>
      <c r="D136" s="828"/>
      <c r="E136" s="36"/>
      <c r="F136" s="36"/>
      <c r="G136" s="4" t="s">
        <v>2223</v>
      </c>
      <c r="H136" s="17" t="s">
        <v>380</v>
      </c>
      <c r="I136" s="18"/>
      <c r="J136" s="18"/>
      <c r="K136" s="74"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2:17" s="1" customFormat="1" ht="15" customHeight="1">
      <c r="B137" s="9"/>
      <c r="C137" s="821" t="s">
        <v>2224</v>
      </c>
      <c r="D137" s="823" t="s">
        <v>2225</v>
      </c>
      <c r="E137" s="37"/>
      <c r="F137" s="37"/>
      <c r="G137" s="9" t="s">
        <v>336</v>
      </c>
      <c r="H137" s="7" t="s">
        <v>235</v>
      </c>
      <c r="I137" s="18"/>
      <c r="J137" s="18"/>
      <c r="K137" s="74" t="str" cm="1">
        <f t="array" ref="K137">IF(ISBLANK(J137), IF(ISBLANK(I137), "N/A", _xlfn.IFS(L137="AS", I137+15, L137="NCR", I137+30, L137="submitted", I137+30, TRUE, "N/A")), _xlfn.IFS(L137="AS", J137+15, L137="NCR", J137+30, L137="submitted", J137+30, TRUE, "N/A"))</f>
        <v>N/A</v>
      </c>
      <c r="L137" s="9"/>
      <c r="M137" s="318"/>
      <c r="N137" s="802"/>
      <c r="O137" s="803"/>
      <c r="P137" s="803"/>
      <c r="Q137" s="804"/>
    </row>
    <row r="138" spans="2:17" s="1" customFormat="1" ht="53.25">
      <c r="B138" s="9"/>
      <c r="C138" s="822"/>
      <c r="D138" s="824"/>
      <c r="E138" s="39"/>
      <c r="F138" s="39"/>
      <c r="G138" s="9" t="s">
        <v>1142</v>
      </c>
      <c r="H138" s="7" t="s">
        <v>2226</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40.5" customHeight="1">
      <c r="B139" s="9"/>
      <c r="C139" s="822"/>
      <c r="D139" s="824"/>
      <c r="E139" s="39"/>
      <c r="F139" s="39"/>
      <c r="G139" s="9" t="s">
        <v>2227</v>
      </c>
      <c r="H139" s="7" t="s">
        <v>2208</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15" customHeight="1">
      <c r="B140" s="9"/>
      <c r="C140" s="822"/>
      <c r="D140" s="824"/>
      <c r="E140" s="39"/>
      <c r="F140" s="39"/>
      <c r="G140" s="9" t="s">
        <v>404</v>
      </c>
      <c r="H140" s="13" t="s">
        <v>2127</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27" customHeight="1">
      <c r="B141" s="9"/>
      <c r="C141" s="807"/>
      <c r="D141" s="809"/>
      <c r="E141" s="46"/>
      <c r="F141" s="46"/>
      <c r="G141" s="9" t="s">
        <v>405</v>
      </c>
      <c r="H141" s="7" t="s">
        <v>2228</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1" t="s">
        <v>2229</v>
      </c>
      <c r="D142" s="823" t="s">
        <v>2230</v>
      </c>
      <c r="E142" s="37"/>
      <c r="F142" s="37"/>
      <c r="G142" s="9" t="s">
        <v>336</v>
      </c>
      <c r="H142" s="13" t="s">
        <v>235</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15" customHeight="1">
      <c r="B143" s="9"/>
      <c r="C143" s="822"/>
      <c r="D143" s="824"/>
      <c r="E143" s="39"/>
      <c r="F143" s="39"/>
      <c r="G143" s="9" t="s">
        <v>337</v>
      </c>
      <c r="H143" s="13" t="s">
        <v>282</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40.5" customHeight="1">
      <c r="B144" s="9"/>
      <c r="C144" s="822"/>
      <c r="D144" s="824"/>
      <c r="E144" s="39"/>
      <c r="F144" s="39"/>
      <c r="G144" s="9" t="s">
        <v>338</v>
      </c>
      <c r="H144" s="7" t="s">
        <v>2231</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22"/>
      <c r="D145" s="824"/>
      <c r="E145" s="39"/>
      <c r="F145" s="39"/>
      <c r="G145" s="9" t="s">
        <v>405</v>
      </c>
      <c r="H145" s="13" t="s">
        <v>2127</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22"/>
      <c r="D146" s="824"/>
      <c r="E146" s="39"/>
      <c r="F146" s="39"/>
      <c r="G146" s="9" t="s">
        <v>2195</v>
      </c>
      <c r="H146" s="13" t="s">
        <v>2232</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22"/>
      <c r="D147" s="824"/>
      <c r="E147" s="39"/>
      <c r="F147" s="39"/>
      <c r="G147" s="9" t="s">
        <v>2196</v>
      </c>
      <c r="H147" s="13" t="s">
        <v>2180</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22"/>
      <c r="D148" s="824"/>
      <c r="E148" s="39"/>
      <c r="F148" s="39"/>
      <c r="G148" s="9" t="s">
        <v>2197</v>
      </c>
      <c r="H148" s="13" t="s">
        <v>426</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22"/>
      <c r="D149" s="824"/>
      <c r="E149" s="39"/>
      <c r="F149" s="39"/>
      <c r="G149" s="9" t="s">
        <v>2198</v>
      </c>
      <c r="H149" s="13" t="s">
        <v>2199</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22"/>
      <c r="D150" s="824"/>
      <c r="E150" s="39"/>
      <c r="F150" s="39"/>
      <c r="G150" s="9" t="s">
        <v>2200</v>
      </c>
      <c r="H150" s="13" t="s">
        <v>2233</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22"/>
      <c r="D151" s="824"/>
      <c r="E151" s="39"/>
      <c r="F151" s="39"/>
      <c r="G151" s="9" t="s">
        <v>2201</v>
      </c>
      <c r="H151" s="13" t="s">
        <v>2202</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22"/>
      <c r="D152" s="824"/>
      <c r="E152" s="39"/>
      <c r="F152" s="39"/>
      <c r="G152" s="9" t="s">
        <v>408</v>
      </c>
      <c r="H152" s="13" t="s">
        <v>353</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22"/>
      <c r="D153" s="824"/>
      <c r="E153" s="39"/>
      <c r="F153" s="39"/>
      <c r="G153" s="9" t="s">
        <v>441</v>
      </c>
      <c r="H153" s="13" t="s">
        <v>2211</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22"/>
      <c r="D154" s="824"/>
      <c r="E154" s="39"/>
      <c r="F154" s="39"/>
      <c r="G154" s="9" t="s">
        <v>443</v>
      </c>
      <c r="H154" s="13" t="s">
        <v>2125</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1" customFormat="1" ht="15" customHeight="1">
      <c r="B155" s="9"/>
      <c r="C155" s="807"/>
      <c r="D155" s="809"/>
      <c r="E155" s="46"/>
      <c r="F155" s="46"/>
      <c r="G155" s="9" t="s">
        <v>445</v>
      </c>
      <c r="H155" s="13" t="s">
        <v>380</v>
      </c>
      <c r="I155" s="18"/>
      <c r="J155" s="18"/>
      <c r="K155" s="74" t="str" cm="1">
        <f t="array" ref="K155">IF(ISBLANK(J155), IF(ISBLANK(I155), "N/A", _xlfn.IFS(L155="AS", I155+15, L155="NCR", I155+30, L155="submitted", I155+30, TRUE, "N/A")), _xlfn.IFS(L155="AS", J155+15, L155="NCR", J155+30, L155="submitted", J155+30, TRUE, "N/A"))</f>
        <v>N/A</v>
      </c>
      <c r="L155" s="9"/>
      <c r="M155" s="317"/>
      <c r="N155" s="802"/>
      <c r="O155" s="803"/>
      <c r="P155" s="803"/>
      <c r="Q155" s="804"/>
    </row>
    <row r="156" spans="2:17" s="5" customFormat="1" ht="15" customHeight="1">
      <c r="B156" s="4"/>
      <c r="C156" s="825" t="s">
        <v>2234</v>
      </c>
      <c r="D156" s="827" t="s">
        <v>2235</v>
      </c>
      <c r="E156" s="34"/>
      <c r="F156" s="34"/>
      <c r="G156" s="4" t="s">
        <v>281</v>
      </c>
      <c r="H156" s="17" t="s">
        <v>235</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15" customHeight="1">
      <c r="B157" s="4"/>
      <c r="C157" s="829"/>
      <c r="D157" s="830"/>
      <c r="E157" s="35"/>
      <c r="F157" s="35"/>
      <c r="G157" s="4" t="s">
        <v>269</v>
      </c>
      <c r="H157" s="17" t="s">
        <v>282</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40.5" customHeight="1">
      <c r="B158" s="4"/>
      <c r="C158" s="829"/>
      <c r="D158" s="830"/>
      <c r="E158" s="35"/>
      <c r="F158" s="35"/>
      <c r="G158" s="4" t="s">
        <v>372</v>
      </c>
      <c r="H158" s="3" t="s">
        <v>2209</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27" customHeight="1">
      <c r="B159" s="4"/>
      <c r="C159" s="829"/>
      <c r="D159" s="830"/>
      <c r="E159" s="35"/>
      <c r="F159" s="35"/>
      <c r="G159" s="4" t="s">
        <v>374</v>
      </c>
      <c r="H159" s="3" t="s">
        <v>2210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5" customFormat="1" ht="15" customHeight="1">
      <c r="B160" s="4"/>
      <c r="C160" s="826"/>
      <c r="D160" s="828"/>
      <c r="E160" s="36"/>
      <c r="F160" s="36"/>
      <c r="G160" s="4" t="s">
        <v>352</v>
      </c>
      <c r="H160" s="17" t="s">
        <v>380</v>
      </c>
      <c r="I160" s="18"/>
      <c r="J160" s="18"/>
      <c r="K160" s="74" t="str" cm="1">
        <f t="array" ref="K160">IF(ISBLANK(J160), IF(ISBLANK(I160), "N/A", _xlfn.IFS(L160="AS", I160+15, L160="NCR", I160+30, L160="submitted", I160+30, TRUE, "N/A")), _xlfn.IFS(L160="AS", J160+15, L160="NCR", J160+30, L160="submitted", J160+30, TRUE, "N/A"))</f>
        <v>N/A</v>
      </c>
      <c r="L160" s="4"/>
      <c r="M160" s="317"/>
      <c r="N160" s="802"/>
      <c r="O160" s="803"/>
      <c r="P160" s="803"/>
      <c r="Q160" s="804"/>
    </row>
    <row r="161" spans="2:17" s="1" customFormat="1" ht="15" customHeight="1">
      <c r="B161" s="9"/>
      <c r="C161" s="821" t="s">
        <v>2236</v>
      </c>
      <c r="D161" s="823" t="s">
        <v>2237</v>
      </c>
      <c r="E161" s="37"/>
      <c r="F161" s="37"/>
      <c r="G161" s="9" t="s">
        <v>281</v>
      </c>
      <c r="H161" s="13" t="s">
        <v>235</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40.5">
      <c r="B162" s="9"/>
      <c r="C162" s="822"/>
      <c r="D162" s="824"/>
      <c r="E162" s="39"/>
      <c r="F162" s="39"/>
      <c r="G162" s="9" t="s">
        <v>329</v>
      </c>
      <c r="H162" s="7" t="s">
        <v>2209</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27" customHeight="1">
      <c r="B163" s="9"/>
      <c r="C163" s="822"/>
      <c r="D163" s="824"/>
      <c r="E163" s="39"/>
      <c r="F163" s="39"/>
      <c r="G163" s="9" t="s">
        <v>601</v>
      </c>
      <c r="H163" s="7" t="s">
        <v>2210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22"/>
      <c r="D164" s="824"/>
      <c r="E164" s="39"/>
      <c r="F164" s="39"/>
      <c r="G164" s="9" t="s">
        <v>259</v>
      </c>
      <c r="H164" s="13" t="s">
        <v>380</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1" customFormat="1" ht="15" customHeight="1">
      <c r="B165" s="9"/>
      <c r="C165" s="807"/>
      <c r="D165" s="809"/>
      <c r="E165" s="46"/>
      <c r="F165" s="46"/>
      <c r="G165" s="9" t="s">
        <v>352</v>
      </c>
      <c r="H165" s="13" t="s">
        <v>2238</v>
      </c>
      <c r="I165" s="18"/>
      <c r="J165" s="18"/>
      <c r="K165" s="74"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5" customFormat="1" ht="15" customHeight="1">
      <c r="B166" s="4" t="s">
        <v>2239</v>
      </c>
      <c r="C166" s="54" t="s">
        <v>2240</v>
      </c>
      <c r="D166" s="55" t="s">
        <v>2241</v>
      </c>
      <c r="E166" s="34" t="s">
        <v>2242</v>
      </c>
      <c r="F166" s="34" t="s">
        <v>2243</v>
      </c>
      <c r="G166" s="4" t="s">
        <v>281</v>
      </c>
      <c r="H166" s="17" t="s">
        <v>2244</v>
      </c>
      <c r="I166" s="18">
        <v>45931</v>
      </c>
      <c r="J166" s="18"/>
      <c r="K166" s="74" cm="1">
        <f t="array" ref="K166">IF(ISBLANK(J166), IF(ISBLANK(I166), "N/A", _xlfn.IFS(L166="AS", I166+15, L166="NCR", I166+30, L166="submitted", I166+30, TRUE, "N/A")), _xlfn.IFS(L166="AS", J166+15, L166="NCR", J166+30, L166="submitted", J166+30, TRUE, "N/A"))</f>
        <v>45961</v>
      </c>
      <c r="L166" s="4" t="s">
        <v>581</v>
      </c>
      <c r="M166" s="317"/>
      <c r="N166" s="802"/>
      <c r="O166" s="803"/>
      <c r="P166" s="803"/>
      <c r="Q166" s="804"/>
    </row>
    <row r="167" spans="2:17" s="5" customFormat="1" ht="15" customHeight="1">
      <c r="B167" s="4"/>
      <c r="C167" s="54" t="s">
        <v>2240</v>
      </c>
      <c r="D167" s="55" t="s">
        <v>2241</v>
      </c>
      <c r="E167" s="35"/>
      <c r="F167" s="35"/>
      <c r="G167" s="4" t="s">
        <v>269</v>
      </c>
      <c r="H167" s="17" t="s">
        <v>2245</v>
      </c>
      <c r="I167" s="18"/>
      <c r="J167" s="18"/>
      <c r="K167" s="74" t="str" cm="1">
        <f t="array" ref="K167">IF(ISBLANK(J167), IF(ISBLANK(I167), "N/A", _xlfn.IFS(L167="AS", I167+15, L167="NCR", I167+30, L167="submitted", I167+30, TRUE, "N/A")), _xlfn.IFS(L167="AS", J167+15, L167="NCR", J167+30, L167="submitted", J167+30, TRUE, "N/A"))</f>
        <v>N/A</v>
      </c>
      <c r="L167" s="4"/>
      <c r="M167" s="317"/>
      <c r="N167" s="802"/>
      <c r="O167" s="803"/>
      <c r="P167" s="803"/>
      <c r="Q167" s="804"/>
    </row>
    <row r="168" spans="2:17" s="138" customFormat="1" ht="27" customHeight="1">
      <c r="B168" s="151" t="s">
        <v>2246</v>
      </c>
      <c r="C168" s="169" t="s">
        <v>2240</v>
      </c>
      <c r="D168" s="260" t="s">
        <v>2241</v>
      </c>
      <c r="E168" s="346" t="s">
        <v>2247</v>
      </c>
      <c r="F168" s="346"/>
      <c r="G168" s="151">
        <v>1.05</v>
      </c>
      <c r="H168" s="153" t="s">
        <v>2248</v>
      </c>
      <c r="I168" s="261">
        <v>45894</v>
      </c>
      <c r="J168" s="261">
        <v>45911</v>
      </c>
      <c r="K168" s="74" t="str" cm="1">
        <f t="array" ref="K168">IF(ISBLANK(J168), IF(ISBLANK(I168), "N/A", _xlfn.IFS(L168="AS", I168+15, L168="NCR", I168+30, L168="submitted", I168+30, TRUE, "N/A")), _xlfn.IFS(L168="AS", J168+15, L168="NCR", J168+30, L168="submitted", J168+30, TRUE, "N/A"))</f>
        <v>N/A</v>
      </c>
      <c r="L168" s="151" t="s">
        <v>151</v>
      </c>
      <c r="M168" s="317"/>
      <c r="N168" s="802"/>
      <c r="O168" s="803"/>
      <c r="P168" s="803"/>
      <c r="Q168" s="804"/>
    </row>
    <row r="169" spans="2:17" s="5" customFormat="1" ht="15" customHeight="1">
      <c r="B169" s="4"/>
      <c r="C169" s="54" t="s">
        <v>2240</v>
      </c>
      <c r="D169" s="55" t="s">
        <v>2241</v>
      </c>
      <c r="E169" s="36"/>
      <c r="F169" s="36"/>
      <c r="G169" s="4" t="s">
        <v>352</v>
      </c>
      <c r="H169" s="17" t="s">
        <v>2249</v>
      </c>
      <c r="I169" s="18"/>
      <c r="J169" s="18"/>
      <c r="K169" s="74" t="str" cm="1">
        <f t="array" ref="K169">IF(ISBLANK(J169), IF(ISBLANK(I169), "N/A", _xlfn.IFS(L169="AS", I169+15, L169="NCR", I169+30, L169="submitted", I169+30, TRUE, "N/A")), _xlfn.IFS(L169="AS", J169+15, L169="NCR", J169+30, L169="submitted", J169+30, TRUE, "N/A"))</f>
        <v>N/A</v>
      </c>
      <c r="L169" s="4"/>
      <c r="M169" s="317"/>
      <c r="N169" s="802"/>
      <c r="O169" s="803"/>
      <c r="P169" s="803"/>
      <c r="Q169" s="804"/>
    </row>
    <row r="170" spans="2:17" s="1" customFormat="1" ht="15" customHeight="1">
      <c r="B170" s="9"/>
      <c r="C170" s="821" t="s">
        <v>2250</v>
      </c>
      <c r="D170" s="823" t="s">
        <v>2251</v>
      </c>
      <c r="E170" s="37"/>
      <c r="F170" s="37"/>
      <c r="G170" s="9" t="s">
        <v>281</v>
      </c>
      <c r="H170" s="13" t="s">
        <v>235</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22"/>
      <c r="D171" s="824"/>
      <c r="E171" s="39"/>
      <c r="F171" s="39"/>
      <c r="G171" s="9" t="s">
        <v>269</v>
      </c>
      <c r="H171" s="13" t="s">
        <v>282</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07"/>
      <c r="D172" s="809"/>
      <c r="E172" s="46"/>
      <c r="F172" s="46"/>
      <c r="G172" s="9" t="s">
        <v>259</v>
      </c>
      <c r="H172" s="13" t="s">
        <v>2127</v>
      </c>
      <c r="I172" s="18"/>
      <c r="J172" s="18"/>
      <c r="K172" s="74"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5" customFormat="1" ht="15" customHeight="1">
      <c r="B173" s="4"/>
      <c r="C173" s="825" t="s">
        <v>2252</v>
      </c>
      <c r="D173" s="827" t="s">
        <v>2253</v>
      </c>
      <c r="E173" s="34"/>
      <c r="F173" s="34"/>
      <c r="G173" s="4" t="s">
        <v>336</v>
      </c>
      <c r="H173" s="17" t="s">
        <v>235</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27" customHeight="1">
      <c r="B174" s="4"/>
      <c r="C174" s="829"/>
      <c r="D174" s="830"/>
      <c r="E174" s="35"/>
      <c r="F174" s="35"/>
      <c r="G174" s="4" t="s">
        <v>240</v>
      </c>
      <c r="H174" s="3" t="s">
        <v>2210</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67.5">
      <c r="B175" s="4"/>
      <c r="C175" s="829"/>
      <c r="D175" s="830"/>
      <c r="E175" s="35"/>
      <c r="F175" s="35"/>
      <c r="G175" s="4" t="s">
        <v>2089</v>
      </c>
      <c r="H175" s="3" t="s">
        <v>2207</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5" customFormat="1" ht="40.5" customHeight="1">
      <c r="B176" s="4"/>
      <c r="C176" s="826"/>
      <c r="D176" s="828"/>
      <c r="E176" s="36"/>
      <c r="F176" s="36"/>
      <c r="G176" s="4" t="s">
        <v>1779</v>
      </c>
      <c r="H176" s="3" t="s">
        <v>2208</v>
      </c>
      <c r="I176" s="18"/>
      <c r="J176" s="18"/>
      <c r="K176" s="74" t="str" cm="1">
        <f t="array" ref="K176">IF(ISBLANK(J176), IF(ISBLANK(I176), "N/A", _xlfn.IFS(L176="AS", I176+15, L176="NCR", I176+30, L176="submitted", I176+30, TRUE, "N/A")), _xlfn.IFS(L176="AS", J176+15, L176="NCR", J176+30, L176="submitted", J176+30, TRUE, "N/A"))</f>
        <v>N/A</v>
      </c>
      <c r="L176" s="4"/>
      <c r="M176" s="317"/>
      <c r="N176" s="802"/>
      <c r="O176" s="803"/>
      <c r="P176" s="803"/>
      <c r="Q176" s="804"/>
    </row>
    <row r="177" spans="2:17" s="1" customFormat="1" ht="15" customHeight="1">
      <c r="B177" s="9"/>
      <c r="C177" s="821" t="s">
        <v>2254</v>
      </c>
      <c r="D177" s="823" t="s">
        <v>2255</v>
      </c>
      <c r="E177" s="37"/>
      <c r="F177" s="37"/>
      <c r="G177" s="9" t="s">
        <v>281</v>
      </c>
      <c r="H177" s="13" t="s">
        <v>235</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1" customFormat="1" ht="15" customHeight="1">
      <c r="B178" s="9"/>
      <c r="C178" s="807"/>
      <c r="D178" s="809"/>
      <c r="E178" s="46"/>
      <c r="F178" s="46"/>
      <c r="G178" s="9" t="s">
        <v>329</v>
      </c>
      <c r="H178" s="13" t="s">
        <v>2222</v>
      </c>
      <c r="I178" s="18"/>
      <c r="J178" s="18"/>
      <c r="K178" s="74" t="str" cm="1">
        <f t="array" ref="K178">IF(ISBLANK(J178), IF(ISBLANK(I178), "N/A", _xlfn.IFS(L178="AS", I178+15, L178="NCR", I178+30, L178="submitted", I178+30, TRUE, "N/A")), _xlfn.IFS(L178="AS", J178+15, L178="NCR", J178+30, L178="submitted", J178+30, TRUE, "N/A"))</f>
        <v>N/A</v>
      </c>
      <c r="L178" s="9"/>
      <c r="M178" s="317"/>
      <c r="N178" s="802"/>
      <c r="O178" s="803"/>
      <c r="P178" s="803"/>
      <c r="Q178" s="804"/>
    </row>
    <row r="179" spans="2:17" s="5" customFormat="1" ht="15" customHeight="1">
      <c r="B179" s="4"/>
      <c r="C179" s="825" t="s">
        <v>2256</v>
      </c>
      <c r="D179" s="827" t="s">
        <v>2257</v>
      </c>
      <c r="E179" s="34"/>
      <c r="F179" s="34"/>
      <c r="G179" s="4" t="s">
        <v>229</v>
      </c>
      <c r="H179" s="17" t="s">
        <v>2258</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29"/>
      <c r="D180" s="830"/>
      <c r="E180" s="35"/>
      <c r="F180" s="35"/>
      <c r="G180" s="4" t="s">
        <v>336</v>
      </c>
      <c r="H180" s="17" t="s">
        <v>235</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15" customHeight="1">
      <c r="B181" s="4"/>
      <c r="C181" s="829"/>
      <c r="D181" s="830"/>
      <c r="E181" s="35"/>
      <c r="F181" s="35"/>
      <c r="G181" s="4" t="s">
        <v>337</v>
      </c>
      <c r="H181" s="17" t="s">
        <v>282</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67.5">
      <c r="B182" s="4"/>
      <c r="C182" s="829"/>
      <c r="D182" s="830"/>
      <c r="E182" s="35"/>
      <c r="F182" s="35"/>
      <c r="G182" s="4" t="s">
        <v>2089</v>
      </c>
      <c r="H182" s="3" t="s">
        <v>2207</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40.5" customHeight="1">
      <c r="B183" s="4"/>
      <c r="C183" s="829"/>
      <c r="D183" s="830"/>
      <c r="E183" s="35"/>
      <c r="F183" s="35"/>
      <c r="G183" s="4" t="s">
        <v>1779</v>
      </c>
      <c r="H183" s="3" t="s">
        <v>2208</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5" customFormat="1" ht="15" customHeight="1">
      <c r="B184" s="4"/>
      <c r="C184" s="826"/>
      <c r="D184" s="828"/>
      <c r="E184" s="36"/>
      <c r="F184" s="36"/>
      <c r="G184" s="4" t="s">
        <v>405</v>
      </c>
      <c r="H184" s="3" t="s">
        <v>380</v>
      </c>
      <c r="I184" s="18"/>
      <c r="J184" s="18"/>
      <c r="K184" s="74"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2:17" s="1" customFormat="1" ht="15" customHeight="1">
      <c r="B185" s="9"/>
      <c r="C185" s="821" t="s">
        <v>2259</v>
      </c>
      <c r="D185" s="823" t="s">
        <v>2260</v>
      </c>
      <c r="E185" s="37"/>
      <c r="F185" s="37"/>
      <c r="G185" s="9" t="s">
        <v>336</v>
      </c>
      <c r="H185" s="13" t="s">
        <v>235</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15" customHeight="1">
      <c r="B186" s="9"/>
      <c r="C186" s="822"/>
      <c r="D186" s="824"/>
      <c r="E186" s="39"/>
      <c r="F186" s="39"/>
      <c r="G186" s="9" t="s">
        <v>337</v>
      </c>
      <c r="H186" s="13" t="s">
        <v>328</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40.5" customHeight="1">
      <c r="B187" s="9"/>
      <c r="C187" s="822"/>
      <c r="D187" s="824"/>
      <c r="E187" s="39"/>
      <c r="F187" s="39"/>
      <c r="G187" s="9" t="s">
        <v>338</v>
      </c>
      <c r="H187" s="7" t="s">
        <v>2190</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22"/>
      <c r="D188" s="824"/>
      <c r="E188" s="39"/>
      <c r="F188" s="39"/>
      <c r="G188" s="9" t="s">
        <v>405</v>
      </c>
      <c r="H188" s="13" t="s">
        <v>2127</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22"/>
      <c r="D189" s="824"/>
      <c r="E189" s="39"/>
      <c r="F189" s="39"/>
      <c r="G189" s="9" t="s">
        <v>2195</v>
      </c>
      <c r="H189" s="13" t="s">
        <v>422</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22"/>
      <c r="D190" s="824"/>
      <c r="E190" s="39"/>
      <c r="F190" s="39"/>
      <c r="G190" s="9" t="s">
        <v>2196</v>
      </c>
      <c r="H190" s="13" t="s">
        <v>424</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22"/>
      <c r="D191" s="824"/>
      <c r="E191" s="39"/>
      <c r="F191" s="39"/>
      <c r="G191" s="9" t="s">
        <v>2197</v>
      </c>
      <c r="H191" s="13" t="s">
        <v>426</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22"/>
      <c r="D192" s="824"/>
      <c r="E192" s="39"/>
      <c r="F192" s="39"/>
      <c r="G192" s="9" t="s">
        <v>2198</v>
      </c>
      <c r="H192" s="13" t="s">
        <v>2261</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22"/>
      <c r="D193" s="824"/>
      <c r="E193" s="39"/>
      <c r="F193" s="39"/>
      <c r="G193" s="9" t="s">
        <v>2200</v>
      </c>
      <c r="H193" s="13" t="s">
        <v>430</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15" customHeight="1">
      <c r="B194" s="9"/>
      <c r="C194" s="822"/>
      <c r="D194" s="824"/>
      <c r="E194" s="39"/>
      <c r="F194" s="39"/>
      <c r="G194" s="9" t="s">
        <v>2201</v>
      </c>
      <c r="H194" s="13" t="s">
        <v>432</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22"/>
      <c r="D195" s="824"/>
      <c r="E195" s="39"/>
      <c r="F195" s="39"/>
      <c r="G195" s="9" t="s">
        <v>746</v>
      </c>
      <c r="H195" s="7" t="s">
        <v>2262</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27" customHeight="1">
      <c r="B196" s="9"/>
      <c r="C196" s="822"/>
      <c r="D196" s="824"/>
      <c r="E196" s="39"/>
      <c r="F196" s="39"/>
      <c r="G196" s="9" t="s">
        <v>892</v>
      </c>
      <c r="H196" s="7" t="s">
        <v>2263</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1" customFormat="1" ht="15" customHeight="1">
      <c r="B197" s="9"/>
      <c r="C197" s="807"/>
      <c r="D197" s="809"/>
      <c r="E197" s="46"/>
      <c r="F197" s="46"/>
      <c r="G197" s="9" t="s">
        <v>441</v>
      </c>
      <c r="H197" s="13" t="s">
        <v>380</v>
      </c>
      <c r="I197" s="18"/>
      <c r="J197" s="18"/>
      <c r="K197" s="74" t="str" cm="1">
        <f t="array" ref="K197">IF(ISBLANK(J197), IF(ISBLANK(I197), "N/A", _xlfn.IFS(L197="AS", I197+15, L197="NCR", I197+30, L197="submitted", I197+30, TRUE, "N/A")), _xlfn.IFS(L197="AS", J197+15, L197="NCR", J197+30, L197="submitted", J197+30, TRUE, "N/A"))</f>
        <v>N/A</v>
      </c>
      <c r="L197" s="9"/>
      <c r="M197" s="317"/>
      <c r="N197" s="802"/>
      <c r="O197" s="803"/>
      <c r="P197" s="803"/>
      <c r="Q197" s="804"/>
    </row>
    <row r="198" spans="2:17" s="5" customFormat="1" ht="15" customHeight="1">
      <c r="B198" s="4"/>
      <c r="C198" s="922" t="s">
        <v>2264</v>
      </c>
      <c r="D198" s="827" t="s">
        <v>2265</v>
      </c>
      <c r="E198" s="34"/>
      <c r="F198" s="34"/>
      <c r="G198" s="4" t="s">
        <v>336</v>
      </c>
      <c r="H198" s="17" t="s">
        <v>235</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15" customHeight="1">
      <c r="B199" s="4"/>
      <c r="C199" s="923"/>
      <c r="D199" s="830"/>
      <c r="E199" s="35"/>
      <c r="F199" s="35"/>
      <c r="G199" s="4" t="s">
        <v>337</v>
      </c>
      <c r="H199" s="17" t="s">
        <v>282</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40.5" customHeight="1">
      <c r="B200" s="4"/>
      <c r="C200" s="923"/>
      <c r="D200" s="830"/>
      <c r="E200" s="35"/>
      <c r="F200" s="35"/>
      <c r="G200" s="4" t="s">
        <v>338</v>
      </c>
      <c r="H200" s="3" t="s">
        <v>2231</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0"/>
      <c r="E201" s="35"/>
      <c r="F201" s="35"/>
      <c r="G201" s="4" t="s">
        <v>405</v>
      </c>
      <c r="H201" s="17" t="s">
        <v>2127</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0"/>
      <c r="E202" s="35"/>
      <c r="F202" s="35"/>
      <c r="G202" s="4" t="s">
        <v>2195</v>
      </c>
      <c r="H202" s="17" t="s">
        <v>2232</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0"/>
      <c r="E203" s="35"/>
      <c r="F203" s="35"/>
      <c r="G203" s="4" t="s">
        <v>2196</v>
      </c>
      <c r="H203" s="17" t="s">
        <v>2180</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0"/>
      <c r="E204" s="35"/>
      <c r="F204" s="35"/>
      <c r="G204" s="4" t="s">
        <v>2197</v>
      </c>
      <c r="H204" s="17" t="s">
        <v>426</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0"/>
      <c r="E205" s="35"/>
      <c r="F205" s="35"/>
      <c r="G205" s="4" t="s">
        <v>2198</v>
      </c>
      <c r="H205" s="17" t="s">
        <v>2199</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0"/>
      <c r="E206" s="35"/>
      <c r="F206" s="35"/>
      <c r="G206" s="4" t="s">
        <v>2200</v>
      </c>
      <c r="H206" s="17" t="s">
        <v>2233</v>
      </c>
      <c r="I206" s="18"/>
      <c r="J206" s="18"/>
      <c r="K206" s="74" t="str" cm="1">
        <f t="array" ref="K206">IF(ISBLANK(J206), IF(ISBLANK(I206), "N/A", _xlfn.IFS(L206="AS", I206+15, L206="NCR", I206+30, L206="submitted", I206+30, TRUE, "N/A")), _xlfn.IFS(L206="AS", J206+15, L206="NCR", J206+30, L206="submitted", J206+30, TRUE, "N/A"))</f>
        <v>N/A</v>
      </c>
      <c r="L206" s="4"/>
      <c r="M206" s="317"/>
      <c r="N206" s="802"/>
      <c r="O206" s="803"/>
      <c r="P206" s="803"/>
      <c r="Q206" s="804"/>
    </row>
    <row r="207" spans="2:17" s="5" customFormat="1" ht="15" customHeight="1">
      <c r="B207" s="4"/>
      <c r="C207" s="923"/>
      <c r="D207" s="830"/>
      <c r="E207" s="35"/>
      <c r="F207" s="35"/>
      <c r="G207" s="4" t="s">
        <v>2201</v>
      </c>
      <c r="H207" s="17" t="s">
        <v>2202</v>
      </c>
      <c r="I207" s="18"/>
      <c r="J207" s="18"/>
      <c r="K207" s="74" t="str" cm="1">
        <f t="array" ref="K207">IF(ISBLANK(J207), IF(ISBLANK(I207), "N/A", _xlfn.IFS(L207="AS", I207+15, L207="NCR", I207+30, L207="submitted", I207+30, TRUE, "N/A")), _xlfn.IFS(L207="AS", J207+15, L207="NCR", J207+30, L207="submitted", J207+30, TRUE, "N/A"))</f>
        <v>N/A</v>
      </c>
      <c r="L207" s="4"/>
      <c r="M207" s="317"/>
      <c r="N207" s="796" t="s">
        <v>133</v>
      </c>
      <c r="O207" s="797"/>
      <c r="P207" s="797"/>
      <c r="Q207" s="798"/>
    </row>
    <row r="208" spans="2:17" s="5" customFormat="1" ht="15" customHeight="1">
      <c r="B208" s="4"/>
      <c r="C208" s="923"/>
      <c r="D208" s="830"/>
      <c r="E208" s="35"/>
      <c r="F208" s="35"/>
      <c r="G208" s="4" t="s">
        <v>408</v>
      </c>
      <c r="H208" s="17" t="s">
        <v>2266</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5" customFormat="1" ht="15" customHeight="1">
      <c r="B209" s="4"/>
      <c r="C209" s="924"/>
      <c r="D209" s="828"/>
      <c r="E209" s="36"/>
      <c r="F209" s="36"/>
      <c r="G209" s="4" t="s">
        <v>441</v>
      </c>
      <c r="H209" s="17" t="s">
        <v>353</v>
      </c>
      <c r="I209" s="18"/>
      <c r="J209" s="18"/>
      <c r="K209" s="74"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1" customFormat="1" ht="15" customHeight="1">
      <c r="B210" s="9"/>
      <c r="C210" s="821" t="s">
        <v>2267</v>
      </c>
      <c r="D210" s="823" t="s">
        <v>2268</v>
      </c>
      <c r="E210" s="37"/>
      <c r="F210" s="37"/>
      <c r="G210" s="9" t="s">
        <v>336</v>
      </c>
      <c r="H210" s="13" t="s">
        <v>235</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15" customHeight="1">
      <c r="B211" s="9"/>
      <c r="C211" s="822"/>
      <c r="D211" s="824"/>
      <c r="E211" s="39"/>
      <c r="F211" s="39"/>
      <c r="G211" s="9" t="s">
        <v>337</v>
      </c>
      <c r="H211" s="13" t="s">
        <v>328</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40.5" customHeight="1">
      <c r="B212" s="9"/>
      <c r="C212" s="822"/>
      <c r="D212" s="824"/>
      <c r="E212" s="39"/>
      <c r="F212" s="39"/>
      <c r="G212" s="9" t="s">
        <v>338</v>
      </c>
      <c r="H212" s="7" t="s">
        <v>2190</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22"/>
      <c r="D213" s="824"/>
      <c r="E213" s="39"/>
      <c r="F213" s="39"/>
      <c r="G213" s="9" t="s">
        <v>405</v>
      </c>
      <c r="H213" s="13" t="s">
        <v>2127</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22"/>
      <c r="D214" s="824"/>
      <c r="E214" s="39"/>
      <c r="F214" s="39"/>
      <c r="G214" s="9" t="s">
        <v>2195</v>
      </c>
      <c r="H214" s="13" t="s">
        <v>2232</v>
      </c>
      <c r="I214" s="18"/>
      <c r="J214" s="18"/>
      <c r="K214" s="74" t="str" cm="1">
        <f t="array" ref="K214">IF(ISBLANK(J214), IF(ISBLANK(I214), "N/A", _xlfn.IFS(L214="AS", I214+15, L214="NCR", I214+30, L214="submitted", I214+30, TRUE, "N/A")), _xlfn.IFS(L214="AS", J214+15, L214="NCR", J214+30, L214="submitted", J214+30, TRUE, "N/A"))</f>
        <v>N/A</v>
      </c>
      <c r="L214" s="9"/>
      <c r="M214" s="317"/>
      <c r="N214" s="799"/>
      <c r="O214" s="800"/>
      <c r="P214" s="800"/>
      <c r="Q214" s="801"/>
    </row>
    <row r="215" spans="2:17" s="1" customFormat="1" ht="15" customHeight="1">
      <c r="B215" s="9"/>
      <c r="C215" s="822"/>
      <c r="D215" s="824"/>
      <c r="E215" s="39"/>
      <c r="F215" s="39"/>
      <c r="G215" s="9" t="s">
        <v>2196</v>
      </c>
      <c r="H215" s="13" t="s">
        <v>2180</v>
      </c>
      <c r="I215" s="18"/>
      <c r="J215" s="18"/>
      <c r="K215" s="74" t="str" cm="1">
        <f t="array" ref="K215">IF(ISBLANK(J215), IF(ISBLANK(I215), "N/A", _xlfn.IFS(L215="AS", I215+15, L215="NCR", I215+30, L215="submitted", I215+30, TRUE, "N/A")), _xlfn.IFS(L215="AS", J215+15, L215="NCR", J215+30, L215="submitted", J215+30, TRUE, "N/A"))</f>
        <v>N/A</v>
      </c>
      <c r="L215" s="9"/>
      <c r="M215" s="317"/>
      <c r="N215" s="747" t="s">
        <v>148</v>
      </c>
      <c r="O215" s="748"/>
      <c r="P215" s="748"/>
      <c r="Q215" s="749"/>
    </row>
    <row r="216" spans="2:17" s="1" customFormat="1" ht="15" customHeight="1">
      <c r="B216" s="9"/>
      <c r="C216" s="822"/>
      <c r="D216" s="824"/>
      <c r="E216" s="39"/>
      <c r="F216" s="39"/>
      <c r="G216" s="9" t="s">
        <v>2197</v>
      </c>
      <c r="H216" s="13" t="s">
        <v>426</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22"/>
      <c r="D217" s="824"/>
      <c r="E217" s="39"/>
      <c r="F217" s="39"/>
      <c r="G217" s="9" t="s">
        <v>2198</v>
      </c>
      <c r="H217" s="13" t="s">
        <v>2199</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22"/>
      <c r="D218" s="824"/>
      <c r="E218" s="39"/>
      <c r="F218" s="39"/>
      <c r="G218" s="9" t="s">
        <v>2200</v>
      </c>
      <c r="H218" s="13" t="s">
        <v>2233</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22"/>
      <c r="D219" s="824"/>
      <c r="E219" s="39"/>
      <c r="F219" s="39"/>
      <c r="G219" s="9" t="s">
        <v>2201</v>
      </c>
      <c r="H219" s="13" t="s">
        <v>2202</v>
      </c>
      <c r="I219" s="18"/>
      <c r="J219" s="18"/>
      <c r="K219" s="74" t="str" cm="1">
        <f t="array" ref="K219">IF(ISBLANK(J219), IF(ISBLANK(I219), "N/A", _xlfn.IFS(L219="AS", I219+15, L219="NCR", I219+30, L219="submitted", I219+30, TRUE, "N/A")), _xlfn.IFS(L219="AS", J219+15, L219="NCR", J219+30, L219="submitted", J219+30, TRUE, "N/A"))</f>
        <v>N/A</v>
      </c>
      <c r="L219" s="9"/>
      <c r="M219" s="317"/>
      <c r="N219" s="747"/>
      <c r="O219" s="748"/>
      <c r="P219" s="748"/>
      <c r="Q219" s="749"/>
    </row>
    <row r="220" spans="2:17" s="1" customFormat="1" ht="15" customHeight="1">
      <c r="B220" s="9"/>
      <c r="C220" s="807"/>
      <c r="D220" s="809"/>
      <c r="E220" s="46"/>
      <c r="F220" s="46"/>
      <c r="G220" s="9" t="s">
        <v>408</v>
      </c>
      <c r="H220" s="13" t="s">
        <v>380</v>
      </c>
      <c r="I220" s="18"/>
      <c r="J220" s="18"/>
      <c r="K220" s="74" t="str" cm="1">
        <f t="array" ref="K220">IF(ISBLANK(J220), IF(ISBLANK(I220), "N/A", _xlfn.IFS(L220="AS", I220+15, L220="NCR", I220+30, L220="submitted", I220+30, TRUE, "N/A")), _xlfn.IFS(L220="AS", J220+15, L220="NCR", J220+30, L220="submitted", J220+30, TRUE, "N/A"))</f>
        <v>N/A</v>
      </c>
      <c r="L220" s="9"/>
      <c r="M220" s="318"/>
      <c r="N220" s="747"/>
      <c r="O220" s="748"/>
      <c r="P220" s="748"/>
      <c r="Q220" s="749"/>
    </row>
    <row r="221" spans="2:17" s="5" customFormat="1" ht="15" customHeight="1">
      <c r="B221" s="4"/>
      <c r="C221" s="825" t="s">
        <v>2269</v>
      </c>
      <c r="D221" s="827" t="s">
        <v>2270</v>
      </c>
      <c r="E221" s="34"/>
      <c r="F221" s="34"/>
      <c r="G221" s="4" t="s">
        <v>336</v>
      </c>
      <c r="H221" s="17" t="s">
        <v>235</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15" customHeight="1">
      <c r="B222" s="4"/>
      <c r="C222" s="829"/>
      <c r="D222" s="830"/>
      <c r="E222" s="35"/>
      <c r="F222" s="35"/>
      <c r="G222" s="4" t="s">
        <v>337</v>
      </c>
      <c r="H222" s="17" t="s">
        <v>282</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53.25">
      <c r="B223" s="4"/>
      <c r="C223" s="829"/>
      <c r="D223" s="830"/>
      <c r="E223" s="35"/>
      <c r="F223" s="35"/>
      <c r="G223" s="4" t="s">
        <v>2089</v>
      </c>
      <c r="H223" s="3" t="s">
        <v>2226</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15" customHeight="1">
      <c r="B224" s="4"/>
      <c r="C224" s="829"/>
      <c r="D224" s="830"/>
      <c r="E224" s="35"/>
      <c r="F224" s="35"/>
      <c r="G224" s="4" t="s">
        <v>405</v>
      </c>
      <c r="H224" s="17" t="s">
        <v>2127</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29"/>
      <c r="D225" s="830"/>
      <c r="E225" s="35"/>
      <c r="F225" s="35"/>
      <c r="G225" s="4" t="s">
        <v>346</v>
      </c>
      <c r="H225" s="3" t="s">
        <v>2209</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40.5" customHeight="1">
      <c r="B226" s="4"/>
      <c r="C226" s="829"/>
      <c r="D226" s="830"/>
      <c r="E226" s="35"/>
      <c r="F226" s="35"/>
      <c r="G226" s="4" t="s">
        <v>745</v>
      </c>
      <c r="H226" s="3" t="s">
        <v>2209</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29"/>
      <c r="D227" s="830"/>
      <c r="E227" s="35"/>
      <c r="F227" s="35"/>
      <c r="G227" s="4" t="s">
        <v>408</v>
      </c>
      <c r="H227" s="17" t="s">
        <v>380</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29"/>
      <c r="D228" s="830"/>
      <c r="E228" s="35"/>
      <c r="F228" s="35"/>
      <c r="G228" s="4" t="s">
        <v>441</v>
      </c>
      <c r="H228" s="17" t="s">
        <v>2211</v>
      </c>
      <c r="I228" s="18"/>
      <c r="J228" s="18"/>
      <c r="K228" s="74" t="str" cm="1">
        <f t="array" ref="K228">IF(ISBLANK(J228), IF(ISBLANK(I228), "N/A", _xlfn.IFS(L228="AS", I228+15, L228="NCR", I228+30, L228="submitted", I228+30, TRUE, "N/A")), _xlfn.IFS(L228="AS", J228+15, L228="NCR", J228+30, L228="submitted", J228+30, TRUE, "N/A"))</f>
        <v>N/A</v>
      </c>
      <c r="L228" s="4"/>
      <c r="M228" s="317"/>
      <c r="N228" s="747"/>
      <c r="O228" s="748"/>
      <c r="P228" s="748"/>
      <c r="Q228" s="749"/>
    </row>
    <row r="229" spans="2:17" s="5" customFormat="1" ht="15" customHeight="1">
      <c r="B229" s="4"/>
      <c r="C229" s="829"/>
      <c r="D229" s="830"/>
      <c r="E229" s="35"/>
      <c r="F229" s="35"/>
      <c r="G229" s="4" t="s">
        <v>443</v>
      </c>
      <c r="H229" s="17" t="s">
        <v>2144</v>
      </c>
      <c r="I229" s="18"/>
      <c r="J229" s="18"/>
      <c r="K229" s="74" t="str" cm="1">
        <f t="array" ref="K229">IF(ISBLANK(J229), IF(ISBLANK(I229), "N/A", _xlfn.IFS(L229="AS", I229+15, L229="NCR", I229+30, L229="submitted", I229+30, TRUE, "N/A")), _xlfn.IFS(L229="AS", J229+15, L229="NCR", J229+30, L229="submitted", J229+30, TRUE, "N/A"))</f>
        <v>N/A</v>
      </c>
      <c r="L229" s="4"/>
    </row>
    <row r="230" spans="2:17" s="5" customFormat="1" ht="15" customHeight="1">
      <c r="B230" s="4"/>
      <c r="C230" s="826"/>
      <c r="D230" s="828"/>
      <c r="E230" s="36"/>
      <c r="F230" s="36"/>
      <c r="G230" s="4" t="s">
        <v>445</v>
      </c>
      <c r="H230" s="17" t="s">
        <v>353</v>
      </c>
      <c r="I230" s="18"/>
      <c r="J230" s="18"/>
      <c r="K230" s="74" t="str" cm="1">
        <f t="array" ref="K230">IF(ISBLANK(J230), IF(ISBLANK(I230), "N/A", _xlfn.IFS(L230="AS", I230+15, L230="NCR", I230+30, L230="submitted", I230+30, TRUE, "N/A")), _xlfn.IFS(L230="AS", J230+15, L230="NCR", J230+30, L230="submitted", J230+30, TRUE, "N/A"))</f>
        <v>N/A</v>
      </c>
      <c r="L230" s="4"/>
    </row>
    <row r="231" spans="2:17" s="1" customFormat="1" ht="15" customHeight="1">
      <c r="B231" s="9"/>
      <c r="C231" s="821" t="s">
        <v>2271</v>
      </c>
      <c r="D231" s="823" t="s">
        <v>2272</v>
      </c>
      <c r="E231" s="37"/>
      <c r="F231" s="37"/>
      <c r="G231" s="9" t="s">
        <v>336</v>
      </c>
      <c r="H231" s="13" t="s">
        <v>235</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22"/>
      <c r="D232" s="824"/>
      <c r="E232" s="39"/>
      <c r="F232" s="39"/>
      <c r="G232" s="9" t="s">
        <v>337</v>
      </c>
      <c r="H232" s="13" t="s">
        <v>282</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53.25">
      <c r="B233" s="9"/>
      <c r="C233" s="822"/>
      <c r="D233" s="824"/>
      <c r="E233" s="39"/>
      <c r="F233" s="39"/>
      <c r="G233" s="9" t="s">
        <v>2089</v>
      </c>
      <c r="H233" s="7" t="s">
        <v>2226</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22"/>
      <c r="D234" s="824"/>
      <c r="E234" s="39"/>
      <c r="F234" s="39"/>
      <c r="G234" s="9" t="s">
        <v>405</v>
      </c>
      <c r="H234" s="13" t="s">
        <v>2127</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22"/>
      <c r="D235" s="824"/>
      <c r="E235" s="39"/>
      <c r="F235" s="39"/>
      <c r="G235" s="9" t="s">
        <v>406</v>
      </c>
      <c r="H235" s="7" t="s">
        <v>2172</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22"/>
      <c r="D236" s="824"/>
      <c r="E236" s="39"/>
      <c r="F236" s="39"/>
      <c r="G236" s="9" t="s">
        <v>408</v>
      </c>
      <c r="H236" s="13" t="s">
        <v>2273</v>
      </c>
      <c r="I236" s="18"/>
      <c r="J236" s="18"/>
      <c r="K236" s="74"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441</v>
      </c>
      <c r="H237" s="13" t="s">
        <v>353</v>
      </c>
      <c r="I237" s="18"/>
      <c r="J237" s="18"/>
      <c r="K237" s="74"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5" t="s">
        <v>2274</v>
      </c>
      <c r="D238" s="827" t="s">
        <v>2275</v>
      </c>
      <c r="E238" s="34"/>
      <c r="F238" s="34"/>
      <c r="G238" s="4" t="s">
        <v>336</v>
      </c>
      <c r="H238" s="17" t="s">
        <v>235</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337</v>
      </c>
      <c r="H239" s="17" t="s">
        <v>328</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29"/>
      <c r="D240" s="830"/>
      <c r="E240" s="35"/>
      <c r="F240" s="35"/>
      <c r="G240" s="4" t="s">
        <v>404</v>
      </c>
      <c r="H240" s="17" t="s">
        <v>353</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40.5" customHeight="1">
      <c r="B241" s="4"/>
      <c r="C241" s="829"/>
      <c r="D241" s="830"/>
      <c r="E241" s="35"/>
      <c r="F241" s="35"/>
      <c r="G241" s="4" t="s">
        <v>340</v>
      </c>
      <c r="H241" s="3" t="s">
        <v>2190</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406</v>
      </c>
      <c r="H242" s="17" t="s">
        <v>2127</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29"/>
      <c r="D243" s="830"/>
      <c r="E243" s="35"/>
      <c r="F243" s="35"/>
      <c r="G243" s="4" t="s">
        <v>746</v>
      </c>
      <c r="H243" s="17" t="s">
        <v>2215</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27" customHeight="1">
      <c r="B244" s="4"/>
      <c r="C244" s="829"/>
      <c r="D244" s="830"/>
      <c r="E244" s="35"/>
      <c r="F244" s="35"/>
      <c r="G244" s="4" t="s">
        <v>892</v>
      </c>
      <c r="H244" s="3" t="s">
        <v>2191</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29"/>
      <c r="D245" s="830"/>
      <c r="E245" s="35"/>
      <c r="F245" s="35"/>
      <c r="G245" s="4" t="s">
        <v>1077</v>
      </c>
      <c r="H245" s="17" t="s">
        <v>2219</v>
      </c>
      <c r="I245" s="18"/>
      <c r="J245" s="18"/>
      <c r="K245" s="74" t="str" cm="1">
        <f t="array" ref="K245">IF(ISBLANK(J245), IF(ISBLANK(I245), "N/A", _xlfn.IFS(L245="AS", I245+15, L245="NCR", I245+30, L245="submitted", I245+30, TRUE, "N/A")), _xlfn.IFS(L245="AS", J245+15, L245="NCR", J245+30, L245="submitted", J245+30, TRUE, "N/A"))</f>
        <v>N/A</v>
      </c>
      <c r="L245" s="4"/>
    </row>
    <row r="246" spans="2:12" s="5" customFormat="1" ht="15" customHeight="1">
      <c r="B246" s="4"/>
      <c r="C246" s="826"/>
      <c r="D246" s="828"/>
      <c r="E246" s="36"/>
      <c r="F246" s="36"/>
      <c r="G246" s="4" t="s">
        <v>441</v>
      </c>
      <c r="H246" s="17" t="s">
        <v>2273</v>
      </c>
      <c r="I246" s="18"/>
      <c r="J246" s="18"/>
      <c r="K246" s="74" t="str" cm="1">
        <f t="array" ref="K246">IF(ISBLANK(J246), IF(ISBLANK(I246), "N/A", _xlfn.IFS(L246="AS", I246+15, L246="NCR", I246+30, L246="submitted", I246+30, TRUE, "N/A")), _xlfn.IFS(L246="AS", J246+15, L246="NCR", J246+30, L246="submitted", J246+30, TRUE, "N/A"))</f>
        <v>N/A</v>
      </c>
      <c r="L246" s="4"/>
    </row>
    <row r="247" spans="2:12" s="1" customFormat="1" ht="15" customHeight="1">
      <c r="B247" s="9"/>
      <c r="C247" s="821" t="s">
        <v>2276</v>
      </c>
      <c r="D247" s="823" t="s">
        <v>2277</v>
      </c>
      <c r="E247" s="37"/>
      <c r="F247" s="37"/>
      <c r="G247" s="9" t="s">
        <v>336</v>
      </c>
      <c r="H247" s="13" t="s">
        <v>235</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15" customHeight="1">
      <c r="B248" s="9"/>
      <c r="C248" s="822"/>
      <c r="D248" s="824"/>
      <c r="E248" s="39"/>
      <c r="F248" s="39"/>
      <c r="G248" s="9" t="s">
        <v>337</v>
      </c>
      <c r="H248" s="13" t="s">
        <v>282</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40.5" customHeight="1">
      <c r="B249" s="9"/>
      <c r="C249" s="822"/>
      <c r="D249" s="824"/>
      <c r="E249" s="39"/>
      <c r="F249" s="39"/>
      <c r="G249" s="9" t="s">
        <v>338</v>
      </c>
      <c r="H249" s="7" t="s">
        <v>2231</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15" customHeight="1">
      <c r="B250" s="9"/>
      <c r="C250" s="822"/>
      <c r="D250" s="824"/>
      <c r="E250" s="39"/>
      <c r="F250" s="39"/>
      <c r="G250" s="9" t="s">
        <v>405</v>
      </c>
      <c r="H250" s="13" t="s">
        <v>2127</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40.5" customHeight="1">
      <c r="B251" s="9"/>
      <c r="C251" s="822"/>
      <c r="D251" s="824"/>
      <c r="E251" s="39"/>
      <c r="F251" s="39"/>
      <c r="G251" s="9" t="s">
        <v>346</v>
      </c>
      <c r="H251" s="7" t="s">
        <v>2209</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27" customHeight="1">
      <c r="B252" s="9"/>
      <c r="C252" s="822"/>
      <c r="D252" s="824"/>
      <c r="E252" s="39"/>
      <c r="F252" s="39"/>
      <c r="G252" s="9" t="s">
        <v>745</v>
      </c>
      <c r="H252" s="7" t="s">
        <v>2210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2"/>
      <c r="D253" s="824"/>
      <c r="E253" s="39"/>
      <c r="F253" s="39"/>
      <c r="G253" s="9" t="s">
        <v>408</v>
      </c>
      <c r="H253" s="13" t="s">
        <v>380</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2"/>
      <c r="D254" s="824"/>
      <c r="E254" s="39"/>
      <c r="F254" s="39"/>
      <c r="G254" s="9" t="s">
        <v>441</v>
      </c>
      <c r="H254" s="13" t="s">
        <v>353</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22"/>
      <c r="D255" s="824"/>
      <c r="E255" s="39"/>
      <c r="F255" s="39"/>
      <c r="G255" s="9" t="s">
        <v>2278</v>
      </c>
      <c r="H255" s="13" t="s">
        <v>2232</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22"/>
      <c r="D256" s="824"/>
      <c r="E256" s="39"/>
      <c r="F256" s="39"/>
      <c r="G256" s="9" t="s">
        <v>2279</v>
      </c>
      <c r="H256" s="13" t="s">
        <v>2180</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22"/>
      <c r="D257" s="824"/>
      <c r="E257" s="39"/>
      <c r="F257" s="39"/>
      <c r="G257" s="9" t="s">
        <v>2280</v>
      </c>
      <c r="H257" s="13" t="s">
        <v>426</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22"/>
      <c r="D258" s="824"/>
      <c r="E258" s="39"/>
      <c r="F258" s="39"/>
      <c r="G258" s="9" t="s">
        <v>2281</v>
      </c>
      <c r="H258" s="13" t="s">
        <v>2199</v>
      </c>
      <c r="I258" s="18"/>
      <c r="J258" s="18"/>
      <c r="K258" s="74"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07"/>
      <c r="D259" s="809"/>
      <c r="E259" s="46"/>
      <c r="F259" s="46"/>
      <c r="G259" s="9" t="s">
        <v>2282</v>
      </c>
      <c r="H259" s="13" t="s">
        <v>2202</v>
      </c>
      <c r="I259" s="18"/>
      <c r="J259" s="18"/>
      <c r="K259" s="74" t="str" cm="1">
        <f t="array" ref="K259">IF(ISBLANK(J259), IF(ISBLANK(I259), "N/A", _xlfn.IFS(L259="AS", I259+15, L259="NCR", I259+30, L259="submitted", I259+30, TRUE, "N/A")), _xlfn.IFS(L259="AS", J259+15, L259="NCR", J259+30, L259="submitted", J259+30, TRUE, "N/A"))</f>
        <v>N/A</v>
      </c>
      <c r="L259" s="9"/>
    </row>
    <row r="260" spans="2:12" s="5" customFormat="1" ht="15" customHeight="1">
      <c r="B260" s="4"/>
      <c r="C260" s="825" t="s">
        <v>2283</v>
      </c>
      <c r="D260" s="827" t="s">
        <v>2284</v>
      </c>
      <c r="E260" s="34"/>
      <c r="F260" s="34"/>
      <c r="G260" s="4" t="s">
        <v>336</v>
      </c>
      <c r="H260" s="17" t="s">
        <v>235</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40.5" customHeight="1">
      <c r="B261" s="4"/>
      <c r="C261" s="829"/>
      <c r="D261" s="830"/>
      <c r="E261" s="35"/>
      <c r="F261" s="35"/>
      <c r="G261" s="4" t="s">
        <v>240</v>
      </c>
      <c r="H261" s="3" t="s">
        <v>2285</v>
      </c>
      <c r="I261" s="18"/>
      <c r="J261" s="18"/>
      <c r="K261" s="74" t="str" cm="1">
        <f t="array" ref="K261">IF(ISBLANK(J261), IF(ISBLANK(I261), "N/A", _xlfn.IFS(L261="AS", I261+15, L261="NCR", I261+30, L261="submitted", I261+30, TRUE, "N/A")), _xlfn.IFS(L261="AS", J261+15, L261="NCR", J261+30, L261="submitted", J261+30, TRUE, "N/A"))</f>
        <v>N/A</v>
      </c>
      <c r="L261" s="4"/>
    </row>
    <row r="262" spans="2:12" s="5" customFormat="1" ht="15" customHeight="1">
      <c r="B262" s="4"/>
      <c r="C262" s="826"/>
      <c r="D262" s="828"/>
      <c r="E262" s="36"/>
      <c r="F262" s="36"/>
      <c r="G262" s="4" t="s">
        <v>404</v>
      </c>
      <c r="H262" s="17" t="s">
        <v>2125</v>
      </c>
      <c r="I262" s="18"/>
      <c r="J262" s="18"/>
      <c r="K262" s="74" t="str" cm="1">
        <f t="array" ref="K262">IF(ISBLANK(J262), IF(ISBLANK(I262), "N/A", _xlfn.IFS(L262="AS", I262+15, L262="NCR", I262+30, L262="submitted", I262+30, TRUE, "N/A")), _xlfn.IFS(L262="AS", J262+15, L262="NCR", J262+30, L262="submitted", J262+30, TRUE, "N/A"))</f>
        <v>N/A</v>
      </c>
      <c r="L262" s="4"/>
    </row>
    <row r="263" spans="2:12" s="1" customFormat="1" ht="15" customHeight="1">
      <c r="B263" s="9"/>
      <c r="C263" s="821" t="s">
        <v>2286</v>
      </c>
      <c r="D263" s="823" t="s">
        <v>2287</v>
      </c>
      <c r="E263" s="37"/>
      <c r="F263" s="37"/>
      <c r="G263" s="9" t="s">
        <v>281</v>
      </c>
      <c r="H263" s="13" t="s">
        <v>235</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269</v>
      </c>
      <c r="H264" s="13" t="s">
        <v>282</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22"/>
      <c r="D265" s="824"/>
      <c r="E265" s="39"/>
      <c r="F265" s="39"/>
      <c r="G265" s="9" t="s">
        <v>259</v>
      </c>
      <c r="H265" s="13" t="s">
        <v>490</v>
      </c>
      <c r="I265" s="18"/>
      <c r="J265" s="18"/>
      <c r="K265" s="74"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352</v>
      </c>
      <c r="H266" s="13" t="s">
        <v>2144</v>
      </c>
      <c r="I266" s="18"/>
      <c r="J266" s="18"/>
      <c r="K266" s="74"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5" t="s">
        <v>2288</v>
      </c>
      <c r="D267" s="827" t="s">
        <v>2289</v>
      </c>
      <c r="E267" s="34"/>
      <c r="F267" s="34"/>
      <c r="G267" s="4" t="s">
        <v>336</v>
      </c>
      <c r="H267" s="17" t="s">
        <v>235</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29"/>
      <c r="D268" s="830"/>
      <c r="E268" s="35"/>
      <c r="F268" s="35"/>
      <c r="G268" s="4" t="s">
        <v>240</v>
      </c>
      <c r="H268" s="17" t="s">
        <v>2290</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53.25">
      <c r="B269" s="4"/>
      <c r="C269" s="829"/>
      <c r="D269" s="830"/>
      <c r="E269" s="35"/>
      <c r="F269" s="35"/>
      <c r="G269" s="4" t="s">
        <v>242</v>
      </c>
      <c r="H269" s="3" t="s">
        <v>2291</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1232</v>
      </c>
      <c r="H270" s="3" t="s">
        <v>2292</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29"/>
      <c r="D271" s="830"/>
      <c r="E271" s="35"/>
      <c r="F271" s="35"/>
      <c r="G271" s="4" t="s">
        <v>1234</v>
      </c>
      <c r="H271" s="3" t="s">
        <v>2293</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29"/>
      <c r="D272" s="830"/>
      <c r="E272" s="35"/>
      <c r="F272" s="35"/>
      <c r="G272" s="4" t="s">
        <v>1236</v>
      </c>
      <c r="H272" s="17" t="s">
        <v>2294</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29"/>
      <c r="D273" s="830"/>
      <c r="E273" s="35"/>
      <c r="F273" s="35"/>
      <c r="G273" s="4" t="s">
        <v>1238</v>
      </c>
      <c r="H273" s="3" t="s">
        <v>2295</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27" customHeight="1">
      <c r="B274" s="4"/>
      <c r="C274" s="829"/>
      <c r="D274" s="830"/>
      <c r="E274" s="35"/>
      <c r="F274" s="35"/>
      <c r="G274" s="4" t="s">
        <v>404</v>
      </c>
      <c r="H274" s="3" t="s">
        <v>2296</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9"/>
      <c r="D275" s="830"/>
      <c r="E275" s="35"/>
      <c r="F275" s="35"/>
      <c r="G275" s="4" t="s">
        <v>405</v>
      </c>
      <c r="H275" s="17" t="s">
        <v>2297</v>
      </c>
      <c r="I275" s="18"/>
      <c r="J275" s="18"/>
      <c r="K275" s="74"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26"/>
      <c r="D276" s="828"/>
      <c r="E276" s="36"/>
      <c r="F276" s="36"/>
      <c r="G276" s="4" t="s">
        <v>406</v>
      </c>
      <c r="H276" s="17" t="s">
        <v>2298</v>
      </c>
      <c r="I276" s="18"/>
      <c r="J276" s="18"/>
      <c r="K276" s="74" t="str" cm="1">
        <f t="array" ref="K276">IF(ISBLANK(J276), IF(ISBLANK(I276), "N/A", _xlfn.IFS(L276="AS", I276+15, L276="NCR", I276+30, L276="submitted", I276+30, TRUE, "N/A")), _xlfn.IFS(L276="AS", J276+15, L276="NCR", J276+30, L276="submitted", J276+30, TRUE, "N/A"))</f>
        <v>N/A</v>
      </c>
      <c r="L276" s="4"/>
    </row>
    <row r="277" spans="2:14" s="1" customFormat="1" ht="15" customHeight="1">
      <c r="B277" s="9"/>
      <c r="C277" s="821" t="s">
        <v>2299</v>
      </c>
      <c r="D277" s="823" t="s">
        <v>2300</v>
      </c>
      <c r="E277" s="37"/>
      <c r="F277" s="37"/>
      <c r="G277" s="9" t="s">
        <v>281</v>
      </c>
      <c r="H277" s="13" t="s">
        <v>2301</v>
      </c>
      <c r="I277" s="18"/>
      <c r="J277" s="18"/>
      <c r="K277" s="74" t="str" cm="1">
        <f t="array" ref="K277">IF(ISBLANK(J277), IF(ISBLANK(I277), "N/A", _xlfn.IFS(L277="AS", I277+15, L277="NCR", I277+30, L277="submitted", I277+30, TRUE, "N/A")), _xlfn.IFS(L277="AS", J277+15, L277="NCR", J277+30, L277="submitted", J277+30, TRUE, "N/A"))</f>
        <v>N/A</v>
      </c>
      <c r="L277" s="9"/>
      <c r="M277" s="317"/>
      <c r="N277" s="747"/>
    </row>
    <row r="278" spans="2:14" s="1" customFormat="1" ht="15" customHeight="1">
      <c r="B278" s="38"/>
      <c r="C278" s="822"/>
      <c r="D278" s="824"/>
      <c r="E278" s="39"/>
      <c r="F278" s="39"/>
      <c r="G278" s="38" t="s">
        <v>269</v>
      </c>
      <c r="H278" s="37" t="s">
        <v>2302</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22"/>
      <c r="D279" s="824"/>
      <c r="E279" s="39"/>
      <c r="F279" s="39"/>
      <c r="G279" s="38" t="s">
        <v>259</v>
      </c>
      <c r="H279" s="37" t="s">
        <v>2303</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22"/>
      <c r="D280" s="824"/>
      <c r="E280" s="39"/>
      <c r="F280" s="39"/>
      <c r="G280" s="38" t="s">
        <v>352</v>
      </c>
      <c r="H280" s="37" t="s">
        <v>2304</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15" customHeight="1">
      <c r="B281" s="38"/>
      <c r="C281" s="822"/>
      <c r="D281" s="824"/>
      <c r="E281" s="39"/>
      <c r="F281" s="39"/>
      <c r="G281" s="38" t="s">
        <v>354</v>
      </c>
      <c r="H281" s="37" t="s">
        <v>2305</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1" customFormat="1" ht="27" customHeight="1">
      <c r="B282" s="38"/>
      <c r="C282" s="807"/>
      <c r="D282" s="809"/>
      <c r="E282" s="39"/>
      <c r="F282" s="39"/>
      <c r="G282" s="38" t="s">
        <v>596</v>
      </c>
      <c r="H282" s="40" t="s">
        <v>2306</v>
      </c>
      <c r="I282" s="18"/>
      <c r="J282" s="18"/>
      <c r="K282" s="74" t="str" cm="1">
        <f t="array" ref="K282">IF(ISBLANK(J282), IF(ISBLANK(I282), "N/A", _xlfn.IFS(L282="AS", I282+15, L282="NCR", I282+30, L282="submitted", I282+30, TRUE, "N/A")), _xlfn.IFS(L282="AS", J282+15, L282="NCR", J282+30, L282="submitted", J282+30, TRUE, "N/A"))</f>
        <v>N/A</v>
      </c>
      <c r="L282" s="38"/>
      <c r="M282" s="317"/>
      <c r="N282" s="747"/>
    </row>
    <row r="283" spans="2:14" s="5" customFormat="1" ht="15" customHeight="1">
      <c r="B283" s="19"/>
      <c r="C283" s="111" t="s">
        <v>2307</v>
      </c>
      <c r="D283" s="35" t="s">
        <v>2308</v>
      </c>
      <c r="E283" s="35"/>
      <c r="F283" s="35"/>
      <c r="G283" s="19" t="s">
        <v>145</v>
      </c>
      <c r="H283" s="53"/>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5" t="s">
        <v>2309</v>
      </c>
      <c r="D284" s="827" t="s">
        <v>2310</v>
      </c>
      <c r="E284" s="34"/>
      <c r="F284" s="34"/>
      <c r="G284" s="19" t="s">
        <v>2311</v>
      </c>
      <c r="H284" s="53" t="s">
        <v>2312</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29"/>
      <c r="D285" s="830"/>
      <c r="E285" s="35"/>
      <c r="F285" s="35"/>
      <c r="G285" s="19" t="s">
        <v>2313</v>
      </c>
      <c r="H285" s="53" t="s">
        <v>2314</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t="s">
        <v>2315</v>
      </c>
      <c r="D286" s="827" t="s">
        <v>2316</v>
      </c>
      <c r="E286" s="34"/>
      <c r="F286" s="34"/>
      <c r="G286" s="19" t="s">
        <v>2311</v>
      </c>
      <c r="H286" s="53" t="s">
        <v>2312</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c r="D287" s="830"/>
      <c r="E287" s="35"/>
      <c r="F287" s="35"/>
      <c r="G287" s="19" t="s">
        <v>2313</v>
      </c>
      <c r="H287" s="53" t="s">
        <v>2314</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t="s">
        <v>2317</v>
      </c>
      <c r="D288" s="827" t="s">
        <v>2318</v>
      </c>
      <c r="E288" s="34"/>
      <c r="F288" s="34"/>
      <c r="G288" s="19" t="s">
        <v>2311</v>
      </c>
      <c r="H288" s="53" t="s">
        <v>2312</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c r="D289" s="830"/>
      <c r="E289" s="35"/>
      <c r="F289" s="35"/>
      <c r="G289" s="19" t="s">
        <v>2313</v>
      </c>
      <c r="H289" s="53" t="s">
        <v>2314</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t="s">
        <v>2319</v>
      </c>
      <c r="D290" s="827" t="s">
        <v>2320</v>
      </c>
      <c r="E290" s="34"/>
      <c r="F290" s="34"/>
      <c r="G290" s="19" t="s">
        <v>2311</v>
      </c>
      <c r="H290" s="53" t="s">
        <v>2312</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c r="D291" s="830"/>
      <c r="E291" s="35"/>
      <c r="F291" s="35"/>
      <c r="G291" s="19" t="s">
        <v>2313</v>
      </c>
      <c r="H291" s="53" t="s">
        <v>2314</v>
      </c>
      <c r="I291" s="18"/>
      <c r="J291" s="18"/>
      <c r="K291" s="74" t="str" cm="1">
        <f t="array" ref="K291">IF(ISBLANK(J291), IF(ISBLANK(I291), "N/A", _xlfn.IFS(L291="AS", I291+15, L291="NCR", I291+30, L291="submitted", I291+30, TRUE, "N/A")), _xlfn.IFS(L291="AS", J291+15, L291="NCR", J291+30, L291="submitted", J291+30, TRUE, "N/A"))</f>
        <v>N/A</v>
      </c>
      <c r="L291" s="19"/>
      <c r="M291" s="317"/>
      <c r="N291" s="747"/>
    </row>
    <row r="292" spans="2:14" s="5" customFormat="1" ht="15" customHeight="1">
      <c r="B292" s="19"/>
      <c r="C292" s="819" t="s">
        <v>2321</v>
      </c>
      <c r="D292" s="827" t="s">
        <v>2322</v>
      </c>
      <c r="E292" s="34"/>
      <c r="F292" s="34"/>
      <c r="G292" s="19" t="s">
        <v>2311</v>
      </c>
      <c r="H292" s="53" t="s">
        <v>2312</v>
      </c>
      <c r="I292" s="18"/>
      <c r="J292" s="18"/>
      <c r="K292" s="74" t="str" cm="1">
        <f t="array" ref="K292">IF(ISBLANK(J292), IF(ISBLANK(I292), "N/A", _xlfn.IFS(L292="AS", I292+15, L292="NCR", I292+30, L292="submitted", I292+30, TRUE, "N/A")), _xlfn.IFS(L292="AS", J292+15, L292="NCR", J292+30, L292="submitted", J292+30, TRUE, "N/A"))</f>
        <v>N/A</v>
      </c>
      <c r="L292" s="19"/>
      <c r="M292" s="317"/>
      <c r="N292" s="745" t="s">
        <v>133</v>
      </c>
    </row>
    <row r="293" spans="2:14" s="5" customFormat="1" ht="15" customHeight="1">
      <c r="B293" s="19"/>
      <c r="C293" s="819"/>
      <c r="D293" s="830"/>
      <c r="E293" s="35"/>
      <c r="F293" s="35"/>
      <c r="G293" s="19" t="s">
        <v>2313</v>
      </c>
      <c r="H293" s="53" t="s">
        <v>2314</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t="s">
        <v>2323</v>
      </c>
      <c r="D294" s="827" t="s">
        <v>2324</v>
      </c>
      <c r="E294" s="34"/>
      <c r="F294" s="34"/>
      <c r="G294" s="19" t="s">
        <v>2311</v>
      </c>
      <c r="H294" s="53" t="s">
        <v>2312</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c r="D295" s="830"/>
      <c r="E295" s="35"/>
      <c r="F295" s="35"/>
      <c r="G295" s="19" t="s">
        <v>2313</v>
      </c>
      <c r="H295" s="53" t="s">
        <v>2314</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t="s">
        <v>2325</v>
      </c>
      <c r="D296" s="827" t="s">
        <v>2326</v>
      </c>
      <c r="E296" s="34"/>
      <c r="F296" s="34"/>
      <c r="G296" s="19" t="s">
        <v>2311</v>
      </c>
      <c r="H296" s="53" t="s">
        <v>2312</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c r="D297" s="830"/>
      <c r="E297" s="35"/>
      <c r="F297" s="35"/>
      <c r="G297" s="19" t="s">
        <v>2313</v>
      </c>
      <c r="H297" s="53" t="s">
        <v>2314</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t="s">
        <v>2327</v>
      </c>
      <c r="D298" s="827" t="s">
        <v>2328</v>
      </c>
      <c r="E298" s="34"/>
      <c r="F298" s="34"/>
      <c r="G298" s="19" t="s">
        <v>2311</v>
      </c>
      <c r="H298" s="53" t="s">
        <v>2312</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c r="D299" s="830"/>
      <c r="E299" s="35"/>
      <c r="F299" s="35"/>
      <c r="G299" s="19" t="s">
        <v>2313</v>
      </c>
      <c r="H299" s="53" t="s">
        <v>2314</v>
      </c>
      <c r="I299" s="18"/>
      <c r="J299" s="18"/>
      <c r="K299" s="74" t="str" cm="1">
        <f t="array" ref="K299">IF(ISBLANK(J299), IF(ISBLANK(I299), "N/A", _xlfn.IFS(L299="AS", I299+15, L299="NCR", I299+30, L299="submitted", I299+30, TRUE, "N/A")), _xlfn.IFS(L299="AS", J299+15, L299="NCR", J299+30, L299="submitted", J299+30, TRUE, "N/A"))</f>
        <v>N/A</v>
      </c>
      <c r="L299" s="19"/>
      <c r="M299" s="317"/>
      <c r="N299" s="746"/>
    </row>
    <row r="300" spans="2:14" s="5" customFormat="1" ht="15" customHeight="1">
      <c r="B300" s="19"/>
      <c r="C300" s="819" t="s">
        <v>2329</v>
      </c>
      <c r="D300" s="827" t="s">
        <v>2330</v>
      </c>
      <c r="E300" s="34"/>
      <c r="F300" s="34"/>
      <c r="G300" s="19" t="s">
        <v>2311</v>
      </c>
      <c r="H300" s="53" t="s">
        <v>2312</v>
      </c>
      <c r="I300" s="18"/>
      <c r="J300" s="18"/>
      <c r="K300" s="74" t="str" cm="1">
        <f t="array" ref="K300">IF(ISBLANK(J300), IF(ISBLANK(I300), "N/A", _xlfn.IFS(L300="AS", I300+15, L300="NCR", I300+30, L300="submitted", I300+30, TRUE, "N/A")), _xlfn.IFS(L300="AS", J300+15, L300="NCR", J300+30, L300="submitted", J300+30, TRUE, "N/A"))</f>
        <v>N/A</v>
      </c>
      <c r="L300" s="19"/>
      <c r="M300" s="317"/>
      <c r="N300" s="747" t="s">
        <v>148</v>
      </c>
    </row>
    <row r="301" spans="2:14" s="5" customFormat="1" ht="15" customHeight="1">
      <c r="B301" s="19"/>
      <c r="C301" s="819"/>
      <c r="D301" s="830"/>
      <c r="E301" s="35"/>
      <c r="F301" s="35"/>
      <c r="G301" s="19" t="s">
        <v>2313</v>
      </c>
      <c r="H301" s="53" t="s">
        <v>2314</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t="s">
        <v>2331</v>
      </c>
      <c r="D302" s="827" t="s">
        <v>2332</v>
      </c>
      <c r="E302" s="34"/>
      <c r="F302" s="34"/>
      <c r="G302" s="19" t="s">
        <v>2311</v>
      </c>
      <c r="H302" s="53" t="s">
        <v>2312</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c r="D303" s="830"/>
      <c r="E303" s="35"/>
      <c r="F303" s="35"/>
      <c r="G303" s="19" t="s">
        <v>2313</v>
      </c>
      <c r="H303" s="53" t="s">
        <v>2314</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t="s">
        <v>2333</v>
      </c>
      <c r="D304" s="827" t="s">
        <v>2334</v>
      </c>
      <c r="E304" s="34"/>
      <c r="F304" s="34"/>
      <c r="G304" s="19" t="s">
        <v>2311</v>
      </c>
      <c r="H304" s="53" t="s">
        <v>2312</v>
      </c>
      <c r="I304" s="18"/>
      <c r="J304" s="18"/>
      <c r="K304" s="74" t="str" cm="1">
        <f t="array" ref="K304">IF(ISBLANK(J304), IF(ISBLANK(I304), "N/A", _xlfn.IFS(L304="AS", I304+15, L304="NCR", I304+30, L304="submitted", I304+30, TRUE, "N/A")), _xlfn.IFS(L304="AS", J304+15, L304="NCR", J304+30, L304="submitted", J304+30, TRUE, "N/A"))</f>
        <v>N/A</v>
      </c>
      <c r="L304" s="19"/>
      <c r="M304" s="317"/>
      <c r="N304" s="747"/>
    </row>
    <row r="305" spans="2:14" s="5" customFormat="1" ht="15" customHeight="1">
      <c r="B305" s="19"/>
      <c r="C305" s="819"/>
      <c r="D305" s="830"/>
      <c r="E305" s="35"/>
      <c r="F305" s="35"/>
      <c r="G305" s="19" t="s">
        <v>2313</v>
      </c>
      <c r="H305" s="53" t="s">
        <v>2314</v>
      </c>
      <c r="I305" s="18"/>
      <c r="J305" s="18"/>
      <c r="K305" s="74" t="str" cm="1">
        <f t="array" ref="K305">IF(ISBLANK(J305), IF(ISBLANK(I305), "N/A", _xlfn.IFS(L305="AS", I305+15, L305="NCR", I305+30, L305="submitted", I305+30, TRUE, "N/A")), _xlfn.IFS(L305="AS", J305+15, L305="NCR", J305+30, L305="submitted", J305+30, TRUE, "N/A"))</f>
        <v>N/A</v>
      </c>
      <c r="L305" s="19"/>
      <c r="M305" s="318"/>
      <c r="N305" s="747"/>
    </row>
    <row r="306" spans="2:14" s="5" customFormat="1" ht="15" customHeight="1">
      <c r="B306" s="19"/>
      <c r="C306" s="819" t="s">
        <v>2335</v>
      </c>
      <c r="D306" s="827" t="s">
        <v>2336</v>
      </c>
      <c r="E306" s="34"/>
      <c r="F306" s="34"/>
      <c r="G306" s="19" t="s">
        <v>2311</v>
      </c>
      <c r="H306" s="53" t="s">
        <v>2312</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c r="D307" s="830"/>
      <c r="E307" s="35"/>
      <c r="F307" s="35"/>
      <c r="G307" s="19" t="s">
        <v>2313</v>
      </c>
      <c r="H307" s="53" t="s">
        <v>2314</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t="s">
        <v>2337</v>
      </c>
      <c r="D308" s="827" t="s">
        <v>2338</v>
      </c>
      <c r="E308" s="34"/>
      <c r="F308" s="34"/>
      <c r="G308" s="19" t="s">
        <v>2311</v>
      </c>
      <c r="H308" s="53" t="s">
        <v>2312</v>
      </c>
      <c r="I308" s="18"/>
      <c r="J308" s="18"/>
      <c r="K308" s="74" t="str" cm="1">
        <f t="array" ref="K308">IF(ISBLANK(J308), IF(ISBLANK(I308), "N/A", _xlfn.IFS(L308="AS", I308+15, L308="NCR", I308+30, L308="submitted", I308+30, TRUE, "N/A")), _xlfn.IFS(L308="AS", J308+15, L308="NCR", J308+30, L308="submitted", J308+30, TRUE, "N/A"))</f>
        <v>N/A</v>
      </c>
      <c r="L308" s="19"/>
      <c r="M308" s="317"/>
      <c r="N308" s="747"/>
    </row>
    <row r="309" spans="2:14" s="5" customFormat="1" ht="15" customHeight="1">
      <c r="B309" s="19"/>
      <c r="C309" s="819"/>
      <c r="D309" s="830"/>
      <c r="E309" s="35"/>
      <c r="F309" s="35"/>
      <c r="G309" s="19" t="s">
        <v>2313</v>
      </c>
      <c r="H309" s="53" t="s">
        <v>2314</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t="s">
        <v>2339</v>
      </c>
      <c r="D310" s="827" t="s">
        <v>2340</v>
      </c>
      <c r="E310" s="34"/>
      <c r="F310" s="34"/>
      <c r="G310" s="19" t="s">
        <v>2311</v>
      </c>
      <c r="H310" s="53" t="s">
        <v>2312</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19"/>
      <c r="D311" s="830"/>
      <c r="E311" s="35"/>
      <c r="F311" s="35"/>
      <c r="G311" s="19" t="s">
        <v>2313</v>
      </c>
      <c r="H311" s="53" t="s">
        <v>2314</v>
      </c>
      <c r="I311" s="18"/>
      <c r="J311" s="18"/>
      <c r="K311" s="74" t="str" cm="1">
        <f t="array" ref="K311">IF(ISBLANK(J311), IF(ISBLANK(I311), "N/A", _xlfn.IFS(L311="AS", I311+15, L311="NCR", I311+30, L311="submitted", I311+30, TRUE, "N/A")), _xlfn.IFS(L311="AS", J311+15, L311="NCR", J311+30, L311="submitted", J311+30, TRUE, "N/A"))</f>
        <v>N/A</v>
      </c>
      <c r="L311" s="19"/>
    </row>
    <row r="312" spans="2:14" s="5" customFormat="1" ht="15" customHeight="1">
      <c r="B312" s="19"/>
      <c r="C312" s="829" t="s">
        <v>2341</v>
      </c>
      <c r="D312" s="827" t="s">
        <v>2342</v>
      </c>
      <c r="E312" s="34"/>
      <c r="F312" s="34"/>
      <c r="G312" s="19" t="s">
        <v>2311</v>
      </c>
      <c r="H312" s="53" t="s">
        <v>2312</v>
      </c>
      <c r="I312" s="18"/>
      <c r="J312" s="18"/>
      <c r="K312" s="74" t="str" cm="1">
        <f t="array" ref="K312">IF(ISBLANK(J312), IF(ISBLANK(I312), "N/A", _xlfn.IFS(L312="AS", I312+15, L312="NCR", I312+30, L312="submitted", I312+30, TRUE, "N/A")), _xlfn.IFS(L312="AS", J312+15, L312="NCR", J312+30, L312="submitted", J312+30, TRUE, "N/A"))</f>
        <v>N/A</v>
      </c>
      <c r="L312" s="53"/>
    </row>
    <row r="313" spans="2:14" s="45" customFormat="1" ht="15.75" customHeight="1">
      <c r="B313" s="42"/>
      <c r="C313" s="868"/>
      <c r="D313" s="869"/>
      <c r="E313" s="49"/>
      <c r="F313" s="49"/>
      <c r="G313" s="42" t="s">
        <v>2313</v>
      </c>
      <c r="H313" s="61" t="s">
        <v>2314</v>
      </c>
      <c r="I313" s="18"/>
      <c r="J313" s="18"/>
      <c r="K313" s="74" t="str" cm="1">
        <f t="array" ref="K313">IF(ISBLANK(J313), IF(ISBLANK(I313), "N/A", _xlfn.IFS(L313="AS", I313+15, L313="NCR", I313+30, L313="submitted", I313+30, TRUE, "N/A")), _xlfn.IFS(L313="AS", J313+15, L313="NCR", J313+30, L313="submitted", J313+30, TRUE, "N/A"))</f>
        <v>N/A</v>
      </c>
      <c r="L313" s="61"/>
    </row>
  </sheetData>
  <mergeCells count="82">
    <mergeCell ref="N3:Q6"/>
    <mergeCell ref="N7:Q39"/>
    <mergeCell ref="N40:Q47"/>
    <mergeCell ref="N48:Q123"/>
    <mergeCell ref="N124:Q131"/>
    <mergeCell ref="B1:H1"/>
    <mergeCell ref="C99:C110"/>
    <mergeCell ref="D99:D110"/>
    <mergeCell ref="C170:C172"/>
    <mergeCell ref="D170:D172"/>
    <mergeCell ref="C161:C165"/>
    <mergeCell ref="D161:D165"/>
    <mergeCell ref="C111:C122"/>
    <mergeCell ref="D111:D122"/>
    <mergeCell ref="C123:C136"/>
    <mergeCell ref="D123:D136"/>
    <mergeCell ref="C137:C141"/>
    <mergeCell ref="D137:D141"/>
    <mergeCell ref="C142:C155"/>
    <mergeCell ref="D142:D155"/>
    <mergeCell ref="C156:C160"/>
    <mergeCell ref="D177:D178"/>
    <mergeCell ref="C179:C184"/>
    <mergeCell ref="D179:D184"/>
    <mergeCell ref="C185:C197"/>
    <mergeCell ref="D185:D197"/>
    <mergeCell ref="D156:D160"/>
    <mergeCell ref="C238:C246"/>
    <mergeCell ref="D238:D246"/>
    <mergeCell ref="C247:C259"/>
    <mergeCell ref="D247:D259"/>
    <mergeCell ref="C198:C209"/>
    <mergeCell ref="D198:D209"/>
    <mergeCell ref="C210:C220"/>
    <mergeCell ref="D210:D220"/>
    <mergeCell ref="C221:C230"/>
    <mergeCell ref="D221:D230"/>
    <mergeCell ref="C173:C176"/>
    <mergeCell ref="D173:D176"/>
    <mergeCell ref="C231:C237"/>
    <mergeCell ref="D231:D237"/>
    <mergeCell ref="C177:C178"/>
    <mergeCell ref="C298:C299"/>
    <mergeCell ref="D298:D299"/>
    <mergeCell ref="C260:C262"/>
    <mergeCell ref="D260:D262"/>
    <mergeCell ref="C263:C266"/>
    <mergeCell ref="D263:D266"/>
    <mergeCell ref="C267:C276"/>
    <mergeCell ref="D267:D276"/>
    <mergeCell ref="C277:C282"/>
    <mergeCell ref="D277:D282"/>
    <mergeCell ref="C284:C285"/>
    <mergeCell ref="D284:D285"/>
    <mergeCell ref="C286:C287"/>
    <mergeCell ref="D286:D287"/>
    <mergeCell ref="C304:C305"/>
    <mergeCell ref="D304:D305"/>
    <mergeCell ref="C312:C313"/>
    <mergeCell ref="D312:D313"/>
    <mergeCell ref="C306:C307"/>
    <mergeCell ref="D306:D307"/>
    <mergeCell ref="C308:C309"/>
    <mergeCell ref="D308:D309"/>
    <mergeCell ref="C310:C311"/>
    <mergeCell ref="D310:D311"/>
    <mergeCell ref="N132:Q206"/>
    <mergeCell ref="N207:Q214"/>
    <mergeCell ref="C300:C301"/>
    <mergeCell ref="D300:D301"/>
    <mergeCell ref="C302:C303"/>
    <mergeCell ref="D302:D303"/>
    <mergeCell ref="C288:C289"/>
    <mergeCell ref="D288:D289"/>
    <mergeCell ref="C290:C291"/>
    <mergeCell ref="D290:D291"/>
    <mergeCell ref="C292:C293"/>
    <mergeCell ref="D292:D293"/>
    <mergeCell ref="C294:C295"/>
    <mergeCell ref="D294:D295"/>
    <mergeCell ref="C296:C297"/>
    <mergeCell ref="D296:D297"/>
  </mergeCells>
  <conditionalFormatting sqref="B3:L9004">
    <cfRule type="expression" dxfId="15" priority="5">
      <formula>OR(INDEX($L:$L,ROW())="NCR",INDEX($L:$L,ROW())="NR",INDEX($L:$L,ROW())="AS")</formula>
    </cfRule>
  </conditionalFormatting>
  <conditionalFormatting sqref="B3:L9004">
    <cfRule type="expression" dxfId="14" priority="4">
      <formula>OR(INDEX($L:$L,ROW())="AC",INDEX($L:$L,ROW())="AN",INDEX($L:$L,ROW())="RC",INDEX($L:$L,ROW())="RA")</formula>
    </cfRule>
  </conditionalFormatting>
  <conditionalFormatting sqref="B3:L9004">
    <cfRule type="expression" dxfId="13" priority="3">
      <formula>OR(INDEX($L:$L,ROW())="Submitted",INDEX($L:$L,ROW())="REV")</formula>
    </cfRule>
  </conditionalFormatting>
  <conditionalFormatting sqref="B3:L9004">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3"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2083</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22" t="s">
        <v>2343</v>
      </c>
      <c r="D3" s="933" t="s">
        <v>2344</v>
      </c>
      <c r="E3" s="159"/>
      <c r="F3" s="140"/>
      <c r="G3" s="566" t="s">
        <v>868</v>
      </c>
      <c r="H3" s="46" t="s">
        <v>2345</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22"/>
      <c r="D4" s="933"/>
      <c r="E4" s="159"/>
      <c r="F4" s="140"/>
      <c r="G4" s="566" t="s">
        <v>870</v>
      </c>
      <c r="H4" s="46" t="s">
        <v>2346</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22"/>
      <c r="D5" s="933"/>
      <c r="E5" s="159"/>
      <c r="F5" s="140"/>
      <c r="G5" s="566" t="s">
        <v>872</v>
      </c>
      <c r="H5" s="46" t="s">
        <v>2347</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22"/>
      <c r="D6" s="933"/>
      <c r="E6" s="159"/>
      <c r="F6" s="140"/>
      <c r="G6" s="566" t="s">
        <v>874</v>
      </c>
      <c r="H6" s="46" t="s">
        <v>2348</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22"/>
      <c r="D7" s="933"/>
      <c r="E7" s="159"/>
      <c r="F7" s="140"/>
      <c r="G7" s="566" t="s">
        <v>1351</v>
      </c>
      <c r="H7" s="46" t="s">
        <v>2349</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22"/>
      <c r="D8" s="933"/>
      <c r="E8" s="159"/>
      <c r="F8" s="140"/>
      <c r="G8" s="566" t="s">
        <v>1353</v>
      </c>
      <c r="H8" s="46" t="s">
        <v>2350</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22"/>
      <c r="D9" s="933"/>
      <c r="E9" s="159"/>
      <c r="F9" s="140"/>
      <c r="G9" s="566" t="s">
        <v>1355</v>
      </c>
      <c r="H9" s="46" t="s">
        <v>2351</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22"/>
      <c r="D10" s="933"/>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22"/>
      <c r="D11" s="933"/>
      <c r="E11" s="159"/>
      <c r="F11" s="140"/>
      <c r="G11" s="566" t="s">
        <v>2352</v>
      </c>
      <c r="H11" s="46" t="s">
        <v>2353</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22"/>
      <c r="D12" s="933"/>
      <c r="E12" s="159"/>
      <c r="F12" s="140"/>
      <c r="G12" s="566" t="s">
        <v>2354</v>
      </c>
      <c r="H12" s="46" t="s">
        <v>2355</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22"/>
      <c r="D13" s="933"/>
      <c r="E13" s="159"/>
      <c r="F13" s="140"/>
      <c r="G13" s="566" t="s">
        <v>2356</v>
      </c>
      <c r="H13" s="46" t="s">
        <v>2357</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22"/>
      <c r="D14" s="933"/>
      <c r="E14" s="159"/>
      <c r="F14" s="140"/>
      <c r="G14" s="566" t="s">
        <v>2358</v>
      </c>
      <c r="H14" s="46" t="s">
        <v>2359</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22"/>
      <c r="D15" s="933"/>
      <c r="E15" s="159"/>
      <c r="F15" s="140"/>
      <c r="G15" s="566" t="s">
        <v>2360</v>
      </c>
      <c r="H15" s="46" t="s">
        <v>2361</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22"/>
      <c r="D16" s="933"/>
      <c r="E16" s="159"/>
      <c r="F16" s="140"/>
      <c r="G16" s="566" t="s">
        <v>2362</v>
      </c>
      <c r="H16" s="46" t="s">
        <v>2363</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34"/>
      <c r="E17" s="159"/>
      <c r="F17" s="140"/>
      <c r="G17" s="566" t="s">
        <v>2364</v>
      </c>
      <c r="H17" s="46" t="s">
        <v>2365</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2366</v>
      </c>
      <c r="D18" s="132" t="s">
        <v>2367</v>
      </c>
      <c r="E18" s="143"/>
      <c r="F18" s="126"/>
      <c r="G18" s="145" t="s">
        <v>212</v>
      </c>
      <c r="H18" s="3" t="s">
        <v>2368</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21" t="s">
        <v>2369</v>
      </c>
      <c r="D19" s="925" t="s">
        <v>2370</v>
      </c>
      <c r="E19" s="142"/>
      <c r="F19" s="140"/>
      <c r="G19" s="141" t="s">
        <v>212</v>
      </c>
      <c r="H19" s="7" t="s">
        <v>2371</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7"/>
      <c r="E20" s="142"/>
      <c r="F20" s="140"/>
      <c r="G20" s="141" t="s">
        <v>336</v>
      </c>
      <c r="H20" s="13" t="s">
        <v>2372</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5" t="s">
        <v>2373</v>
      </c>
      <c r="D21" s="929" t="s">
        <v>2374</v>
      </c>
      <c r="E21" s="157"/>
      <c r="F21" s="126"/>
      <c r="G21" s="145" t="s">
        <v>212</v>
      </c>
      <c r="H21" s="3" t="s">
        <v>2371</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26"/>
      <c r="D22" s="931"/>
      <c r="E22" s="157"/>
      <c r="F22" s="126"/>
      <c r="G22" s="145" t="s">
        <v>336</v>
      </c>
      <c r="H22" s="17" t="s">
        <v>2375</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21" t="s">
        <v>2376</v>
      </c>
      <c r="D23" s="932" t="s">
        <v>2377</v>
      </c>
      <c r="E23" s="159"/>
      <c r="F23" s="140"/>
      <c r="G23" s="141" t="s">
        <v>212</v>
      </c>
      <c r="H23" s="7" t="s">
        <v>2371</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34"/>
      <c r="E24" s="159"/>
      <c r="F24" s="140"/>
      <c r="G24" s="141" t="s">
        <v>336</v>
      </c>
      <c r="H24" s="13" t="s">
        <v>2375</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5" t="s">
        <v>2378</v>
      </c>
      <c r="D25" s="876" t="s">
        <v>2379</v>
      </c>
      <c r="E25" s="143"/>
      <c r="F25" s="126"/>
      <c r="G25" s="145" t="s">
        <v>212</v>
      </c>
      <c r="H25" s="3" t="s">
        <v>2371</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26"/>
      <c r="D26" s="878"/>
      <c r="E26" s="143"/>
      <c r="F26" s="126"/>
      <c r="G26" s="145" t="s">
        <v>336</v>
      </c>
      <c r="H26" s="17" t="s">
        <v>2375</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21" t="s">
        <v>2380</v>
      </c>
      <c r="D27" s="925" t="s">
        <v>2381</v>
      </c>
      <c r="E27" s="142"/>
      <c r="F27" s="140"/>
      <c r="G27" s="141" t="s">
        <v>212</v>
      </c>
      <c r="H27" s="7" t="s">
        <v>2382</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7"/>
      <c r="E28" s="142"/>
      <c r="F28" s="140"/>
      <c r="G28" s="141" t="s">
        <v>336</v>
      </c>
      <c r="H28" s="13" t="s">
        <v>2375</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5" t="s">
        <v>2383</v>
      </c>
      <c r="D29" s="876" t="s">
        <v>2384</v>
      </c>
      <c r="E29" s="143"/>
      <c r="F29" s="126"/>
      <c r="G29" s="145" t="s">
        <v>212</v>
      </c>
      <c r="H29" s="3" t="s">
        <v>2371</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26"/>
      <c r="D30" s="878"/>
      <c r="E30" s="143"/>
      <c r="F30" s="126"/>
      <c r="G30" s="145" t="s">
        <v>336</v>
      </c>
      <c r="H30" s="17" t="s">
        <v>2372</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21" t="s">
        <v>2385</v>
      </c>
      <c r="D31" s="932" t="s">
        <v>2386</v>
      </c>
      <c r="E31" s="159"/>
      <c r="F31" s="140"/>
      <c r="G31" s="141" t="s">
        <v>212</v>
      </c>
      <c r="H31" s="7" t="s">
        <v>2371</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34"/>
      <c r="E32" s="159"/>
      <c r="F32" s="140"/>
      <c r="G32" s="141" t="s">
        <v>336</v>
      </c>
      <c r="H32" s="13" t="s">
        <v>2375</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5" t="s">
        <v>2387</v>
      </c>
      <c r="D33" s="876" t="s">
        <v>2388</v>
      </c>
      <c r="E33" s="143"/>
      <c r="F33" s="126"/>
      <c r="G33" s="145" t="s">
        <v>212</v>
      </c>
      <c r="H33" s="3" t="s">
        <v>2371</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26"/>
      <c r="D34" s="878"/>
      <c r="E34" s="143"/>
      <c r="F34" s="126"/>
      <c r="G34" s="145" t="s">
        <v>336</v>
      </c>
      <c r="H34" s="17" t="s">
        <v>2372</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21" t="s">
        <v>2389</v>
      </c>
      <c r="D35" s="925" t="s">
        <v>2390</v>
      </c>
      <c r="E35" s="142"/>
      <c r="F35" s="140"/>
      <c r="G35" s="141" t="s">
        <v>212</v>
      </c>
      <c r="H35" s="7" t="s">
        <v>2371</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7"/>
      <c r="E36" s="142"/>
      <c r="F36" s="140"/>
      <c r="G36" s="141" t="s">
        <v>336</v>
      </c>
      <c r="H36" s="13" t="s">
        <v>2375</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5" t="s">
        <v>2391</v>
      </c>
      <c r="D37" s="876" t="s">
        <v>2392</v>
      </c>
      <c r="E37" s="143"/>
      <c r="F37" s="126"/>
      <c r="G37" s="145" t="s">
        <v>212</v>
      </c>
      <c r="H37" s="3" t="s">
        <v>2371</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26"/>
      <c r="D38" s="878"/>
      <c r="E38" s="143"/>
      <c r="F38" s="126"/>
      <c r="G38" s="145" t="s">
        <v>336</v>
      </c>
      <c r="H38" s="17" t="s">
        <v>2372</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21" t="s">
        <v>2393</v>
      </c>
      <c r="D39" s="932" t="s">
        <v>2394</v>
      </c>
      <c r="E39" s="159"/>
      <c r="F39" s="140"/>
      <c r="G39" s="141" t="s">
        <v>212</v>
      </c>
      <c r="H39" s="7" t="s">
        <v>2371</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34"/>
      <c r="E40" s="159"/>
      <c r="F40" s="140"/>
      <c r="G40" s="141" t="s">
        <v>336</v>
      </c>
      <c r="H40" s="13" t="s">
        <v>2372</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5" t="s">
        <v>2395</v>
      </c>
      <c r="D41" s="876" t="s">
        <v>2396</v>
      </c>
      <c r="E41" s="143"/>
      <c r="F41" s="126"/>
      <c r="G41" s="145" t="s">
        <v>212</v>
      </c>
      <c r="H41" s="3" t="s">
        <v>2397</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26"/>
      <c r="D42" s="878"/>
      <c r="E42" s="143"/>
      <c r="F42" s="126"/>
      <c r="G42" s="145" t="s">
        <v>336</v>
      </c>
      <c r="H42" s="17" t="s">
        <v>2375</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21" t="s">
        <v>2398</v>
      </c>
      <c r="D43" s="925" t="s">
        <v>2399</v>
      </c>
      <c r="E43" s="142"/>
      <c r="F43" s="140"/>
      <c r="G43" s="141" t="s">
        <v>212</v>
      </c>
      <c r="H43" s="7" t="s">
        <v>2371</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7"/>
      <c r="E44" s="142"/>
      <c r="F44" s="140"/>
      <c r="G44" s="141" t="s">
        <v>336</v>
      </c>
      <c r="H44" s="13" t="s">
        <v>2372</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5" t="s">
        <v>2400</v>
      </c>
      <c r="D45" s="876" t="s">
        <v>2401</v>
      </c>
      <c r="E45" s="143"/>
      <c r="F45" s="126"/>
      <c r="G45" s="145" t="s">
        <v>212</v>
      </c>
      <c r="H45" s="3" t="s">
        <v>2371</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26"/>
      <c r="D46" s="878"/>
      <c r="E46" s="143"/>
      <c r="F46" s="126"/>
      <c r="G46" s="145" t="s">
        <v>336</v>
      </c>
      <c r="H46" s="17" t="s">
        <v>2375</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21" t="s">
        <v>2402</v>
      </c>
      <c r="D47" s="925" t="s">
        <v>2403</v>
      </c>
      <c r="E47" s="142"/>
      <c r="F47" s="140"/>
      <c r="G47" s="141" t="s">
        <v>212</v>
      </c>
      <c r="H47" s="7" t="s">
        <v>2371</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7"/>
      <c r="E48" s="142"/>
      <c r="F48" s="140"/>
      <c r="G48" s="141" t="s">
        <v>336</v>
      </c>
      <c r="H48" s="13" t="s">
        <v>2375</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5" t="s">
        <v>2404</v>
      </c>
      <c r="D49" s="876" t="s">
        <v>2405</v>
      </c>
      <c r="E49" s="143"/>
      <c r="F49" s="126"/>
      <c r="G49" s="145" t="s">
        <v>212</v>
      </c>
      <c r="H49" s="3" t="s">
        <v>2371</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26"/>
      <c r="D50" s="878"/>
      <c r="E50" s="143"/>
      <c r="F50" s="126"/>
      <c r="G50" s="145" t="s">
        <v>336</v>
      </c>
      <c r="H50" s="17" t="s">
        <v>2375</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21" t="s">
        <v>2406</v>
      </c>
      <c r="D51" s="925" t="s">
        <v>2407</v>
      </c>
      <c r="E51" s="142"/>
      <c r="F51" s="140"/>
      <c r="G51" s="141" t="s">
        <v>212</v>
      </c>
      <c r="H51" s="7" t="s">
        <v>2408</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7"/>
      <c r="E52" s="142"/>
      <c r="F52" s="140"/>
      <c r="G52" s="141" t="s">
        <v>336</v>
      </c>
      <c r="H52" s="13" t="s">
        <v>2375</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5" t="s">
        <v>2409</v>
      </c>
      <c r="D53" s="876" t="s">
        <v>2410</v>
      </c>
      <c r="E53" s="143"/>
      <c r="F53" s="126"/>
      <c r="G53" s="145" t="s">
        <v>212</v>
      </c>
      <c r="H53" s="3" t="s">
        <v>2371</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26"/>
      <c r="D54" s="878"/>
      <c r="E54" s="143"/>
      <c r="F54" s="126"/>
      <c r="G54" s="145" t="s">
        <v>336</v>
      </c>
      <c r="H54" s="17" t="s">
        <v>2375</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21" t="s">
        <v>2411</v>
      </c>
      <c r="D55" s="925" t="s">
        <v>2412</v>
      </c>
      <c r="E55" s="142"/>
      <c r="F55" s="140"/>
      <c r="G55" s="141" t="s">
        <v>212</v>
      </c>
      <c r="H55" s="7" t="s">
        <v>2371</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7"/>
      <c r="E56" s="142"/>
      <c r="F56" s="140"/>
      <c r="G56" s="141" t="s">
        <v>336</v>
      </c>
      <c r="H56" s="13" t="s">
        <v>2375</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5" t="s">
        <v>2413</v>
      </c>
      <c r="D57" s="876" t="s">
        <v>2414</v>
      </c>
      <c r="E57" s="143"/>
      <c r="F57" s="126"/>
      <c r="G57" s="145" t="s">
        <v>212</v>
      </c>
      <c r="H57" s="3" t="s">
        <v>2371</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26"/>
      <c r="D58" s="878"/>
      <c r="E58" s="143"/>
      <c r="F58" s="126"/>
      <c r="G58" s="145" t="s">
        <v>336</v>
      </c>
      <c r="H58" s="17" t="s">
        <v>2375</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21" t="s">
        <v>2415</v>
      </c>
      <c r="D59" s="932" t="s">
        <v>2416</v>
      </c>
      <c r="E59" s="159"/>
      <c r="F59" s="140"/>
      <c r="G59" s="141" t="s">
        <v>212</v>
      </c>
      <c r="H59" s="7" t="s">
        <v>2371</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34"/>
      <c r="E60" s="159"/>
      <c r="F60" s="140"/>
      <c r="G60" s="141" t="s">
        <v>336</v>
      </c>
      <c r="H60" s="13" t="s">
        <v>2375</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5" t="s">
        <v>2417</v>
      </c>
      <c r="D61" s="929" t="s">
        <v>2418</v>
      </c>
      <c r="E61" s="157"/>
      <c r="F61" s="126"/>
      <c r="G61" s="145" t="s">
        <v>212</v>
      </c>
      <c r="H61" s="3" t="s">
        <v>2371</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26"/>
      <c r="D62" s="931"/>
      <c r="E62" s="157"/>
      <c r="F62" s="126"/>
      <c r="G62" s="145" t="s">
        <v>336</v>
      </c>
      <c r="H62" s="17" t="s">
        <v>2375</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21" t="s">
        <v>2419</v>
      </c>
      <c r="D63" s="925" t="s">
        <v>2420</v>
      </c>
      <c r="E63" s="142"/>
      <c r="F63" s="140"/>
      <c r="G63" s="141" t="s">
        <v>212</v>
      </c>
      <c r="H63" s="7" t="s">
        <v>2421</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7"/>
      <c r="E64" s="142"/>
      <c r="F64" s="140"/>
      <c r="G64" s="141" t="s">
        <v>336</v>
      </c>
      <c r="H64" s="13" t="s">
        <v>2375</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5" t="s">
        <v>2422</v>
      </c>
      <c r="D65" s="876" t="s">
        <v>2423</v>
      </c>
      <c r="E65" s="143"/>
      <c r="F65" s="126"/>
      <c r="G65" s="145" t="s">
        <v>212</v>
      </c>
      <c r="H65" s="3" t="s">
        <v>2424</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26"/>
      <c r="D66" s="878"/>
      <c r="E66" s="143"/>
      <c r="F66" s="126"/>
      <c r="G66" s="145" t="s">
        <v>336</v>
      </c>
      <c r="H66" s="3" t="s">
        <v>2425</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21" t="s">
        <v>2426</v>
      </c>
      <c r="D67" s="925" t="s">
        <v>2427</v>
      </c>
      <c r="E67" s="142"/>
      <c r="F67" s="140"/>
      <c r="G67" s="141" t="s">
        <v>208</v>
      </c>
      <c r="H67" s="7" t="s">
        <v>2424</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22"/>
      <c r="D68" s="926"/>
      <c r="E68" s="142"/>
      <c r="F68" s="140"/>
      <c r="G68" s="141" t="s">
        <v>281</v>
      </c>
      <c r="H68" s="7" t="s">
        <v>2425</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22"/>
      <c r="D69" s="926"/>
      <c r="E69" s="142"/>
      <c r="F69" s="140"/>
      <c r="G69" s="141" t="s">
        <v>329</v>
      </c>
      <c r="H69" s="7" t="s">
        <v>2209</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7"/>
      <c r="E70" s="142"/>
      <c r="F70" s="140"/>
      <c r="G70" s="141" t="s">
        <v>601</v>
      </c>
      <c r="H70" s="7" t="s">
        <v>2210</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5" t="s">
        <v>2428</v>
      </c>
      <c r="D71" s="876" t="s">
        <v>2429</v>
      </c>
      <c r="E71" s="143"/>
      <c r="F71" s="126"/>
      <c r="G71" s="145" t="s">
        <v>208</v>
      </c>
      <c r="H71" s="3" t="s">
        <v>2424</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29"/>
      <c r="D72" s="877"/>
      <c r="E72" s="143"/>
      <c r="F72" s="126"/>
      <c r="G72" s="145" t="s">
        <v>222</v>
      </c>
      <c r="H72" s="3" t="s">
        <v>2209</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26"/>
      <c r="D73" s="878"/>
      <c r="E73" s="143"/>
      <c r="F73" s="126"/>
      <c r="G73" s="145" t="s">
        <v>543</v>
      </c>
      <c r="H73" s="3" t="s">
        <v>2430</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21" t="s">
        <v>2431</v>
      </c>
      <c r="D74" s="925" t="s">
        <v>2432</v>
      </c>
      <c r="E74" s="142"/>
      <c r="F74" s="140"/>
      <c r="G74" s="141" t="s">
        <v>208</v>
      </c>
      <c r="H74" s="7" t="s">
        <v>2424</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7"/>
      <c r="E75" s="142"/>
      <c r="F75" s="140"/>
      <c r="G75" s="141" t="s">
        <v>281</v>
      </c>
      <c r="H75" s="7" t="s">
        <v>2425</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2433</v>
      </c>
      <c r="D76" s="345" t="s">
        <v>2434</v>
      </c>
      <c r="E76" s="143"/>
      <c r="F76" s="126"/>
      <c r="G76" s="145" t="s">
        <v>208</v>
      </c>
      <c r="H76" s="3" t="s">
        <v>2424</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2433</v>
      </c>
      <c r="D77" s="345" t="s">
        <v>2434</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2435</v>
      </c>
      <c r="C78" s="530" t="s">
        <v>2433</v>
      </c>
      <c r="D78" s="657" t="s">
        <v>2434</v>
      </c>
      <c r="E78" s="526" t="s">
        <v>2436</v>
      </c>
      <c r="F78" s="655" t="s">
        <v>2437</v>
      </c>
      <c r="G78" s="527" t="s">
        <v>222</v>
      </c>
      <c r="H78" s="540" t="s">
        <v>2438</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2435</v>
      </c>
      <c r="C79" s="530" t="s">
        <v>2433</v>
      </c>
      <c r="D79" s="657" t="s">
        <v>2434</v>
      </c>
      <c r="E79" s="526" t="s">
        <v>2436</v>
      </c>
      <c r="F79" s="655" t="s">
        <v>2437</v>
      </c>
      <c r="G79" s="527" t="s">
        <v>543</v>
      </c>
      <c r="H79" s="532" t="s">
        <v>2439</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2433</v>
      </c>
      <c r="D80" s="345" t="s">
        <v>2434</v>
      </c>
      <c r="E80" s="143"/>
      <c r="F80" s="126"/>
      <c r="G80" s="145" t="s">
        <v>2440</v>
      </c>
      <c r="H80" s="3" t="s">
        <v>2209</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2435</v>
      </c>
      <c r="C81" s="54" t="s">
        <v>2433</v>
      </c>
      <c r="D81" s="345" t="s">
        <v>2434</v>
      </c>
      <c r="E81" s="143"/>
      <c r="F81" s="126"/>
      <c r="G81" s="145" t="s">
        <v>601</v>
      </c>
      <c r="H81" s="3" t="s">
        <v>2210</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21" t="s">
        <v>2441</v>
      </c>
      <c r="D82" s="925" t="s">
        <v>2442</v>
      </c>
      <c r="E82" s="142"/>
      <c r="F82" s="140"/>
      <c r="G82" s="141" t="s">
        <v>208</v>
      </c>
      <c r="H82" s="7" t="s">
        <v>2443</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22"/>
      <c r="D83" s="926"/>
      <c r="E83" s="142"/>
      <c r="F83" s="140"/>
      <c r="G83" s="141" t="s">
        <v>281</v>
      </c>
      <c r="H83" s="13" t="s">
        <v>2444</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22"/>
      <c r="D84" s="926"/>
      <c r="E84" s="142"/>
      <c r="F84" s="140"/>
      <c r="G84" s="141" t="s">
        <v>269</v>
      </c>
      <c r="H84" s="7" t="s">
        <v>2425</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22"/>
      <c r="D85" s="926"/>
      <c r="E85" s="142"/>
      <c r="F85" s="140"/>
      <c r="G85" s="141" t="s">
        <v>372</v>
      </c>
      <c r="H85" s="7" t="s">
        <v>2209</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7"/>
      <c r="E86" s="142"/>
      <c r="F86" s="140"/>
      <c r="G86" s="141" t="s">
        <v>374</v>
      </c>
      <c r="H86" s="7" t="s">
        <v>2210</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5" t="s">
        <v>2445</v>
      </c>
      <c r="D87" s="929" t="s">
        <v>2446</v>
      </c>
      <c r="E87" s="157"/>
      <c r="F87" s="126"/>
      <c r="G87" s="145" t="s">
        <v>212</v>
      </c>
      <c r="H87" s="3" t="s">
        <v>2424</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26"/>
      <c r="D88" s="931"/>
      <c r="E88" s="157"/>
      <c r="F88" s="126"/>
      <c r="G88" s="145" t="s">
        <v>336</v>
      </c>
      <c r="H88" s="3" t="s">
        <v>2425</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2447</v>
      </c>
      <c r="D89" s="164" t="s">
        <v>2448</v>
      </c>
      <c r="E89" s="159"/>
      <c r="F89" s="140"/>
      <c r="G89" s="141" t="s">
        <v>208</v>
      </c>
      <c r="H89" s="7" t="s">
        <v>2449</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5" t="s">
        <v>2450</v>
      </c>
      <c r="D90" s="929" t="s">
        <v>2451</v>
      </c>
      <c r="E90" s="157"/>
      <c r="F90" s="126"/>
      <c r="G90" s="145" t="s">
        <v>212</v>
      </c>
      <c r="H90" s="3" t="s">
        <v>2424</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26"/>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21" t="s">
        <v>2452</v>
      </c>
      <c r="D92" s="925" t="s">
        <v>2453</v>
      </c>
      <c r="E92" s="142"/>
      <c r="F92" s="140"/>
      <c r="G92" s="141" t="s">
        <v>212</v>
      </c>
      <c r="H92" s="7" t="s">
        <v>2424</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22"/>
      <c r="D93" s="926"/>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7"/>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5" t="s">
        <v>2454</v>
      </c>
      <c r="D95" s="876" t="s">
        <v>2455</v>
      </c>
      <c r="E95" s="143"/>
      <c r="F95" s="126"/>
      <c r="G95" s="145" t="s">
        <v>208</v>
      </c>
      <c r="H95" s="3" t="s">
        <v>2424</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26"/>
      <c r="D96" s="878"/>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21" t="s">
        <v>2456</v>
      </c>
      <c r="D97" s="925" t="s">
        <v>2457</v>
      </c>
      <c r="E97" s="142"/>
      <c r="F97" s="140"/>
      <c r="G97" s="141" t="s">
        <v>208</v>
      </c>
      <c r="H97" s="7" t="s">
        <v>2424</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7"/>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5" t="s">
        <v>2458</v>
      </c>
      <c r="D99" s="876" t="s">
        <v>2459</v>
      </c>
      <c r="E99" s="143"/>
      <c r="F99" s="126"/>
      <c r="G99" s="145" t="s">
        <v>208</v>
      </c>
      <c r="H99" s="3" t="s">
        <v>2424</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26"/>
      <c r="D100" s="878"/>
      <c r="E100" s="143"/>
      <c r="F100" s="126"/>
      <c r="G100" s="145" t="s">
        <v>281</v>
      </c>
      <c r="H100" s="3" t="s">
        <v>2425</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21" t="s">
        <v>2460</v>
      </c>
      <c r="D101" s="925" t="s">
        <v>2461</v>
      </c>
      <c r="E101" s="142"/>
      <c r="F101" s="140"/>
      <c r="G101" s="141" t="s">
        <v>212</v>
      </c>
      <c r="H101" s="7" t="s">
        <v>2462</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7"/>
      <c r="E102" s="142"/>
      <c r="F102" s="140"/>
      <c r="G102" s="141" t="s">
        <v>336</v>
      </c>
      <c r="H102" s="7" t="s">
        <v>2425</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5" t="s">
        <v>2463</v>
      </c>
      <c r="D103" s="876" t="s">
        <v>2464</v>
      </c>
      <c r="E103" s="143"/>
      <c r="F103" s="126"/>
      <c r="G103" s="145" t="s">
        <v>212</v>
      </c>
      <c r="H103" s="3" t="s">
        <v>2424</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26"/>
      <c r="D104" s="878"/>
      <c r="E104" s="143"/>
      <c r="F104" s="126"/>
      <c r="G104" s="145" t="s">
        <v>336</v>
      </c>
      <c r="H104" s="3" t="s">
        <v>2465</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21" t="s">
        <v>2466</v>
      </c>
      <c r="D105" s="925" t="s">
        <v>2467</v>
      </c>
      <c r="E105" s="142"/>
      <c r="F105" s="140"/>
      <c r="G105" s="141" t="s">
        <v>212</v>
      </c>
      <c r="H105" s="7" t="s">
        <v>2424</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7"/>
      <c r="E106" s="142"/>
      <c r="F106" s="140"/>
      <c r="G106" s="141" t="s">
        <v>336</v>
      </c>
      <c r="H106" s="7" t="s">
        <v>2425</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5" t="s">
        <v>2468</v>
      </c>
      <c r="D107" s="876" t="s">
        <v>2469</v>
      </c>
      <c r="E107" s="143"/>
      <c r="F107" s="126"/>
      <c r="G107" s="145" t="s">
        <v>208</v>
      </c>
      <c r="H107" s="3" t="s">
        <v>2470</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29"/>
      <c r="D108" s="877"/>
      <c r="E108" s="143"/>
      <c r="F108" s="126"/>
      <c r="G108" s="145" t="s">
        <v>281</v>
      </c>
      <c r="H108" s="3" t="s">
        <v>2471</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29"/>
      <c r="D109" s="877"/>
      <c r="E109" s="143"/>
      <c r="F109" s="126"/>
      <c r="G109" s="145" t="s">
        <v>329</v>
      </c>
      <c r="H109" s="3" t="s">
        <v>2472</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26"/>
      <c r="D110" s="878"/>
      <c r="E110" s="143"/>
      <c r="F110" s="126"/>
      <c r="G110" s="145" t="s">
        <v>601</v>
      </c>
      <c r="H110" s="3" t="s">
        <v>2473</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21" t="s">
        <v>2474</v>
      </c>
      <c r="D111" s="925" t="s">
        <v>2475</v>
      </c>
      <c r="E111" s="142"/>
      <c r="F111" s="140"/>
      <c r="G111" s="141" t="s">
        <v>208</v>
      </c>
      <c r="H111" s="7" t="s">
        <v>2424</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22"/>
      <c r="D112" s="926"/>
      <c r="E112" s="142"/>
      <c r="F112" s="140"/>
      <c r="G112" s="141" t="s">
        <v>281</v>
      </c>
      <c r="H112" s="7" t="s">
        <v>2425</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22"/>
      <c r="D113" s="926"/>
      <c r="E113" s="142"/>
      <c r="F113" s="140"/>
      <c r="G113" s="141" t="s">
        <v>329</v>
      </c>
      <c r="H113" s="7" t="s">
        <v>2209</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7"/>
      <c r="E114" s="142"/>
      <c r="F114" s="140"/>
      <c r="G114" s="141" t="s">
        <v>601</v>
      </c>
      <c r="H114" s="7" t="s">
        <v>2210</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5" t="s">
        <v>2476</v>
      </c>
      <c r="D115" s="876" t="s">
        <v>2477</v>
      </c>
      <c r="E115" s="143"/>
      <c r="F115" s="126"/>
      <c r="G115" s="145" t="s">
        <v>208</v>
      </c>
      <c r="H115" s="3" t="s">
        <v>2470</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29"/>
      <c r="D116" s="877"/>
      <c r="E116" s="143"/>
      <c r="F116" s="126"/>
      <c r="G116" s="145" t="s">
        <v>281</v>
      </c>
      <c r="H116" s="3" t="s">
        <v>2471</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29"/>
      <c r="D117" s="877"/>
      <c r="E117" s="143"/>
      <c r="F117" s="126"/>
      <c r="G117" s="145" t="s">
        <v>329</v>
      </c>
      <c r="H117" s="3" t="s">
        <v>2472</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26"/>
      <c r="D118" s="878"/>
      <c r="E118" s="143"/>
      <c r="F118" s="126"/>
      <c r="G118" s="145" t="s">
        <v>601</v>
      </c>
      <c r="H118" s="3" t="s">
        <v>2473</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21" t="s">
        <v>2478</v>
      </c>
      <c r="D119" s="925" t="s">
        <v>2479</v>
      </c>
      <c r="E119" s="142"/>
      <c r="F119" s="140"/>
      <c r="G119" s="141" t="s">
        <v>208</v>
      </c>
      <c r="H119" s="7" t="s">
        <v>2424</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7"/>
      <c r="E120" s="142"/>
      <c r="F120" s="140"/>
      <c r="G120" s="141" t="s">
        <v>281</v>
      </c>
      <c r="H120" s="7" t="s">
        <v>2465</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2480</v>
      </c>
      <c r="D121" s="929" t="s">
        <v>2481</v>
      </c>
      <c r="E121" s="157"/>
      <c r="F121" s="126"/>
      <c r="G121" s="145" t="s">
        <v>208</v>
      </c>
      <c r="H121" s="3" t="s">
        <v>2470</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29"/>
      <c r="D122" s="877"/>
      <c r="E122" s="143"/>
      <c r="F122" s="126"/>
      <c r="G122" s="145" t="s">
        <v>281</v>
      </c>
      <c r="H122" s="3" t="s">
        <v>2425</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29"/>
      <c r="D123" s="877"/>
      <c r="E123" s="143"/>
      <c r="F123" s="126"/>
      <c r="G123" s="145" t="s">
        <v>329</v>
      </c>
      <c r="H123" s="3" t="s">
        <v>2482</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26"/>
      <c r="D124" s="878"/>
      <c r="E124" s="143"/>
      <c r="F124" s="126"/>
      <c r="G124" s="145" t="s">
        <v>601</v>
      </c>
      <c r="H124" s="3" t="s">
        <v>2483</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21" t="s">
        <v>2484</v>
      </c>
      <c r="D125" s="932" t="s">
        <v>2485</v>
      </c>
      <c r="E125" s="159"/>
      <c r="F125" s="140"/>
      <c r="G125" s="141" t="s">
        <v>212</v>
      </c>
      <c r="H125" s="7" t="s">
        <v>2486</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22"/>
      <c r="D126" s="933"/>
      <c r="E126" s="159"/>
      <c r="F126" s="140"/>
      <c r="G126" s="141" t="s">
        <v>234</v>
      </c>
      <c r="H126" s="7" t="s">
        <v>2487</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22"/>
      <c r="D127" s="933"/>
      <c r="E127" s="159"/>
      <c r="F127" s="140"/>
      <c r="G127" s="141" t="s">
        <v>236</v>
      </c>
      <c r="H127" s="7" t="s">
        <v>2488</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22"/>
      <c r="D128" s="933"/>
      <c r="E128" s="159"/>
      <c r="F128" s="140"/>
      <c r="G128" s="141" t="s">
        <v>238</v>
      </c>
      <c r="H128" s="7" t="s">
        <v>2489</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22"/>
      <c r="D129" s="933"/>
      <c r="E129" s="159"/>
      <c r="F129" s="140"/>
      <c r="G129" s="141" t="s">
        <v>1142</v>
      </c>
      <c r="H129" s="7" t="s">
        <v>2490</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34"/>
      <c r="E130" s="159"/>
      <c r="F130" s="140"/>
      <c r="G130" s="141" t="s">
        <v>1144</v>
      </c>
      <c r="H130" s="7" t="s">
        <v>2491</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5" t="s">
        <v>2492</v>
      </c>
      <c r="D131" s="929" t="s">
        <v>2493</v>
      </c>
      <c r="E131" s="157"/>
      <c r="F131" s="126"/>
      <c r="G131" s="145" t="s">
        <v>758</v>
      </c>
      <c r="H131" s="3" t="s">
        <v>2424</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29"/>
      <c r="D132" s="930"/>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29"/>
      <c r="D133" s="930"/>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29"/>
      <c r="D134" s="930"/>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29"/>
      <c r="D135" s="930"/>
      <c r="E135" s="157"/>
      <c r="F135" s="126"/>
      <c r="G135" s="145" t="s">
        <v>487</v>
      </c>
      <c r="H135" s="3" t="s">
        <v>2494</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29"/>
      <c r="D136" s="930"/>
      <c r="E136" s="157"/>
      <c r="F136" s="126"/>
      <c r="G136" s="145" t="s">
        <v>497</v>
      </c>
      <c r="H136" s="17" t="s">
        <v>2495</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26"/>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21" t="s">
        <v>2496</v>
      </c>
      <c r="D138" s="925" t="s">
        <v>2497</v>
      </c>
      <c r="E138" s="142"/>
      <c r="F138" s="140"/>
      <c r="G138" s="141" t="s">
        <v>212</v>
      </c>
      <c r="H138" s="7" t="s">
        <v>2498</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22"/>
      <c r="D139" s="926"/>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22"/>
      <c r="D140" s="926"/>
      <c r="E140" s="142"/>
      <c r="F140" s="140"/>
      <c r="G140" s="141" t="s">
        <v>337</v>
      </c>
      <c r="H140" s="7" t="s">
        <v>2499</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22"/>
      <c r="D141" s="926"/>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22"/>
      <c r="D142" s="926"/>
      <c r="E142" s="142"/>
      <c r="F142" s="140"/>
      <c r="G142" s="141" t="s">
        <v>405</v>
      </c>
      <c r="H142" s="13" t="s">
        <v>2500</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22"/>
      <c r="D143" s="926"/>
      <c r="E143" s="142"/>
      <c r="F143" s="140"/>
      <c r="G143" s="141" t="s">
        <v>406</v>
      </c>
      <c r="H143" s="13" t="s">
        <v>2501</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22"/>
      <c r="D144" s="926"/>
      <c r="E144" s="142"/>
      <c r="F144" s="140"/>
      <c r="G144" s="141" t="s">
        <v>746</v>
      </c>
      <c r="H144" s="7" t="s">
        <v>2502</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7"/>
      <c r="E145" s="142"/>
      <c r="F145" s="140"/>
      <c r="G145" s="141" t="s">
        <v>441</v>
      </c>
      <c r="H145" s="13" t="s">
        <v>2127</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5" t="s">
        <v>2503</v>
      </c>
      <c r="D146" s="876" t="s">
        <v>2504</v>
      </c>
      <c r="E146" s="143"/>
      <c r="F146" s="126"/>
      <c r="G146" s="145" t="s">
        <v>758</v>
      </c>
      <c r="H146" s="3" t="s">
        <v>2424</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2505</v>
      </c>
      <c r="C147" s="829"/>
      <c r="D147" s="877"/>
      <c r="E147" s="143"/>
      <c r="F147" s="126" t="s">
        <v>2506</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29"/>
      <c r="D148" s="877"/>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29"/>
      <c r="D149" s="877"/>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29"/>
      <c r="D150" s="877"/>
      <c r="E150" s="143"/>
      <c r="F150" s="126"/>
      <c r="G150" s="145" t="s">
        <v>861</v>
      </c>
      <c r="H150" s="17" t="s">
        <v>2507</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26"/>
      <c r="D151" s="878"/>
      <c r="E151" s="143"/>
      <c r="F151" s="126"/>
      <c r="G151" s="145" t="s">
        <v>497</v>
      </c>
      <c r="H151" s="17" t="s">
        <v>2508</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21" t="s">
        <v>2509</v>
      </c>
      <c r="D152" s="925" t="s">
        <v>2510</v>
      </c>
      <c r="E152" s="142"/>
      <c r="F152" s="140"/>
      <c r="G152" s="141" t="s">
        <v>758</v>
      </c>
      <c r="H152" s="7" t="s">
        <v>2511</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22"/>
      <c r="D153" s="926"/>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22"/>
      <c r="D154" s="926"/>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22"/>
      <c r="D155" s="926"/>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7"/>
      <c r="E156" s="142"/>
      <c r="F156" s="140"/>
      <c r="G156" s="141" t="s">
        <v>861</v>
      </c>
      <c r="H156" s="13" t="s">
        <v>2125</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5" t="s">
        <v>2512</v>
      </c>
      <c r="D157" s="876" t="s">
        <v>2513</v>
      </c>
      <c r="E157" s="143"/>
      <c r="F157" s="126"/>
      <c r="G157" s="145" t="s">
        <v>212</v>
      </c>
      <c r="H157" s="3" t="s">
        <v>2514</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26"/>
      <c r="D158" s="878"/>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21" t="s">
        <v>2515</v>
      </c>
      <c r="D159" s="925" t="s">
        <v>2516</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22"/>
      <c r="D160" s="926"/>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22"/>
      <c r="D161" s="926"/>
      <c r="E161" s="142"/>
      <c r="F161" s="140"/>
      <c r="G161" s="141" t="s">
        <v>338</v>
      </c>
      <c r="H161" s="7" t="s">
        <v>2502</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22"/>
      <c r="D162" s="926"/>
      <c r="E162" s="142"/>
      <c r="F162" s="140"/>
      <c r="G162" s="141" t="s">
        <v>405</v>
      </c>
      <c r="H162" s="13" t="s">
        <v>2517</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22"/>
      <c r="D163" s="926"/>
      <c r="E163" s="142"/>
      <c r="F163" s="140"/>
      <c r="G163" s="141" t="s">
        <v>406</v>
      </c>
      <c r="H163" s="13" t="s">
        <v>1762</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22"/>
      <c r="D164" s="926"/>
      <c r="E164" s="142"/>
      <c r="F164" s="140"/>
      <c r="G164" s="141" t="s">
        <v>408</v>
      </c>
      <c r="H164" s="13" t="s">
        <v>2518</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22"/>
      <c r="D165" s="926"/>
      <c r="E165" s="142"/>
      <c r="F165" s="140"/>
      <c r="G165" s="141" t="s">
        <v>441</v>
      </c>
      <c r="H165" s="13" t="s">
        <v>2519</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7"/>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5" t="s">
        <v>2520</v>
      </c>
      <c r="D167" s="876" t="s">
        <v>2521</v>
      </c>
      <c r="E167" s="143"/>
      <c r="F167" s="126"/>
      <c r="G167" s="145" t="s">
        <v>212</v>
      </c>
      <c r="H167" s="3" t="s">
        <v>2424</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29"/>
      <c r="D168" s="877"/>
      <c r="E168" s="143"/>
      <c r="F168" s="126"/>
      <c r="G168" s="145" t="s">
        <v>336</v>
      </c>
      <c r="H168" s="17" t="s">
        <v>2522</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29"/>
      <c r="D169" s="877"/>
      <c r="E169" s="143"/>
      <c r="F169" s="126"/>
      <c r="G169" s="145" t="s">
        <v>2523</v>
      </c>
      <c r="H169" s="17" t="s">
        <v>2524</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29"/>
      <c r="D170" s="877"/>
      <c r="E170" s="143"/>
      <c r="F170" s="126"/>
      <c r="G170" s="145" t="s">
        <v>2525</v>
      </c>
      <c r="H170" s="17" t="s">
        <v>2526</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29"/>
      <c r="D171" s="877"/>
      <c r="E171" s="143"/>
      <c r="F171" s="126"/>
      <c r="G171" s="145" t="s">
        <v>2527</v>
      </c>
      <c r="H171" s="17" t="s">
        <v>2528</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29"/>
      <c r="D172" s="877"/>
      <c r="E172" s="143"/>
      <c r="F172" s="126"/>
      <c r="G172" s="145" t="s">
        <v>2529</v>
      </c>
      <c r="H172" s="17" t="s">
        <v>2530</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29"/>
      <c r="D173" s="877"/>
      <c r="E173" s="143"/>
      <c r="F173" s="126"/>
      <c r="G173" s="145" t="s">
        <v>2531</v>
      </c>
      <c r="H173" s="17" t="s">
        <v>2532</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29"/>
      <c r="D174" s="877"/>
      <c r="E174" s="143"/>
      <c r="F174" s="126"/>
      <c r="G174" s="145" t="s">
        <v>2533</v>
      </c>
      <c r="H174" s="17" t="s">
        <v>2534</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29"/>
      <c r="D175" s="877"/>
      <c r="E175" s="143"/>
      <c r="F175" s="126"/>
      <c r="G175" s="145" t="s">
        <v>2535</v>
      </c>
      <c r="H175" s="17" t="s">
        <v>2536</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29"/>
      <c r="D176" s="877"/>
      <c r="E176" s="143"/>
      <c r="F176" s="126"/>
      <c r="G176" s="145" t="s">
        <v>2537</v>
      </c>
      <c r="H176" s="17" t="s">
        <v>2538</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29"/>
      <c r="D177" s="877"/>
      <c r="E177" s="143"/>
      <c r="F177" s="126"/>
      <c r="G177" s="145" t="s">
        <v>2539</v>
      </c>
      <c r="H177" s="17" t="s">
        <v>2540</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29"/>
      <c r="D178" s="877"/>
      <c r="E178" s="143"/>
      <c r="F178" s="126"/>
      <c r="G178" s="145" t="s">
        <v>2541</v>
      </c>
      <c r="H178" s="17" t="s">
        <v>2542</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29"/>
      <c r="D179" s="877"/>
      <c r="E179" s="143"/>
      <c r="F179" s="126"/>
      <c r="G179" s="145" t="s">
        <v>2543</v>
      </c>
      <c r="H179" s="17" t="s">
        <v>2544</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29"/>
      <c r="D180" s="877"/>
      <c r="E180" s="143"/>
      <c r="F180" s="126"/>
      <c r="G180" s="145" t="s">
        <v>405</v>
      </c>
      <c r="H180" s="3" t="s">
        <v>2545</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29"/>
      <c r="D181" s="877"/>
      <c r="E181" s="143"/>
      <c r="F181" s="126"/>
      <c r="G181" s="145" t="s">
        <v>406</v>
      </c>
      <c r="H181" s="17" t="s">
        <v>2546</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29"/>
      <c r="D182" s="877"/>
      <c r="E182" s="143"/>
      <c r="F182" s="126"/>
      <c r="G182" s="145" t="s">
        <v>746</v>
      </c>
      <c r="H182" s="17" t="s">
        <v>2547</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29"/>
      <c r="D183" s="877"/>
      <c r="E183" s="143"/>
      <c r="F183" s="126"/>
      <c r="G183" s="145" t="s">
        <v>892</v>
      </c>
      <c r="H183" s="17" t="s">
        <v>2548</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26"/>
      <c r="D184" s="878"/>
      <c r="E184" s="143"/>
      <c r="F184" s="126"/>
      <c r="G184" s="145" t="s">
        <v>1077</v>
      </c>
      <c r="H184" s="17" t="s">
        <v>2549</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21" t="s">
        <v>2550</v>
      </c>
      <c r="D185" s="925" t="s">
        <v>2551</v>
      </c>
      <c r="E185" s="142"/>
      <c r="F185" s="140"/>
      <c r="G185" s="141" t="s">
        <v>2552</v>
      </c>
      <c r="H185" s="13" t="s">
        <v>2524</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22"/>
      <c r="D186" s="926"/>
      <c r="E186" s="142"/>
      <c r="F186" s="140"/>
      <c r="G186" s="141" t="s">
        <v>2553</v>
      </c>
      <c r="H186" s="13" t="s">
        <v>2534</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22"/>
      <c r="D187" s="926"/>
      <c r="E187" s="142"/>
      <c r="F187" s="140"/>
      <c r="G187" s="141" t="s">
        <v>2554</v>
      </c>
      <c r="H187" s="13" t="s">
        <v>2536</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22"/>
      <c r="D188" s="926"/>
      <c r="E188" s="142"/>
      <c r="F188" s="140"/>
      <c r="G188" s="141" t="s">
        <v>2555</v>
      </c>
      <c r="H188" s="13" t="s">
        <v>2556</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22"/>
      <c r="D189" s="926"/>
      <c r="E189" s="142"/>
      <c r="F189" s="140"/>
      <c r="G189" s="141" t="s">
        <v>2557</v>
      </c>
      <c r="H189" s="13" t="s">
        <v>2546</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7"/>
      <c r="E190" s="142"/>
      <c r="F190" s="140"/>
      <c r="G190" s="141" t="s">
        <v>2558</v>
      </c>
      <c r="H190" s="13" t="s">
        <v>2547</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2559</v>
      </c>
      <c r="D191" s="132" t="s">
        <v>2560</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21" t="s">
        <v>2561</v>
      </c>
      <c r="D192" s="925" t="s">
        <v>2562</v>
      </c>
      <c r="E192" s="142"/>
      <c r="F192" s="140"/>
      <c r="G192" s="577" t="s">
        <v>222</v>
      </c>
      <c r="H192" s="40" t="s">
        <v>2563</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22"/>
      <c r="D193" s="926"/>
      <c r="E193" s="142"/>
      <c r="F193" s="140"/>
      <c r="G193" s="577" t="s">
        <v>269</v>
      </c>
      <c r="H193" s="37" t="s">
        <v>2564</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22"/>
      <c r="D194" s="926"/>
      <c r="E194" s="142"/>
      <c r="F194" s="140"/>
      <c r="G194" s="577" t="s">
        <v>259</v>
      </c>
      <c r="H194" s="37" t="s">
        <v>2565</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22"/>
      <c r="D195" s="926"/>
      <c r="E195" s="142"/>
      <c r="F195" s="140"/>
      <c r="G195" s="577" t="s">
        <v>352</v>
      </c>
      <c r="H195" s="37" t="s">
        <v>2566</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22"/>
      <c r="D196" s="926"/>
      <c r="E196" s="142"/>
      <c r="F196" s="140"/>
      <c r="G196" s="577" t="s">
        <v>382</v>
      </c>
      <c r="H196" s="40" t="s">
        <v>2567</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22"/>
      <c r="D197" s="926"/>
      <c r="E197" s="142"/>
      <c r="F197" s="140"/>
      <c r="G197" s="577" t="s">
        <v>356</v>
      </c>
      <c r="H197" s="37" t="s">
        <v>2568</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22"/>
      <c r="D198" s="926"/>
      <c r="E198" s="142"/>
      <c r="F198" s="140"/>
      <c r="G198" s="577" t="s">
        <v>1133</v>
      </c>
      <c r="H198" s="40" t="s">
        <v>2209</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22"/>
      <c r="D199" s="926"/>
      <c r="E199" s="142"/>
      <c r="F199" s="140"/>
      <c r="G199" s="577" t="s">
        <v>1878</v>
      </c>
      <c r="H199" s="40" t="s">
        <v>2210</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22"/>
      <c r="D200" s="926"/>
      <c r="E200" s="142"/>
      <c r="F200" s="140"/>
      <c r="G200" s="577" t="s">
        <v>360</v>
      </c>
      <c r="H200" s="37" t="s">
        <v>1762</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22"/>
      <c r="D201" s="926"/>
      <c r="E201" s="142"/>
      <c r="F201" s="140"/>
      <c r="G201" s="577" t="s">
        <v>2569</v>
      </c>
      <c r="H201" s="40" t="s">
        <v>2570</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00"/>
      <c r="D202" s="928"/>
      <c r="E202" s="142"/>
      <c r="F202" s="140"/>
      <c r="G202" s="578" t="s">
        <v>2571</v>
      </c>
      <c r="H202" s="98" t="s">
        <v>2572</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2573</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2574</v>
      </c>
      <c r="E3" s="723" t="s">
        <v>2575</v>
      </c>
      <c r="F3" s="723" t="s">
        <v>795</v>
      </c>
      <c r="G3" s="723">
        <v>1.0900000000000001</v>
      </c>
      <c r="H3" s="724" t="s">
        <v>2576</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2574</v>
      </c>
      <c r="E4" s="723" t="s">
        <v>2577</v>
      </c>
      <c r="F4" s="723" t="s">
        <v>795</v>
      </c>
      <c r="G4" s="723">
        <v>1.0900000000000001</v>
      </c>
      <c r="H4" s="724" t="s">
        <v>2578</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2579</v>
      </c>
      <c r="C5" s="723">
        <v>1450</v>
      </c>
      <c r="D5" s="723" t="s">
        <v>2574</v>
      </c>
      <c r="E5" s="723" t="s">
        <v>2580</v>
      </c>
      <c r="F5" s="723" t="s">
        <v>795</v>
      </c>
      <c r="G5" s="723">
        <v>1.0900000000000001</v>
      </c>
      <c r="H5" s="724" t="s">
        <v>2581</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2582</v>
      </c>
      <c r="C6" s="705">
        <v>1450</v>
      </c>
      <c r="D6" s="705" t="s">
        <v>2574</v>
      </c>
      <c r="E6" s="705" t="s">
        <v>2580</v>
      </c>
      <c r="F6" s="705" t="s">
        <v>795</v>
      </c>
      <c r="G6" s="705">
        <v>1.0900000000000001</v>
      </c>
      <c r="H6" s="706" t="s">
        <v>2581</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2583</v>
      </c>
      <c r="D7" s="711" t="s">
        <v>2584</v>
      </c>
      <c r="E7" s="711"/>
      <c r="F7" s="72"/>
      <c r="G7" s="67" t="s">
        <v>212</v>
      </c>
      <c r="H7" s="712" t="s">
        <v>2585</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2583</v>
      </c>
      <c r="D8" s="717" t="s">
        <v>2584</v>
      </c>
      <c r="E8" s="717"/>
      <c r="F8" s="718"/>
      <c r="G8" s="716" t="s">
        <v>336</v>
      </c>
      <c r="H8" s="719" t="s">
        <v>2586</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2583</v>
      </c>
      <c r="D9" s="717" t="s">
        <v>2584</v>
      </c>
      <c r="E9" s="717"/>
      <c r="F9" s="718"/>
      <c r="G9" s="716" t="s">
        <v>337</v>
      </c>
      <c r="H9" s="719" t="s">
        <v>2587</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2583</v>
      </c>
      <c r="D10" s="717" t="s">
        <v>2584</v>
      </c>
      <c r="E10" s="717"/>
      <c r="F10" s="718"/>
      <c r="G10" s="716" t="s">
        <v>404</v>
      </c>
      <c r="H10" s="721" t="s">
        <v>2588</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2589</v>
      </c>
      <c r="D11" s="17" t="s">
        <v>2590</v>
      </c>
      <c r="E11" s="17"/>
      <c r="F11" s="17"/>
      <c r="G11" s="4" t="s">
        <v>758</v>
      </c>
      <c r="H11" s="160" t="s">
        <v>2591</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2589</v>
      </c>
      <c r="D12" s="17"/>
      <c r="E12" s="17"/>
      <c r="F12" s="17"/>
      <c r="G12" s="4" t="s">
        <v>483</v>
      </c>
      <c r="H12" s="160" t="s">
        <v>2592</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2593</v>
      </c>
      <c r="E13" s="264"/>
      <c r="F13" s="264" t="s">
        <v>2594</v>
      </c>
      <c r="G13" s="262"/>
      <c r="H13" s="561" t="s">
        <v>2595</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2596</v>
      </c>
      <c r="C14" s="172" t="s">
        <v>2597</v>
      </c>
      <c r="D14" s="152" t="s">
        <v>2598</v>
      </c>
      <c r="E14" s="152"/>
      <c r="F14" s="152" t="s">
        <v>201</v>
      </c>
      <c r="G14" s="151" t="s">
        <v>131</v>
      </c>
      <c r="H14" s="162" t="s">
        <v>2599</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2597</v>
      </c>
      <c r="D15" s="152"/>
      <c r="E15" s="152"/>
      <c r="F15" s="152"/>
      <c r="G15" s="151" t="s">
        <v>134</v>
      </c>
      <c r="H15" s="162" t="s">
        <v>2600</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2597</v>
      </c>
      <c r="D16" s="152"/>
      <c r="E16" s="152"/>
      <c r="F16" s="152"/>
      <c r="G16" s="151" t="s">
        <v>136</v>
      </c>
      <c r="H16" s="162" t="s">
        <v>2601</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2597</v>
      </c>
      <c r="D17" s="152"/>
      <c r="E17" s="152"/>
      <c r="F17" s="152"/>
      <c r="G17" s="151" t="s">
        <v>138</v>
      </c>
      <c r="H17" s="162" t="s">
        <v>2602</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2603</v>
      </c>
      <c r="C18" s="172" t="s">
        <v>2597</v>
      </c>
      <c r="D18" s="152" t="s">
        <v>2598</v>
      </c>
      <c r="E18" s="152"/>
      <c r="F18" s="152" t="s">
        <v>201</v>
      </c>
      <c r="G18" s="151" t="s">
        <v>131</v>
      </c>
      <c r="H18" s="162" t="s">
        <v>2599</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2597</v>
      </c>
      <c r="D19" s="152"/>
      <c r="E19" s="152"/>
      <c r="F19" s="152"/>
      <c r="G19" s="151" t="s">
        <v>134</v>
      </c>
      <c r="H19" s="162" t="s">
        <v>2600</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2597</v>
      </c>
      <c r="D20" s="152"/>
      <c r="E20" s="152"/>
      <c r="F20" s="152"/>
      <c r="G20" s="151" t="s">
        <v>136</v>
      </c>
      <c r="H20" s="162" t="s">
        <v>2601</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2597</v>
      </c>
      <c r="D21" s="152"/>
      <c r="E21" s="152"/>
      <c r="F21" s="152"/>
      <c r="G21" s="151" t="s">
        <v>138</v>
      </c>
      <c r="H21" s="162" t="s">
        <v>2602</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2604</v>
      </c>
      <c r="C22" s="172" t="s">
        <v>2597</v>
      </c>
      <c r="D22" s="152" t="s">
        <v>2598</v>
      </c>
      <c r="E22" s="152"/>
      <c r="F22" s="152" t="s">
        <v>201</v>
      </c>
      <c r="G22" s="151" t="s">
        <v>131</v>
      </c>
      <c r="H22" s="162" t="s">
        <v>2599</v>
      </c>
      <c r="I22" s="253">
        <v>45786</v>
      </c>
      <c r="J22" s="253" t="s">
        <v>2605</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2597</v>
      </c>
      <c r="D23" s="152"/>
      <c r="E23" s="152"/>
      <c r="F23" s="152"/>
      <c r="G23" s="151" t="s">
        <v>134</v>
      </c>
      <c r="H23" s="162" t="s">
        <v>2600</v>
      </c>
      <c r="I23" s="253">
        <v>45786</v>
      </c>
      <c r="J23" s="253" t="s">
        <v>2605</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2597</v>
      </c>
      <c r="D24" s="152"/>
      <c r="E24" s="152"/>
      <c r="F24" s="152"/>
      <c r="G24" s="151" t="s">
        <v>136</v>
      </c>
      <c r="H24" s="162" t="s">
        <v>2601</v>
      </c>
      <c r="I24" s="253">
        <v>45786</v>
      </c>
      <c r="J24" s="253" t="s">
        <v>2605</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2597</v>
      </c>
      <c r="D25" s="168"/>
      <c r="E25" s="168"/>
      <c r="F25" s="152"/>
      <c r="G25" s="151" t="s">
        <v>138</v>
      </c>
      <c r="H25" s="162" t="s">
        <v>2602</v>
      </c>
      <c r="I25" s="253">
        <v>45786</v>
      </c>
      <c r="J25" s="253" t="s">
        <v>2605</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2606</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2607</v>
      </c>
      <c r="D28" s="36" t="s">
        <v>2608</v>
      </c>
      <c r="E28" s="36"/>
      <c r="F28" s="17" t="s">
        <v>161</v>
      </c>
      <c r="G28" s="4" t="s">
        <v>2609</v>
      </c>
      <c r="H28" s="160" t="s">
        <v>2610</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2607</v>
      </c>
      <c r="D29" s="17"/>
      <c r="E29" s="17"/>
      <c r="F29" s="17" t="s">
        <v>161</v>
      </c>
      <c r="G29" s="4" t="s">
        <v>2611</v>
      </c>
      <c r="H29" s="132" t="s">
        <v>2612</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2607</v>
      </c>
      <c r="D30" s="17"/>
      <c r="E30" s="17"/>
      <c r="F30" s="17" t="s">
        <v>161</v>
      </c>
      <c r="G30" s="4" t="s">
        <v>2613</v>
      </c>
      <c r="H30" s="132" t="s">
        <v>2614</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2607</v>
      </c>
      <c r="D31" s="17"/>
      <c r="E31" s="17"/>
      <c r="F31" s="17" t="s">
        <v>161</v>
      </c>
      <c r="G31" s="4" t="s">
        <v>2615</v>
      </c>
      <c r="H31" s="132" t="s">
        <v>2616</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2607</v>
      </c>
      <c r="D32" s="17"/>
      <c r="E32" s="17"/>
      <c r="F32" s="17" t="s">
        <v>161</v>
      </c>
      <c r="G32" s="4" t="s">
        <v>2617</v>
      </c>
      <c r="H32" s="132" t="s">
        <v>2618</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2607</v>
      </c>
      <c r="D33" s="17"/>
      <c r="E33" s="17"/>
      <c r="F33" s="17" t="s">
        <v>161</v>
      </c>
      <c r="G33" s="4" t="s">
        <v>2619</v>
      </c>
      <c r="H33" s="132" t="s">
        <v>2620</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2607</v>
      </c>
      <c r="D34" s="17"/>
      <c r="E34" s="17"/>
      <c r="F34" s="17" t="s">
        <v>161</v>
      </c>
      <c r="G34" s="4" t="s">
        <v>2621</v>
      </c>
      <c r="H34" s="132" t="s">
        <v>2622</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2607</v>
      </c>
      <c r="D35" s="17"/>
      <c r="E35" s="17"/>
      <c r="F35" s="17" t="s">
        <v>161</v>
      </c>
      <c r="G35" s="4" t="s">
        <v>2623</v>
      </c>
      <c r="H35" s="160" t="s">
        <v>2624</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2607</v>
      </c>
      <c r="D36" s="17"/>
      <c r="E36" s="17"/>
      <c r="F36" s="17" t="s">
        <v>161</v>
      </c>
      <c r="G36" s="4" t="s">
        <v>2625</v>
      </c>
      <c r="H36" s="160" t="s">
        <v>2626</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2607</v>
      </c>
      <c r="D37" s="17"/>
      <c r="E37" s="17"/>
      <c r="F37" s="17" t="s">
        <v>161</v>
      </c>
      <c r="G37" s="4" t="s">
        <v>2627</v>
      </c>
      <c r="H37" s="132" t="s">
        <v>2628</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2607</v>
      </c>
      <c r="D38" s="17"/>
      <c r="E38" s="17"/>
      <c r="F38" s="17" t="s">
        <v>161</v>
      </c>
      <c r="G38" s="4" t="s">
        <v>2629</v>
      </c>
      <c r="H38" s="160" t="s">
        <v>2630</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2607</v>
      </c>
      <c r="D39" s="17"/>
      <c r="E39" s="17"/>
      <c r="F39" s="17" t="s">
        <v>161</v>
      </c>
      <c r="G39" s="4" t="s">
        <v>2631</v>
      </c>
      <c r="H39" s="132" t="s">
        <v>2632</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2607</v>
      </c>
      <c r="D40" s="17"/>
      <c r="E40" s="17"/>
      <c r="F40" s="17" t="s">
        <v>161</v>
      </c>
      <c r="G40" s="4" t="s">
        <v>2633</v>
      </c>
      <c r="H40" s="160" t="s">
        <v>2634</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2607</v>
      </c>
      <c r="D41" s="17"/>
      <c r="E41" s="17"/>
      <c r="F41" s="17" t="s">
        <v>161</v>
      </c>
      <c r="G41" s="4" t="s">
        <v>2635</v>
      </c>
      <c r="H41" s="132" t="s">
        <v>2636</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2637</v>
      </c>
      <c r="D42" s="37" t="s">
        <v>2638</v>
      </c>
      <c r="E42" s="37"/>
      <c r="F42" s="37" t="s">
        <v>161</v>
      </c>
      <c r="G42" s="9" t="s">
        <v>136</v>
      </c>
      <c r="H42" s="164" t="s">
        <v>2639</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2637</v>
      </c>
      <c r="D43" s="39"/>
      <c r="E43" s="39"/>
      <c r="F43" s="37" t="s">
        <v>161</v>
      </c>
      <c r="G43" s="38" t="s">
        <v>138</v>
      </c>
      <c r="H43" s="255" t="s">
        <v>2640</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2637</v>
      </c>
      <c r="D44" s="39"/>
      <c r="E44" s="39"/>
      <c r="F44" s="37" t="s">
        <v>161</v>
      </c>
      <c r="G44" s="38" t="s">
        <v>166</v>
      </c>
      <c r="H44" s="255" t="s">
        <v>2641</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2637</v>
      </c>
      <c r="D45" s="46"/>
      <c r="E45" s="39"/>
      <c r="F45" s="37" t="s">
        <v>161</v>
      </c>
      <c r="G45" s="38" t="s">
        <v>169</v>
      </c>
      <c r="H45" s="255" t="s">
        <v>2642</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1610</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1611</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1627</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1628</v>
      </c>
      <c r="H53" s="17" t="s">
        <v>1629</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1631</v>
      </c>
      <c r="D54" s="6" t="s">
        <v>1632</v>
      </c>
      <c r="E54" s="6"/>
      <c r="F54" s="39" t="s">
        <v>1636</v>
      </c>
      <c r="G54" s="9" t="s">
        <v>488</v>
      </c>
      <c r="H54" s="7" t="s">
        <v>1654</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1631</v>
      </c>
      <c r="D55" s="6" t="s">
        <v>1632</v>
      </c>
      <c r="E55" s="6"/>
      <c r="F55" s="39" t="s">
        <v>161</v>
      </c>
      <c r="G55" s="9" t="s">
        <v>1192</v>
      </c>
      <c r="H55" s="7" t="s">
        <v>1655</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1631</v>
      </c>
      <c r="D56" s="6" t="s">
        <v>1632</v>
      </c>
      <c r="E56" s="6"/>
      <c r="F56" s="39" t="s">
        <v>161</v>
      </c>
      <c r="G56" s="9" t="s">
        <v>1194</v>
      </c>
      <c r="H56" s="13" t="s">
        <v>1656</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1631</v>
      </c>
      <c r="D57" s="6" t="s">
        <v>1632</v>
      </c>
      <c r="E57" s="6"/>
      <c r="F57" s="39" t="s">
        <v>161</v>
      </c>
      <c r="G57" s="9" t="s">
        <v>1658</v>
      </c>
      <c r="H57" s="13" t="s">
        <v>1659</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1675</v>
      </c>
      <c r="D58" s="55" t="s">
        <v>1676</v>
      </c>
      <c r="E58" s="55"/>
      <c r="F58" s="34" t="s">
        <v>1644</v>
      </c>
      <c r="G58" s="4" t="s">
        <v>601</v>
      </c>
      <c r="H58" s="17" t="s">
        <v>1683</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1675</v>
      </c>
      <c r="D59" s="55" t="s">
        <v>1676</v>
      </c>
      <c r="E59" s="57"/>
      <c r="F59" s="36" t="s">
        <v>1685</v>
      </c>
      <c r="G59" s="4" t="s">
        <v>374</v>
      </c>
      <c r="H59" s="17" t="s">
        <v>1686</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21" t="s">
        <v>1687</v>
      </c>
      <c r="D60" s="823" t="s">
        <v>1688</v>
      </c>
      <c r="E60" s="37"/>
      <c r="F60" s="37" t="s">
        <v>1636</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22"/>
      <c r="D61" s="824"/>
      <c r="E61" s="39"/>
      <c r="F61" s="39" t="s">
        <v>1636</v>
      </c>
      <c r="G61" s="9" t="s">
        <v>281</v>
      </c>
      <c r="H61" s="13" t="s">
        <v>1689</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22"/>
      <c r="D62" s="824"/>
      <c r="E62" s="39"/>
      <c r="F62" s="39" t="s">
        <v>1636</v>
      </c>
      <c r="G62" s="9" t="s">
        <v>269</v>
      </c>
      <c r="H62" s="13" t="s">
        <v>1690</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22"/>
      <c r="D63" s="824"/>
      <c r="E63" s="39"/>
      <c r="F63" s="39" t="s">
        <v>1636</v>
      </c>
      <c r="G63" s="9" t="s">
        <v>259</v>
      </c>
      <c r="H63" s="13" t="s">
        <v>1691</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1636</v>
      </c>
      <c r="G64" s="9" t="s">
        <v>352</v>
      </c>
      <c r="H64" s="7" t="s">
        <v>1692</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1699</v>
      </c>
      <c r="D65" s="2" t="s">
        <v>1700</v>
      </c>
      <c r="E65" s="6"/>
      <c r="F65" s="39" t="s">
        <v>161</v>
      </c>
      <c r="G65" s="38" t="s">
        <v>329</v>
      </c>
      <c r="H65" s="37" t="s">
        <v>1701</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1699</v>
      </c>
      <c r="D66" s="2" t="s">
        <v>1700</v>
      </c>
      <c r="E66" s="6"/>
      <c r="F66" s="39" t="s">
        <v>161</v>
      </c>
      <c r="G66" s="38" t="s">
        <v>601</v>
      </c>
      <c r="H66" s="37" t="s">
        <v>1702</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1699</v>
      </c>
      <c r="D67" s="2" t="s">
        <v>1700</v>
      </c>
      <c r="E67" s="6"/>
      <c r="F67" s="39" t="s">
        <v>1535</v>
      </c>
      <c r="G67" s="38" t="s">
        <v>372</v>
      </c>
      <c r="H67" s="40" t="s">
        <v>1703</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1705</v>
      </c>
      <c r="D68" s="423" t="s">
        <v>1706</v>
      </c>
      <c r="E68" s="572"/>
      <c r="F68" s="59" t="s">
        <v>161</v>
      </c>
      <c r="G68" s="19" t="s">
        <v>329</v>
      </c>
      <c r="H68" s="53" t="s">
        <v>1701</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1705</v>
      </c>
      <c r="D69" s="423" t="s">
        <v>1706</v>
      </c>
      <c r="E69" s="572"/>
      <c r="F69" s="59" t="s">
        <v>161</v>
      </c>
      <c r="G69" s="19" t="s">
        <v>601</v>
      </c>
      <c r="H69" s="53" t="s">
        <v>1702</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1705</v>
      </c>
      <c r="D70" s="423" t="s">
        <v>1706</v>
      </c>
      <c r="E70" s="572"/>
      <c r="F70" s="60" t="s">
        <v>1644</v>
      </c>
      <c r="G70" s="42" t="s">
        <v>1708</v>
      </c>
      <c r="H70" s="61" t="s">
        <v>1709</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1715</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1636</v>
      </c>
      <c r="G72" s="21" t="s">
        <v>236</v>
      </c>
      <c r="H72" s="52" t="s">
        <v>1716</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2083</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2643</v>
      </c>
      <c r="D3" s="565" t="s">
        <v>2644</v>
      </c>
      <c r="E3" s="565"/>
      <c r="F3" s="565"/>
      <c r="G3" s="21" t="s">
        <v>2030</v>
      </c>
      <c r="H3" s="52" t="s">
        <v>2645</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2643</v>
      </c>
      <c r="D4" s="680" t="s">
        <v>2644</v>
      </c>
      <c r="E4" s="680"/>
      <c r="F4" s="680"/>
      <c r="G4" s="146" t="s">
        <v>1760</v>
      </c>
      <c r="H4" s="193" t="s">
        <v>2646</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2647</v>
      </c>
      <c r="C5" s="683" t="s">
        <v>2643</v>
      </c>
      <c r="D5" s="684" t="s">
        <v>2644</v>
      </c>
      <c r="E5" s="684"/>
      <c r="F5" s="684"/>
      <c r="G5" s="151" t="s">
        <v>2648</v>
      </c>
      <c r="H5" s="153" t="s">
        <v>2649</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2643</v>
      </c>
      <c r="D6" s="565" t="s">
        <v>2644</v>
      </c>
      <c r="E6" s="565"/>
      <c r="F6" s="565"/>
      <c r="G6" s="9" t="s">
        <v>2033</v>
      </c>
      <c r="H6" s="7" t="s">
        <v>2650</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2643</v>
      </c>
      <c r="D7" s="565" t="s">
        <v>2644</v>
      </c>
      <c r="E7" s="565"/>
      <c r="F7" s="565"/>
      <c r="G7" s="9" t="s">
        <v>2037</v>
      </c>
      <c r="H7" s="7" t="s">
        <v>2651</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2643</v>
      </c>
      <c r="D8" s="565" t="s">
        <v>2644</v>
      </c>
      <c r="E8" s="565"/>
      <c r="F8" s="565"/>
      <c r="G8" s="9" t="s">
        <v>2652</v>
      </c>
      <c r="H8" s="7" t="s">
        <v>2653</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2643</v>
      </c>
      <c r="D9" s="565" t="s">
        <v>2644</v>
      </c>
      <c r="E9" s="565"/>
      <c r="F9" s="565"/>
      <c r="G9" s="9" t="s">
        <v>2654</v>
      </c>
      <c r="H9" s="7" t="s">
        <v>2655</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2643</v>
      </c>
      <c r="D10" s="565" t="s">
        <v>2644</v>
      </c>
      <c r="E10" s="565"/>
      <c r="F10" s="565"/>
      <c r="G10" s="9" t="s">
        <v>2656</v>
      </c>
      <c r="H10" s="7" t="s">
        <v>2657</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2643</v>
      </c>
      <c r="D11" s="565" t="s">
        <v>2644</v>
      </c>
      <c r="E11" s="565"/>
      <c r="F11" s="565"/>
      <c r="G11" s="9" t="s">
        <v>2658</v>
      </c>
      <c r="H11" s="7" t="s">
        <v>2659</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2643</v>
      </c>
      <c r="D12" s="565" t="s">
        <v>2644</v>
      </c>
      <c r="E12" s="565"/>
      <c r="F12" s="565"/>
      <c r="G12" s="9" t="s">
        <v>2660</v>
      </c>
      <c r="H12" s="7" t="s">
        <v>2661</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2643</v>
      </c>
      <c r="D13" s="565" t="s">
        <v>2644</v>
      </c>
      <c r="E13" s="565"/>
      <c r="F13" s="565"/>
      <c r="G13" s="9" t="s">
        <v>2662</v>
      </c>
      <c r="H13" s="7" t="s">
        <v>2663</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2643</v>
      </c>
      <c r="D14" s="565" t="s">
        <v>2644</v>
      </c>
      <c r="E14" s="565"/>
      <c r="F14" s="565"/>
      <c r="G14" s="9" t="s">
        <v>2664</v>
      </c>
      <c r="H14" s="7" t="s">
        <v>2665</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2643</v>
      </c>
      <c r="D15" s="565" t="s">
        <v>2644</v>
      </c>
      <c r="E15" s="565"/>
      <c r="F15" s="565"/>
      <c r="G15" s="9" t="s">
        <v>2666</v>
      </c>
      <c r="H15" s="7" t="s">
        <v>2667</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2643</v>
      </c>
      <c r="D16" s="565" t="s">
        <v>2644</v>
      </c>
      <c r="E16" s="565"/>
      <c r="F16" s="565"/>
      <c r="G16" s="9" t="s">
        <v>2668</v>
      </c>
      <c r="H16" s="7" t="s">
        <v>2669</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2643</v>
      </c>
      <c r="D17" s="565" t="s">
        <v>2644</v>
      </c>
      <c r="E17" s="565"/>
      <c r="F17" s="565"/>
      <c r="G17" s="9" t="s">
        <v>2670</v>
      </c>
      <c r="H17" s="7" t="s">
        <v>1814</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2643</v>
      </c>
      <c r="D18" s="565" t="s">
        <v>2644</v>
      </c>
      <c r="E18" s="565"/>
      <c r="F18" s="565"/>
      <c r="G18" s="9" t="s">
        <v>2671</v>
      </c>
      <c r="H18" s="13" t="s">
        <v>2672</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2643</v>
      </c>
      <c r="D19" s="565" t="s">
        <v>2644</v>
      </c>
      <c r="E19" s="565"/>
      <c r="F19" s="565"/>
      <c r="G19" s="9" t="s">
        <v>2673</v>
      </c>
      <c r="H19" s="7" t="s">
        <v>2674</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2643</v>
      </c>
      <c r="D20" s="565" t="s">
        <v>2644</v>
      </c>
      <c r="E20" s="565"/>
      <c r="F20" s="565"/>
      <c r="G20" s="9" t="s">
        <v>2675</v>
      </c>
      <c r="H20" s="7" t="s">
        <v>2676</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2643</v>
      </c>
      <c r="D21" s="565" t="s">
        <v>2644</v>
      </c>
      <c r="E21" s="565"/>
      <c r="F21" s="565"/>
      <c r="G21" s="9" t="s">
        <v>2677</v>
      </c>
      <c r="H21" s="7" t="s">
        <v>2678</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2643</v>
      </c>
      <c r="D22" s="565" t="s">
        <v>2644</v>
      </c>
      <c r="E22" s="565"/>
      <c r="F22" s="565"/>
      <c r="G22" s="9" t="s">
        <v>2679</v>
      </c>
      <c r="H22" s="7" t="s">
        <v>2680</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2643</v>
      </c>
      <c r="D23" s="565" t="s">
        <v>2644</v>
      </c>
      <c r="E23" s="566"/>
      <c r="F23" s="566"/>
      <c r="G23" s="9" t="s">
        <v>2681</v>
      </c>
      <c r="H23" s="7" t="s">
        <v>2682</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5D45E498-AC1E-45BA-9949-D1D8D66BA782}"/>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Uriah Camacho</cp:lastModifiedBy>
  <cp:revision/>
  <dcterms:created xsi:type="dcterms:W3CDTF">2025-06-07T18:50:12Z</dcterms:created>
  <dcterms:modified xsi:type="dcterms:W3CDTF">2025-10-14T16:51:15Z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