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defaultThemeVersion="166925"/>
  <mc:AlternateContent xmlns:mc="http://schemas.openxmlformats.org/markup-compatibility/2006">
    <mc:Choice Requires="x15">
      <x15ac:absPath xmlns:x15ac="http://schemas.microsoft.com/office/spreadsheetml/2010/11/ac" url="https://naninc.sharepoint.com/sites/24-077WWTPRehabilitationandReplacementPH1/Shared Documents/16 - Submittals/00_Register/"/>
    </mc:Choice>
  </mc:AlternateContent>
  <xr:revisionPtr revIDLastSave="4159" documentId="14_{533F4329-B275-4479-8BD6-A4781C41E290}" xr6:coauthVersionLast="47" xr6:coauthVersionMax="47" xr10:uidLastSave="{CFBEA71B-53DA-4A49-BDD7-EBB029E1565A}"/>
  <bookViews>
    <workbookView minimized="1" xWindow="8850" yWindow="1230" windowWidth="15465" windowHeight="8805" tabRatio="580" firstSheet="6" activeTab="4" xr2:uid="{65E1A967-1063-44B3-A98D-0EC30FD3F7A8}"/>
  </bookViews>
  <sheets>
    <sheet name="Summary" sheetId="11" state="hidden" r:id="rId1"/>
    <sheet name="Scheduler" sheetId="8" r:id="rId2"/>
    <sheet name="Precon" sheetId="2" r:id="rId3"/>
    <sheet name="Mech" sheetId="5" r:id="rId4"/>
    <sheet name="Equipment" sheetId="12" r:id="rId5"/>
    <sheet name="Civil" sheetId="3" r:id="rId6"/>
    <sheet name="Building" sheetId="4" r:id="rId7"/>
    <sheet name="Elec" sheetId="6" r:id="rId8"/>
    <sheet name="I&amp;C" sheetId="10" r:id="rId9"/>
    <sheet name="QC" sheetId="7" r:id="rId10"/>
    <sheet name="Commissioning" sheetId="9" r:id="rId11"/>
  </sheets>
  <definedNames>
    <definedName name="_xlnm._FilterDatabase" localSheetId="3" hidden="1">Mech!$A$1:$K$346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74" i="4" l="1" a="1"/>
  <c r="J374" i="4" s="1"/>
  <c r="J194" i="5" a="1"/>
  <c r="J194" i="5" s="1"/>
  <c r="J231" i="5" a="1"/>
  <c r="J231" i="5" s="1"/>
  <c r="J4" i="8" a="1"/>
  <c r="J4" i="8"/>
  <c r="J5" i="8" a="1"/>
  <c r="J5" i="8"/>
  <c r="J6" i="8" a="1"/>
  <c r="J6" i="8"/>
  <c r="J7" i="8" a="1"/>
  <c r="J7" i="8"/>
  <c r="J8" i="8" a="1"/>
  <c r="J8" i="8"/>
  <c r="J9" i="8" a="1"/>
  <c r="J9" i="8"/>
  <c r="J10" i="8" a="1"/>
  <c r="J10" i="8"/>
  <c r="J11" i="8" a="1"/>
  <c r="J11" i="8"/>
  <c r="J12" i="8" a="1"/>
  <c r="J12" i="8"/>
  <c r="J13" i="8" a="1"/>
  <c r="J13" i="8"/>
  <c r="J14" i="8" a="1"/>
  <c r="J14" i="8"/>
  <c r="J15" i="8" a="1"/>
  <c r="J15" i="8"/>
  <c r="J16" i="8" a="1"/>
  <c r="J16" i="8"/>
  <c r="J17" i="8" a="1"/>
  <c r="J17" i="8"/>
  <c r="J18" i="8" a="1"/>
  <c r="J18" i="8"/>
  <c r="J3" i="8" a="1"/>
  <c r="J3" i="8" s="1"/>
  <c r="J3" i="2" a="1"/>
  <c r="J3" i="2"/>
  <c r="J4" i="2" a="1"/>
  <c r="J4" i="2"/>
  <c r="J5" i="2" a="1"/>
  <c r="J5" i="2"/>
  <c r="J6" i="2" a="1"/>
  <c r="J6" i="2"/>
  <c r="J7" i="2" a="1"/>
  <c r="J7" i="2"/>
  <c r="J8" i="2" a="1"/>
  <c r="J8" i="2"/>
  <c r="J9" i="2" a="1"/>
  <c r="J9" i="2"/>
  <c r="J10" i="2" a="1"/>
  <c r="J10" i="2"/>
  <c r="J11" i="2" a="1"/>
  <c r="J11" i="2"/>
  <c r="J12" i="2" a="1"/>
  <c r="J12" i="2"/>
  <c r="J13" i="2" a="1"/>
  <c r="J13" i="2"/>
  <c r="J14" i="2" a="1"/>
  <c r="J14" i="2"/>
  <c r="J15" i="2" a="1"/>
  <c r="J15" i="2"/>
  <c r="J16" i="2" a="1"/>
  <c r="J16" i="2"/>
  <c r="J17" i="2" a="1"/>
  <c r="J17" i="2"/>
  <c r="J18" i="2" a="1"/>
  <c r="J18" i="2"/>
  <c r="J19" i="2" a="1"/>
  <c r="J19" i="2"/>
  <c r="J20" i="2" a="1"/>
  <c r="J20" i="2"/>
  <c r="J21" i="2" a="1"/>
  <c r="J21" i="2"/>
  <c r="J22" i="2" a="1"/>
  <c r="J22" i="2"/>
  <c r="J23" i="2" a="1"/>
  <c r="J23" i="2"/>
  <c r="J24" i="2" a="1"/>
  <c r="J24" i="2"/>
  <c r="J25" i="2" a="1"/>
  <c r="J25" i="2"/>
  <c r="J26" i="2" a="1"/>
  <c r="J26" i="2"/>
  <c r="J27" i="2" a="1"/>
  <c r="J27" i="2"/>
  <c r="J28" i="2" a="1"/>
  <c r="J28" i="2"/>
  <c r="J29" i="2" a="1"/>
  <c r="J29" i="2"/>
  <c r="J30" i="2" a="1"/>
  <c r="J30" i="2"/>
  <c r="J31" i="2" a="1"/>
  <c r="J31" i="2"/>
  <c r="J32" i="2" a="1"/>
  <c r="J32" i="2"/>
  <c r="J33" i="2" a="1"/>
  <c r="J33" i="2"/>
  <c r="J34" i="2" a="1"/>
  <c r="J34" i="2"/>
  <c r="J35" i="2" a="1"/>
  <c r="J35" i="2"/>
  <c r="J36" i="2" a="1"/>
  <c r="J36" i="2"/>
  <c r="J37" i="2" a="1"/>
  <c r="J37" i="2"/>
  <c r="J3" i="5" a="1"/>
  <c r="J3" i="5"/>
  <c r="J4" i="12" a="1"/>
  <c r="J4" i="12"/>
  <c r="J5" i="12" a="1"/>
  <c r="J5" i="12"/>
  <c r="J6" i="12" a="1"/>
  <c r="J6" i="12"/>
  <c r="J7" i="12" a="1"/>
  <c r="J7" i="12"/>
  <c r="J8" i="12" a="1"/>
  <c r="J8" i="12"/>
  <c r="J9" i="12" a="1"/>
  <c r="J9" i="12"/>
  <c r="J10" i="12" a="1"/>
  <c r="J10" i="12"/>
  <c r="J11" i="12" a="1"/>
  <c r="J11" i="12"/>
  <c r="J12" i="12" a="1"/>
  <c r="J12" i="12"/>
  <c r="J13" i="12" a="1"/>
  <c r="J13" i="12"/>
  <c r="J14" i="12" a="1"/>
  <c r="J14" i="12"/>
  <c r="J15" i="12" a="1"/>
  <c r="J15" i="12"/>
  <c r="J16" i="12" a="1"/>
  <c r="J16" i="12"/>
  <c r="J17" i="12" a="1"/>
  <c r="J17" i="12"/>
  <c r="J18" i="12" a="1"/>
  <c r="J18" i="12"/>
  <c r="J19" i="12" a="1"/>
  <c r="J19" i="12"/>
  <c r="J20" i="12" a="1"/>
  <c r="J20" i="12"/>
  <c r="J21" i="12" a="1"/>
  <c r="J21" i="12"/>
  <c r="J22" i="12" a="1"/>
  <c r="J22" i="12"/>
  <c r="J23" i="12" a="1"/>
  <c r="J23" i="12"/>
  <c r="J24" i="12" a="1"/>
  <c r="J24" i="12"/>
  <c r="J25" i="12" a="1"/>
  <c r="J25" i="12"/>
  <c r="J26" i="12" a="1"/>
  <c r="J26" i="12"/>
  <c r="J27" i="12" a="1"/>
  <c r="J27" i="12"/>
  <c r="J28" i="12" a="1"/>
  <c r="J28" i="12"/>
  <c r="J29" i="12" a="1"/>
  <c r="J29" i="12"/>
  <c r="J30" i="12" a="1"/>
  <c r="J30" i="12"/>
  <c r="J31" i="12" a="1"/>
  <c r="J31" i="12"/>
  <c r="J32" i="12" a="1"/>
  <c r="J32" i="12"/>
  <c r="J33" i="12" a="1"/>
  <c r="J33" i="12"/>
  <c r="J34" i="12" a="1"/>
  <c r="J34" i="12"/>
  <c r="J35" i="12" a="1"/>
  <c r="J35" i="12"/>
  <c r="J36" i="12" a="1"/>
  <c r="J36" i="12"/>
  <c r="J37" i="12" a="1"/>
  <c r="J37" i="12"/>
  <c r="J38" i="12" a="1"/>
  <c r="J38" i="12"/>
  <c r="J39" i="12" a="1"/>
  <c r="J39" i="12"/>
  <c r="J40" i="12" a="1"/>
  <c r="J40" i="12"/>
  <c r="J41" i="12" a="1"/>
  <c r="J41" i="12"/>
  <c r="J42" i="12" a="1"/>
  <c r="J42" i="12"/>
  <c r="J43" i="12" a="1"/>
  <c r="J43" i="12"/>
  <c r="J44" i="12" a="1"/>
  <c r="J44" i="12"/>
  <c r="J45" i="12" a="1"/>
  <c r="J45" i="12"/>
  <c r="J46" i="12" a="1"/>
  <c r="J46" i="12"/>
  <c r="J47" i="12" a="1"/>
  <c r="J47" i="12"/>
  <c r="J48" i="12" a="1"/>
  <c r="J48" i="12"/>
  <c r="J49" i="12" a="1"/>
  <c r="J49" i="12"/>
  <c r="J50" i="12" a="1"/>
  <c r="J50" i="12"/>
  <c r="J51" i="12" a="1"/>
  <c r="J51" i="12"/>
  <c r="J52" i="12" a="1"/>
  <c r="J52" i="12"/>
  <c r="J53" i="12" a="1"/>
  <c r="J53" i="12"/>
  <c r="J54" i="12" a="1"/>
  <c r="J54" i="12"/>
  <c r="J55" i="12" a="1"/>
  <c r="J55" i="12"/>
  <c r="J56" i="12" a="1"/>
  <c r="J56" i="12"/>
  <c r="J57" i="12" a="1"/>
  <c r="J57" i="12"/>
  <c r="J58" i="12" a="1"/>
  <c r="J58" i="12"/>
  <c r="J59" i="12" a="1"/>
  <c r="J59" i="12"/>
  <c r="J60" i="12" a="1"/>
  <c r="J60" i="12"/>
  <c r="J61" i="12" a="1"/>
  <c r="J61" i="12"/>
  <c r="J62" i="12" a="1"/>
  <c r="J62" i="12"/>
  <c r="J63" i="12" a="1"/>
  <c r="J63" i="12"/>
  <c r="J64" i="12" a="1"/>
  <c r="J64" i="12"/>
  <c r="J65" i="12" a="1"/>
  <c r="J65" i="12"/>
  <c r="J66" i="12" a="1"/>
  <c r="J66" i="12"/>
  <c r="J67" i="12" a="1"/>
  <c r="J67" i="12"/>
  <c r="J68" i="12" a="1"/>
  <c r="J68" i="12"/>
  <c r="J69" i="12" a="1"/>
  <c r="J69" i="12"/>
  <c r="J70" i="12" a="1"/>
  <c r="J70" i="12"/>
  <c r="J71" i="12" a="1"/>
  <c r="J71" i="12"/>
  <c r="J72" i="12" a="1"/>
  <c r="J72" i="12"/>
  <c r="J73" i="12" a="1"/>
  <c r="J73" i="12"/>
  <c r="J74" i="12" a="1"/>
  <c r="J74" i="12"/>
  <c r="J75" i="12" a="1"/>
  <c r="J75" i="12"/>
  <c r="J76" i="12" a="1"/>
  <c r="J76" i="12"/>
  <c r="J77" i="12" a="1"/>
  <c r="J77" i="12"/>
  <c r="J78" i="12" a="1"/>
  <c r="J78" i="12"/>
  <c r="J79" i="12" a="1"/>
  <c r="J79" i="12"/>
  <c r="J80" i="12" a="1"/>
  <c r="J80" i="12"/>
  <c r="J81" i="12" a="1"/>
  <c r="J81" i="12"/>
  <c r="J82" i="12" a="1"/>
  <c r="J82" i="12"/>
  <c r="J83" i="12" a="1"/>
  <c r="J83" i="12"/>
  <c r="J84" i="12" a="1"/>
  <c r="J84" i="12"/>
  <c r="J85" i="12" a="1"/>
  <c r="J85" i="12"/>
  <c r="J86" i="12" a="1"/>
  <c r="J86" i="12"/>
  <c r="J87" i="12" a="1"/>
  <c r="J87" i="12"/>
  <c r="J88" i="12" a="1"/>
  <c r="J88" i="12"/>
  <c r="J89" i="12" a="1"/>
  <c r="J89" i="12"/>
  <c r="J90" i="12" a="1"/>
  <c r="J90" i="12"/>
  <c r="J91" i="12" a="1"/>
  <c r="J91" i="12"/>
  <c r="J92" i="12" a="1"/>
  <c r="J92" i="12"/>
  <c r="J93" i="12" a="1"/>
  <c r="J93" i="12"/>
  <c r="J94" i="12" a="1"/>
  <c r="J94" i="12"/>
  <c r="J95" i="12" a="1"/>
  <c r="J95" i="12"/>
  <c r="J96" i="12" a="1"/>
  <c r="J96" i="12"/>
  <c r="J97" i="12" a="1"/>
  <c r="J97" i="12"/>
  <c r="J98" i="12" a="1"/>
  <c r="J98" i="12"/>
  <c r="J99" i="12" a="1"/>
  <c r="J99" i="12"/>
  <c r="J100" i="12" a="1"/>
  <c r="J100" i="12"/>
  <c r="J101" i="12" a="1"/>
  <c r="J101" i="12"/>
  <c r="J102" i="12" a="1"/>
  <c r="J102" i="12"/>
  <c r="J103" i="12" a="1"/>
  <c r="J103" i="12"/>
  <c r="J104" i="12" a="1"/>
  <c r="J104" i="12"/>
  <c r="J105" i="12" a="1"/>
  <c r="J105" i="12"/>
  <c r="J106" i="12" a="1"/>
  <c r="J106" i="12"/>
  <c r="J107" i="12" a="1"/>
  <c r="J107" i="12"/>
  <c r="J108" i="12" a="1"/>
  <c r="J108" i="12"/>
  <c r="J109" i="12" a="1"/>
  <c r="J109" i="12"/>
  <c r="J110" i="12" a="1"/>
  <c r="J110" i="12"/>
  <c r="J111" i="12" a="1"/>
  <c r="J111" i="12"/>
  <c r="J112" i="12" a="1"/>
  <c r="J112" i="12"/>
  <c r="J113" i="12" a="1"/>
  <c r="J113" i="12"/>
  <c r="J114" i="12" a="1"/>
  <c r="J114" i="12"/>
  <c r="J115" i="12" a="1"/>
  <c r="J115" i="12"/>
  <c r="J116" i="12" a="1"/>
  <c r="J116" i="12"/>
  <c r="J117" i="12" a="1"/>
  <c r="J117" i="12"/>
  <c r="J118" i="12" a="1"/>
  <c r="J118" i="12"/>
  <c r="J119" i="12" a="1"/>
  <c r="J119" i="12"/>
  <c r="J120" i="12" a="1"/>
  <c r="J120" i="12"/>
  <c r="J121" i="12" a="1"/>
  <c r="J121" i="12"/>
  <c r="J122" i="12" a="1"/>
  <c r="J122" i="12"/>
  <c r="J123" i="12" a="1"/>
  <c r="J123" i="12"/>
  <c r="J124" i="12" a="1"/>
  <c r="J124" i="12"/>
  <c r="J125" i="12" a="1"/>
  <c r="J125" i="12"/>
  <c r="J126" i="12" a="1"/>
  <c r="J126" i="12"/>
  <c r="J127" i="12" a="1"/>
  <c r="J127" i="12"/>
  <c r="J128" i="12" a="1"/>
  <c r="J128" i="12"/>
  <c r="J129" i="12" a="1"/>
  <c r="J129" i="12"/>
  <c r="J130" i="12" a="1"/>
  <c r="J130" i="12"/>
  <c r="J131" i="12" a="1"/>
  <c r="J131" i="12"/>
  <c r="J132" i="12" a="1"/>
  <c r="J132" i="12"/>
  <c r="J133" i="12" a="1"/>
  <c r="J133" i="12"/>
  <c r="J134" i="12" a="1"/>
  <c r="J134" i="12"/>
  <c r="J135" i="12" a="1"/>
  <c r="J135" i="12"/>
  <c r="J136" i="12" a="1"/>
  <c r="J136" i="12"/>
  <c r="J137" i="12" a="1"/>
  <c r="J137" i="12"/>
  <c r="J138" i="12" a="1"/>
  <c r="J138" i="12"/>
  <c r="J139" i="12" a="1"/>
  <c r="J139" i="12"/>
  <c r="J140" i="12" a="1"/>
  <c r="J140" i="12"/>
  <c r="J141" i="12" a="1"/>
  <c r="J141" i="12"/>
  <c r="J142" i="12" a="1"/>
  <c r="J142" i="12"/>
  <c r="J143" i="12" a="1"/>
  <c r="J143" i="12"/>
  <c r="J144" i="12" a="1"/>
  <c r="J144" i="12"/>
  <c r="J145" i="12" a="1"/>
  <c r="J145" i="12"/>
  <c r="J146" i="12" a="1"/>
  <c r="J146" i="12"/>
  <c r="J147" i="12" a="1"/>
  <c r="J147" i="12"/>
  <c r="J148" i="12" a="1"/>
  <c r="J148" i="12"/>
  <c r="J149" i="12" a="1"/>
  <c r="J149" i="12"/>
  <c r="J150" i="12" a="1"/>
  <c r="J150" i="12"/>
  <c r="J151" i="12" a="1"/>
  <c r="J151" i="12"/>
  <c r="J152" i="12" a="1"/>
  <c r="J152" i="12"/>
  <c r="J153" i="12" a="1"/>
  <c r="J153" i="12"/>
  <c r="J154" i="12" a="1"/>
  <c r="J154" i="12"/>
  <c r="J155" i="12" a="1"/>
  <c r="J155" i="12"/>
  <c r="J156" i="12" a="1"/>
  <c r="J156" i="12"/>
  <c r="J157" i="12" a="1"/>
  <c r="J157" i="12"/>
  <c r="J158" i="12" a="1"/>
  <c r="J158" i="12"/>
  <c r="J159" i="12" a="1"/>
  <c r="J159" i="12"/>
  <c r="J160" i="12" a="1"/>
  <c r="J160" i="12"/>
  <c r="J161" i="12" a="1"/>
  <c r="J161" i="12"/>
  <c r="J162" i="12" a="1"/>
  <c r="J162" i="12"/>
  <c r="J163" i="12" a="1"/>
  <c r="J163" i="12"/>
  <c r="J164" i="12" a="1"/>
  <c r="J164" i="12"/>
  <c r="J165" i="12" a="1"/>
  <c r="J165" i="12"/>
  <c r="J166" i="12" a="1"/>
  <c r="J166" i="12"/>
  <c r="J167" i="12" a="1"/>
  <c r="J167" i="12"/>
  <c r="J168" i="12" a="1"/>
  <c r="J168" i="12"/>
  <c r="J169" i="12" a="1"/>
  <c r="J169" i="12"/>
  <c r="J170" i="12" a="1"/>
  <c r="J170" i="12"/>
  <c r="J171" i="12" a="1"/>
  <c r="J171" i="12"/>
  <c r="J172" i="12" a="1"/>
  <c r="J172" i="12"/>
  <c r="J173" i="12" a="1"/>
  <c r="J173" i="12"/>
  <c r="J174" i="12" a="1"/>
  <c r="J174" i="12"/>
  <c r="J175" i="12" a="1"/>
  <c r="J175" i="12"/>
  <c r="J176" i="12" a="1"/>
  <c r="J176" i="12"/>
  <c r="J177" i="12" a="1"/>
  <c r="J177" i="12"/>
  <c r="J178" i="12" a="1"/>
  <c r="J178" i="12"/>
  <c r="J179" i="12" a="1"/>
  <c r="J179" i="12"/>
  <c r="J180" i="12" a="1"/>
  <c r="J180" i="12"/>
  <c r="J181" i="12" a="1"/>
  <c r="J181" i="12"/>
  <c r="J182" i="12" a="1"/>
  <c r="J182" i="12"/>
  <c r="J183" i="12" a="1"/>
  <c r="J183" i="12"/>
  <c r="J184" i="12" a="1"/>
  <c r="J184" i="12"/>
  <c r="J185" i="12" a="1"/>
  <c r="J185" i="12"/>
  <c r="J186" i="12" a="1"/>
  <c r="J186" i="12"/>
  <c r="J187" i="12" a="1"/>
  <c r="J187" i="12"/>
  <c r="J188" i="12" a="1"/>
  <c r="J188" i="12"/>
  <c r="J189" i="12" a="1"/>
  <c r="J189" i="12"/>
  <c r="J190" i="12" a="1"/>
  <c r="J190" i="12"/>
  <c r="J191" i="12" a="1"/>
  <c r="J191" i="12"/>
  <c r="J192" i="12" a="1"/>
  <c r="J192" i="12"/>
  <c r="J193" i="12" a="1"/>
  <c r="J193" i="12"/>
  <c r="J194" i="12" a="1"/>
  <c r="J194" i="12"/>
  <c r="J195" i="12" a="1"/>
  <c r="J195" i="12"/>
  <c r="J196" i="12" a="1"/>
  <c r="J196" i="12"/>
  <c r="J197" i="12" a="1"/>
  <c r="J197" i="12"/>
  <c r="J198" i="12" a="1"/>
  <c r="J198" i="12"/>
  <c r="J199" i="12" a="1"/>
  <c r="J199" i="12"/>
  <c r="J200" i="12" a="1"/>
  <c r="J200" i="12"/>
  <c r="J201" i="12" a="1"/>
  <c r="J201" i="12"/>
  <c r="J202" i="12" a="1"/>
  <c r="J202" i="12"/>
  <c r="J203" i="12" a="1"/>
  <c r="J203" i="12"/>
  <c r="J204" i="12" a="1"/>
  <c r="J204" i="12"/>
  <c r="J205" i="12" a="1"/>
  <c r="J205" i="12"/>
  <c r="J206" i="12" a="1"/>
  <c r="J206" i="12"/>
  <c r="J207" i="12" a="1"/>
  <c r="J207" i="12"/>
  <c r="J208" i="12" a="1"/>
  <c r="J208" i="12"/>
  <c r="J209" i="12" a="1"/>
  <c r="J209" i="12"/>
  <c r="J210" i="12" a="1"/>
  <c r="J210" i="12"/>
  <c r="J211" i="12" a="1"/>
  <c r="J211" i="12"/>
  <c r="J212" i="12" a="1"/>
  <c r="J212" i="12"/>
  <c r="J213" i="12" a="1"/>
  <c r="J213" i="12"/>
  <c r="J214" i="12" a="1"/>
  <c r="J214" i="12"/>
  <c r="J215" i="12" a="1"/>
  <c r="J215" i="12"/>
  <c r="J216" i="12" a="1"/>
  <c r="J216" i="12"/>
  <c r="J217" i="12" a="1"/>
  <c r="J217" i="12"/>
  <c r="J218" i="12" a="1"/>
  <c r="J218" i="12"/>
  <c r="J219" i="12" a="1"/>
  <c r="J219" i="12"/>
  <c r="J220" i="12" a="1"/>
  <c r="J220" i="12"/>
  <c r="J221" i="12" a="1"/>
  <c r="J221" i="12"/>
  <c r="J222" i="12" a="1"/>
  <c r="J222" i="12"/>
  <c r="J223" i="12" a="1"/>
  <c r="J223" i="12"/>
  <c r="J224" i="12" a="1"/>
  <c r="J224" i="12"/>
  <c r="J225" i="12" a="1"/>
  <c r="J225" i="12"/>
  <c r="J226" i="12" a="1"/>
  <c r="J226" i="12"/>
  <c r="J227" i="12" a="1"/>
  <c r="J227" i="12"/>
  <c r="J228" i="12" a="1"/>
  <c r="J228" i="12"/>
  <c r="J229" i="12" a="1"/>
  <c r="J229" i="12"/>
  <c r="J230" i="12" a="1"/>
  <c r="J230" i="12"/>
  <c r="J231" i="12" a="1"/>
  <c r="J231" i="12"/>
  <c r="J232" i="12" a="1"/>
  <c r="J232" i="12"/>
  <c r="J233" i="12" a="1"/>
  <c r="J233" i="12"/>
  <c r="J234" i="12" a="1"/>
  <c r="J234" i="12"/>
  <c r="J235" i="12" a="1"/>
  <c r="J235" i="12"/>
  <c r="J236" i="12" a="1"/>
  <c r="J236" i="12"/>
  <c r="J237" i="12" a="1"/>
  <c r="J237" i="12"/>
  <c r="J238" i="12" a="1"/>
  <c r="J238" i="12"/>
  <c r="J239" i="12" a="1"/>
  <c r="J239" i="12"/>
  <c r="J240" i="12" a="1"/>
  <c r="J240" i="12"/>
  <c r="J241" i="12" a="1"/>
  <c r="J241" i="12"/>
  <c r="J242" i="12" a="1"/>
  <c r="J242" i="12"/>
  <c r="J243" i="12" a="1"/>
  <c r="J243" i="12"/>
  <c r="J244" i="12" a="1"/>
  <c r="J244" i="12"/>
  <c r="J245" i="12" a="1"/>
  <c r="J245" i="12"/>
  <c r="J246" i="12" a="1"/>
  <c r="J246" i="12"/>
  <c r="J247" i="12" a="1"/>
  <c r="J247" i="12"/>
  <c r="J248" i="12" a="1"/>
  <c r="J248" i="12"/>
  <c r="J249" i="12" a="1"/>
  <c r="J249" i="12"/>
  <c r="J250" i="12" a="1"/>
  <c r="J250" i="12"/>
  <c r="J251" i="12" a="1"/>
  <c r="J251" i="12"/>
  <c r="J252" i="12" a="1"/>
  <c r="J252" i="12"/>
  <c r="J253" i="12" a="1"/>
  <c r="J253" i="12"/>
  <c r="J254" i="12" a="1"/>
  <c r="J254" i="12"/>
  <c r="J255" i="12" a="1"/>
  <c r="J255" i="12"/>
  <c r="J256" i="12" a="1"/>
  <c r="J256" i="12"/>
  <c r="J257" i="12" a="1"/>
  <c r="J257" i="12"/>
  <c r="J258" i="12" a="1"/>
  <c r="J258" i="12"/>
  <c r="J259" i="12" a="1"/>
  <c r="J259" i="12"/>
  <c r="J260" i="12" a="1"/>
  <c r="J260" i="12"/>
  <c r="J261" i="12" a="1"/>
  <c r="J261" i="12"/>
  <c r="J262" i="12" a="1"/>
  <c r="J262" i="12"/>
  <c r="J263" i="12" a="1"/>
  <c r="J263" i="12"/>
  <c r="J264" i="12" a="1"/>
  <c r="J264" i="12"/>
  <c r="J265" i="12" a="1"/>
  <c r="J265" i="12"/>
  <c r="J266" i="12" a="1"/>
  <c r="J266" i="12"/>
  <c r="J267" i="12" a="1"/>
  <c r="J267" i="12"/>
  <c r="J268" i="12" a="1"/>
  <c r="J268" i="12"/>
  <c r="J269" i="12" a="1"/>
  <c r="J269" i="12"/>
  <c r="J270" i="12" a="1"/>
  <c r="J270" i="12"/>
  <c r="J271" i="12" a="1"/>
  <c r="J271" i="12"/>
  <c r="J272" i="12" a="1"/>
  <c r="J272" i="12"/>
  <c r="J273" i="12" a="1"/>
  <c r="J273" i="12"/>
  <c r="J274" i="12" a="1"/>
  <c r="J274" i="12"/>
  <c r="J275" i="12" a="1"/>
  <c r="J275" i="12"/>
  <c r="J276" i="12" a="1"/>
  <c r="J276" i="12"/>
  <c r="J277" i="12" a="1"/>
  <c r="J277" i="12"/>
  <c r="J278" i="12" a="1"/>
  <c r="J278" i="12"/>
  <c r="J279" i="12" a="1"/>
  <c r="J279" i="12"/>
  <c r="J280" i="12" a="1"/>
  <c r="J280" i="12"/>
  <c r="J281" i="12" a="1"/>
  <c r="J281" i="12"/>
  <c r="J282" i="12" a="1"/>
  <c r="J282" i="12"/>
  <c r="J283" i="12" a="1"/>
  <c r="J283" i="12"/>
  <c r="J284" i="12" a="1"/>
  <c r="J284" i="12"/>
  <c r="J285" i="12" a="1"/>
  <c r="J285" i="12"/>
  <c r="J286" i="12" a="1"/>
  <c r="J286" i="12"/>
  <c r="J287" i="12" a="1"/>
  <c r="J287" i="12"/>
  <c r="J288" i="12" a="1"/>
  <c r="J288" i="12"/>
  <c r="J289" i="12" a="1"/>
  <c r="J289" i="12"/>
  <c r="J290" i="12" a="1"/>
  <c r="J290" i="12"/>
  <c r="J291" i="12" a="1"/>
  <c r="J291" i="12"/>
  <c r="J292" i="12" a="1"/>
  <c r="J292" i="12"/>
  <c r="J293" i="12" a="1"/>
  <c r="J293" i="12"/>
  <c r="J294" i="12" a="1"/>
  <c r="J294" i="12"/>
  <c r="J295" i="12" a="1"/>
  <c r="J295" i="12"/>
  <c r="J296" i="12" a="1"/>
  <c r="J296" i="12"/>
  <c r="J297" i="12" a="1"/>
  <c r="J297" i="12"/>
  <c r="J298" i="12" a="1"/>
  <c r="J298" i="12"/>
  <c r="J299" i="12" a="1"/>
  <c r="J299" i="12"/>
  <c r="J300" i="12" a="1"/>
  <c r="J300" i="12"/>
  <c r="J301" i="12" a="1"/>
  <c r="J301" i="12"/>
  <c r="J302" i="12" a="1"/>
  <c r="J302" i="12"/>
  <c r="J303" i="12" a="1"/>
  <c r="J303" i="12"/>
  <c r="J304" i="12" a="1"/>
  <c r="J304" i="12"/>
  <c r="J305" i="12" a="1"/>
  <c r="J305" i="12"/>
  <c r="J306" i="12" a="1"/>
  <c r="J306" i="12"/>
  <c r="J307" i="12" a="1"/>
  <c r="J307" i="12"/>
  <c r="J308" i="12" a="1"/>
  <c r="J308" i="12"/>
  <c r="J309" i="12" a="1"/>
  <c r="J309" i="12"/>
  <c r="J310" i="12" a="1"/>
  <c r="J310" i="12"/>
  <c r="J311" i="12" a="1"/>
  <c r="J311" i="12"/>
  <c r="J312" i="12" a="1"/>
  <c r="J312" i="12"/>
  <c r="J313" i="12" a="1"/>
  <c r="J313" i="12"/>
  <c r="J314" i="12" a="1"/>
  <c r="J314" i="12"/>
  <c r="J315" i="12" a="1"/>
  <c r="J315" i="12"/>
  <c r="J316" i="12" a="1"/>
  <c r="J316" i="12"/>
  <c r="J317" i="12" a="1"/>
  <c r="J317" i="12"/>
  <c r="J318" i="12" a="1"/>
  <c r="J318" i="12"/>
  <c r="J319" i="12" a="1"/>
  <c r="J319" i="12"/>
  <c r="J320" i="12" a="1"/>
  <c r="J320" i="12"/>
  <c r="J321" i="12" a="1"/>
  <c r="J321" i="12"/>
  <c r="J322" i="12" a="1"/>
  <c r="J322" i="12"/>
  <c r="J323" i="12" a="1"/>
  <c r="J323" i="12"/>
  <c r="J324" i="12" a="1"/>
  <c r="J324" i="12"/>
  <c r="J325" i="12" a="1"/>
  <c r="J325" i="12"/>
  <c r="J326" i="12" a="1"/>
  <c r="J326" i="12"/>
  <c r="J327" i="12" a="1"/>
  <c r="J327" i="12"/>
  <c r="J328" i="12" a="1"/>
  <c r="J328" i="12"/>
  <c r="J329" i="12" a="1"/>
  <c r="J329" i="12"/>
  <c r="J330" i="12" a="1"/>
  <c r="J330" i="12"/>
  <c r="J331" i="12" a="1"/>
  <c r="J331" i="12"/>
  <c r="J332" i="12" a="1"/>
  <c r="J332" i="12"/>
  <c r="J333" i="12" a="1"/>
  <c r="J333" i="12"/>
  <c r="J334" i="12" a="1"/>
  <c r="J334" i="12"/>
  <c r="J335" i="12" a="1"/>
  <c r="J335" i="12"/>
  <c r="J336" i="12" a="1"/>
  <c r="J336" i="12"/>
  <c r="J337" i="12" a="1"/>
  <c r="J337" i="12"/>
  <c r="J338" i="12" a="1"/>
  <c r="J338" i="12"/>
  <c r="J339" i="12" a="1"/>
  <c r="J339" i="12"/>
  <c r="J340" i="12" a="1"/>
  <c r="J340" i="12"/>
  <c r="J341" i="12" a="1"/>
  <c r="J341" i="12"/>
  <c r="J342" i="12" a="1"/>
  <c r="J342" i="12"/>
  <c r="J343" i="12" a="1"/>
  <c r="J343" i="12"/>
  <c r="J344" i="12" a="1"/>
  <c r="J344" i="12"/>
  <c r="J345" i="12" a="1"/>
  <c r="J345" i="12"/>
  <c r="J346" i="12" a="1"/>
  <c r="J346" i="12"/>
  <c r="J347" i="12" a="1"/>
  <c r="J347" i="12"/>
  <c r="J348" i="12" a="1"/>
  <c r="J348" i="12"/>
  <c r="J349" i="12" a="1"/>
  <c r="J349" i="12"/>
  <c r="J350" i="12" a="1"/>
  <c r="J350" i="12"/>
  <c r="J351" i="12" a="1"/>
  <c r="J351" i="12"/>
  <c r="J352" i="12" a="1"/>
  <c r="J352" i="12"/>
  <c r="J353" i="12" a="1"/>
  <c r="J353" i="12"/>
  <c r="J354" i="12" a="1"/>
  <c r="J354" i="12"/>
  <c r="J355" i="12" a="1"/>
  <c r="J355" i="12"/>
  <c r="J356" i="12" a="1"/>
  <c r="J356" i="12"/>
  <c r="J357" i="12" a="1"/>
  <c r="J357" i="12"/>
  <c r="J358" i="12" a="1"/>
  <c r="J358" i="12"/>
  <c r="J359" i="12" a="1"/>
  <c r="J359" i="12"/>
  <c r="J360" i="12" a="1"/>
  <c r="J360" i="12"/>
  <c r="J361" i="12" a="1"/>
  <c r="J361" i="12"/>
  <c r="J362" i="12" a="1"/>
  <c r="J362" i="12"/>
  <c r="J363" i="12" a="1"/>
  <c r="J363" i="12"/>
  <c r="J364" i="12" a="1"/>
  <c r="J364" i="12"/>
  <c r="J365" i="12" a="1"/>
  <c r="J365" i="12"/>
  <c r="J366" i="12" a="1"/>
  <c r="J366" i="12"/>
  <c r="J367" i="12" a="1"/>
  <c r="J367" i="12"/>
  <c r="J368" i="12" a="1"/>
  <c r="J368" i="12"/>
  <c r="J369" i="12" a="1"/>
  <c r="J369" i="12"/>
  <c r="J370" i="12" a="1"/>
  <c r="J370" i="12"/>
  <c r="J371" i="12" a="1"/>
  <c r="J371" i="12"/>
  <c r="J372" i="12" a="1"/>
  <c r="J372" i="12"/>
  <c r="J373" i="12" a="1"/>
  <c r="J373" i="12"/>
  <c r="J374" i="12" a="1"/>
  <c r="J374" i="12"/>
  <c r="J375" i="12" a="1"/>
  <c r="J375" i="12"/>
  <c r="J376" i="12" a="1"/>
  <c r="J376" i="12"/>
  <c r="J377" i="12" a="1"/>
  <c r="J377" i="12"/>
  <c r="J378" i="12" a="1"/>
  <c r="J378" i="12"/>
  <c r="J379" i="12" a="1"/>
  <c r="J379" i="12"/>
  <c r="J380" i="12" a="1"/>
  <c r="J380" i="12"/>
  <c r="J381" i="12" a="1"/>
  <c r="J381" i="12"/>
  <c r="J382" i="12" a="1"/>
  <c r="J382" i="12"/>
  <c r="J383" i="12" a="1"/>
  <c r="J383" i="12"/>
  <c r="J384" i="12" a="1"/>
  <c r="J384" i="12"/>
  <c r="J385" i="12" a="1"/>
  <c r="J385" i="12"/>
  <c r="J386" i="12" a="1"/>
  <c r="J386" i="12"/>
  <c r="J387" i="12" a="1"/>
  <c r="J387" i="12"/>
  <c r="J388" i="12" a="1"/>
  <c r="J388" i="12"/>
  <c r="J389" i="12" a="1"/>
  <c r="J389" i="12"/>
  <c r="J390" i="12" a="1"/>
  <c r="J390" i="12"/>
  <c r="J391" i="12" a="1"/>
  <c r="J391" i="12"/>
  <c r="J392" i="12" a="1"/>
  <c r="J392" i="12"/>
  <c r="J393" i="12" a="1"/>
  <c r="J393" i="12"/>
  <c r="J394" i="12" a="1"/>
  <c r="J394" i="12"/>
  <c r="J395" i="12" a="1"/>
  <c r="J395" i="12"/>
  <c r="J396" i="12" a="1"/>
  <c r="J396" i="12"/>
  <c r="J397" i="12" a="1"/>
  <c r="J397" i="12"/>
  <c r="J398" i="12" a="1"/>
  <c r="J398" i="12"/>
  <c r="J399" i="12" a="1"/>
  <c r="J399" i="12"/>
  <c r="J400" i="12" a="1"/>
  <c r="J400" i="12"/>
  <c r="J401" i="12" a="1"/>
  <c r="J401" i="12"/>
  <c r="J402" i="12" a="1"/>
  <c r="J402" i="12"/>
  <c r="J403" i="12" a="1"/>
  <c r="J403" i="12"/>
  <c r="J404" i="12" a="1"/>
  <c r="J404" i="12"/>
  <c r="J405" i="12" a="1"/>
  <c r="J405" i="12"/>
  <c r="J406" i="12" a="1"/>
  <c r="J406" i="12"/>
  <c r="J407" i="12" a="1"/>
  <c r="J407" i="12"/>
  <c r="J408" i="12" a="1"/>
  <c r="J408" i="12"/>
  <c r="J409" i="12" a="1"/>
  <c r="J409" i="12"/>
  <c r="J410" i="12" a="1"/>
  <c r="J410" i="12"/>
  <c r="J411" i="12" a="1"/>
  <c r="J411" i="12"/>
  <c r="J412" i="12" a="1"/>
  <c r="J412" i="12"/>
  <c r="J413" i="12" a="1"/>
  <c r="J413" i="12"/>
  <c r="J414" i="12" a="1"/>
  <c r="J414" i="12"/>
  <c r="J415" i="12" a="1"/>
  <c r="J415" i="12"/>
  <c r="J416" i="12" a="1"/>
  <c r="J416" i="12"/>
  <c r="J417" i="12" a="1"/>
  <c r="J417" i="12"/>
  <c r="J418" i="12" a="1"/>
  <c r="J418" i="12"/>
  <c r="J419" i="12" a="1"/>
  <c r="J419" i="12"/>
  <c r="J420" i="12" a="1"/>
  <c r="J420" i="12"/>
  <c r="J421" i="12" a="1"/>
  <c r="J421" i="12"/>
  <c r="J422" i="12" a="1"/>
  <c r="J422" i="12"/>
  <c r="J423" i="12" a="1"/>
  <c r="J423" i="12"/>
  <c r="J424" i="12" a="1"/>
  <c r="J424" i="12"/>
  <c r="J425" i="12" a="1"/>
  <c r="J425" i="12"/>
  <c r="J426" i="12" a="1"/>
  <c r="J426" i="12"/>
  <c r="J427" i="12" a="1"/>
  <c r="J427" i="12"/>
  <c r="J428" i="12" a="1"/>
  <c r="J428" i="12"/>
  <c r="J429" i="12" a="1"/>
  <c r="J429" i="12"/>
  <c r="J430" i="12" a="1"/>
  <c r="J430" i="12"/>
  <c r="J431" i="12" a="1"/>
  <c r="J431" i="12"/>
  <c r="J432" i="12" a="1"/>
  <c r="J432" i="12"/>
  <c r="J433" i="12" a="1"/>
  <c r="J433" i="12"/>
  <c r="J434" i="12" a="1"/>
  <c r="J434" i="12"/>
  <c r="J435" i="12" a="1"/>
  <c r="J435" i="12"/>
  <c r="J436" i="12" a="1"/>
  <c r="J436" i="12"/>
  <c r="J437" i="12" a="1"/>
  <c r="J437" i="12"/>
  <c r="J438" i="12" a="1"/>
  <c r="J438" i="12"/>
  <c r="J439" i="12" a="1"/>
  <c r="J439" i="12"/>
  <c r="J440" i="12" a="1"/>
  <c r="J440" i="12"/>
  <c r="J441" i="12" a="1"/>
  <c r="J441" i="12"/>
  <c r="J442" i="12" a="1"/>
  <c r="J442" i="12"/>
  <c r="J443" i="12" a="1"/>
  <c r="J443" i="12"/>
  <c r="J444" i="12" a="1"/>
  <c r="J444" i="12"/>
  <c r="J445" i="12" a="1"/>
  <c r="J445" i="12"/>
  <c r="J446" i="12" a="1"/>
  <c r="J446" i="12"/>
  <c r="J447" i="12" a="1"/>
  <c r="J447" i="12"/>
  <c r="J448" i="12" a="1"/>
  <c r="J448" i="12"/>
  <c r="J449" i="12" a="1"/>
  <c r="J449" i="12"/>
  <c r="J450" i="12" a="1"/>
  <c r="J450" i="12"/>
  <c r="J451" i="12" a="1"/>
  <c r="J451" i="12"/>
  <c r="J452" i="12" a="1"/>
  <c r="J452" i="12"/>
  <c r="J453" i="12" a="1"/>
  <c r="J453" i="12"/>
  <c r="J454" i="12" a="1"/>
  <c r="J454" i="12"/>
  <c r="J455" i="12" a="1"/>
  <c r="J455" i="12"/>
  <c r="J456" i="12" a="1"/>
  <c r="J456" i="12"/>
  <c r="J457" i="12" a="1"/>
  <c r="J457" i="12"/>
  <c r="J458" i="12" a="1"/>
  <c r="J458" i="12"/>
  <c r="J459" i="12" a="1"/>
  <c r="J459" i="12"/>
  <c r="J460" i="12" a="1"/>
  <c r="J460" i="12"/>
  <c r="J461" i="12" a="1"/>
  <c r="J461" i="12"/>
  <c r="J462" i="12" a="1"/>
  <c r="J462" i="12"/>
  <c r="J463" i="12" a="1"/>
  <c r="J463" i="12"/>
  <c r="J464" i="12" a="1"/>
  <c r="J464" i="12"/>
  <c r="J465" i="12" a="1"/>
  <c r="J465" i="12"/>
  <c r="J466" i="12" a="1"/>
  <c r="J466" i="12"/>
  <c r="J467" i="12" a="1"/>
  <c r="J467" i="12"/>
  <c r="J468" i="12" a="1"/>
  <c r="J468" i="12"/>
  <c r="J469" i="12" a="1"/>
  <c r="J469" i="12"/>
  <c r="J470" i="12" a="1"/>
  <c r="J470" i="12"/>
  <c r="J471" i="12" a="1"/>
  <c r="J471" i="12"/>
  <c r="J472" i="12" a="1"/>
  <c r="J472" i="12"/>
  <c r="J473" i="12" a="1"/>
  <c r="J473" i="12"/>
  <c r="J474" i="12" a="1"/>
  <c r="J474" i="12"/>
  <c r="J475" i="12" a="1"/>
  <c r="J475" i="12"/>
  <c r="J476" i="12" a="1"/>
  <c r="J476" i="12"/>
  <c r="J3" i="12" a="1"/>
  <c r="J3" i="12" s="1"/>
  <c r="J3" i="3" a="1"/>
  <c r="J3" i="3"/>
  <c r="J4" i="3" a="1"/>
  <c r="J4" i="3"/>
  <c r="J5" i="3" a="1"/>
  <c r="J5" i="3"/>
  <c r="J6" i="3" a="1"/>
  <c r="J6" i="3"/>
  <c r="J7" i="3" a="1"/>
  <c r="J7" i="3"/>
  <c r="J8" i="3" a="1"/>
  <c r="J8" i="3"/>
  <c r="J9" i="3" a="1"/>
  <c r="J9" i="3"/>
  <c r="J10" i="3" a="1"/>
  <c r="J10" i="3"/>
  <c r="J11" i="3" a="1"/>
  <c r="J11" i="3"/>
  <c r="J12" i="3" a="1"/>
  <c r="J12" i="3"/>
  <c r="J13" i="3" a="1"/>
  <c r="J13" i="3"/>
  <c r="J14" i="3" a="1"/>
  <c r="J14" i="3"/>
  <c r="J15" i="3" a="1"/>
  <c r="J15" i="3"/>
  <c r="J16" i="3" a="1"/>
  <c r="J16" i="3"/>
  <c r="J17" i="3" a="1"/>
  <c r="J17" i="3"/>
  <c r="J18" i="3" a="1"/>
  <c r="J18" i="3"/>
  <c r="J19" i="3" a="1"/>
  <c r="J19" i="3"/>
  <c r="J20" i="3" a="1"/>
  <c r="J20" i="3"/>
  <c r="J21" i="3" a="1"/>
  <c r="J21" i="3"/>
  <c r="J22" i="3" a="1"/>
  <c r="J22" i="3"/>
  <c r="J23" i="3" a="1"/>
  <c r="J23" i="3"/>
  <c r="J24" i="3" a="1"/>
  <c r="J24" i="3"/>
  <c r="J25" i="3" a="1"/>
  <c r="J25" i="3"/>
  <c r="J26" i="3" a="1"/>
  <c r="J26" i="3"/>
  <c r="J27" i="3" a="1"/>
  <c r="J27" i="3"/>
  <c r="J28" i="3" a="1"/>
  <c r="J28" i="3"/>
  <c r="J29" i="3" a="1"/>
  <c r="J29" i="3"/>
  <c r="J30" i="3" a="1"/>
  <c r="J30" i="3"/>
  <c r="J31" i="3" a="1"/>
  <c r="J31" i="3"/>
  <c r="J32" i="3" a="1"/>
  <c r="J32" i="3"/>
  <c r="J33" i="3" a="1"/>
  <c r="J33" i="3"/>
  <c r="J34" i="3" a="1"/>
  <c r="J34" i="3"/>
  <c r="J35" i="3" a="1"/>
  <c r="J35" i="3"/>
  <c r="J36" i="3" a="1"/>
  <c r="J36" i="3"/>
  <c r="J37" i="3" a="1"/>
  <c r="J37" i="3"/>
  <c r="J38" i="3" a="1"/>
  <c r="J38" i="3"/>
  <c r="J39" i="3" a="1"/>
  <c r="J39" i="3"/>
  <c r="J40" i="3" a="1"/>
  <c r="J40" i="3"/>
  <c r="J41" i="3" a="1"/>
  <c r="J41" i="3"/>
  <c r="J42" i="3" a="1"/>
  <c r="J42" i="3"/>
  <c r="J43" i="3" a="1"/>
  <c r="J43" i="3"/>
  <c r="J44" i="3" a="1"/>
  <c r="J44" i="3"/>
  <c r="J45" i="3" a="1"/>
  <c r="J45" i="3"/>
  <c r="J46" i="3" a="1"/>
  <c r="J46" i="3"/>
  <c r="J47" i="3" a="1"/>
  <c r="J47" i="3"/>
  <c r="J48" i="3" a="1"/>
  <c r="J48" i="3"/>
  <c r="J49" i="3" a="1"/>
  <c r="J49" i="3"/>
  <c r="J50" i="3" a="1"/>
  <c r="J50" i="3"/>
  <c r="J51" i="3" a="1"/>
  <c r="J51" i="3"/>
  <c r="J52" i="3" a="1"/>
  <c r="J52" i="3"/>
  <c r="J53" i="3" a="1"/>
  <c r="J53" i="3"/>
  <c r="J54" i="3" a="1"/>
  <c r="J54" i="3"/>
  <c r="J55" i="3" a="1"/>
  <c r="J55" i="3"/>
  <c r="J56" i="3" a="1"/>
  <c r="J56" i="3"/>
  <c r="J57" i="3" a="1"/>
  <c r="J57" i="3"/>
  <c r="J58" i="3" a="1"/>
  <c r="J58" i="3"/>
  <c r="J59" i="3" a="1"/>
  <c r="J59" i="3"/>
  <c r="J60" i="3" a="1"/>
  <c r="J60" i="3"/>
  <c r="J61" i="3" a="1"/>
  <c r="J61" i="3"/>
  <c r="J62" i="3" a="1"/>
  <c r="J62" i="3"/>
  <c r="J63" i="3" a="1"/>
  <c r="J63" i="3"/>
  <c r="J64" i="3" a="1"/>
  <c r="J64" i="3"/>
  <c r="J65" i="3" a="1"/>
  <c r="J65" i="3"/>
  <c r="J66" i="3" a="1"/>
  <c r="J66" i="3"/>
  <c r="J67" i="3" a="1"/>
  <c r="J67" i="3"/>
  <c r="J68" i="3" a="1"/>
  <c r="J68" i="3"/>
  <c r="J69" i="3" a="1"/>
  <c r="J69" i="3"/>
  <c r="J70" i="3" a="1"/>
  <c r="J70" i="3"/>
  <c r="J71" i="3" a="1"/>
  <c r="J71" i="3"/>
  <c r="J72" i="3" a="1"/>
  <c r="J72" i="3"/>
  <c r="J73" i="3" a="1"/>
  <c r="J73" i="3"/>
  <c r="J74" i="3" a="1"/>
  <c r="J74" i="3"/>
  <c r="J75" i="3" a="1"/>
  <c r="J75" i="3"/>
  <c r="J76" i="3" a="1"/>
  <c r="J76" i="3"/>
  <c r="J77" i="3" a="1"/>
  <c r="J77" i="3"/>
  <c r="J78" i="3" a="1"/>
  <c r="J78" i="3"/>
  <c r="J79" i="3" a="1"/>
  <c r="J79" i="3"/>
  <c r="J80" i="3" a="1"/>
  <c r="J80" i="3"/>
  <c r="J81" i="3" a="1"/>
  <c r="J81" i="3"/>
  <c r="J82" i="3" a="1"/>
  <c r="J82" i="3"/>
  <c r="J83" i="3" a="1"/>
  <c r="J83" i="3"/>
  <c r="J84" i="3" a="1"/>
  <c r="J84" i="3"/>
  <c r="J85" i="3" a="1"/>
  <c r="J85" i="3"/>
  <c r="J3" i="4" a="1"/>
  <c r="J3" i="4"/>
  <c r="J32" i="4" a="1"/>
  <c r="J32" i="4"/>
  <c r="J33" i="4" a="1"/>
  <c r="J33" i="4"/>
  <c r="J34" i="4" a="1"/>
  <c r="J34" i="4"/>
  <c r="J35" i="4" a="1"/>
  <c r="J35" i="4"/>
  <c r="J36" i="4" a="1"/>
  <c r="J36" i="4"/>
  <c r="J37" i="4" a="1"/>
  <c r="J37" i="4"/>
  <c r="J38" i="4" a="1"/>
  <c r="J38" i="4"/>
  <c r="J39" i="4" a="1"/>
  <c r="J39" i="4"/>
  <c r="J40" i="4" a="1"/>
  <c r="J40" i="4"/>
  <c r="J41" i="4" a="1"/>
  <c r="J41" i="4"/>
  <c r="J42" i="4" a="1"/>
  <c r="J42" i="4"/>
  <c r="J43" i="4" a="1"/>
  <c r="J43" i="4"/>
  <c r="J44" i="4" a="1"/>
  <c r="J44" i="4"/>
  <c r="J45" i="4" a="1"/>
  <c r="J45" i="4"/>
  <c r="J46" i="4" a="1"/>
  <c r="J46" i="4"/>
  <c r="J47" i="4" a="1"/>
  <c r="J47" i="4"/>
  <c r="J48" i="4" a="1"/>
  <c r="J48" i="4"/>
  <c r="J49" i="4" a="1"/>
  <c r="J49" i="4"/>
  <c r="J50" i="4" a="1"/>
  <c r="J50" i="4"/>
  <c r="J51" i="4" a="1"/>
  <c r="J51" i="4"/>
  <c r="J52" i="4" a="1"/>
  <c r="J52" i="4"/>
  <c r="J53" i="4" a="1"/>
  <c r="J53" i="4"/>
  <c r="J54" i="4" a="1"/>
  <c r="J54" i="4"/>
  <c r="J55" i="4" a="1"/>
  <c r="J55" i="4"/>
  <c r="J57" i="4" a="1"/>
  <c r="J57" i="4"/>
  <c r="J58" i="4" a="1"/>
  <c r="J58" i="4"/>
  <c r="J59" i="4" a="1"/>
  <c r="J59" i="4"/>
  <c r="J60" i="4" a="1"/>
  <c r="J60" i="4"/>
  <c r="J61" i="4" a="1"/>
  <c r="J61" i="4"/>
  <c r="J62" i="4" a="1"/>
  <c r="J62" i="4"/>
  <c r="J63" i="4" a="1"/>
  <c r="J63" i="4"/>
  <c r="J64" i="4" a="1"/>
  <c r="J64" i="4"/>
  <c r="J65" i="4" a="1"/>
  <c r="J65" i="4"/>
  <c r="J66" i="4" a="1"/>
  <c r="J66" i="4"/>
  <c r="J67" i="4" a="1"/>
  <c r="J67" i="4"/>
  <c r="J68" i="4" a="1"/>
  <c r="J68" i="4"/>
  <c r="J69" i="4" a="1"/>
  <c r="J69" i="4"/>
  <c r="J70" i="4" a="1"/>
  <c r="J70" i="4"/>
  <c r="J71" i="4" a="1"/>
  <c r="J71" i="4"/>
  <c r="J72" i="4" a="1"/>
  <c r="J72" i="4"/>
  <c r="J73" i="4" a="1"/>
  <c r="J73" i="4"/>
  <c r="J74" i="4" a="1"/>
  <c r="J74" i="4"/>
  <c r="J75" i="4" a="1"/>
  <c r="J75" i="4"/>
  <c r="J76" i="4" a="1"/>
  <c r="J76" i="4"/>
  <c r="J77" i="4" a="1"/>
  <c r="J77" i="4"/>
  <c r="J78" i="4" a="1"/>
  <c r="J78" i="4"/>
  <c r="J79" i="4" a="1"/>
  <c r="J79" i="4"/>
  <c r="J80" i="4" a="1"/>
  <c r="J80" i="4"/>
  <c r="J81" i="4" a="1"/>
  <c r="J81" i="4"/>
  <c r="J82" i="4" a="1"/>
  <c r="J82" i="4"/>
  <c r="J83" i="4" a="1"/>
  <c r="J83" i="4"/>
  <c r="J84" i="4" a="1"/>
  <c r="J84" i="4"/>
  <c r="J85" i="4" a="1"/>
  <c r="J85" i="4"/>
  <c r="J86" i="4" a="1"/>
  <c r="J86" i="4"/>
  <c r="J87" i="4" a="1"/>
  <c r="J87" i="4"/>
  <c r="J88" i="4" a="1"/>
  <c r="J88" i="4"/>
  <c r="J89" i="4" a="1"/>
  <c r="J89" i="4"/>
  <c r="J90" i="4" a="1"/>
  <c r="J90" i="4"/>
  <c r="J91" i="4" a="1"/>
  <c r="J91" i="4"/>
  <c r="J92" i="4" a="1"/>
  <c r="J92" i="4"/>
  <c r="J93" i="4" a="1"/>
  <c r="J93" i="4"/>
  <c r="J94" i="4" a="1"/>
  <c r="J94" i="4"/>
  <c r="J95" i="4" a="1"/>
  <c r="J95" i="4"/>
  <c r="J96" i="4" a="1"/>
  <c r="J96" i="4"/>
  <c r="J97" i="4" a="1"/>
  <c r="J97" i="4"/>
  <c r="J98" i="4" a="1"/>
  <c r="J98" i="4"/>
  <c r="J99" i="4" a="1"/>
  <c r="J99" i="4"/>
  <c r="J100" i="4" a="1"/>
  <c r="J100" i="4"/>
  <c r="J101" i="4" a="1"/>
  <c r="J101" i="4"/>
  <c r="J102" i="4" a="1"/>
  <c r="J102" i="4"/>
  <c r="J103" i="4" a="1"/>
  <c r="J103" i="4"/>
  <c r="J104" i="4" a="1"/>
  <c r="J104" i="4"/>
  <c r="J105" i="4" a="1"/>
  <c r="J105" i="4"/>
  <c r="J106" i="4" a="1"/>
  <c r="J106" i="4"/>
  <c r="J107" i="4" a="1"/>
  <c r="J107" i="4"/>
  <c r="J108" i="4" a="1"/>
  <c r="J108" i="4"/>
  <c r="J109" i="4" a="1"/>
  <c r="J109" i="4"/>
  <c r="J110" i="4" a="1"/>
  <c r="J110" i="4"/>
  <c r="J111" i="4" a="1"/>
  <c r="J111" i="4"/>
  <c r="J112" i="4" a="1"/>
  <c r="J112" i="4"/>
  <c r="J113" i="4" a="1"/>
  <c r="J113" i="4"/>
  <c r="J114" i="4" a="1"/>
  <c r="J114" i="4"/>
  <c r="J115" i="4" a="1"/>
  <c r="J115" i="4"/>
  <c r="J116" i="4" a="1"/>
  <c r="J116" i="4"/>
  <c r="J117" i="4" a="1"/>
  <c r="J117" i="4"/>
  <c r="J118" i="4" a="1"/>
  <c r="J118" i="4"/>
  <c r="J119" i="4" a="1"/>
  <c r="J119" i="4"/>
  <c r="J120" i="4" a="1"/>
  <c r="J120" i="4"/>
  <c r="J121" i="4" a="1"/>
  <c r="J121" i="4"/>
  <c r="J122" i="4" a="1"/>
  <c r="J122" i="4"/>
  <c r="J123" i="4" a="1"/>
  <c r="J123" i="4"/>
  <c r="J124" i="4" a="1"/>
  <c r="J124" i="4"/>
  <c r="J125" i="4" a="1"/>
  <c r="J125" i="4"/>
  <c r="J126" i="4" a="1"/>
  <c r="J126" i="4"/>
  <c r="J127" i="4" a="1"/>
  <c r="J127" i="4"/>
  <c r="J128" i="4" a="1"/>
  <c r="J128" i="4"/>
  <c r="J129" i="4" a="1"/>
  <c r="J129" i="4"/>
  <c r="J130" i="4" a="1"/>
  <c r="J130" i="4"/>
  <c r="J131" i="4" a="1"/>
  <c r="J131" i="4"/>
  <c r="J132" i="4" a="1"/>
  <c r="J132" i="4"/>
  <c r="J133" i="4" a="1"/>
  <c r="J133" i="4"/>
  <c r="J134" i="4" a="1"/>
  <c r="J134" i="4"/>
  <c r="J135" i="4" a="1"/>
  <c r="J135" i="4"/>
  <c r="J136" i="4" a="1"/>
  <c r="J136" i="4"/>
  <c r="J137" i="4" a="1"/>
  <c r="J137" i="4"/>
  <c r="J138" i="4" a="1"/>
  <c r="J138" i="4"/>
  <c r="J139" i="4" a="1"/>
  <c r="J139" i="4"/>
  <c r="J140" i="4" a="1"/>
  <c r="J140" i="4"/>
  <c r="J141" i="4" a="1"/>
  <c r="J141" i="4"/>
  <c r="J142" i="4" a="1"/>
  <c r="J142" i="4"/>
  <c r="J143" i="4" a="1"/>
  <c r="J143" i="4"/>
  <c r="J144" i="4" a="1"/>
  <c r="J144" i="4"/>
  <c r="J145" i="4" a="1"/>
  <c r="J145" i="4"/>
  <c r="J146" i="4" a="1"/>
  <c r="J146" i="4"/>
  <c r="J147" i="4" a="1"/>
  <c r="J147" i="4"/>
  <c r="J148" i="4" a="1"/>
  <c r="J148" i="4"/>
  <c r="J149" i="4" a="1"/>
  <c r="J149" i="4"/>
  <c r="J150" i="4" a="1"/>
  <c r="J150" i="4"/>
  <c r="J151" i="4" a="1"/>
  <c r="J151" i="4"/>
  <c r="J152" i="4" a="1"/>
  <c r="J152" i="4"/>
  <c r="J153" i="4" a="1"/>
  <c r="J153" i="4"/>
  <c r="J154" i="4" a="1"/>
  <c r="J154" i="4"/>
  <c r="J155" i="4" a="1"/>
  <c r="J155" i="4"/>
  <c r="J156" i="4" a="1"/>
  <c r="J156" i="4"/>
  <c r="J157" i="4" a="1"/>
  <c r="J157" i="4"/>
  <c r="J158" i="4" a="1"/>
  <c r="J158" i="4"/>
  <c r="J159" i="4" a="1"/>
  <c r="J159" i="4"/>
  <c r="J160" i="4" a="1"/>
  <c r="J160" i="4"/>
  <c r="J161" i="4" a="1"/>
  <c r="J161" i="4"/>
  <c r="J162" i="4" a="1"/>
  <c r="J162" i="4"/>
  <c r="J163" i="4" a="1"/>
  <c r="J163" i="4"/>
  <c r="J164" i="4" a="1"/>
  <c r="J164" i="4"/>
  <c r="J165" i="4" a="1"/>
  <c r="J165" i="4"/>
  <c r="J166" i="4" a="1"/>
  <c r="J166" i="4"/>
  <c r="J167" i="4" a="1"/>
  <c r="J167" i="4"/>
  <c r="J168" i="4" a="1"/>
  <c r="J168" i="4"/>
  <c r="J169" i="4" a="1"/>
  <c r="J169" i="4"/>
  <c r="J170" i="4" a="1"/>
  <c r="J170" i="4"/>
  <c r="J171" i="4" a="1"/>
  <c r="J171" i="4"/>
  <c r="J172" i="4" a="1"/>
  <c r="J172" i="4"/>
  <c r="J173" i="4" a="1"/>
  <c r="J173" i="4"/>
  <c r="J174" i="4" a="1"/>
  <c r="J174" i="4"/>
  <c r="J175" i="4" a="1"/>
  <c r="J175" i="4"/>
  <c r="J176" i="4" a="1"/>
  <c r="J176" i="4"/>
  <c r="J177" i="4" a="1"/>
  <c r="J177" i="4"/>
  <c r="J178" i="4" a="1"/>
  <c r="J178" i="4"/>
  <c r="J179" i="4" a="1"/>
  <c r="J179" i="4"/>
  <c r="J180" i="4" a="1"/>
  <c r="J180" i="4"/>
  <c r="J181" i="4" a="1"/>
  <c r="J181" i="4"/>
  <c r="J182" i="4" a="1"/>
  <c r="J182" i="4"/>
  <c r="J183" i="4" a="1"/>
  <c r="J183" i="4"/>
  <c r="J184" i="4" a="1"/>
  <c r="J184" i="4"/>
  <c r="J185" i="4" a="1"/>
  <c r="J185" i="4"/>
  <c r="J186" i="4" a="1"/>
  <c r="J186" i="4"/>
  <c r="J187" i="4" a="1"/>
  <c r="J187" i="4"/>
  <c r="J188" i="4" a="1"/>
  <c r="J188" i="4"/>
  <c r="J189" i="4" a="1"/>
  <c r="J189" i="4"/>
  <c r="J190" i="4" a="1"/>
  <c r="J190" i="4"/>
  <c r="J191" i="4" a="1"/>
  <c r="J191" i="4"/>
  <c r="J192" i="4" a="1"/>
  <c r="J192" i="4"/>
  <c r="J193" i="4" a="1"/>
  <c r="J193" i="4"/>
  <c r="J194" i="4" a="1"/>
  <c r="J194" i="4"/>
  <c r="J195" i="4" a="1"/>
  <c r="J195" i="4"/>
  <c r="J196" i="4" a="1"/>
  <c r="J196" i="4"/>
  <c r="J197" i="4" a="1"/>
  <c r="J197" i="4"/>
  <c r="J198" i="4" a="1"/>
  <c r="J198" i="4"/>
  <c r="J199" i="4" a="1"/>
  <c r="J199" i="4"/>
  <c r="J200" i="4" a="1"/>
  <c r="J200" i="4"/>
  <c r="J201" i="4" a="1"/>
  <c r="J201" i="4"/>
  <c r="J202" i="4" a="1"/>
  <c r="J202" i="4"/>
  <c r="J203" i="4" a="1"/>
  <c r="J203" i="4"/>
  <c r="J204" i="4" a="1"/>
  <c r="J204" i="4"/>
  <c r="J205" i="4" a="1"/>
  <c r="J205" i="4"/>
  <c r="J206" i="4" a="1"/>
  <c r="J206" i="4"/>
  <c r="J207" i="4" a="1"/>
  <c r="J207" i="4"/>
  <c r="J208" i="4" a="1"/>
  <c r="J208" i="4"/>
  <c r="J209" i="4" a="1"/>
  <c r="J209" i="4"/>
  <c r="J210" i="4" a="1"/>
  <c r="J210" i="4"/>
  <c r="J211" i="4" a="1"/>
  <c r="J211" i="4"/>
  <c r="J212" i="4" a="1"/>
  <c r="J212" i="4"/>
  <c r="J213" i="4" a="1"/>
  <c r="J213" i="4"/>
  <c r="J214" i="4" a="1"/>
  <c r="J214" i="4"/>
  <c r="J215" i="4" a="1"/>
  <c r="J215" i="4"/>
  <c r="J216" i="4" a="1"/>
  <c r="J216" i="4"/>
  <c r="J217" i="4" a="1"/>
  <c r="J217" i="4"/>
  <c r="J218" i="4" a="1"/>
  <c r="J218" i="4"/>
  <c r="J219" i="4" a="1"/>
  <c r="J219" i="4"/>
  <c r="J220" i="4" a="1"/>
  <c r="J220" i="4"/>
  <c r="J221" i="4" a="1"/>
  <c r="J221" i="4"/>
  <c r="J222" i="4" a="1"/>
  <c r="J222" i="4"/>
  <c r="J223" i="4" a="1"/>
  <c r="J223" i="4"/>
  <c r="J224" i="4" a="1"/>
  <c r="J224" i="4"/>
  <c r="J225" i="4" a="1"/>
  <c r="J225" i="4"/>
  <c r="J226" i="4" a="1"/>
  <c r="J226" i="4"/>
  <c r="J227" i="4" a="1"/>
  <c r="J227" i="4"/>
  <c r="J228" i="4" a="1"/>
  <c r="J228" i="4"/>
  <c r="J229" i="4" a="1"/>
  <c r="J229" i="4"/>
  <c r="J230" i="4" a="1"/>
  <c r="J230" i="4"/>
  <c r="J231" i="4" a="1"/>
  <c r="J231" i="4"/>
  <c r="J232" i="4" a="1"/>
  <c r="J232" i="4"/>
  <c r="J233" i="4" a="1"/>
  <c r="J233" i="4"/>
  <c r="J234" i="4" a="1"/>
  <c r="J234" i="4"/>
  <c r="J235" i="4" a="1"/>
  <c r="J235" i="4"/>
  <c r="J236" i="4" a="1"/>
  <c r="J236" i="4"/>
  <c r="J237" i="4" a="1"/>
  <c r="J237" i="4"/>
  <c r="J238" i="4" a="1"/>
  <c r="J238" i="4"/>
  <c r="J239" i="4" a="1"/>
  <c r="J239" i="4"/>
  <c r="J240" i="4" a="1"/>
  <c r="J240" i="4"/>
  <c r="J241" i="4" a="1"/>
  <c r="J241" i="4"/>
  <c r="J242" i="4" a="1"/>
  <c r="J242" i="4"/>
  <c r="J243" i="4" a="1"/>
  <c r="J243" i="4"/>
  <c r="J244" i="4" a="1"/>
  <c r="J244" i="4"/>
  <c r="J245" i="4" a="1"/>
  <c r="J245" i="4"/>
  <c r="J246" i="4" a="1"/>
  <c r="J246" i="4"/>
  <c r="J247" i="4" a="1"/>
  <c r="J247" i="4"/>
  <c r="J248" i="4" a="1"/>
  <c r="J248" i="4"/>
  <c r="J249" i="4" a="1"/>
  <c r="J249" i="4"/>
  <c r="J250" i="4" a="1"/>
  <c r="J250" i="4"/>
  <c r="J251" i="4" a="1"/>
  <c r="J251" i="4"/>
  <c r="J252" i="4" a="1"/>
  <c r="J252" i="4"/>
  <c r="J253" i="4" a="1"/>
  <c r="J253" i="4"/>
  <c r="J254" i="4" a="1"/>
  <c r="J254" i="4"/>
  <c r="J255" i="4" a="1"/>
  <c r="J255" i="4"/>
  <c r="J256" i="4" a="1"/>
  <c r="J256" i="4"/>
  <c r="J257" i="4" a="1"/>
  <c r="J257" i="4"/>
  <c r="J258" i="4" a="1"/>
  <c r="J258" i="4"/>
  <c r="J259" i="4" a="1"/>
  <c r="J259" i="4"/>
  <c r="J260" i="4" a="1"/>
  <c r="J260" i="4"/>
  <c r="J261" i="4" a="1"/>
  <c r="J261" i="4"/>
  <c r="J262" i="4" a="1"/>
  <c r="J262" i="4"/>
  <c r="J263" i="4" a="1"/>
  <c r="J263" i="4"/>
  <c r="J264" i="4" a="1"/>
  <c r="J264" i="4"/>
  <c r="J265" i="4" a="1"/>
  <c r="J265" i="4"/>
  <c r="J266" i="4" a="1"/>
  <c r="J266" i="4"/>
  <c r="J267" i="4" a="1"/>
  <c r="J267" i="4"/>
  <c r="J268" i="4" a="1"/>
  <c r="J268" i="4"/>
  <c r="J269" i="4" a="1"/>
  <c r="J269" i="4"/>
  <c r="J270" i="4" a="1"/>
  <c r="J270" i="4"/>
  <c r="J271" i="4" a="1"/>
  <c r="J271" i="4"/>
  <c r="J272" i="4" a="1"/>
  <c r="J272" i="4"/>
  <c r="J273" i="4" a="1"/>
  <c r="J273" i="4"/>
  <c r="J274" i="4" a="1"/>
  <c r="J274" i="4"/>
  <c r="J275" i="4" a="1"/>
  <c r="J275" i="4"/>
  <c r="J276" i="4" a="1"/>
  <c r="J276" i="4"/>
  <c r="J277" i="4" a="1"/>
  <c r="J277" i="4"/>
  <c r="J278" i="4" a="1"/>
  <c r="J278" i="4"/>
  <c r="J279" i="4" a="1"/>
  <c r="J279" i="4"/>
  <c r="J280" i="4" a="1"/>
  <c r="J280" i="4"/>
  <c r="J281" i="4" a="1"/>
  <c r="J281" i="4"/>
  <c r="J282" i="4" a="1"/>
  <c r="J282" i="4"/>
  <c r="J283" i="4" a="1"/>
  <c r="J283" i="4"/>
  <c r="J284" i="4" a="1"/>
  <c r="J284" i="4"/>
  <c r="J285" i="4" a="1"/>
  <c r="J285" i="4"/>
  <c r="J286" i="4" a="1"/>
  <c r="J286" i="4"/>
  <c r="J287" i="4" a="1"/>
  <c r="J287" i="4"/>
  <c r="J288" i="4" a="1"/>
  <c r="J288" i="4"/>
  <c r="J289" i="4" a="1"/>
  <c r="J289" i="4"/>
  <c r="J290" i="4" a="1"/>
  <c r="J290" i="4"/>
  <c r="J291" i="4" a="1"/>
  <c r="J291" i="4"/>
  <c r="J292" i="4" a="1"/>
  <c r="J292" i="4"/>
  <c r="J293" i="4" a="1"/>
  <c r="J293" i="4"/>
  <c r="J294" i="4" a="1"/>
  <c r="J294" i="4"/>
  <c r="J295" i="4" a="1"/>
  <c r="J295" i="4"/>
  <c r="J296" i="4" a="1"/>
  <c r="J296" i="4"/>
  <c r="J297" i="4" a="1"/>
  <c r="J297" i="4"/>
  <c r="J298" i="4" a="1"/>
  <c r="J298" i="4"/>
  <c r="J299" i="4" a="1"/>
  <c r="J299" i="4"/>
  <c r="J300" i="4" a="1"/>
  <c r="J300" i="4"/>
  <c r="J301" i="4" a="1"/>
  <c r="J301" i="4"/>
  <c r="J302" i="4" a="1"/>
  <c r="J302" i="4"/>
  <c r="J303" i="4" a="1"/>
  <c r="J303" i="4"/>
  <c r="J304" i="4" a="1"/>
  <c r="J304" i="4"/>
  <c r="J305" i="4" a="1"/>
  <c r="J305" i="4"/>
  <c r="J306" i="4" a="1"/>
  <c r="J306" i="4"/>
  <c r="J307" i="4" a="1"/>
  <c r="J307" i="4"/>
  <c r="J308" i="4" a="1"/>
  <c r="J308" i="4"/>
  <c r="J309" i="4" a="1"/>
  <c r="J309" i="4"/>
  <c r="J310" i="4" a="1"/>
  <c r="J310" i="4"/>
  <c r="J311" i="4" a="1"/>
  <c r="J311" i="4"/>
  <c r="J312" i="4" a="1"/>
  <c r="J312" i="4"/>
  <c r="J313" i="4" a="1"/>
  <c r="J313" i="4"/>
  <c r="J314" i="4" a="1"/>
  <c r="J314" i="4"/>
  <c r="J315" i="4" a="1"/>
  <c r="J315" i="4"/>
  <c r="J316" i="4" a="1"/>
  <c r="J316" i="4"/>
  <c r="J317" i="4" a="1"/>
  <c r="J317" i="4"/>
  <c r="J318" i="4" a="1"/>
  <c r="J318" i="4"/>
  <c r="J319" i="4" a="1"/>
  <c r="J319" i="4"/>
  <c r="J320" i="4" a="1"/>
  <c r="J320" i="4"/>
  <c r="J321" i="4" a="1"/>
  <c r="J321" i="4"/>
  <c r="J322" i="4" a="1"/>
  <c r="J322" i="4"/>
  <c r="J323" i="4" a="1"/>
  <c r="J323" i="4"/>
  <c r="J324" i="4" a="1"/>
  <c r="J324" i="4"/>
  <c r="J325" i="4" a="1"/>
  <c r="J325" i="4"/>
  <c r="J326" i="4" a="1"/>
  <c r="J326" i="4"/>
  <c r="J327" i="4" a="1"/>
  <c r="J327" i="4"/>
  <c r="J328" i="4" a="1"/>
  <c r="J328" i="4"/>
  <c r="J329" i="4" a="1"/>
  <c r="J329" i="4"/>
  <c r="J330" i="4" a="1"/>
  <c r="J330" i="4"/>
  <c r="J331" i="4" a="1"/>
  <c r="J331" i="4"/>
  <c r="J332" i="4" a="1"/>
  <c r="J332" i="4"/>
  <c r="J333" i="4" a="1"/>
  <c r="J333" i="4"/>
  <c r="J334" i="4" a="1"/>
  <c r="J334" i="4"/>
  <c r="J335" i="4" a="1"/>
  <c r="J335" i="4"/>
  <c r="J336" i="4" a="1"/>
  <c r="J336" i="4"/>
  <c r="J337" i="4" a="1"/>
  <c r="J337" i="4"/>
  <c r="J338" i="4" a="1"/>
  <c r="J338" i="4"/>
  <c r="J339" i="4" a="1"/>
  <c r="J339" i="4"/>
  <c r="J340" i="4" a="1"/>
  <c r="J340" i="4"/>
  <c r="J341" i="4" a="1"/>
  <c r="J341" i="4"/>
  <c r="J342" i="4" a="1"/>
  <c r="J342" i="4"/>
  <c r="J343" i="4" a="1"/>
  <c r="J343" i="4"/>
  <c r="J344" i="4" a="1"/>
  <c r="J344" i="4"/>
  <c r="J345" i="4" a="1"/>
  <c r="J345" i="4"/>
  <c r="J346" i="4" a="1"/>
  <c r="J346" i="4"/>
  <c r="J347" i="4" a="1"/>
  <c r="J347" i="4"/>
  <c r="J348" i="4" a="1"/>
  <c r="J348" i="4"/>
  <c r="J349" i="4" a="1"/>
  <c r="J349" i="4"/>
  <c r="J350" i="4" a="1"/>
  <c r="J350" i="4"/>
  <c r="J351" i="4" a="1"/>
  <c r="J351" i="4"/>
  <c r="J352" i="4" a="1"/>
  <c r="J352" i="4"/>
  <c r="J353" i="4" a="1"/>
  <c r="J353" i="4"/>
  <c r="J354" i="4" a="1"/>
  <c r="J354" i="4"/>
  <c r="J355" i="4" a="1"/>
  <c r="J355" i="4"/>
  <c r="J356" i="4" a="1"/>
  <c r="J356" i="4"/>
  <c r="J357" i="4" a="1"/>
  <c r="J357" i="4"/>
  <c r="J358" i="4" a="1"/>
  <c r="J358" i="4"/>
  <c r="J359" i="4" a="1"/>
  <c r="J359" i="4"/>
  <c r="J360" i="4" a="1"/>
  <c r="J360" i="4"/>
  <c r="J361" i="4" a="1"/>
  <c r="J361" i="4"/>
  <c r="J362" i="4" a="1"/>
  <c r="J362" i="4"/>
  <c r="J363" i="4" a="1"/>
  <c r="J363" i="4"/>
  <c r="J364" i="4" a="1"/>
  <c r="J364" i="4"/>
  <c r="J365" i="4" a="1"/>
  <c r="J365" i="4"/>
  <c r="J366" i="4" a="1"/>
  <c r="J366" i="4"/>
  <c r="J367" i="4" a="1"/>
  <c r="J367" i="4"/>
  <c r="J368" i="4" a="1"/>
  <c r="J368" i="4"/>
  <c r="J369" i="4" a="1"/>
  <c r="J369" i="4"/>
  <c r="J370" i="4" a="1"/>
  <c r="J370" i="4"/>
  <c r="J371" i="4" a="1"/>
  <c r="J371" i="4"/>
  <c r="J372" i="4" a="1"/>
  <c r="J372" i="4"/>
  <c r="J373" i="4" a="1"/>
  <c r="J373" i="4"/>
  <c r="J375" i="4" a="1"/>
  <c r="J375" i="4"/>
  <c r="J376" i="4" a="1"/>
  <c r="J376" i="4"/>
  <c r="J377" i="4" a="1"/>
  <c r="J377" i="4"/>
  <c r="J378" i="4" a="1"/>
  <c r="J378" i="4"/>
  <c r="J379" i="4" a="1"/>
  <c r="J379" i="4"/>
  <c r="J380" i="4" a="1"/>
  <c r="J380" i="4"/>
  <c r="J4" i="4" a="1"/>
  <c r="J4" i="4"/>
  <c r="J5" i="4" a="1"/>
  <c r="J5" i="4"/>
  <c r="J6" i="4" a="1"/>
  <c r="J6" i="4"/>
  <c r="J7" i="4" a="1"/>
  <c r="J7" i="4"/>
  <c r="J8" i="4" a="1"/>
  <c r="J8" i="4"/>
  <c r="J9" i="4" a="1"/>
  <c r="J9" i="4"/>
  <c r="J10" i="4" a="1"/>
  <c r="J10" i="4"/>
  <c r="J11" i="4" a="1"/>
  <c r="J11" i="4"/>
  <c r="J12" i="4" a="1"/>
  <c r="J12" i="4"/>
  <c r="J13" i="4" a="1"/>
  <c r="J13" i="4"/>
  <c r="J14" i="4" a="1"/>
  <c r="J14" i="4"/>
  <c r="J15" i="4" a="1"/>
  <c r="J15" i="4"/>
  <c r="J16" i="4" a="1"/>
  <c r="J16" i="4"/>
  <c r="J17" i="4" a="1"/>
  <c r="J17" i="4"/>
  <c r="J18" i="4" a="1"/>
  <c r="J18" i="4"/>
  <c r="J19" i="4" a="1"/>
  <c r="J19" i="4"/>
  <c r="J20" i="4" a="1"/>
  <c r="J20" i="4"/>
  <c r="J21" i="4" a="1"/>
  <c r="J21" i="4"/>
  <c r="J22" i="4" a="1"/>
  <c r="J22" i="4"/>
  <c r="J23" i="4" a="1"/>
  <c r="J23" i="4"/>
  <c r="J24" i="4" a="1"/>
  <c r="J24" i="4"/>
  <c r="J25" i="4" a="1"/>
  <c r="J25" i="4"/>
  <c r="J26" i="4" a="1"/>
  <c r="J26" i="4"/>
  <c r="J27" i="4" a="1"/>
  <c r="J27" i="4"/>
  <c r="J28" i="4" a="1"/>
  <c r="J28" i="4"/>
  <c r="J29" i="4" a="1"/>
  <c r="J29" i="4"/>
  <c r="J30" i="4" a="1"/>
  <c r="J30" i="4"/>
  <c r="J31" i="4" a="1"/>
  <c r="J31" i="4"/>
  <c r="J3" i="6" a="1"/>
  <c r="J3" i="6"/>
  <c r="J19" i="6" a="1"/>
  <c r="J19" i="6"/>
  <c r="J20" i="6" a="1"/>
  <c r="J20" i="6"/>
  <c r="J21" i="6" a="1"/>
  <c r="J21" i="6"/>
  <c r="J22" i="6" a="1"/>
  <c r="J22" i="6"/>
  <c r="J23" i="6" a="1"/>
  <c r="J23" i="6"/>
  <c r="J24" i="6" a="1"/>
  <c r="J24" i="6"/>
  <c r="J25" i="6" a="1"/>
  <c r="J25" i="6"/>
  <c r="J26" i="6" a="1"/>
  <c r="J26" i="6"/>
  <c r="J27" i="6" a="1"/>
  <c r="J27" i="6"/>
  <c r="J28" i="6" a="1"/>
  <c r="J28" i="6"/>
  <c r="J29" i="6" a="1"/>
  <c r="J29" i="6"/>
  <c r="J30" i="6" a="1"/>
  <c r="J30" i="6"/>
  <c r="J31" i="6" a="1"/>
  <c r="J31" i="6"/>
  <c r="J32" i="6" a="1"/>
  <c r="J32" i="6"/>
  <c r="J33" i="6" a="1"/>
  <c r="J33" i="6"/>
  <c r="J34" i="6" a="1"/>
  <c r="J34" i="6"/>
  <c r="J35" i="6" a="1"/>
  <c r="J35" i="6"/>
  <c r="J36" i="6" a="1"/>
  <c r="J36" i="6"/>
  <c r="J37" i="6" a="1"/>
  <c r="J37" i="6"/>
  <c r="J38" i="6" a="1"/>
  <c r="J38" i="6"/>
  <c r="J39" i="6" a="1"/>
  <c r="J39" i="6"/>
  <c r="J40" i="6" a="1"/>
  <c r="J40" i="6"/>
  <c r="J41" i="6" a="1"/>
  <c r="J41" i="6"/>
  <c r="J42" i="6" a="1"/>
  <c r="J42" i="6"/>
  <c r="J43" i="6" a="1"/>
  <c r="J43" i="6"/>
  <c r="J44" i="6" a="1"/>
  <c r="J44" i="6"/>
  <c r="J45" i="6" a="1"/>
  <c r="J45" i="6"/>
  <c r="J46" i="6" a="1"/>
  <c r="J46" i="6"/>
  <c r="J47" i="6" a="1"/>
  <c r="J47" i="6"/>
  <c r="J48" i="6" a="1"/>
  <c r="J48" i="6"/>
  <c r="J49" i="6" a="1"/>
  <c r="J49" i="6"/>
  <c r="J50" i="6" a="1"/>
  <c r="J50" i="6"/>
  <c r="J51" i="6" a="1"/>
  <c r="J51" i="6"/>
  <c r="J52" i="6" a="1"/>
  <c r="J52" i="6"/>
  <c r="J53" i="6" a="1"/>
  <c r="J53" i="6"/>
  <c r="J54" i="6" a="1"/>
  <c r="J54" i="6"/>
  <c r="J55" i="6" a="1"/>
  <c r="J55" i="6"/>
  <c r="J56" i="6" a="1"/>
  <c r="J56" i="6"/>
  <c r="J57" i="6" a="1"/>
  <c r="J57" i="6"/>
  <c r="J58" i="6" a="1"/>
  <c r="J58" i="6"/>
  <c r="J59" i="6" a="1"/>
  <c r="J59" i="6"/>
  <c r="J60" i="6" a="1"/>
  <c r="J60" i="6"/>
  <c r="J61" i="6" a="1"/>
  <c r="J61" i="6"/>
  <c r="J62" i="6" a="1"/>
  <c r="J62" i="6"/>
  <c r="J63" i="6" a="1"/>
  <c r="J63" i="6"/>
  <c r="J64" i="6" a="1"/>
  <c r="J64" i="6"/>
  <c r="J65" i="6" a="1"/>
  <c r="J65" i="6"/>
  <c r="J66" i="6" a="1"/>
  <c r="J66" i="6"/>
  <c r="J67" i="6" a="1"/>
  <c r="J67" i="6"/>
  <c r="J68" i="6" a="1"/>
  <c r="J68" i="6"/>
  <c r="J69" i="6" a="1"/>
  <c r="J69" i="6"/>
  <c r="J70" i="6" a="1"/>
  <c r="J70" i="6"/>
  <c r="J71" i="6" a="1"/>
  <c r="J71" i="6"/>
  <c r="J72" i="6" a="1"/>
  <c r="J72" i="6"/>
  <c r="J73" i="6" a="1"/>
  <c r="J73" i="6"/>
  <c r="J74" i="6" a="1"/>
  <c r="J74" i="6"/>
  <c r="J75" i="6" a="1"/>
  <c r="J75" i="6"/>
  <c r="J76" i="6" a="1"/>
  <c r="J76" i="6"/>
  <c r="J77" i="6" a="1"/>
  <c r="J77" i="6"/>
  <c r="J78" i="6" a="1"/>
  <c r="J78" i="6"/>
  <c r="J79" i="6" a="1"/>
  <c r="J79" i="6"/>
  <c r="J80" i="6" a="1"/>
  <c r="J80" i="6"/>
  <c r="J81" i="6" a="1"/>
  <c r="J81" i="6"/>
  <c r="J82" i="6" a="1"/>
  <c r="J82" i="6"/>
  <c r="J83" i="6" a="1"/>
  <c r="J83" i="6"/>
  <c r="J84" i="6" a="1"/>
  <c r="J84" i="6"/>
  <c r="J85" i="6" a="1"/>
  <c r="J85" i="6"/>
  <c r="J86" i="6" a="1"/>
  <c r="J86" i="6"/>
  <c r="J87" i="6" a="1"/>
  <c r="J87" i="6"/>
  <c r="J88" i="6" a="1"/>
  <c r="J88" i="6"/>
  <c r="J89" i="6" a="1"/>
  <c r="J89" i="6"/>
  <c r="J90" i="6" a="1"/>
  <c r="J90" i="6"/>
  <c r="J91" i="6" a="1"/>
  <c r="J91" i="6"/>
  <c r="J92" i="6" a="1"/>
  <c r="J92" i="6"/>
  <c r="J93" i="6" a="1"/>
  <c r="J93" i="6"/>
  <c r="J94" i="6" a="1"/>
  <c r="J94" i="6"/>
  <c r="J95" i="6" a="1"/>
  <c r="J95" i="6"/>
  <c r="J96" i="6" a="1"/>
  <c r="J96" i="6"/>
  <c r="J97" i="6" a="1"/>
  <c r="J97" i="6"/>
  <c r="J98" i="6" a="1"/>
  <c r="J98" i="6"/>
  <c r="J99" i="6" a="1"/>
  <c r="J99" i="6"/>
  <c r="J100" i="6" a="1"/>
  <c r="J100" i="6"/>
  <c r="J101" i="6" a="1"/>
  <c r="J101" i="6"/>
  <c r="J102" i="6" a="1"/>
  <c r="J102" i="6"/>
  <c r="J103" i="6" a="1"/>
  <c r="J103" i="6"/>
  <c r="J104" i="6" a="1"/>
  <c r="J104" i="6"/>
  <c r="J105" i="6" a="1"/>
  <c r="J105" i="6"/>
  <c r="J106" i="6" a="1"/>
  <c r="J106" i="6"/>
  <c r="J107" i="6" a="1"/>
  <c r="J107" i="6"/>
  <c r="J108" i="6" a="1"/>
  <c r="J108" i="6"/>
  <c r="J109" i="6" a="1"/>
  <c r="J109" i="6"/>
  <c r="J110" i="6" a="1"/>
  <c r="J110" i="6"/>
  <c r="J111" i="6" a="1"/>
  <c r="J111" i="6"/>
  <c r="J112" i="6" a="1"/>
  <c r="J112" i="6"/>
  <c r="J113" i="6" a="1"/>
  <c r="J113" i="6"/>
  <c r="J114" i="6" a="1"/>
  <c r="J114" i="6"/>
  <c r="J115" i="6" a="1"/>
  <c r="J115" i="6"/>
  <c r="J116" i="6" a="1"/>
  <c r="J116" i="6"/>
  <c r="J117" i="6" a="1"/>
  <c r="J117" i="6"/>
  <c r="J118" i="6" a="1"/>
  <c r="J118" i="6"/>
  <c r="J119" i="6" a="1"/>
  <c r="J119" i="6"/>
  <c r="J120" i="6" a="1"/>
  <c r="J120" i="6"/>
  <c r="J121" i="6" a="1"/>
  <c r="J121" i="6"/>
  <c r="J122" i="6" a="1"/>
  <c r="J122" i="6"/>
  <c r="J123" i="6" a="1"/>
  <c r="J123" i="6"/>
  <c r="J124" i="6" a="1"/>
  <c r="J124" i="6"/>
  <c r="J125" i="6" a="1"/>
  <c r="J125" i="6"/>
  <c r="J126" i="6" a="1"/>
  <c r="J126" i="6"/>
  <c r="J127" i="6" a="1"/>
  <c r="J127" i="6"/>
  <c r="J128" i="6" a="1"/>
  <c r="J128" i="6"/>
  <c r="J129" i="6" a="1"/>
  <c r="J129" i="6"/>
  <c r="J130" i="6" a="1"/>
  <c r="J130" i="6"/>
  <c r="J131" i="6" a="1"/>
  <c r="J131" i="6"/>
  <c r="J132" i="6" a="1"/>
  <c r="J132" i="6"/>
  <c r="J133" i="6" a="1"/>
  <c r="J133" i="6"/>
  <c r="J134" i="6" a="1"/>
  <c r="J134" i="6"/>
  <c r="J135" i="6" a="1"/>
  <c r="J135" i="6"/>
  <c r="J136" i="6" a="1"/>
  <c r="J136" i="6"/>
  <c r="J137" i="6" a="1"/>
  <c r="J137" i="6"/>
  <c r="J138" i="6" a="1"/>
  <c r="J138" i="6"/>
  <c r="J139" i="6" a="1"/>
  <c r="J139" i="6"/>
  <c r="J140" i="6" a="1"/>
  <c r="J140" i="6"/>
  <c r="J141" i="6" a="1"/>
  <c r="J141" i="6"/>
  <c r="J142" i="6" a="1"/>
  <c r="J142" i="6"/>
  <c r="J143" i="6" a="1"/>
  <c r="J143" i="6"/>
  <c r="J144" i="6" a="1"/>
  <c r="J144" i="6"/>
  <c r="J145" i="6" a="1"/>
  <c r="J145" i="6"/>
  <c r="J146" i="6" a="1"/>
  <c r="J146" i="6"/>
  <c r="J147" i="6" a="1"/>
  <c r="J147" i="6"/>
  <c r="J148" i="6" a="1"/>
  <c r="J148" i="6"/>
  <c r="J149" i="6" a="1"/>
  <c r="J149" i="6"/>
  <c r="J150" i="6" a="1"/>
  <c r="J150" i="6"/>
  <c r="J151" i="6" a="1"/>
  <c r="J151" i="6"/>
  <c r="J152" i="6" a="1"/>
  <c r="J152" i="6"/>
  <c r="J153" i="6" a="1"/>
  <c r="J153" i="6"/>
  <c r="J154" i="6" a="1"/>
  <c r="J154" i="6"/>
  <c r="J155" i="6" a="1"/>
  <c r="J155" i="6"/>
  <c r="J156" i="6" a="1"/>
  <c r="J156" i="6"/>
  <c r="J157" i="6" a="1"/>
  <c r="J157" i="6"/>
  <c r="J158" i="6" a="1"/>
  <c r="J158" i="6"/>
  <c r="J159" i="6" a="1"/>
  <c r="J159" i="6"/>
  <c r="J160" i="6" a="1"/>
  <c r="J160" i="6"/>
  <c r="J161" i="6" a="1"/>
  <c r="J161" i="6"/>
  <c r="J162" i="6" a="1"/>
  <c r="J162" i="6"/>
  <c r="J163" i="6" a="1"/>
  <c r="J163" i="6"/>
  <c r="J164" i="6" a="1"/>
  <c r="J164" i="6"/>
  <c r="J165" i="6" a="1"/>
  <c r="J165" i="6"/>
  <c r="J166" i="6" a="1"/>
  <c r="J166" i="6"/>
  <c r="J167" i="6" a="1"/>
  <c r="J167" i="6"/>
  <c r="J168" i="6" a="1"/>
  <c r="J168" i="6"/>
  <c r="J169" i="6" a="1"/>
  <c r="J169" i="6"/>
  <c r="J170" i="6" a="1"/>
  <c r="J170" i="6"/>
  <c r="J171" i="6" a="1"/>
  <c r="J171" i="6"/>
  <c r="J172" i="6" a="1"/>
  <c r="J172" i="6"/>
  <c r="J173" i="6" a="1"/>
  <c r="J173" i="6"/>
  <c r="J174" i="6" a="1"/>
  <c r="J174" i="6"/>
  <c r="J175" i="6" a="1"/>
  <c r="J175" i="6"/>
  <c r="J176" i="6" a="1"/>
  <c r="J176" i="6"/>
  <c r="J177" i="6" a="1"/>
  <c r="J177" i="6"/>
  <c r="J178" i="6" a="1"/>
  <c r="J178" i="6"/>
  <c r="J179" i="6" a="1"/>
  <c r="J179" i="6"/>
  <c r="J180" i="6" a="1"/>
  <c r="J180" i="6"/>
  <c r="J181" i="6" a="1"/>
  <c r="J181" i="6"/>
  <c r="J182" i="6" a="1"/>
  <c r="J182" i="6"/>
  <c r="J183" i="6" a="1"/>
  <c r="J183" i="6"/>
  <c r="J184" i="6" a="1"/>
  <c r="J184" i="6"/>
  <c r="J185" i="6" a="1"/>
  <c r="J185" i="6"/>
  <c r="J186" i="6" a="1"/>
  <c r="J186" i="6"/>
  <c r="J187" i="6" a="1"/>
  <c r="J187" i="6"/>
  <c r="J188" i="6" a="1"/>
  <c r="J188" i="6"/>
  <c r="J189" i="6" a="1"/>
  <c r="J189" i="6"/>
  <c r="J190" i="6" a="1"/>
  <c r="J190" i="6"/>
  <c r="J191" i="6" a="1"/>
  <c r="J191" i="6"/>
  <c r="J192" i="6" a="1"/>
  <c r="J192" i="6"/>
  <c r="J193" i="6" a="1"/>
  <c r="J193" i="6"/>
  <c r="J194" i="6" a="1"/>
  <c r="J194" i="6"/>
  <c r="J195" i="6" a="1"/>
  <c r="J195" i="6"/>
  <c r="J196" i="6" a="1"/>
  <c r="J196" i="6"/>
  <c r="J197" i="6" a="1"/>
  <c r="J197" i="6"/>
  <c r="J198" i="6" a="1"/>
  <c r="J198" i="6"/>
  <c r="J199" i="6" a="1"/>
  <c r="J199" i="6"/>
  <c r="J200" i="6" a="1"/>
  <c r="J200" i="6"/>
  <c r="J201" i="6" a="1"/>
  <c r="J201" i="6"/>
  <c r="J202" i="6" a="1"/>
  <c r="J202" i="6"/>
  <c r="J203" i="6" a="1"/>
  <c r="J203" i="6"/>
  <c r="J204" i="6" a="1"/>
  <c r="J204" i="6"/>
  <c r="J205" i="6" a="1"/>
  <c r="J205" i="6"/>
  <c r="J206" i="6" a="1"/>
  <c r="J206" i="6"/>
  <c r="J207" i="6" a="1"/>
  <c r="J207" i="6"/>
  <c r="J208" i="6" a="1"/>
  <c r="J208" i="6"/>
  <c r="J209" i="6" a="1"/>
  <c r="J209" i="6"/>
  <c r="J210" i="6" a="1"/>
  <c r="J210" i="6"/>
  <c r="J211" i="6" a="1"/>
  <c r="J211" i="6"/>
  <c r="J212" i="6" a="1"/>
  <c r="J212" i="6"/>
  <c r="J213" i="6" a="1"/>
  <c r="J213" i="6"/>
  <c r="J214" i="6" a="1"/>
  <c r="J214" i="6"/>
  <c r="J215" i="6" a="1"/>
  <c r="J215" i="6"/>
  <c r="J216" i="6" a="1"/>
  <c r="J216" i="6"/>
  <c r="J217" i="6" a="1"/>
  <c r="J217" i="6"/>
  <c r="J218" i="6" a="1"/>
  <c r="J218" i="6"/>
  <c r="J219" i="6" a="1"/>
  <c r="J219" i="6"/>
  <c r="J220" i="6" a="1"/>
  <c r="J220" i="6"/>
  <c r="J221" i="6" a="1"/>
  <c r="J221" i="6"/>
  <c r="J222" i="6" a="1"/>
  <c r="J222" i="6"/>
  <c r="J223" i="6" a="1"/>
  <c r="J223" i="6"/>
  <c r="J224" i="6" a="1"/>
  <c r="J224" i="6"/>
  <c r="J225" i="6" a="1"/>
  <c r="J225" i="6"/>
  <c r="J226" i="6" a="1"/>
  <c r="J226" i="6"/>
  <c r="J227" i="6" a="1"/>
  <c r="J227" i="6"/>
  <c r="J228" i="6" a="1"/>
  <c r="J228" i="6"/>
  <c r="J229" i="6" a="1"/>
  <c r="J229" i="6"/>
  <c r="J230" i="6" a="1"/>
  <c r="J230" i="6"/>
  <c r="J231" i="6" a="1"/>
  <c r="J231" i="6"/>
  <c r="J232" i="6" a="1"/>
  <c r="J232" i="6"/>
  <c r="J233" i="6" a="1"/>
  <c r="J233" i="6"/>
  <c r="J234" i="6" a="1"/>
  <c r="J234" i="6"/>
  <c r="J235" i="6" a="1"/>
  <c r="J235" i="6"/>
  <c r="J236" i="6" a="1"/>
  <c r="J236" i="6"/>
  <c r="J237" i="6" a="1"/>
  <c r="J237" i="6"/>
  <c r="J238" i="6" a="1"/>
  <c r="J238" i="6"/>
  <c r="J239" i="6" a="1"/>
  <c r="J239" i="6"/>
  <c r="J240" i="6" a="1"/>
  <c r="J240" i="6"/>
  <c r="J241" i="6" a="1"/>
  <c r="J241" i="6"/>
  <c r="J242" i="6" a="1"/>
  <c r="J242" i="6"/>
  <c r="J243" i="6" a="1"/>
  <c r="J243" i="6"/>
  <c r="J244" i="6" a="1"/>
  <c r="J244" i="6"/>
  <c r="J245" i="6" a="1"/>
  <c r="J245" i="6"/>
  <c r="J246" i="6" a="1"/>
  <c r="J246" i="6"/>
  <c r="J247" i="6" a="1"/>
  <c r="J247" i="6"/>
  <c r="J248" i="6" a="1"/>
  <c r="J248" i="6"/>
  <c r="J249" i="6" a="1"/>
  <c r="J249" i="6"/>
  <c r="J250" i="6" a="1"/>
  <c r="J250" i="6"/>
  <c r="J251" i="6" a="1"/>
  <c r="J251" i="6"/>
  <c r="J252" i="6" a="1"/>
  <c r="J252" i="6"/>
  <c r="J253" i="6" a="1"/>
  <c r="J253" i="6"/>
  <c r="J254" i="6" a="1"/>
  <c r="J254" i="6"/>
  <c r="J255" i="6" a="1"/>
  <c r="J255" i="6"/>
  <c r="J256" i="6" a="1"/>
  <c r="J256" i="6"/>
  <c r="J257" i="6" a="1"/>
  <c r="J257" i="6"/>
  <c r="J258" i="6" a="1"/>
  <c r="J258" i="6"/>
  <c r="J259" i="6" a="1"/>
  <c r="J259" i="6"/>
  <c r="J260" i="6" a="1"/>
  <c r="J260" i="6"/>
  <c r="J261" i="6" a="1"/>
  <c r="J261" i="6"/>
  <c r="J262" i="6" a="1"/>
  <c r="J262" i="6"/>
  <c r="J263" i="6" a="1"/>
  <c r="J263" i="6"/>
  <c r="J264" i="6" a="1"/>
  <c r="J264" i="6"/>
  <c r="J265" i="6" a="1"/>
  <c r="J265" i="6"/>
  <c r="J266" i="6" a="1"/>
  <c r="J266" i="6"/>
  <c r="J267" i="6" a="1"/>
  <c r="J267" i="6"/>
  <c r="J268" i="6" a="1"/>
  <c r="J268" i="6"/>
  <c r="J269" i="6" a="1"/>
  <c r="J269" i="6"/>
  <c r="J270" i="6" a="1"/>
  <c r="J270" i="6"/>
  <c r="J271" i="6" a="1"/>
  <c r="J271" i="6"/>
  <c r="J272" i="6" a="1"/>
  <c r="J272" i="6"/>
  <c r="J273" i="6" a="1"/>
  <c r="J273" i="6"/>
  <c r="J274" i="6" a="1"/>
  <c r="J274" i="6"/>
  <c r="J275" i="6" a="1"/>
  <c r="J275" i="6"/>
  <c r="J276" i="6" a="1"/>
  <c r="J276" i="6"/>
  <c r="J277" i="6" a="1"/>
  <c r="J277" i="6"/>
  <c r="J278" i="6" a="1"/>
  <c r="J278" i="6"/>
  <c r="J279" i="6" a="1"/>
  <c r="J279" i="6"/>
  <c r="J280" i="6" a="1"/>
  <c r="J280" i="6"/>
  <c r="J281" i="6" a="1"/>
  <c r="J281" i="6"/>
  <c r="J282" i="6" a="1"/>
  <c r="J282" i="6"/>
  <c r="J283" i="6" a="1"/>
  <c r="J283" i="6"/>
  <c r="J284" i="6" a="1"/>
  <c r="J284" i="6"/>
  <c r="J285" i="6" a="1"/>
  <c r="J285" i="6"/>
  <c r="J286" i="6" a="1"/>
  <c r="J286" i="6"/>
  <c r="J287" i="6" a="1"/>
  <c r="J287" i="6"/>
  <c r="J288" i="6" a="1"/>
  <c r="J288" i="6"/>
  <c r="J289" i="6" a="1"/>
  <c r="J289" i="6"/>
  <c r="J290" i="6" a="1"/>
  <c r="J290" i="6"/>
  <c r="J291" i="6" a="1"/>
  <c r="J291" i="6"/>
  <c r="J292" i="6" a="1"/>
  <c r="J292" i="6"/>
  <c r="J293" i="6" a="1"/>
  <c r="J293" i="6"/>
  <c r="J294" i="6" a="1"/>
  <c r="J294" i="6"/>
  <c r="J295" i="6" a="1"/>
  <c r="J295" i="6"/>
  <c r="J296" i="6" a="1"/>
  <c r="J296" i="6"/>
  <c r="J297" i="6" a="1"/>
  <c r="J297" i="6"/>
  <c r="J298" i="6" a="1"/>
  <c r="J298" i="6"/>
  <c r="J299" i="6" a="1"/>
  <c r="J299" i="6"/>
  <c r="J300" i="6" a="1"/>
  <c r="J300" i="6"/>
  <c r="J301" i="6" a="1"/>
  <c r="J301" i="6"/>
  <c r="J302" i="6" a="1"/>
  <c r="J302" i="6"/>
  <c r="J303" i="6" a="1"/>
  <c r="J303" i="6"/>
  <c r="J304" i="6" a="1"/>
  <c r="J304" i="6"/>
  <c r="J305" i="6" a="1"/>
  <c r="J305" i="6"/>
  <c r="J306" i="6" a="1"/>
  <c r="J306" i="6"/>
  <c r="J307" i="6" a="1"/>
  <c r="J307" i="6"/>
  <c r="J308" i="6" a="1"/>
  <c r="J308" i="6"/>
  <c r="J309" i="6" a="1"/>
  <c r="J309" i="6"/>
  <c r="J10" i="6" a="1"/>
  <c r="J10" i="6"/>
  <c r="J11" i="6" a="1"/>
  <c r="J11" i="6"/>
  <c r="J12" i="6" a="1"/>
  <c r="J12" i="6"/>
  <c r="J13" i="6" a="1"/>
  <c r="J13" i="6"/>
  <c r="J14" i="6" a="1"/>
  <c r="J14" i="6"/>
  <c r="J15" i="6" a="1"/>
  <c r="J15" i="6"/>
  <c r="J16" i="6" a="1"/>
  <c r="J16" i="6"/>
  <c r="J17" i="6" a="1"/>
  <c r="J17" i="6"/>
  <c r="J18" i="6" a="1"/>
  <c r="J18" i="6"/>
  <c r="J4" i="6" a="1"/>
  <c r="J4" i="6"/>
  <c r="J5" i="6" a="1"/>
  <c r="J5" i="6"/>
  <c r="J6" i="6" a="1"/>
  <c r="J6" i="6"/>
  <c r="J7" i="6" a="1"/>
  <c r="J7" i="6"/>
  <c r="J8" i="6" a="1"/>
  <c r="J8" i="6"/>
  <c r="J9" i="6" a="1"/>
  <c r="J9" i="6"/>
  <c r="J4" i="10" a="1"/>
  <c r="J4" i="10"/>
  <c r="J5" i="10" a="1"/>
  <c r="J5" i="10"/>
  <c r="J6" i="10" a="1"/>
  <c r="J6" i="10"/>
  <c r="J7" i="10" a="1"/>
  <c r="J7" i="10"/>
  <c r="J8" i="10" a="1"/>
  <c r="J8" i="10"/>
  <c r="J9" i="10" a="1"/>
  <c r="J9" i="10"/>
  <c r="J10" i="10" a="1"/>
  <c r="J10" i="10"/>
  <c r="J11" i="10" a="1"/>
  <c r="J11" i="10"/>
  <c r="J12" i="10" a="1"/>
  <c r="J12" i="10"/>
  <c r="J13" i="10" a="1"/>
  <c r="J13" i="10"/>
  <c r="J14" i="10" a="1"/>
  <c r="J14" i="10"/>
  <c r="J15" i="10" a="1"/>
  <c r="J15" i="10"/>
  <c r="J16" i="10" a="1"/>
  <c r="J16" i="10"/>
  <c r="J17" i="10" a="1"/>
  <c r="J17" i="10"/>
  <c r="J18" i="10" a="1"/>
  <c r="J18" i="10"/>
  <c r="J19" i="10" a="1"/>
  <c r="J19" i="10"/>
  <c r="J20" i="10" a="1"/>
  <c r="J20" i="10"/>
  <c r="J21" i="10" a="1"/>
  <c r="J21" i="10"/>
  <c r="J22" i="10" a="1"/>
  <c r="J22" i="10"/>
  <c r="J23" i="10" a="1"/>
  <c r="J23" i="10"/>
  <c r="J24" i="10" a="1"/>
  <c r="J24" i="10"/>
  <c r="J25" i="10" a="1"/>
  <c r="J25" i="10"/>
  <c r="J26" i="10" a="1"/>
  <c r="J26" i="10"/>
  <c r="J27" i="10" a="1"/>
  <c r="J27" i="10"/>
  <c r="J28" i="10" a="1"/>
  <c r="J28" i="10"/>
  <c r="J29" i="10" a="1"/>
  <c r="J29" i="10"/>
  <c r="J30" i="10" a="1"/>
  <c r="J30" i="10"/>
  <c r="J31" i="10" a="1"/>
  <c r="J31" i="10"/>
  <c r="J32" i="10" a="1"/>
  <c r="J32" i="10"/>
  <c r="J33" i="10" a="1"/>
  <c r="J33" i="10"/>
  <c r="J34" i="10" a="1"/>
  <c r="J34" i="10"/>
  <c r="J35" i="10" a="1"/>
  <c r="J35" i="10"/>
  <c r="J36" i="10" a="1"/>
  <c r="J36" i="10"/>
  <c r="J37" i="10" a="1"/>
  <c r="J37" i="10"/>
  <c r="J38" i="10" a="1"/>
  <c r="J38" i="10"/>
  <c r="J39" i="10" a="1"/>
  <c r="J39" i="10"/>
  <c r="J40" i="10" a="1"/>
  <c r="J40" i="10"/>
  <c r="J41" i="10" a="1"/>
  <c r="J41" i="10"/>
  <c r="J42" i="10" a="1"/>
  <c r="J42" i="10"/>
  <c r="J43" i="10" a="1"/>
  <c r="J43" i="10"/>
  <c r="J44" i="10" a="1"/>
  <c r="J44" i="10"/>
  <c r="J45" i="10" a="1"/>
  <c r="J45" i="10"/>
  <c r="J46" i="10" a="1"/>
  <c r="J46" i="10"/>
  <c r="J47" i="10" a="1"/>
  <c r="J47" i="10"/>
  <c r="J48" i="10" a="1"/>
  <c r="J48" i="10"/>
  <c r="J49" i="10" a="1"/>
  <c r="J49" i="10"/>
  <c r="J50" i="10" a="1"/>
  <c r="J50" i="10"/>
  <c r="J51" i="10" a="1"/>
  <c r="J51" i="10"/>
  <c r="J52" i="10" a="1"/>
  <c r="J52" i="10"/>
  <c r="J53" i="10" a="1"/>
  <c r="J53" i="10"/>
  <c r="J54" i="10" a="1"/>
  <c r="J54" i="10"/>
  <c r="J55" i="10" a="1"/>
  <c r="J55" i="10"/>
  <c r="J56" i="10" a="1"/>
  <c r="J56" i="10"/>
  <c r="J57" i="10" a="1"/>
  <c r="J57" i="10"/>
  <c r="J58" i="10" a="1"/>
  <c r="J58" i="10"/>
  <c r="J59" i="10" a="1"/>
  <c r="J59" i="10"/>
  <c r="J60" i="10" a="1"/>
  <c r="J60" i="10"/>
  <c r="J61" i="10" a="1"/>
  <c r="J61" i="10"/>
  <c r="J62" i="10" a="1"/>
  <c r="J62" i="10"/>
  <c r="J63" i="10" a="1"/>
  <c r="J63" i="10"/>
  <c r="J64" i="10" a="1"/>
  <c r="J64" i="10"/>
  <c r="J65" i="10" a="1"/>
  <c r="J65" i="10"/>
  <c r="J66" i="10" a="1"/>
  <c r="J66" i="10"/>
  <c r="J67" i="10" a="1"/>
  <c r="J67" i="10"/>
  <c r="J68" i="10" a="1"/>
  <c r="J68" i="10"/>
  <c r="J69" i="10" a="1"/>
  <c r="J69" i="10"/>
  <c r="J70" i="10" a="1"/>
  <c r="J70" i="10"/>
  <c r="J71" i="10" a="1"/>
  <c r="J71" i="10"/>
  <c r="J72" i="10" a="1"/>
  <c r="J72" i="10"/>
  <c r="J73" i="10" a="1"/>
  <c r="J73" i="10"/>
  <c r="J74" i="10" a="1"/>
  <c r="J74" i="10"/>
  <c r="J75" i="10" a="1"/>
  <c r="J75" i="10"/>
  <c r="J76" i="10" a="1"/>
  <c r="J76" i="10"/>
  <c r="J77" i="10" a="1"/>
  <c r="J77" i="10"/>
  <c r="J78" i="10" a="1"/>
  <c r="J78" i="10"/>
  <c r="J79" i="10" a="1"/>
  <c r="J79" i="10"/>
  <c r="J80" i="10" a="1"/>
  <c r="J80" i="10"/>
  <c r="J81" i="10" a="1"/>
  <c r="J81" i="10"/>
  <c r="J82" i="10" a="1"/>
  <c r="J82" i="10"/>
  <c r="J83" i="10" a="1"/>
  <c r="J83" i="10"/>
  <c r="J84" i="10" a="1"/>
  <c r="J84" i="10"/>
  <c r="J85" i="10" a="1"/>
  <c r="J85" i="10"/>
  <c r="J86" i="10" a="1"/>
  <c r="J86" i="10"/>
  <c r="J87" i="10" a="1"/>
  <c r="J87" i="10"/>
  <c r="J88" i="10" a="1"/>
  <c r="J88" i="10"/>
  <c r="J89" i="10" a="1"/>
  <c r="J89" i="10"/>
  <c r="J90" i="10" a="1"/>
  <c r="J90" i="10"/>
  <c r="J91" i="10" a="1"/>
  <c r="J91" i="10"/>
  <c r="J92" i="10" a="1"/>
  <c r="J92" i="10"/>
  <c r="J93" i="10" a="1"/>
  <c r="J93" i="10"/>
  <c r="J94" i="10" a="1"/>
  <c r="J94" i="10"/>
  <c r="J95" i="10" a="1"/>
  <c r="J95" i="10"/>
  <c r="J96" i="10" a="1"/>
  <c r="J96" i="10"/>
  <c r="J97" i="10" a="1"/>
  <c r="J97" i="10"/>
  <c r="J98" i="10" a="1"/>
  <c r="J98" i="10"/>
  <c r="J99" i="10" a="1"/>
  <c r="J99" i="10"/>
  <c r="J100" i="10" a="1"/>
  <c r="J100" i="10"/>
  <c r="J101" i="10" a="1"/>
  <c r="J101" i="10"/>
  <c r="J102" i="10" a="1"/>
  <c r="J102" i="10"/>
  <c r="J103" i="10" a="1"/>
  <c r="J103" i="10"/>
  <c r="J104" i="10" a="1"/>
  <c r="J104" i="10"/>
  <c r="J105" i="10" a="1"/>
  <c r="J105" i="10"/>
  <c r="J106" i="10" a="1"/>
  <c r="J106" i="10"/>
  <c r="J107" i="10" a="1"/>
  <c r="J107" i="10"/>
  <c r="J108" i="10" a="1"/>
  <c r="J108" i="10"/>
  <c r="J109" i="10" a="1"/>
  <c r="J109" i="10"/>
  <c r="J110" i="10" a="1"/>
  <c r="J110" i="10"/>
  <c r="J111" i="10" a="1"/>
  <c r="J111" i="10"/>
  <c r="J112" i="10" a="1"/>
  <c r="J112" i="10"/>
  <c r="J113" i="10" a="1"/>
  <c r="J113" i="10"/>
  <c r="J114" i="10" a="1"/>
  <c r="J114" i="10"/>
  <c r="J115" i="10" a="1"/>
  <c r="J115" i="10"/>
  <c r="J116" i="10" a="1"/>
  <c r="J116" i="10"/>
  <c r="J117" i="10" a="1"/>
  <c r="J117" i="10"/>
  <c r="J118" i="10" a="1"/>
  <c r="J118" i="10"/>
  <c r="J119" i="10" a="1"/>
  <c r="J119" i="10"/>
  <c r="J120" i="10" a="1"/>
  <c r="J120" i="10"/>
  <c r="J121" i="10" a="1"/>
  <c r="J121" i="10"/>
  <c r="J122" i="10" a="1"/>
  <c r="J122" i="10"/>
  <c r="J123" i="10" a="1"/>
  <c r="J123" i="10"/>
  <c r="J124" i="10" a="1"/>
  <c r="J124" i="10"/>
  <c r="J125" i="10" a="1"/>
  <c r="J125" i="10"/>
  <c r="J126" i="10" a="1"/>
  <c r="J126" i="10"/>
  <c r="J127" i="10" a="1"/>
  <c r="J127" i="10"/>
  <c r="J128" i="10" a="1"/>
  <c r="J128" i="10"/>
  <c r="J129" i="10" a="1"/>
  <c r="J129" i="10"/>
  <c r="J130" i="10" a="1"/>
  <c r="J130" i="10"/>
  <c r="J131" i="10" a="1"/>
  <c r="J131" i="10"/>
  <c r="J132" i="10" a="1"/>
  <c r="J132" i="10"/>
  <c r="J133" i="10" a="1"/>
  <c r="J133" i="10"/>
  <c r="J134" i="10" a="1"/>
  <c r="J134" i="10"/>
  <c r="J135" i="10" a="1"/>
  <c r="J135" i="10"/>
  <c r="J136" i="10" a="1"/>
  <c r="J136" i="10"/>
  <c r="J137" i="10" a="1"/>
  <c r="J137" i="10"/>
  <c r="J138" i="10" a="1"/>
  <c r="J138" i="10"/>
  <c r="J139" i="10" a="1"/>
  <c r="J139" i="10"/>
  <c r="J140" i="10" a="1"/>
  <c r="J140" i="10"/>
  <c r="J141" i="10" a="1"/>
  <c r="J141" i="10"/>
  <c r="J142" i="10" a="1"/>
  <c r="J142" i="10"/>
  <c r="J143" i="10" a="1"/>
  <c r="J143" i="10"/>
  <c r="J144" i="10" a="1"/>
  <c r="J144" i="10"/>
  <c r="J145" i="10" a="1"/>
  <c r="J145" i="10"/>
  <c r="J146" i="10" a="1"/>
  <c r="J146" i="10"/>
  <c r="J147" i="10" a="1"/>
  <c r="J147" i="10"/>
  <c r="J148" i="10" a="1"/>
  <c r="J148" i="10"/>
  <c r="J149" i="10" a="1"/>
  <c r="J149" i="10"/>
  <c r="J150" i="10" a="1"/>
  <c r="J150" i="10"/>
  <c r="J151" i="10" a="1"/>
  <c r="J151" i="10"/>
  <c r="J152" i="10" a="1"/>
  <c r="J152" i="10"/>
  <c r="J153" i="10" a="1"/>
  <c r="J153" i="10"/>
  <c r="J154" i="10" a="1"/>
  <c r="J154" i="10"/>
  <c r="J155" i="10" a="1"/>
  <c r="J155" i="10"/>
  <c r="J156" i="10" a="1"/>
  <c r="J156" i="10"/>
  <c r="J157" i="10" a="1"/>
  <c r="J157" i="10"/>
  <c r="J158" i="10" a="1"/>
  <c r="J158" i="10"/>
  <c r="J159" i="10" a="1"/>
  <c r="J159" i="10"/>
  <c r="J160" i="10" a="1"/>
  <c r="J160" i="10"/>
  <c r="J161" i="10" a="1"/>
  <c r="J161" i="10"/>
  <c r="J162" i="10" a="1"/>
  <c r="J162" i="10"/>
  <c r="J163" i="10" a="1"/>
  <c r="J163" i="10"/>
  <c r="J164" i="10" a="1"/>
  <c r="J164" i="10"/>
  <c r="J165" i="10" a="1"/>
  <c r="J165" i="10"/>
  <c r="J166" i="10" a="1"/>
  <c r="J166" i="10"/>
  <c r="J167" i="10" a="1"/>
  <c r="J167" i="10"/>
  <c r="J168" i="10" a="1"/>
  <c r="J168" i="10"/>
  <c r="J169" i="10" a="1"/>
  <c r="J169" i="10"/>
  <c r="J170" i="10" a="1"/>
  <c r="J170" i="10"/>
  <c r="J171" i="10" a="1"/>
  <c r="J171" i="10"/>
  <c r="J172" i="10" a="1"/>
  <c r="J172" i="10"/>
  <c r="J173" i="10" a="1"/>
  <c r="J173" i="10"/>
  <c r="J174" i="10" a="1"/>
  <c r="J174" i="10"/>
  <c r="J175" i="10" a="1"/>
  <c r="J175" i="10"/>
  <c r="J176" i="10" a="1"/>
  <c r="J176" i="10"/>
  <c r="J177" i="10" a="1"/>
  <c r="J177" i="10"/>
  <c r="J178" i="10" a="1"/>
  <c r="J178" i="10"/>
  <c r="J179" i="10" a="1"/>
  <c r="J179" i="10"/>
  <c r="J180" i="10" a="1"/>
  <c r="J180" i="10"/>
  <c r="J181" i="10" a="1"/>
  <c r="J181" i="10"/>
  <c r="J182" i="10" a="1"/>
  <c r="J182" i="10"/>
  <c r="J183" i="10" a="1"/>
  <c r="J183" i="10"/>
  <c r="J184" i="10" a="1"/>
  <c r="J184" i="10"/>
  <c r="J185" i="10" a="1"/>
  <c r="J185" i="10"/>
  <c r="J186" i="10" a="1"/>
  <c r="J186" i="10"/>
  <c r="J187" i="10" a="1"/>
  <c r="J187" i="10"/>
  <c r="J188" i="10" a="1"/>
  <c r="J188" i="10"/>
  <c r="J189" i="10" a="1"/>
  <c r="J189" i="10"/>
  <c r="J190" i="10" a="1"/>
  <c r="J190" i="10"/>
  <c r="J191" i="10" a="1"/>
  <c r="J191" i="10"/>
  <c r="J192" i="10" a="1"/>
  <c r="J192" i="10"/>
  <c r="J193" i="10" a="1"/>
  <c r="J193" i="10"/>
  <c r="J194" i="10" a="1"/>
  <c r="J194" i="10"/>
  <c r="J195" i="10" a="1"/>
  <c r="J195" i="10"/>
  <c r="J196" i="10" a="1"/>
  <c r="J196" i="10"/>
  <c r="J197" i="10" a="1"/>
  <c r="J197" i="10"/>
  <c r="J198" i="10" a="1"/>
  <c r="J198" i="10"/>
  <c r="J199" i="10" a="1"/>
  <c r="J199" i="10"/>
  <c r="J200" i="10" a="1"/>
  <c r="J200" i="10"/>
  <c r="J201" i="10" a="1"/>
  <c r="J201" i="10"/>
  <c r="J202" i="10" a="1"/>
  <c r="J202" i="10"/>
  <c r="J3" i="10" a="1"/>
  <c r="J3" i="10"/>
  <c r="J3" i="9" a="1"/>
  <c r="J3" i="9"/>
  <c r="J4" i="9" a="1"/>
  <c r="J4" i="9"/>
  <c r="J5" i="9" a="1"/>
  <c r="J5" i="9"/>
  <c r="J6" i="9" a="1"/>
  <c r="J6" i="9"/>
  <c r="J7" i="9" a="1"/>
  <c r="J7" i="9"/>
  <c r="J8" i="9" a="1"/>
  <c r="J8" i="9"/>
  <c r="J9" i="9" a="1"/>
  <c r="J9" i="9"/>
  <c r="J10" i="9" a="1"/>
  <c r="J10" i="9"/>
  <c r="J11" i="9" a="1"/>
  <c r="J11" i="9"/>
  <c r="J12" i="9" a="1"/>
  <c r="J12" i="9"/>
  <c r="J13" i="9" a="1"/>
  <c r="J13" i="9"/>
  <c r="J14" i="9" a="1"/>
  <c r="J14" i="9"/>
  <c r="J15" i="9" a="1"/>
  <c r="J15" i="9"/>
  <c r="J16" i="9" a="1"/>
  <c r="J16" i="9"/>
  <c r="J17" i="9" a="1"/>
  <c r="J17" i="9"/>
  <c r="J18" i="9" a="1"/>
  <c r="J18" i="9"/>
  <c r="J19" i="9" a="1"/>
  <c r="J19" i="9"/>
  <c r="J20" i="9" a="1"/>
  <c r="J20" i="9"/>
  <c r="J21" i="9" a="1"/>
  <c r="J21" i="9"/>
  <c r="J22" i="9" a="1"/>
  <c r="J22" i="9"/>
  <c r="J23" i="9" a="1"/>
  <c r="J23" i="9"/>
  <c r="J3" i="7" a="1"/>
  <c r="J3" i="7"/>
  <c r="J7" i="7" a="1"/>
  <c r="J7" i="7"/>
  <c r="J8" i="7" a="1"/>
  <c r="J8" i="7"/>
  <c r="J9" i="7" a="1"/>
  <c r="J9" i="7"/>
  <c r="J10" i="7" a="1"/>
  <c r="J10" i="7"/>
  <c r="J11" i="7" a="1"/>
  <c r="J11" i="7"/>
  <c r="J12" i="7" a="1"/>
  <c r="J12" i="7"/>
  <c r="J13" i="7" a="1"/>
  <c r="J13" i="7"/>
  <c r="J14" i="7" a="1"/>
  <c r="J14" i="7"/>
  <c r="J15" i="7" a="1"/>
  <c r="J15" i="7"/>
  <c r="J16" i="7" a="1"/>
  <c r="J16" i="7"/>
  <c r="J17" i="7" a="1"/>
  <c r="J17" i="7"/>
  <c r="J18" i="7" a="1"/>
  <c r="J18" i="7"/>
  <c r="J19" i="7" a="1"/>
  <c r="J19" i="7"/>
  <c r="J20" i="7" a="1"/>
  <c r="J20" i="7"/>
  <c r="J21" i="7" a="1"/>
  <c r="J21" i="7"/>
  <c r="J22" i="7" a="1"/>
  <c r="J22" i="7"/>
  <c r="J23" i="7" a="1"/>
  <c r="J23" i="7"/>
  <c r="J24" i="7" a="1"/>
  <c r="J24" i="7"/>
  <c r="J25" i="7" a="1"/>
  <c r="J25" i="7"/>
  <c r="J26" i="7" a="1"/>
  <c r="J26" i="7"/>
  <c r="J27" i="7" a="1"/>
  <c r="J27" i="7"/>
  <c r="J28" i="7" a="1"/>
  <c r="J28" i="7"/>
  <c r="J29" i="7" a="1"/>
  <c r="J29" i="7"/>
  <c r="J30" i="7" a="1"/>
  <c r="J30" i="7"/>
  <c r="J31" i="7" a="1"/>
  <c r="J31" i="7"/>
  <c r="J32" i="7" a="1"/>
  <c r="J32" i="7"/>
  <c r="J33" i="7" a="1"/>
  <c r="J33" i="7"/>
  <c r="J34" i="7" a="1"/>
  <c r="J34" i="7"/>
  <c r="J35" i="7" a="1"/>
  <c r="J35" i="7"/>
  <c r="J36" i="7" a="1"/>
  <c r="J36" i="7"/>
  <c r="J37" i="7" a="1"/>
  <c r="J37" i="7"/>
  <c r="J38" i="7" a="1"/>
  <c r="J38" i="7"/>
  <c r="J39" i="7" a="1"/>
  <c r="J39" i="7"/>
  <c r="J40" i="7" a="1"/>
  <c r="J40" i="7"/>
  <c r="J41" i="7" a="1"/>
  <c r="J41" i="7"/>
  <c r="J42" i="7" a="1"/>
  <c r="J42" i="7"/>
  <c r="J43" i="7" a="1"/>
  <c r="J43" i="7"/>
  <c r="J44" i="7" a="1"/>
  <c r="J44" i="7"/>
  <c r="J45" i="7" a="1"/>
  <c r="J45" i="7"/>
  <c r="J46" i="7" a="1"/>
  <c r="J46" i="7"/>
  <c r="J47" i="7" a="1"/>
  <c r="J47" i="7"/>
  <c r="J48" i="7" a="1"/>
  <c r="J48" i="7"/>
  <c r="J49" i="7" a="1"/>
  <c r="J49" i="7"/>
  <c r="J50" i="7" a="1"/>
  <c r="J50" i="7"/>
  <c r="J51" i="7" a="1"/>
  <c r="J51" i="7"/>
  <c r="J52" i="7" a="1"/>
  <c r="J52" i="7"/>
  <c r="J53" i="7" a="1"/>
  <c r="J53" i="7"/>
  <c r="J54" i="7" a="1"/>
  <c r="J54" i="7"/>
  <c r="J55" i="7" a="1"/>
  <c r="J55" i="7"/>
  <c r="J56" i="7" a="1"/>
  <c r="J56" i="7"/>
  <c r="J57" i="7" a="1"/>
  <c r="J57" i="7"/>
  <c r="J58" i="7" a="1"/>
  <c r="J58" i="7"/>
  <c r="J59" i="7" a="1"/>
  <c r="J59" i="7"/>
  <c r="J60" i="7" a="1"/>
  <c r="J60" i="7"/>
  <c r="J61" i="7" a="1"/>
  <c r="J61" i="7"/>
  <c r="J62" i="7" a="1"/>
  <c r="J62" i="7"/>
  <c r="J63" i="7" a="1"/>
  <c r="J63" i="7"/>
  <c r="J64" i="7" a="1"/>
  <c r="J64" i="7"/>
  <c r="J65" i="7" a="1"/>
  <c r="J65" i="7"/>
  <c r="J66" i="7" a="1"/>
  <c r="J66" i="7"/>
  <c r="J67" i="7" a="1"/>
  <c r="J67" i="7"/>
  <c r="J68" i="7" a="1"/>
  <c r="J68" i="7"/>
  <c r="J69" i="7" a="1"/>
  <c r="J69" i="7"/>
  <c r="J70" i="7" a="1"/>
  <c r="J70" i="7"/>
  <c r="J71" i="7" a="1"/>
  <c r="J71" i="7"/>
  <c r="J72" i="7" a="1"/>
  <c r="J72" i="7"/>
  <c r="J4" i="7" a="1"/>
  <c r="J4" i="7"/>
  <c r="J5" i="7" a="1"/>
  <c r="J5" i="7"/>
  <c r="J6" i="7" a="1"/>
  <c r="J6" i="7"/>
  <c r="J317" i="5" a="1"/>
  <c r="J317" i="5"/>
  <c r="J4" i="5" a="1"/>
  <c r="J4" i="5"/>
  <c r="J5" i="5" a="1"/>
  <c r="J5" i="5"/>
  <c r="J6" i="5" a="1"/>
  <c r="J6" i="5"/>
  <c r="J7" i="5" a="1"/>
  <c r="J7" i="5"/>
  <c r="J8" i="5" a="1"/>
  <c r="J8" i="5"/>
  <c r="J9" i="5" a="1"/>
  <c r="J9" i="5"/>
  <c r="J10" i="5" a="1"/>
  <c r="J10" i="5"/>
  <c r="J11" i="5" a="1"/>
  <c r="J11" i="5"/>
  <c r="J12" i="5" a="1"/>
  <c r="J12" i="5"/>
  <c r="J13" i="5" a="1"/>
  <c r="J13" i="5"/>
  <c r="J14" i="5" a="1"/>
  <c r="J14" i="5"/>
  <c r="J15" i="5" a="1"/>
  <c r="J15" i="5"/>
  <c r="J16" i="5" a="1"/>
  <c r="J16" i="5"/>
  <c r="J17" i="5" a="1"/>
  <c r="J17" i="5"/>
  <c r="J18" i="5" a="1"/>
  <c r="J18" i="5"/>
  <c r="J19" i="5" a="1"/>
  <c r="J19" i="5"/>
  <c r="J20" i="5" a="1"/>
  <c r="J20" i="5"/>
  <c r="J21" i="5" a="1"/>
  <c r="J21" i="5"/>
  <c r="J22" i="5" a="1"/>
  <c r="J22" i="5"/>
  <c r="J23" i="5" a="1"/>
  <c r="J23" i="5"/>
  <c r="J24" i="5" a="1"/>
  <c r="J24" i="5"/>
  <c r="J25" i="5" a="1"/>
  <c r="J25" i="5"/>
  <c r="J26" i="5" a="1"/>
  <c r="J26" i="5"/>
  <c r="J27" i="5" a="1"/>
  <c r="J27" i="5"/>
  <c r="J28" i="5" a="1"/>
  <c r="J28" i="5"/>
  <c r="J29" i="5" a="1"/>
  <c r="J29" i="5"/>
  <c r="J30" i="5" a="1"/>
  <c r="J30" i="5"/>
  <c r="J31" i="5" a="1"/>
  <c r="J31" i="5"/>
  <c r="J32" i="5" a="1"/>
  <c r="J32" i="5"/>
  <c r="J33" i="5" a="1"/>
  <c r="J33" i="5"/>
  <c r="J34" i="5" a="1"/>
  <c r="J34" i="5"/>
  <c r="J35" i="5" a="1"/>
  <c r="J35" i="5"/>
  <c r="J36" i="5" a="1"/>
  <c r="J36" i="5"/>
  <c r="J37" i="5" a="1"/>
  <c r="J37" i="5"/>
  <c r="J38" i="5" a="1"/>
  <c r="J38" i="5"/>
  <c r="J39" i="5" a="1"/>
  <c r="J39" i="5"/>
  <c r="J40" i="5" a="1"/>
  <c r="J40" i="5"/>
  <c r="J41" i="5" a="1"/>
  <c r="J41" i="5"/>
  <c r="J42" i="5" a="1"/>
  <c r="J42" i="5"/>
  <c r="J43" i="5" a="1"/>
  <c r="J43" i="5"/>
  <c r="J44" i="5" a="1"/>
  <c r="J44" i="5"/>
  <c r="J45" i="5" a="1"/>
  <c r="J45" i="5"/>
  <c r="J46" i="5" a="1"/>
  <c r="J46" i="5"/>
  <c r="J47" i="5" a="1"/>
  <c r="J47" i="5"/>
  <c r="J48" i="5" a="1"/>
  <c r="J48" i="5"/>
  <c r="J49" i="5" a="1"/>
  <c r="J49" i="5"/>
  <c r="J50" i="5" a="1"/>
  <c r="J50" i="5"/>
  <c r="J51" i="5" a="1"/>
  <c r="J51" i="5"/>
  <c r="J52" i="5" a="1"/>
  <c r="J52" i="5"/>
  <c r="J53" i="5" a="1"/>
  <c r="J53" i="5"/>
  <c r="J54" i="5" a="1"/>
  <c r="J54" i="5"/>
  <c r="J55" i="5" a="1"/>
  <c r="J55" i="5"/>
  <c r="J56" i="5" a="1"/>
  <c r="J56" i="5"/>
  <c r="J57" i="5" a="1"/>
  <c r="J57" i="5"/>
  <c r="J58" i="5" a="1"/>
  <c r="J58" i="5"/>
  <c r="J59" i="5" a="1"/>
  <c r="J59" i="5"/>
  <c r="J60" i="5" a="1"/>
  <c r="J60" i="5"/>
  <c r="J61" i="5" a="1"/>
  <c r="J61" i="5"/>
  <c r="J62" i="5" a="1"/>
  <c r="J62" i="5"/>
  <c r="J63" i="5" a="1"/>
  <c r="J63" i="5"/>
  <c r="J64" i="5" a="1"/>
  <c r="J64" i="5"/>
  <c r="J65" i="5" a="1"/>
  <c r="J65" i="5"/>
  <c r="J66" i="5" a="1"/>
  <c r="J66" i="5"/>
  <c r="J67" i="5" a="1"/>
  <c r="J67" i="5"/>
  <c r="J68" i="5" a="1"/>
  <c r="J68" i="5"/>
  <c r="J69" i="5" a="1"/>
  <c r="J69" i="5"/>
  <c r="J70" i="5" a="1"/>
  <c r="J70" i="5"/>
  <c r="J71" i="5" a="1"/>
  <c r="J71" i="5"/>
  <c r="J72" i="5" a="1"/>
  <c r="J72" i="5"/>
  <c r="J73" i="5" a="1"/>
  <c r="J73" i="5"/>
  <c r="J74" i="5" a="1"/>
  <c r="J74" i="5"/>
  <c r="J75" i="5" a="1"/>
  <c r="J75" i="5"/>
  <c r="J76" i="5" a="1"/>
  <c r="J76" i="5"/>
  <c r="J77" i="5" a="1"/>
  <c r="J77" i="5"/>
  <c r="J78" i="5" a="1"/>
  <c r="J78" i="5"/>
  <c r="J79" i="5" a="1"/>
  <c r="J79" i="5"/>
  <c r="J80" i="5" a="1"/>
  <c r="J80" i="5"/>
  <c r="J81" i="5" a="1"/>
  <c r="J81" i="5"/>
  <c r="J82" i="5" a="1"/>
  <c r="J82" i="5"/>
  <c r="J83" i="5" a="1"/>
  <c r="J83" i="5"/>
  <c r="J84" i="5" a="1"/>
  <c r="J84" i="5"/>
  <c r="J85" i="5" a="1"/>
  <c r="J85" i="5"/>
  <c r="J86" i="5" a="1"/>
  <c r="J86" i="5"/>
  <c r="J87" i="5" a="1"/>
  <c r="J87" i="5"/>
  <c r="J88" i="5" a="1"/>
  <c r="J88" i="5"/>
  <c r="J89" i="5" a="1"/>
  <c r="J89" i="5"/>
  <c r="J90" i="5" a="1"/>
  <c r="J90" i="5"/>
  <c r="J91" i="5" a="1"/>
  <c r="J91" i="5"/>
  <c r="J92" i="5" a="1"/>
  <c r="J92" i="5"/>
  <c r="J93" i="5" a="1"/>
  <c r="J93" i="5"/>
  <c r="J94" i="5" a="1"/>
  <c r="J94" i="5"/>
  <c r="J95" i="5" a="1"/>
  <c r="J95" i="5"/>
  <c r="J96" i="5" a="1"/>
  <c r="J96" i="5"/>
  <c r="J97" i="5" a="1"/>
  <c r="J97" i="5"/>
  <c r="J98" i="5" a="1"/>
  <c r="J98" i="5"/>
  <c r="J99" i="5" a="1"/>
  <c r="J99" i="5"/>
  <c r="J100" i="5" a="1"/>
  <c r="J100" i="5"/>
  <c r="J101" i="5" a="1"/>
  <c r="J101" i="5"/>
  <c r="J102" i="5" a="1"/>
  <c r="J102" i="5"/>
  <c r="J103" i="5" a="1"/>
  <c r="J103" i="5"/>
  <c r="J104" i="5" a="1"/>
  <c r="J104" i="5"/>
  <c r="J105" i="5" a="1"/>
  <c r="J105" i="5"/>
  <c r="J106" i="5" a="1"/>
  <c r="J106" i="5"/>
  <c r="J107" i="5" a="1"/>
  <c r="J107" i="5"/>
  <c r="J108" i="5" a="1"/>
  <c r="J108" i="5"/>
  <c r="J109" i="5" a="1"/>
  <c r="J109" i="5"/>
  <c r="J110" i="5" a="1"/>
  <c r="J110" i="5"/>
  <c r="J111" i="5" a="1"/>
  <c r="J111" i="5"/>
  <c r="J112" i="5" a="1"/>
  <c r="J112" i="5"/>
  <c r="J113" i="5" a="1"/>
  <c r="J113" i="5"/>
  <c r="J114" i="5" a="1"/>
  <c r="J114" i="5"/>
  <c r="J115" i="5" a="1"/>
  <c r="J115" i="5"/>
  <c r="J116" i="5" a="1"/>
  <c r="J116" i="5"/>
  <c r="J117" i="5" a="1"/>
  <c r="J117" i="5"/>
  <c r="J118" i="5" a="1"/>
  <c r="J118" i="5"/>
  <c r="J119" i="5" a="1"/>
  <c r="J119" i="5"/>
  <c r="J120" i="5" a="1"/>
  <c r="J120" i="5"/>
  <c r="J121" i="5" a="1"/>
  <c r="J121" i="5"/>
  <c r="J122" i="5" a="1"/>
  <c r="J122" i="5"/>
  <c r="J123" i="5" a="1"/>
  <c r="J123" i="5"/>
  <c r="J124" i="5" a="1"/>
  <c r="J124" i="5"/>
  <c r="J125" i="5" a="1"/>
  <c r="J125" i="5"/>
  <c r="J126" i="5" a="1"/>
  <c r="J126" i="5"/>
  <c r="J127" i="5" a="1"/>
  <c r="J127" i="5"/>
  <c r="J128" i="5" a="1"/>
  <c r="J128" i="5"/>
  <c r="J129" i="5" a="1"/>
  <c r="J129" i="5"/>
  <c r="J130" i="5" a="1"/>
  <c r="J130" i="5"/>
  <c r="J131" i="5" a="1"/>
  <c r="J131" i="5"/>
  <c r="J132" i="5" a="1"/>
  <c r="J132" i="5"/>
  <c r="J133" i="5" a="1"/>
  <c r="J133" i="5"/>
  <c r="J134" i="5" a="1"/>
  <c r="J134" i="5"/>
  <c r="J135" i="5" a="1"/>
  <c r="J135" i="5"/>
  <c r="J136" i="5" a="1"/>
  <c r="J136" i="5"/>
  <c r="J137" i="5" a="1"/>
  <c r="J137" i="5"/>
  <c r="J138" i="5" a="1"/>
  <c r="J138" i="5"/>
  <c r="J139" i="5" a="1"/>
  <c r="J139" i="5"/>
  <c r="J140" i="5" a="1"/>
  <c r="J140" i="5"/>
  <c r="J141" i="5" a="1"/>
  <c r="J141" i="5"/>
  <c r="J142" i="5" a="1"/>
  <c r="J142" i="5"/>
  <c r="J143" i="5" a="1"/>
  <c r="J143" i="5"/>
  <c r="J144" i="5" a="1"/>
  <c r="J144" i="5"/>
  <c r="J145" i="5" a="1"/>
  <c r="J145" i="5"/>
  <c r="J146" i="5" a="1"/>
  <c r="J146" i="5"/>
  <c r="J147" i="5" a="1"/>
  <c r="J147" i="5"/>
  <c r="J148" i="5" a="1"/>
  <c r="J148" i="5"/>
  <c r="J149" i="5" a="1"/>
  <c r="J149" i="5"/>
  <c r="J150" i="5" a="1"/>
  <c r="J150" i="5"/>
  <c r="J151" i="5" a="1"/>
  <c r="J151" i="5"/>
  <c r="J152" i="5" a="1"/>
  <c r="J152" i="5"/>
  <c r="J153" i="5" a="1"/>
  <c r="J153" i="5"/>
  <c r="J154" i="5" a="1"/>
  <c r="J154" i="5"/>
  <c r="J155" i="5" a="1"/>
  <c r="J155" i="5"/>
  <c r="J156" i="5" a="1"/>
  <c r="J156" i="5"/>
  <c r="J157" i="5" a="1"/>
  <c r="J157" i="5"/>
  <c r="J158" i="5" a="1"/>
  <c r="J158" i="5"/>
  <c r="J159" i="5" a="1"/>
  <c r="J159" i="5"/>
  <c r="J160" i="5" a="1"/>
  <c r="J160" i="5"/>
  <c r="J161" i="5" a="1"/>
  <c r="J161" i="5"/>
  <c r="J162" i="5" a="1"/>
  <c r="J162" i="5"/>
  <c r="J163" i="5" a="1"/>
  <c r="J163" i="5"/>
  <c r="J164" i="5" a="1"/>
  <c r="J164" i="5"/>
  <c r="J165" i="5" a="1"/>
  <c r="J165" i="5"/>
  <c r="J166" i="5" a="1"/>
  <c r="J166" i="5"/>
  <c r="J167" i="5" a="1"/>
  <c r="J167" i="5"/>
  <c r="J168" i="5" a="1"/>
  <c r="J168" i="5"/>
  <c r="J169" i="5" a="1"/>
  <c r="J169" i="5"/>
  <c r="J170" i="5" a="1"/>
  <c r="J170" i="5"/>
  <c r="J171" i="5" a="1"/>
  <c r="J171" i="5"/>
  <c r="J172" i="5" a="1"/>
  <c r="J172" i="5"/>
  <c r="J173" i="5" a="1"/>
  <c r="J173" i="5"/>
  <c r="J174" i="5" a="1"/>
  <c r="J174" i="5"/>
  <c r="J175" i="5" a="1"/>
  <c r="J175" i="5"/>
  <c r="J176" i="5" a="1"/>
  <c r="J176" i="5"/>
  <c r="J177" i="5" a="1"/>
  <c r="J177" i="5"/>
  <c r="J178" i="5" a="1"/>
  <c r="J178" i="5"/>
  <c r="J179" i="5" a="1"/>
  <c r="J179" i="5"/>
  <c r="J180" i="5" a="1"/>
  <c r="J180" i="5"/>
  <c r="J181" i="5" a="1"/>
  <c r="J181" i="5"/>
  <c r="J182" i="5" a="1"/>
  <c r="J182" i="5"/>
  <c r="J183" i="5" a="1"/>
  <c r="J183" i="5"/>
  <c r="J184" i="5" a="1"/>
  <c r="J184" i="5"/>
  <c r="J185" i="5" a="1"/>
  <c r="J185" i="5"/>
  <c r="J186" i="5" a="1"/>
  <c r="J186" i="5"/>
  <c r="J187" i="5" a="1"/>
  <c r="J187" i="5"/>
  <c r="J188" i="5" a="1"/>
  <c r="J188" i="5"/>
  <c r="J189" i="5" a="1"/>
  <c r="J189" i="5"/>
  <c r="J190" i="5" a="1"/>
  <c r="J190" i="5"/>
  <c r="J191" i="5" a="1"/>
  <c r="J191" i="5"/>
  <c r="J192" i="5" a="1"/>
  <c r="J192" i="5"/>
  <c r="J193" i="5" a="1"/>
  <c r="J193" i="5"/>
  <c r="J195" i="5" a="1"/>
  <c r="J195" i="5"/>
  <c r="J196" i="5" a="1"/>
  <c r="J196" i="5"/>
  <c r="J197" i="5" a="1"/>
  <c r="J197" i="5"/>
  <c r="J198" i="5" a="1"/>
  <c r="J198" i="5"/>
  <c r="J199" i="5" a="1"/>
  <c r="J199" i="5"/>
  <c r="J200" i="5" a="1"/>
  <c r="J200" i="5"/>
  <c r="J201" i="5" a="1"/>
  <c r="J201" i="5"/>
  <c r="J202" i="5" a="1"/>
  <c r="J202" i="5"/>
  <c r="J203" i="5" a="1"/>
  <c r="J203" i="5"/>
  <c r="J204" i="5" a="1"/>
  <c r="J204" i="5"/>
  <c r="J205" i="5" a="1"/>
  <c r="J205" i="5"/>
  <c r="J206" i="5" a="1"/>
  <c r="J206" i="5"/>
  <c r="J207" i="5" a="1"/>
  <c r="J207" i="5"/>
  <c r="J208" i="5" a="1"/>
  <c r="J208" i="5"/>
  <c r="J209" i="5" a="1"/>
  <c r="J209" i="5"/>
  <c r="J210" i="5" a="1"/>
  <c r="J210" i="5"/>
  <c r="J211" i="5" a="1"/>
  <c r="J211" i="5"/>
  <c r="J212" i="5" a="1"/>
  <c r="J212" i="5"/>
  <c r="J213" i="5" a="1"/>
  <c r="J213" i="5"/>
  <c r="J214" i="5" a="1"/>
  <c r="J214" i="5"/>
  <c r="J215" i="5" a="1"/>
  <c r="J215" i="5"/>
  <c r="J216" i="5" a="1"/>
  <c r="J216" i="5"/>
  <c r="J217" i="5" a="1"/>
  <c r="J217" i="5"/>
  <c r="J218" i="5" a="1"/>
  <c r="J218" i="5"/>
  <c r="J219" i="5" a="1"/>
  <c r="J219" i="5"/>
  <c r="J220" i="5" a="1"/>
  <c r="J220" i="5"/>
  <c r="J221" i="5" a="1"/>
  <c r="J221" i="5"/>
  <c r="J222" i="5" a="1"/>
  <c r="J222" i="5"/>
  <c r="J223" i="5" a="1"/>
  <c r="J223" i="5"/>
  <c r="J224" i="5" a="1"/>
  <c r="J224" i="5"/>
  <c r="J225" i="5" a="1"/>
  <c r="J225" i="5"/>
  <c r="J226" i="5" a="1"/>
  <c r="J226" i="5"/>
  <c r="J227" i="5" a="1"/>
  <c r="J227" i="5"/>
  <c r="J228" i="5" a="1"/>
  <c r="J228" i="5"/>
  <c r="J229" i="5" a="1"/>
  <c r="J229" i="5"/>
  <c r="J230" i="5" a="1"/>
  <c r="J230" i="5"/>
  <c r="J232" i="5" a="1"/>
  <c r="J232" i="5"/>
  <c r="J233" i="5" a="1"/>
  <c r="J233" i="5"/>
  <c r="J234" i="5" a="1"/>
  <c r="J234" i="5"/>
  <c r="J235" i="5" a="1"/>
  <c r="J235" i="5"/>
  <c r="J236" i="5" a="1"/>
  <c r="J236" i="5"/>
  <c r="J237" i="5" a="1"/>
  <c r="J237" i="5"/>
  <c r="J238" i="5" a="1"/>
  <c r="J238" i="5"/>
  <c r="J239" i="5" a="1"/>
  <c r="J239" i="5"/>
  <c r="J240" i="5" a="1"/>
  <c r="J240" i="5"/>
  <c r="J241" i="5" a="1"/>
  <c r="J241" i="5"/>
  <c r="J242" i="5" a="1"/>
  <c r="J242" i="5"/>
  <c r="J243" i="5" a="1"/>
  <c r="J243" i="5"/>
  <c r="J244" i="5" a="1"/>
  <c r="J244" i="5"/>
  <c r="J245" i="5" a="1"/>
  <c r="J245" i="5"/>
  <c r="J246" i="5" a="1"/>
  <c r="J246" i="5"/>
  <c r="J247" i="5" a="1"/>
  <c r="J247" i="5"/>
  <c r="J248" i="5" a="1"/>
  <c r="J248" i="5"/>
  <c r="J249" i="5" a="1"/>
  <c r="J249" i="5"/>
  <c r="J250" i="5" a="1"/>
  <c r="J250" i="5"/>
  <c r="J251" i="5" a="1"/>
  <c r="J251" i="5"/>
  <c r="J252" i="5" a="1"/>
  <c r="J252" i="5"/>
  <c r="J253" i="5" a="1"/>
  <c r="J253" i="5"/>
  <c r="J254" i="5" a="1"/>
  <c r="J254" i="5"/>
  <c r="J255" i="5" a="1"/>
  <c r="J255" i="5"/>
  <c r="J256" i="5" a="1"/>
  <c r="J256" i="5"/>
  <c r="J257" i="5" a="1"/>
  <c r="J257" i="5"/>
  <c r="J258" i="5" a="1"/>
  <c r="J258" i="5"/>
  <c r="J259" i="5" a="1"/>
  <c r="J259" i="5"/>
  <c r="J260" i="5" a="1"/>
  <c r="J260" i="5"/>
  <c r="J261" i="5" a="1"/>
  <c r="J261" i="5"/>
  <c r="J262" i="5" a="1"/>
  <c r="J262" i="5"/>
  <c r="J263" i="5" a="1"/>
  <c r="J263" i="5"/>
  <c r="J264" i="5" a="1"/>
  <c r="J264" i="5"/>
  <c r="J265" i="5" a="1"/>
  <c r="J265" i="5"/>
  <c r="J266" i="5" a="1"/>
  <c r="J266" i="5"/>
  <c r="J267" i="5" a="1"/>
  <c r="J267" i="5"/>
  <c r="J268" i="5" a="1"/>
  <c r="J268" i="5"/>
  <c r="J269" i="5" a="1"/>
  <c r="J269" i="5"/>
  <c r="J270" i="5" a="1"/>
  <c r="J270" i="5"/>
  <c r="J271" i="5" a="1"/>
  <c r="J271" i="5"/>
  <c r="J272" i="5" a="1"/>
  <c r="J272" i="5"/>
  <c r="J273" i="5" a="1"/>
  <c r="J273" i="5"/>
  <c r="J274" i="5" a="1"/>
  <c r="J274" i="5"/>
  <c r="J275" i="5" a="1"/>
  <c r="J275" i="5"/>
  <c r="J276" i="5" a="1"/>
  <c r="J276" i="5"/>
  <c r="J277" i="5" a="1"/>
  <c r="J277" i="5"/>
  <c r="J278" i="5" a="1"/>
  <c r="J278" i="5"/>
  <c r="J279" i="5" a="1"/>
  <c r="J279" i="5"/>
  <c r="J280" i="5" a="1"/>
  <c r="J280" i="5"/>
  <c r="J281" i="5" a="1"/>
  <c r="J281" i="5"/>
  <c r="J282" i="5" a="1"/>
  <c r="J282" i="5"/>
  <c r="J283" i="5" a="1"/>
  <c r="J283" i="5"/>
  <c r="J284" i="5" a="1"/>
  <c r="J284" i="5"/>
  <c r="J285" i="5" a="1"/>
  <c r="J285" i="5"/>
  <c r="J286" i="5" a="1"/>
  <c r="J286" i="5"/>
  <c r="J287" i="5" a="1"/>
  <c r="J287" i="5"/>
  <c r="J288" i="5" a="1"/>
  <c r="J288" i="5"/>
  <c r="J289" i="5" a="1"/>
  <c r="J289" i="5"/>
  <c r="J290" i="5" a="1"/>
  <c r="J290" i="5"/>
  <c r="J291" i="5" a="1"/>
  <c r="J291" i="5"/>
  <c r="J292" i="5" a="1"/>
  <c r="J292" i="5"/>
  <c r="J293" i="5" a="1"/>
  <c r="J293" i="5"/>
  <c r="J294" i="5" a="1"/>
  <c r="J294" i="5"/>
  <c r="J295" i="5" a="1"/>
  <c r="J295" i="5"/>
  <c r="J296" i="5" a="1"/>
  <c r="J296" i="5"/>
  <c r="J297" i="5" a="1"/>
  <c r="J297" i="5"/>
  <c r="J298" i="5" a="1"/>
  <c r="J298" i="5"/>
  <c r="J299" i="5" a="1"/>
  <c r="J299" i="5"/>
  <c r="J300" i="5" a="1"/>
  <c r="J300" i="5"/>
  <c r="J301" i="5" a="1"/>
  <c r="J301" i="5"/>
  <c r="J302" i="5" a="1"/>
  <c r="J302" i="5"/>
  <c r="J303" i="5" a="1"/>
  <c r="J303" i="5"/>
  <c r="J304" i="5" a="1"/>
  <c r="J304" i="5"/>
  <c r="J305" i="5" a="1"/>
  <c r="J305" i="5"/>
  <c r="J306" i="5" a="1"/>
  <c r="J306" i="5"/>
  <c r="J307" i="5" a="1"/>
  <c r="J307" i="5"/>
  <c r="J308" i="5" a="1"/>
  <c r="J308" i="5"/>
  <c r="J309" i="5" a="1"/>
  <c r="J309" i="5"/>
  <c r="J310" i="5" a="1"/>
  <c r="J310" i="5"/>
  <c r="J311" i="5" a="1"/>
  <c r="J311" i="5"/>
  <c r="J312" i="5" a="1"/>
  <c r="J312" i="5"/>
  <c r="J313" i="5" a="1"/>
  <c r="J313" i="5"/>
  <c r="J314" i="5" a="1"/>
  <c r="J314" i="5"/>
  <c r="J315" i="5" a="1"/>
  <c r="J315" i="5"/>
  <c r="J316" i="5" a="1"/>
  <c r="J316" i="5"/>
  <c r="J318" i="5" a="1"/>
  <c r="J318" i="5"/>
  <c r="J319" i="5" a="1"/>
  <c r="J319" i="5"/>
  <c r="J320" i="5" a="1"/>
  <c r="J320" i="5"/>
  <c r="J321" i="5" a="1"/>
  <c r="J321" i="5"/>
  <c r="J322" i="5" a="1"/>
  <c r="J322" i="5"/>
  <c r="J323" i="5" a="1"/>
  <c r="J323" i="5"/>
  <c r="J324" i="5" a="1"/>
  <c r="J324" i="5"/>
  <c r="J325" i="5" a="1"/>
  <c r="J325" i="5"/>
  <c r="J326" i="5" a="1"/>
  <c r="J326" i="5"/>
  <c r="J327" i="5" a="1"/>
  <c r="J327" i="5"/>
  <c r="J328" i="5" a="1"/>
  <c r="J328" i="5"/>
  <c r="J329" i="5" a="1"/>
  <c r="J329" i="5"/>
  <c r="J330" i="5" a="1"/>
  <c r="J330" i="5"/>
  <c r="J331" i="5" a="1"/>
  <c r="J331" i="5"/>
  <c r="J332" i="5" a="1"/>
  <c r="J332" i="5"/>
  <c r="J333" i="5" a="1"/>
  <c r="J333" i="5"/>
  <c r="J334" i="5" a="1"/>
  <c r="J334" i="5"/>
  <c r="J335" i="5" a="1"/>
  <c r="J335" i="5"/>
  <c r="J336" i="5" a="1"/>
  <c r="J336" i="5"/>
  <c r="J337" i="5" a="1"/>
  <c r="J337" i="5"/>
  <c r="J338" i="5" a="1"/>
  <c r="J338" i="5"/>
  <c r="J339" i="5" a="1"/>
  <c r="J339" i="5"/>
  <c r="J340" i="5" a="1"/>
  <c r="J340" i="5"/>
  <c r="J341" i="5" a="1"/>
  <c r="J341" i="5"/>
  <c r="J342" i="5" a="1"/>
  <c r="J342" i="5"/>
  <c r="J343" i="5" a="1"/>
  <c r="J343" i="5"/>
  <c r="J344" i="5" a="1"/>
  <c r="J344" i="5"/>
  <c r="J345" i="5" a="1"/>
  <c r="J345" i="5"/>
  <c r="J346" i="5" a="1"/>
  <c r="J346" i="5"/>
  <c r="J347" i="5" a="1"/>
  <c r="J347" i="5"/>
  <c r="J348" i="5" a="1"/>
  <c r="J348" i="5"/>
  <c r="I34" i="3"/>
  <c r="I33" i="3"/>
  <c r="I56" i="4"/>
  <c r="J56" i="4" s="1" a="1"/>
  <c r="J56" i="4"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<sst xmlns="http://schemas.openxmlformats.org/spreadsheetml/2006/main" count="7231" uniqueCount="2654">
  <si>
    <t>Priority</t>
  </si>
  <si>
    <t>Response Needed from Nan</t>
  </si>
  <si>
    <t>Building</t>
  </si>
  <si>
    <t>03055-001.0</t>
  </si>
  <si>
    <t>Adhesive-bonded Reinforcing Bars and All threads In Concrete</t>
  </si>
  <si>
    <t>Submittal #</t>
  </si>
  <si>
    <t>Name</t>
  </si>
  <si>
    <t>03071-001.0</t>
  </si>
  <si>
    <t>Sika Epoxies</t>
  </si>
  <si>
    <t>01292-001.0</t>
  </si>
  <si>
    <t>Detailed Breakdown of Project Cost</t>
  </si>
  <si>
    <t>03111-001.0</t>
  </si>
  <si>
    <t>Geofoam</t>
  </si>
  <si>
    <t>01321-002.0</t>
  </si>
  <si>
    <t>Pre-liminary Schedule</t>
  </si>
  <si>
    <t>03111-002.0</t>
  </si>
  <si>
    <t>Geofoam: Adhesive</t>
  </si>
  <si>
    <t>03931-001.0</t>
  </si>
  <si>
    <t>Epoxy</t>
  </si>
  <si>
    <t>03150-001.0</t>
  </si>
  <si>
    <t>Expansion Joint</t>
  </si>
  <si>
    <t>11555-001.0</t>
  </si>
  <si>
    <t>Tekleen</t>
  </si>
  <si>
    <t>HIGH PRIORITY</t>
  </si>
  <si>
    <t>03150-002.0</t>
  </si>
  <si>
    <t>PVC Waterstop Sika</t>
  </si>
  <si>
    <t>15241-001.0</t>
  </si>
  <si>
    <t>HDPE</t>
  </si>
  <si>
    <t>03200-002.0</t>
  </si>
  <si>
    <t>CMC Rebar: Shop Drawings</t>
  </si>
  <si>
    <t>01450-001.0</t>
  </si>
  <si>
    <t>Independent Lab Concrete Testing</t>
  </si>
  <si>
    <t>04055-001.0</t>
  </si>
  <si>
    <t>Product Data Hilti HY-270 Adhesive Anchor Sysstem</t>
  </si>
  <si>
    <t>15832-001.0</t>
  </si>
  <si>
    <t>Odor Control Fans</t>
  </si>
  <si>
    <t>07210-001.0</t>
  </si>
  <si>
    <t>Building Insulation</t>
  </si>
  <si>
    <t>01756-001.0</t>
  </si>
  <si>
    <t>TSC Requalifications</t>
  </si>
  <si>
    <t>07410-001.0</t>
  </si>
  <si>
    <t>Preformed Metal</t>
  </si>
  <si>
    <t>02312-001.0</t>
  </si>
  <si>
    <t>CLSM Mix Design</t>
  </si>
  <si>
    <t>09310-001.0</t>
  </si>
  <si>
    <t>Ceramic Tiling</t>
  </si>
  <si>
    <t>03200-001.0</t>
  </si>
  <si>
    <t>CMC Rebar Concrete reinforcing Accessories</t>
  </si>
  <si>
    <t>09650-001.0</t>
  </si>
  <si>
    <t>Resilient Flooring</t>
  </si>
  <si>
    <t>09652-001.0</t>
  </si>
  <si>
    <t>Resilient Base and Accessories: Base and Adhesive</t>
  </si>
  <si>
    <t>13120-001.0</t>
  </si>
  <si>
    <t>Pre-Engineered Structures</t>
  </si>
  <si>
    <t>Civil</t>
  </si>
  <si>
    <t>02256-002.0</t>
  </si>
  <si>
    <t>Probe and Grout Plan</t>
  </si>
  <si>
    <t>02260-001.0</t>
  </si>
  <si>
    <t>Vibration Monitoring Program</t>
  </si>
  <si>
    <t>02260-002.0</t>
  </si>
  <si>
    <t>Vibration Monitoring: Baseline Data</t>
  </si>
  <si>
    <t>02370-001.1</t>
  </si>
  <si>
    <t>Riprap Resubmittal – Puna Rock</t>
  </si>
  <si>
    <t>02762-001.1</t>
  </si>
  <si>
    <t>Traffic Signs</t>
  </si>
  <si>
    <t>02820-001.3</t>
  </si>
  <si>
    <t>Islandwide – Fences and Gate</t>
  </si>
  <si>
    <t>15052-001.0</t>
  </si>
  <si>
    <t>Concrete Encasement</t>
  </si>
  <si>
    <t>16133-001.0</t>
  </si>
  <si>
    <t>Duct Banks: Shop Drawings</t>
  </si>
  <si>
    <t>EQUIPMENT</t>
  </si>
  <si>
    <t>11294B-001.0</t>
  </si>
  <si>
    <t>HD Fabricated SS Slide Gates</t>
  </si>
  <si>
    <t>11313F-001.0</t>
  </si>
  <si>
    <t>Optimal Water</t>
  </si>
  <si>
    <t>11395D-001.0</t>
  </si>
  <si>
    <t>Daniel Company - BTF</t>
  </si>
  <si>
    <t>12330-001.0</t>
  </si>
  <si>
    <t>Camlock Submittal</t>
  </si>
  <si>
    <t>12330-002.0</t>
  </si>
  <si>
    <t>Bins</t>
  </si>
  <si>
    <t>MECHANICAL</t>
  </si>
  <si>
    <t>02553-001.0</t>
  </si>
  <si>
    <t>Temporary Bypass - Bar Screen</t>
  </si>
  <si>
    <t>02667-001.1</t>
  </si>
  <si>
    <t>Hot Tapping and Line Stopping</t>
  </si>
  <si>
    <t>15110-001.0</t>
  </si>
  <si>
    <t>Product Submittal: Sliding Valve Boxes</t>
  </si>
  <si>
    <t>15211-001.0</t>
  </si>
  <si>
    <t>Ductile Iron Pipe: AWWA C151</t>
  </si>
  <si>
    <t>15230-001.0</t>
  </si>
  <si>
    <t>PVC C900</t>
  </si>
  <si>
    <t>15230-002.0</t>
  </si>
  <si>
    <t>SCH80 PVC</t>
  </si>
  <si>
    <t>15230-003.0</t>
  </si>
  <si>
    <t>Solvent Cement and Primer</t>
  </si>
  <si>
    <t>15814-001.0</t>
  </si>
  <si>
    <t xml:space="preserve">FIBERGLASS REINFORCED PLASTIC DUCTS </t>
  </si>
  <si>
    <t>15830-001.0</t>
  </si>
  <si>
    <t>Fans</t>
  </si>
  <si>
    <t>ELEC</t>
  </si>
  <si>
    <t>02581-001.0</t>
  </si>
  <si>
    <t>Precast Electrical Structure Mix Design</t>
  </si>
  <si>
    <t>SCHEDULE</t>
  </si>
  <si>
    <t>QUALITY CONTROL</t>
  </si>
  <si>
    <t>01450-001.1</t>
  </si>
  <si>
    <t>**Resubmittal for Trueform LLC Qualifcations</t>
  </si>
  <si>
    <t>01460-002.0</t>
  </si>
  <si>
    <t>CQCM Replacement Qualifications</t>
  </si>
  <si>
    <t>Note: ** to be discussed with Enginner</t>
  </si>
  <si>
    <t>note: submittal status code: AN - Approved no comments, AC - Approved no comments, AS - Approved Correct and Resubmit,
 NCR - Not Approved Correct Resubmit, NR - Not Approved Rejected, RA - Reciept Acknowledge, RC - Reciept with Comments,  L - Living Document or continously submitted</t>
  </si>
  <si>
    <t>Submittal No.</t>
  </si>
  <si>
    <t>Spec Section Number</t>
  </si>
  <si>
    <t>Specification Title</t>
  </si>
  <si>
    <t>Submittal Title</t>
  </si>
  <si>
    <t>Assignee</t>
  </si>
  <si>
    <t>Paragraph No.</t>
  </si>
  <si>
    <t>Description</t>
  </si>
  <si>
    <t>Date Submitted</t>
  </si>
  <si>
    <t>Return Date</t>
  </si>
  <si>
    <t>NLT Date (14 days)</t>
  </si>
  <si>
    <t>Status</t>
  </si>
  <si>
    <t>Key</t>
  </si>
  <si>
    <t>Accepted</t>
  </si>
  <si>
    <t>Resubmit</t>
  </si>
  <si>
    <t>Submited</t>
  </si>
  <si>
    <t>01140</t>
  </si>
  <si>
    <t>WORK RESTRICTIONS</t>
  </si>
  <si>
    <t>JO/JT</t>
  </si>
  <si>
    <t>1.02-A</t>
  </si>
  <si>
    <t>Baseline Schedule with MOP tasks.</t>
  </si>
  <si>
    <t>This is space is intentionnaly left blank for scrolling</t>
  </si>
  <si>
    <t>1.02-B</t>
  </si>
  <si>
    <t>Method of Procedure (MOP) Form.</t>
  </si>
  <si>
    <t>1.02-C</t>
  </si>
  <si>
    <t>Method of Procedure (MOP) Log.</t>
  </si>
  <si>
    <t>1.02-D</t>
  </si>
  <si>
    <t>Progress Schedule with MOP tasks.</t>
  </si>
  <si>
    <t>01321-001.1</t>
  </si>
  <si>
    <t>01321</t>
  </si>
  <si>
    <t>Scheduler and Reports</t>
  </si>
  <si>
    <t>Beeman's Qualification</t>
  </si>
  <si>
    <t>JO</t>
  </si>
  <si>
    <t>N/A</t>
  </si>
  <si>
    <t xml:space="preserve">Scheduler Qualification </t>
  </si>
  <si>
    <t>REV</t>
  </si>
  <si>
    <t xml:space="preserve">This is space is intentionnaly left blank for scrolling			
			</t>
  </si>
  <si>
    <t>01321-001.2</t>
  </si>
  <si>
    <t xml:space="preserve">Jude Qualification </t>
  </si>
  <si>
    <t>AN</t>
  </si>
  <si>
    <t>01322</t>
  </si>
  <si>
    <t>Submit preliminary and baseline schedule.</t>
  </si>
  <si>
    <t>01321-003.0</t>
  </si>
  <si>
    <t>Submitted</t>
  </si>
  <si>
    <t>01323</t>
  </si>
  <si>
    <t>Submit preliminary and baseline Detailed Breakdown of Project Costs.</t>
  </si>
  <si>
    <t>01324</t>
  </si>
  <si>
    <t>QC</t>
  </si>
  <si>
    <t>Submit preliminary and baseline schedule of submittals.</t>
  </si>
  <si>
    <t>01325</t>
  </si>
  <si>
    <t>Submit, on a monthly basis, updated schedules as specified.</t>
  </si>
  <si>
    <t>01326</t>
  </si>
  <si>
    <t>1.02-E</t>
  </si>
  <si>
    <t>Submit final schedule update as specified.</t>
  </si>
  <si>
    <t>01327</t>
  </si>
  <si>
    <t>1.02-F</t>
  </si>
  <si>
    <t>Submit revised schedules and time impact analyses as specified.</t>
  </si>
  <si>
    <t>01328</t>
  </si>
  <si>
    <t>1.02-G-2</t>
  </si>
  <si>
    <t xml:space="preserve">3 sets of the CPM network and/or bar chart (as specified by the Owner) on D-size sheets.  a. Color-coding to be specified by the Owner. </t>
  </si>
  <si>
    <t>01329</t>
  </si>
  <si>
    <t>1.02-G-3</t>
  </si>
  <si>
    <t xml:space="preserve">3 sets of tabular reports listing all activities sorted numerically identifying 
duration, early start, late start, early finish, late finish, total float, and all 
predecessor/successor information. </t>
  </si>
  <si>
    <t>01330</t>
  </si>
  <si>
    <t>1.02-G-4</t>
  </si>
  <si>
    <t>2 sets of CPM Schedule data electronic files in a native backed-up file (.xer).</t>
  </si>
  <si>
    <t>note: submittal status code: AN - Approved no Exceptions, AC - Approved see comments, AS - Approved Correct and Resubmit,
 NCR - Not Approved Correct Resubmit, NR - Not Approved Rejected, RA - Reciept Acknowledge, RC - Reciept with Comments,  L - Living Document or continously submitted</t>
  </si>
  <si>
    <t>Submital Title</t>
  </si>
  <si>
    <t>00436-001.0</t>
  </si>
  <si>
    <t>00436</t>
  </si>
  <si>
    <t xml:space="preserve">LIST OF EQUIPMENT MANUFACTURERS </t>
  </si>
  <si>
    <t>List of Equipment Manufacturers</t>
  </si>
  <si>
    <t>Table 1</t>
  </si>
  <si>
    <t xml:space="preserve">List of Selected Equipment Manufacturers with circling the manufacturer or supplier that will furnish the respective item of equipment for the Work. </t>
  </si>
  <si>
    <t>01150-003.0</t>
  </si>
  <si>
    <t>MITIGATION AND MONITORING REQUIREMENTS</t>
  </si>
  <si>
    <t>Dust Control Management Plan</t>
  </si>
  <si>
    <t>MN</t>
  </si>
  <si>
    <t>Dust control management plan.</t>
  </si>
  <si>
    <t>01150-003.1</t>
  </si>
  <si>
    <t>01150</t>
  </si>
  <si>
    <t>01150-001.0</t>
  </si>
  <si>
    <t xml:space="preserve">Wildlife Biologist Qualifications </t>
  </si>
  <si>
    <t>KN</t>
  </si>
  <si>
    <t>Qualifications of wildlife biologist performing Hawaiian geese surveys.</t>
  </si>
  <si>
    <t>01150-002.0</t>
  </si>
  <si>
    <t>Bird Survey *For Information Only*</t>
  </si>
  <si>
    <t>CQC Team</t>
  </si>
  <si>
    <t xml:space="preserve">Intial Bird Survey </t>
  </si>
  <si>
    <t>RA</t>
  </si>
  <si>
    <t>01292</t>
  </si>
  <si>
    <t>DETAILED BREAKDOWN OF PROJECT COSTS</t>
  </si>
  <si>
    <t>Preliminary Detailed Breakdown of Project Costs</t>
  </si>
  <si>
    <t>MR</t>
  </si>
  <si>
    <t>1.03-A</t>
  </si>
  <si>
    <t>Submit Detailed Breakdown of Project Costs for the Preliminary Schedule as specified in, Section 01321 - Schedules and Reports.</t>
  </si>
  <si>
    <t>NCR</t>
  </si>
  <si>
    <t>01294</t>
  </si>
  <si>
    <t>APPLICATIONS FOR PAYMENT</t>
  </si>
  <si>
    <t>1.04-A</t>
  </si>
  <si>
    <t>Submit Application for Payment and Substantiating Data with cover letter.</t>
  </si>
  <si>
    <t>1330-001.0</t>
  </si>
  <si>
    <t xml:space="preserve">SUBMITTAL PROCEDURES </t>
  </si>
  <si>
    <t>Site Safety and Health Plan</t>
  </si>
  <si>
    <t>RI</t>
  </si>
  <si>
    <t>Site Specific Safety and Health Plan for entire Project</t>
  </si>
  <si>
    <t>01354</t>
  </si>
  <si>
    <t xml:space="preserve">HAZARDOUS MATERIAL PROCEDURES </t>
  </si>
  <si>
    <t>Submit laboratory reports, hazardous material removal plans, and certifications.</t>
  </si>
  <si>
    <t>1.03-B-1</t>
  </si>
  <si>
    <t>Removal and Legal Disposal of Asbestos Cement Pipe Plan.</t>
  </si>
  <si>
    <t>01357</t>
  </si>
  <si>
    <t xml:space="preserve">DELEGATED DESIGN PROCEDURES  </t>
  </si>
  <si>
    <t>1.04-A-1</t>
  </si>
  <si>
    <t>Contractor’s Professional Engineer’s qualifications.</t>
  </si>
  <si>
    <t>1.04-A-2</t>
  </si>
  <si>
    <t xml:space="preserve">Contractor’s Professional Engineer Professional Liability Insurance certificate. </t>
  </si>
  <si>
    <t>1.04-B-1</t>
  </si>
  <si>
    <t>Product data.</t>
  </si>
  <si>
    <t>1.04-B-2</t>
  </si>
  <si>
    <t>Design documents with signature and seal from the Contractor’s Professional 
Engineer.</t>
  </si>
  <si>
    <t>1.04-B-3</t>
  </si>
  <si>
    <t>Lists and schedules.</t>
  </si>
  <si>
    <t>1.04-C-1</t>
  </si>
  <si>
    <t xml:space="preserve">Contractor’s Professional Engineer’s comments on submittals. </t>
  </si>
  <si>
    <t>1.04-C-2</t>
  </si>
  <si>
    <t xml:space="preserve">Other construction documents, as required. </t>
  </si>
  <si>
    <t>01500-001.0</t>
  </si>
  <si>
    <t>01500</t>
  </si>
  <si>
    <t xml:space="preserve">TEMPORARY FACILITIES AND CONTROLS </t>
  </si>
  <si>
    <t>TEMPORARY FACILITIES &amp; CONTROLS FIELD OFFICE</t>
  </si>
  <si>
    <t>Owner’s and Engineer’s/Construction Manager’s Field Office.</t>
  </si>
  <si>
    <t>01500-001.1</t>
  </si>
  <si>
    <t>Resubmittal -TEMPORARY FACILITIES &amp; CONTROLS FIELD OFFICE</t>
  </si>
  <si>
    <t>01500-002.0</t>
  </si>
  <si>
    <t>Project Sign</t>
  </si>
  <si>
    <t>1.10-G</t>
  </si>
  <si>
    <t xml:space="preserve">For all signs, submit Designs, scaled layouts, and mockups of the signs in color and 
with line, lettering styles, and scales for approval. </t>
  </si>
  <si>
    <t>01573-001.0</t>
  </si>
  <si>
    <t>01573</t>
  </si>
  <si>
    <t xml:space="preserve">EROSION AND SEDIMENT CONTROL </t>
  </si>
  <si>
    <t>Filter Fence</t>
  </si>
  <si>
    <t>1.03-D</t>
  </si>
  <si>
    <t>Manufacturer’s catalog sheets and other product data on geotextile fabric, erosion control blankets, straw bales, silt fencing, etc.</t>
  </si>
  <si>
    <t>01573-001.1</t>
  </si>
  <si>
    <t>Resubmittal: DOUBLE NET MULCH SOCK</t>
  </si>
  <si>
    <t>01573-002.0</t>
  </si>
  <si>
    <t>Erosion Control Socks</t>
  </si>
  <si>
    <t>1.03-A-2</t>
  </si>
  <si>
    <t>Provide samples of previously prepared, submitted, and accepted SWPPPs for 
similar type projects.</t>
  </si>
  <si>
    <t xml:space="preserve">FIO - NGPC NPDES </t>
  </si>
  <si>
    <t>FIO (For information Only) Approved NPDES Permits, No gov't approval required
nor desired.</t>
  </si>
  <si>
    <t>1.03-C</t>
  </si>
  <si>
    <t xml:space="preserve">Copies of environmental permits and all correspondence received from 
governmental agencies regarding environmental compliance. </t>
  </si>
  <si>
    <t>10401-001.0</t>
  </si>
  <si>
    <t>10401</t>
  </si>
  <si>
    <t>First Aid Kits</t>
  </si>
  <si>
    <t xml:space="preserve">Shop drawings. </t>
  </si>
  <si>
    <t>10401-002.0</t>
  </si>
  <si>
    <t xml:space="preserve">Product data: Submit manufacturer's product literature information for products specified. </t>
  </si>
  <si>
    <t>10520</t>
  </si>
  <si>
    <t>1.03-A-1</t>
  </si>
  <si>
    <t xml:space="preserve">Product data: Extinguishers: Materials description for fire extinguishers; include ratings and classifications. </t>
  </si>
  <si>
    <t xml:space="preserve">Product data: Installation instructions for each product specified. </t>
  </si>
  <si>
    <t>1.03-B</t>
  </si>
  <si>
    <t>Shop drawings.</t>
  </si>
  <si>
    <t>note: submittal status code: AN - Approved no comments, AC - Approved with comments, AS - Approved Correct and Resubmit,
 NCR - Not Approved Correct Resubmit, NR - Not Approved Rejected, RA - Reciept Acknowledge, RC - Reciept with Comments L - Living Document or continously submitted</t>
  </si>
  <si>
    <t>01751</t>
  </si>
  <si>
    <t>DIGESTER PRESSURE TESTING</t>
  </si>
  <si>
    <t>QC/Mech</t>
  </si>
  <si>
    <t xml:space="preserve">Submit testing plan with detailed steps and procedures to be followed, in 
accordance with requirements in Section 01756 - Commissioning. </t>
  </si>
  <si>
    <t>01783</t>
  </si>
  <si>
    <t xml:space="preserve">WARRANTIES AND BONDS </t>
  </si>
  <si>
    <t>1.02-A-1</t>
  </si>
  <si>
    <t xml:space="preserve">Submit manufacturer's warranty prior to fabrication and shipment of the item from the manufacturer's facility. </t>
  </si>
  <si>
    <t>1.02-A-2</t>
  </si>
  <si>
    <t xml:space="preserve">Submit manufacturer's special warranty when specified. </t>
  </si>
  <si>
    <t xml:space="preserve">Provide consolidated warranties and bonds within 15 calendar days of Substantial Completion. </t>
  </si>
  <si>
    <t>02553</t>
  </si>
  <si>
    <t>TEMPORARY BYPASS PUMPING</t>
  </si>
  <si>
    <t>Temporary Bar screen</t>
  </si>
  <si>
    <t>Mech</t>
  </si>
  <si>
    <t xml:space="preserve">Prepare and submit a project-specific wastewater bypass pumping plan with 
completed wastewater bypass pumping checklist. </t>
  </si>
  <si>
    <t>02667-001.0</t>
  </si>
  <si>
    <t>02667</t>
  </si>
  <si>
    <t xml:space="preserve">HOT TAPPING AND LINE STOPPING </t>
  </si>
  <si>
    <t>NN</t>
  </si>
  <si>
    <t xml:space="preserve">Experience summary and references for specialty contractor to perform the work. </t>
  </si>
  <si>
    <t>Step-by-step description of procedures to be used for hot tapping and line stopping.</t>
  </si>
  <si>
    <t xml:space="preserve">Shop drawings for all materials used in the hot tapping and line stopping of the pipeline. </t>
  </si>
  <si>
    <t>Installation procedures including tapping sleeves and pressure plate, tapping nozzle and appurtenances, and line stop.</t>
  </si>
  <si>
    <t xml:space="preserve">Installation and removal procedures for the line stop. </t>
  </si>
  <si>
    <t>1.02-G</t>
  </si>
  <si>
    <t xml:space="preserve">List of equipment to be used in the installation with demonstration of backup equipment available to be on site prior to commencement of work. </t>
  </si>
  <si>
    <t>1.02-H</t>
  </si>
  <si>
    <t>Calculations for design of tapping sleeves, draw structure, pressure plate, and line stop.</t>
  </si>
  <si>
    <t>1.02-I</t>
  </si>
  <si>
    <t xml:space="preserve">Letter verifying that all equipment and specialized appurtenances are provided by one supplier. </t>
  </si>
  <si>
    <t>Rev</t>
  </si>
  <si>
    <t>02667-001.2</t>
  </si>
  <si>
    <t>submitted</t>
  </si>
  <si>
    <t>12330</t>
  </si>
  <si>
    <t>BINS</t>
  </si>
  <si>
    <t>Jyun</t>
  </si>
  <si>
    <t xml:space="preserve">Warranty conforming to Section 01783 - Warranties and Bonds. </t>
  </si>
  <si>
    <t xml:space="preserve">Operation and Maintenance Manual. </t>
  </si>
  <si>
    <t xml:space="preserve">Manufacturer's installation instructions: Indicate special installation requirements. </t>
  </si>
  <si>
    <t>13206A</t>
  </si>
  <si>
    <t xml:space="preserve">FIBERGLASS REINFORCED PLASTIC ABOVEGROUND STORAGE TANKS </t>
  </si>
  <si>
    <t>Shop Drawings.</t>
  </si>
  <si>
    <t>1.03-C-1</t>
  </si>
  <si>
    <t>Calculations for anchoring equipment to structures.</t>
  </si>
  <si>
    <t>13206F-001.0</t>
  </si>
  <si>
    <t>13206F</t>
  </si>
  <si>
    <t xml:space="preserve">HYDROPNEUMATIC BLADDER TANK </t>
  </si>
  <si>
    <t>Wessels, Co. (Product Data &amp; Shop Dwg)</t>
  </si>
  <si>
    <t>Equip</t>
  </si>
  <si>
    <t>1.04-B</t>
  </si>
  <si>
    <t>1.04-C</t>
  </si>
  <si>
    <t>1.04-D-1</t>
  </si>
  <si>
    <t xml:space="preserve">Project-specific calculations with anchoring and bracing details based on support conditions and requirements to resist loads specified in Section 01850 - Design Criteria. </t>
  </si>
  <si>
    <t>1.04-E-1</t>
  </si>
  <si>
    <t xml:space="preserve">Manufacturer's installation instructions. </t>
  </si>
  <si>
    <t>1.04-E-2</t>
  </si>
  <si>
    <t>Equipment anchor setting template.</t>
  </si>
  <si>
    <t>1.04-E-3</t>
  </si>
  <si>
    <t xml:space="preserve">Complete details for installation of the equipment including rigging, moving, and setting into place. </t>
  </si>
  <si>
    <t>1.04-F-1</t>
  </si>
  <si>
    <t xml:space="preserve">Certification of compliance with ASME BPVC, and data reports in accordance with the ASME BPVC and other local codes as required. </t>
  </si>
  <si>
    <t>13206N</t>
  </si>
  <si>
    <t xml:space="preserve">WELDED STAINLESS STEEL ABOVEGROUND STORAGE TANKS </t>
  </si>
  <si>
    <t xml:space="preserve">Submit statement that fabrication will be in accordance with API 650, revision number and date, and appendix applicable for the tank, signed by an authorized representative from the tank manufacturer. </t>
  </si>
  <si>
    <t xml:space="preserve">Product data sheets for tank accessories including manufacturer-provided piping. </t>
  </si>
  <si>
    <t>1.03-E</t>
  </si>
  <si>
    <t xml:space="preserve">Calculations. </t>
  </si>
  <si>
    <t>1.03-F</t>
  </si>
  <si>
    <t>Welder qualifications.</t>
  </si>
  <si>
    <t>1.03-G</t>
  </si>
  <si>
    <t>Instructions for handling, storage, and installation of tanks.</t>
  </si>
  <si>
    <t>1.03-H</t>
  </si>
  <si>
    <t xml:space="preserve">Submit certification that tank and its appurtenances have been cleaned and passivated per Section 05500 - Metal Fabrications. </t>
  </si>
  <si>
    <t>1.03-I</t>
  </si>
  <si>
    <t xml:space="preserve">API 650 Certifications. </t>
  </si>
  <si>
    <t>1.03-J</t>
  </si>
  <si>
    <t xml:space="preserve">Inspection records and certified mill tests for stainless steel plate and structural 
members. </t>
  </si>
  <si>
    <t>1.03-K</t>
  </si>
  <si>
    <t>Warranty.</t>
  </si>
  <si>
    <t>1.03-L</t>
  </si>
  <si>
    <t xml:space="preserve">Manufacturer’s field-testing requirements. </t>
  </si>
  <si>
    <t>13212C(ADD8)</t>
  </si>
  <si>
    <t>ABOVEGROUND FUEL-STORAGE TANK AND APPURTENANCES – STEEL VAULTED TANK</t>
  </si>
  <si>
    <t>M. Nakai</t>
  </si>
  <si>
    <t xml:space="preserve">Submit as specified in Section 01330 - Submittal Procedures and Section 15050 - 
Common Work Results for Mechanical Equipment. </t>
  </si>
  <si>
    <t>1.03-D-1</t>
  </si>
  <si>
    <t xml:space="preserve">Quality control submittals: Certificate of suitability with diesel and methanol. </t>
  </si>
  <si>
    <t>1.03-D-2</t>
  </si>
  <si>
    <t xml:space="preserve">Quality control submittals: Certificate of compliance with the specified regulations. </t>
  </si>
  <si>
    <t>1.03-D-3</t>
  </si>
  <si>
    <t xml:space="preserve">Quality control submittals: Obtain Engineer's acceptance of certificates before tank is brought on-site. </t>
  </si>
  <si>
    <t>1.03-D-4</t>
  </si>
  <si>
    <t xml:space="preserve">Quality control submittals: Contractor's plan for coordination with tank manufacturer on the size, number, and location of the fittings required in the tank for the insertion of mechanical and electrical equipment. </t>
  </si>
  <si>
    <t>Operation and maintenance manuals.</t>
  </si>
  <si>
    <t>TSC</t>
  </si>
  <si>
    <t>1.03-F-1</t>
  </si>
  <si>
    <t xml:space="preserve">Commissioning submittals: Provide Manufacturer’s Certificate of Source Testing as specified in Section 01756 - Commissioning. </t>
  </si>
  <si>
    <t>1.03-F-2</t>
  </si>
  <si>
    <t xml:space="preserve">Commissioning submittals: Provide Manufacturer’s Certificate of Installation and Functionality Compliance as specified in Section 01756 - Commissioning. </t>
  </si>
  <si>
    <t xml:space="preserve">Submit a recommended list of spare parts including quantities and maintenance 
supplies. </t>
  </si>
  <si>
    <t>13214(ADD6)</t>
  </si>
  <si>
    <t>FUEL SYSTEM ACCESSORIES</t>
  </si>
  <si>
    <t>13215</t>
  </si>
  <si>
    <t xml:space="preserve">DIGESTER CLEANING </t>
  </si>
  <si>
    <t>1.06-A</t>
  </si>
  <si>
    <t>Anaerobic Digester Cleaning Work Plan.</t>
  </si>
  <si>
    <t>1.06-B</t>
  </si>
  <si>
    <t>Disposal records on a daily basis.</t>
  </si>
  <si>
    <t>13233</t>
  </si>
  <si>
    <t>FIXED STEEL DOME DIGESTER COVERS</t>
  </si>
  <si>
    <t>Complete fabrication, assembly and installation drawings, and operation, maintenance and storage instructions, together with detailed specifications and data covering materials used, parts, devices and other accessories forming a part of the equipment furnished.</t>
  </si>
  <si>
    <t>Technical Manual: Complete operation and maintenance instruction, lubrication 
schedules and troubleshooting guides.</t>
  </si>
  <si>
    <t>13446</t>
  </si>
  <si>
    <t xml:space="preserve">VALVE AND GATE ACTUATORS </t>
  </si>
  <si>
    <t>13447</t>
  </si>
  <si>
    <t xml:space="preserve">ELECTRIC ACTUATORS </t>
  </si>
  <si>
    <t xml:space="preserve">Provide a complete list/schedule of all actuators being provided with their associated tag names as indicated on the design drawings and/or specifications, service process area and the size of the valve they are actuating. </t>
  </si>
  <si>
    <t>1.04-D</t>
  </si>
  <si>
    <t>1.04-E</t>
  </si>
  <si>
    <t>1.04-F</t>
  </si>
  <si>
    <t xml:space="preserve">Provide letters from both the electric actuator manufacturer and the valve (or gate) manufacturer confirming that they have coordinated the electric actuator selection with the specified valve design requirements, including operating speed. </t>
  </si>
  <si>
    <t>1.04-G</t>
  </si>
  <si>
    <t>Provide draft vendor operation and maintenance manual as specified in Section 01782 - Operation and Maintenance Manuals.</t>
  </si>
  <si>
    <t>1.04-H-1</t>
  </si>
  <si>
    <t>Commissioning submittals: Provide Manufacturer’s Certificate of Source Testing as specified in Section 01756 - Commissioning.</t>
  </si>
  <si>
    <t>1.04-H-2</t>
  </si>
  <si>
    <t>Commissioning submittals: Provide Manufacturer’s Certificate of Installation and Functionality Compliance as specified in Section 01756 - Commissioning.</t>
  </si>
  <si>
    <t>1.04-I-1</t>
  </si>
  <si>
    <t xml:space="preserve">Project closeout documents: Provide final vendor operation and maintenance manual as specified in Section 01782 - Operation and Maintenance Manuals. </t>
  </si>
  <si>
    <t>13930</t>
  </si>
  <si>
    <t xml:space="preserve">WET PIPE FIRE EXTINGUISHING SYSTEMS </t>
  </si>
  <si>
    <t>Delegated Design Submittals: Shop Drawings.</t>
  </si>
  <si>
    <t>Delegated Design Submittals: Calculation worksheet.</t>
  </si>
  <si>
    <t xml:space="preserve">Local fire authority approval for the entire system design. </t>
  </si>
  <si>
    <t>1.04-E-1-a</t>
  </si>
  <si>
    <t xml:space="preserve">Commissioning Submittals: Manufacturer’s representative qualifications. </t>
  </si>
  <si>
    <t>1.04-E-1-b</t>
  </si>
  <si>
    <t>Commissioning Submittals: Certificates.</t>
  </si>
  <si>
    <t>1.04-E-1-c</t>
  </si>
  <si>
    <t xml:space="preserve">Commissioning Submittals: Test Plans. </t>
  </si>
  <si>
    <t>1.04-E-1-d</t>
  </si>
  <si>
    <t xml:space="preserve">Commissioning Submittals: Test Reports. </t>
  </si>
  <si>
    <t>1.04-E-1-e</t>
  </si>
  <si>
    <t xml:space="preserve">Commissioning Submittals: Manufacturer’s representatives field notes and data. </t>
  </si>
  <si>
    <t>1.04-E-1-f</t>
  </si>
  <si>
    <t xml:space="preserve">Commissioning Submittals: Owner Training. </t>
  </si>
  <si>
    <t xml:space="preserve">Project closeout documents: Provide vendor operation and maintenance manual as specified in Section 01782 - Operating and Maintenance Manuals. </t>
  </si>
  <si>
    <t>14555</t>
  </si>
  <si>
    <t>SHAFTLESS SCREW CONVEYOR SYSTEM</t>
  </si>
  <si>
    <t>Installation List.</t>
  </si>
  <si>
    <t xml:space="preserve">Product Data. </t>
  </si>
  <si>
    <t>Detailed electrical and instrumentation drawings and information.</t>
  </si>
  <si>
    <t>Separate certification from the spiral manufacturer.</t>
  </si>
  <si>
    <t xml:space="preserve">Complete Bill of Materials with part numbers. </t>
  </si>
  <si>
    <t>1.04-H</t>
  </si>
  <si>
    <t xml:space="preserve">Calculations: Detailed calculations and design data verifying conformance with the 
Drawings and Specifications. </t>
  </si>
  <si>
    <t>1.04-I</t>
  </si>
  <si>
    <t xml:space="preserve">Manufacturer's Installation Instructions. </t>
  </si>
  <si>
    <t>1.04-J</t>
  </si>
  <si>
    <t xml:space="preserve">Motor data per Section 16222 - Low Voltage Motors up to 500 Horsepower. </t>
  </si>
  <si>
    <t>1.04-K-1</t>
  </si>
  <si>
    <t xml:space="preserve">Quality Control Submittals: Detailed performance test procedures: Source quality control and field testing. </t>
  </si>
  <si>
    <t>1.04-K-2</t>
  </si>
  <si>
    <t xml:space="preserve">Quality Control Submittals: Performance test data including measured leakage rates of conveyor gates. </t>
  </si>
  <si>
    <t>1.04-K-3</t>
  </si>
  <si>
    <t xml:space="preserve">Quality Control Submittals: Provide Manufacturer’s Certificate of Source Testing as specified in Section 01756 - Commissioning and this Section. </t>
  </si>
  <si>
    <t>1.04-K-4</t>
  </si>
  <si>
    <t xml:space="preserve">Quality Control Submittals: Provide Manufacturer’s Certificate of Installation and Functionality Compliance as specified in Section 01756 - Commissioning. </t>
  </si>
  <si>
    <t>1.04-L</t>
  </si>
  <si>
    <t xml:space="preserve">Operation and Maintenance Manual per Section 01782 - Operation and Maintenance Manuals. </t>
  </si>
  <si>
    <t>1.04-M</t>
  </si>
  <si>
    <t xml:space="preserve">Wiring Schematics. </t>
  </si>
  <si>
    <t>1.04-N</t>
  </si>
  <si>
    <t xml:space="preserve">Fabrication drawings for the Vendor Control Panel. </t>
  </si>
  <si>
    <t>1.04-O</t>
  </si>
  <si>
    <t xml:space="preserve">Technician Qualifications Resume: Submit resume of technician(s) to perform 
manufacturer’s field services. </t>
  </si>
  <si>
    <t>14556</t>
  </si>
  <si>
    <t>SHAFTED SCREW CONVEYORS</t>
  </si>
  <si>
    <t xml:space="preserve">Submit motor information as specified in Section 16222 - Low Voltage Motors up to 
500 Horsepower and in this Section. </t>
  </si>
  <si>
    <t xml:space="preserve">Details of storage and off-loading requirements. </t>
  </si>
  <si>
    <t xml:space="preserve">Sample warranty. </t>
  </si>
  <si>
    <t>Calculations: Detailed calculations and design data verifying conformance with the 
Drawings and Specifications.</t>
  </si>
  <si>
    <t xml:space="preserve">Quality Control Submittals: Submit manufacturer's certified performance, material 
and equipment records, and qualifications as specified. </t>
  </si>
  <si>
    <t>1.04-K</t>
  </si>
  <si>
    <t xml:space="preserve">Operation and Maintenance: Submit four copies of O&amp;M Manual for each screw 
conveyor system. </t>
  </si>
  <si>
    <t>14592</t>
  </si>
  <si>
    <t xml:space="preserve">SLUDGE STORAGE BIN </t>
  </si>
  <si>
    <t xml:space="preserve">Calculations: Submit structural and seismic calculations signed by a Professional 
Engineer licensed in the State of Hawaii. </t>
  </si>
  <si>
    <t>14612</t>
  </si>
  <si>
    <t>DAVIT CRANES</t>
  </si>
  <si>
    <t>Shop drawings and calculations.</t>
  </si>
  <si>
    <t>1.02-D-1</t>
  </si>
  <si>
    <t>1.02-E-1</t>
  </si>
  <si>
    <t xml:space="preserve">Project closeout documents: Provide vendor operation and maintenance manual as specified in Section 01782 - Operation and Maintenance Manuals. </t>
  </si>
  <si>
    <t>14624</t>
  </si>
  <si>
    <t xml:space="preserve">MONORAIL SYSTEM </t>
  </si>
  <si>
    <t>1.05-B</t>
  </si>
  <si>
    <t xml:space="preserve">Product data. </t>
  </si>
  <si>
    <t>1.05-C</t>
  </si>
  <si>
    <t>1.05-D</t>
  </si>
  <si>
    <t>1.05-E-1</t>
  </si>
  <si>
    <t>1.05-F-1</t>
  </si>
  <si>
    <t>1.05-G</t>
  </si>
  <si>
    <t>Certificates.</t>
  </si>
  <si>
    <t>14633</t>
  </si>
  <si>
    <t xml:space="preserve">TOP RUNNING DOUBLE GIRDER BRIDGE CRANES </t>
  </si>
  <si>
    <t xml:space="preserve">Commissioning submittals: Manufacturer’s Certificate of Source Testing as specified in Section 01756 - Commissioning. </t>
  </si>
  <si>
    <t>1.05-E-2</t>
  </si>
  <si>
    <t xml:space="preserve">Commissioning submittals: Manufacturer's Certificate of Compliance with Federal Regulations. </t>
  </si>
  <si>
    <t>1.05-E-3</t>
  </si>
  <si>
    <t>1.05-F</t>
  </si>
  <si>
    <t>Design data: Structural and seismic calculations for rails and bridge beams.</t>
  </si>
  <si>
    <t>1.05-H-1</t>
  </si>
  <si>
    <t>Project closeout documents: Provide vendor operation and maintenance manual as specified in Section 01782 - Operation and Maintenance Manuals</t>
  </si>
  <si>
    <t>14650</t>
  </si>
  <si>
    <t xml:space="preserve">JIB CRANES </t>
  </si>
  <si>
    <t>1.03-E-1</t>
  </si>
  <si>
    <t>14670</t>
  </si>
  <si>
    <t xml:space="preserve">WINCHES </t>
  </si>
  <si>
    <t xml:space="preserve">Warranty. </t>
  </si>
  <si>
    <t>Complete bill of materials.</t>
  </si>
  <si>
    <t xml:space="preserve">Operation and Maintenance Manual as specified in Section 01782 - Operation and 
Maintenance Manuals. </t>
  </si>
  <si>
    <t xml:space="preserve">Operations and maintenance data. </t>
  </si>
  <si>
    <t>15050</t>
  </si>
  <si>
    <t xml:space="preserve">COMMON WORK RESULTS FOR MECHANICAL EQUIPMENT </t>
  </si>
  <si>
    <t>1.06-C</t>
  </si>
  <si>
    <t>1.06-D</t>
  </si>
  <si>
    <t>1.06-E</t>
  </si>
  <si>
    <t>1.06-F</t>
  </si>
  <si>
    <t>1.06-G</t>
  </si>
  <si>
    <t xml:space="preserve">Commissioning submittals: As specified in Section 01756 - Commissioning. </t>
  </si>
  <si>
    <t>1.06-H</t>
  </si>
  <si>
    <t xml:space="preserve">Project closeout documents: As specified in Section 01770 - Closeout Procedures. </t>
  </si>
  <si>
    <t>15052-002.0</t>
  </si>
  <si>
    <t>15052</t>
  </si>
  <si>
    <t xml:space="preserve">COMMON WORK RESULTS FOR GENERAL PIPING </t>
  </si>
  <si>
    <t>Wall Sleeves C&amp;B Piping</t>
  </si>
  <si>
    <t>Krishna</t>
  </si>
  <si>
    <t>1.04 B - 1(G)</t>
  </si>
  <si>
    <t xml:space="preserve">Layouts - Shop drawings </t>
  </si>
  <si>
    <t>15052-001.1</t>
  </si>
  <si>
    <t>15057</t>
  </si>
  <si>
    <t xml:space="preserve">FUSION BONDED EPOXY LINING </t>
  </si>
  <si>
    <t xml:space="preserve">Test reports: Include manufacturer's certification that lining passed tests. </t>
  </si>
  <si>
    <t xml:space="preserve">Manufacturer's application instructions. </t>
  </si>
  <si>
    <t>15061</t>
  </si>
  <si>
    <t xml:space="preserve">PIPE SUPPORTS </t>
  </si>
  <si>
    <t>15062</t>
  </si>
  <si>
    <t xml:space="preserve">PREFORMED CHANNEL PIPE SUPPORT SYSTEM </t>
  </si>
  <si>
    <t>15063</t>
  </si>
  <si>
    <t>NON-METALLIC PIPE SUPPORT SYSTEM</t>
  </si>
  <si>
    <t>15076-001.0</t>
  </si>
  <si>
    <t>15076</t>
  </si>
  <si>
    <t>PIPE IDENTIFICATION</t>
  </si>
  <si>
    <t>Detectable warning tape</t>
  </si>
  <si>
    <t>Uriah/QC</t>
  </si>
  <si>
    <t>1.03-B-2</t>
  </si>
  <si>
    <t xml:space="preserve">Samples. </t>
  </si>
  <si>
    <t>1.03-B-3</t>
  </si>
  <si>
    <t>1.03-B-4-a</t>
  </si>
  <si>
    <t xml:space="preserve">Operation and Maintenance Data. </t>
  </si>
  <si>
    <t>1.03-B-4-b</t>
  </si>
  <si>
    <t>15082</t>
  </si>
  <si>
    <t xml:space="preserve">PIPING INSULATION </t>
  </si>
  <si>
    <t>RL Ohana</t>
  </si>
  <si>
    <t xml:space="preserve">Product data: As specified in Section 15050 - Common Work Results for 
Mechanical Equipment. </t>
  </si>
  <si>
    <t>15084</t>
  </si>
  <si>
    <t>DUCTWORK INSULATION</t>
  </si>
  <si>
    <t xml:space="preserve">Product data: As specified in Specifications Section 15052: Common Work Results 
for General Piping. </t>
  </si>
  <si>
    <t>15110</t>
  </si>
  <si>
    <t xml:space="preserve">COMMON WORK RESULTS FOR VALVES </t>
  </si>
  <si>
    <t>ValveBox</t>
  </si>
  <si>
    <t xml:space="preserve">Provide vendor operation and maintenance manual as specified in Section 01782 - 
Operation and Maintenance Manuals. </t>
  </si>
  <si>
    <t xml:space="preserve">Provide Manufacturer’s Certificate of Source Testing as specified in Section 01756 - 
Commissioning. </t>
  </si>
  <si>
    <t xml:space="preserve">Provide Manufacturer’s Certificate of Installation and Functionality Compliance as 
specified in Section 01756 - Commissioning. </t>
  </si>
  <si>
    <t>15111</t>
  </si>
  <si>
    <t xml:space="preserve">BALL VALVES </t>
  </si>
  <si>
    <t>Product data: As specified in Section 15110 - Common Work Results for Valves.</t>
  </si>
  <si>
    <t>For valves specified to have electric actuators, provide letters from both the valve manufacturer and the electric actuator manufacturer confirming that they have coordinated the electric actuator selection with the specified valve design requirements</t>
  </si>
  <si>
    <t>15112</t>
  </si>
  <si>
    <t xml:space="preserve">BUTTERFLY VALVES </t>
  </si>
  <si>
    <t>Product data: 15110 - Common Work Results for Valves.</t>
  </si>
  <si>
    <t>15114</t>
  </si>
  <si>
    <t>CHECK VALVES</t>
  </si>
  <si>
    <t>Product data: As specified in Section 01600 - Product Requirements.</t>
  </si>
  <si>
    <t xml:space="preserve">Commissioning submittals: Provide Manufacturer’s Certificate of Installation Compliance as specified in Section 01756 - Commissioning. </t>
  </si>
  <si>
    <t>15115-001.0</t>
  </si>
  <si>
    <t>15115</t>
  </si>
  <si>
    <t xml:space="preserve">GATE, GLOBE, AND ANGLE VALVES </t>
  </si>
  <si>
    <t>KNIFE GATE VALVE</t>
  </si>
  <si>
    <t>Mechanical</t>
  </si>
  <si>
    <t>1.0-B</t>
  </si>
  <si>
    <t xml:space="preserve">Product data: As specified in Section 15110 - Common Work Results for Valves. </t>
  </si>
  <si>
    <t>15115-001.1</t>
  </si>
  <si>
    <t>15115-002.0</t>
  </si>
  <si>
    <t>GATE VALVE GV00</t>
  </si>
  <si>
    <t>Uriah/Civil</t>
  </si>
  <si>
    <t>2.0-B</t>
  </si>
  <si>
    <t>For valves specified to have electric actuators, provide letters from both the valve manufacturer and the electric actuator manufacturer confirming that they have coordinated the electric actuator selection with the specified valve design requirements.</t>
  </si>
  <si>
    <t xml:space="preserve">Commissioning submittals: For valves larger than 16 inches: Provide Manufacturer’s Certificate of Installation and Functionality Compliance as specified in Section 01756 - Commissioning. </t>
  </si>
  <si>
    <t>15116</t>
  </si>
  <si>
    <t>PLUG VALVES</t>
  </si>
  <si>
    <t xml:space="preserve">For valves specified to have electric actuators, provide letters from both the valve 
manufacturer and the electric actuator manufacturer confirming that they have 
coordinated the electric actuator selection with the specified valve design 
requirements, including operating speed. </t>
  </si>
  <si>
    <t>15116-001.0</t>
  </si>
  <si>
    <t>Dezurick Product Data</t>
  </si>
  <si>
    <t xml:space="preserve">Product data as defined in 01600 - Product Requirements. </t>
  </si>
  <si>
    <t xml:space="preserve">Shop drawings showing installation arrangement of major component assemblies. </t>
  </si>
  <si>
    <t xml:space="preserve">Vendor operation and maintenance manual as specified in Section 01782 - 
Operation and Maintenance Manuals. </t>
  </si>
  <si>
    <t>1.03-G-1</t>
  </si>
  <si>
    <t>1.03-G-2</t>
  </si>
  <si>
    <t>15117</t>
  </si>
  <si>
    <t xml:space="preserve">SPECIALTY VALVES </t>
  </si>
  <si>
    <t xml:space="preserve">Commissioning submittals: Backflow preventer certification. </t>
  </si>
  <si>
    <t>1.03-C-2</t>
  </si>
  <si>
    <t>15118</t>
  </si>
  <si>
    <t xml:space="preserve">PRESSURE CONTROL VALVES </t>
  </si>
  <si>
    <t>1.02-C-1</t>
  </si>
  <si>
    <t xml:space="preserve">Provide Manufacturer’s Certificate of Installation and Functionality Compliance 
as specified in Section 01756 - Commissioning. </t>
  </si>
  <si>
    <t>15119</t>
  </si>
  <si>
    <t xml:space="preserve">AIR AND VACUUM RELIEF VALVES </t>
  </si>
  <si>
    <t>15120</t>
  </si>
  <si>
    <t xml:space="preserve">PIPING SPECIALTIES </t>
  </si>
  <si>
    <t>Manufacturer’s Certificate of Installation and Functionality Compliance as specified 
in Section 01756 - Commissioning.</t>
  </si>
  <si>
    <t>15121</t>
  </si>
  <si>
    <t xml:space="preserve">PIPE COUPLINGS </t>
  </si>
  <si>
    <t>Calculations: Provide calculations in accordance with NSF 372 for materials in contact with drinking water.</t>
  </si>
  <si>
    <t xml:space="preserve">Piping layout drawings: Coordinate preparation of required piping layout drawings 
such that coupling center sleeve sizes are clearly indicated on the Drawings. </t>
  </si>
  <si>
    <t>15122</t>
  </si>
  <si>
    <t>FIRE HYDRANTS</t>
  </si>
  <si>
    <t>15125</t>
  </si>
  <si>
    <t>STRAINERS</t>
  </si>
  <si>
    <t xml:space="preserve">Product data: As specified in Section 15052 - Common Work Results for General 
Piping. </t>
  </si>
  <si>
    <t>15211</t>
  </si>
  <si>
    <t>DUCTILE IRON PIPE: AWWA C151</t>
  </si>
  <si>
    <t>Nishant/QC</t>
  </si>
  <si>
    <t>Manufacturer's qualifications.</t>
  </si>
  <si>
    <t>Manufacturer's Quality Assurance Manual.</t>
  </si>
  <si>
    <t>Provide manufacturer’s test reports.</t>
  </si>
  <si>
    <t>15230</t>
  </si>
  <si>
    <t xml:space="preserve">PLASTIC PIPING AND TUBING </t>
  </si>
  <si>
    <t>Product submittal:C900 PVC</t>
  </si>
  <si>
    <t>1.04-B
1.04-C
2.03.A</t>
  </si>
  <si>
    <t xml:space="preserve">Product data: As specified in Section 15052 - Common Work Results for General Piping.
Shop Drawings </t>
  </si>
  <si>
    <t>15230-001.1</t>
  </si>
  <si>
    <t>Product submittal: SCH80 PVC &amp; CPVC</t>
  </si>
  <si>
    <t>2.02-A.1 &amp; 2</t>
  </si>
  <si>
    <t>Product data:Materials and Fittings Only!</t>
  </si>
  <si>
    <t>15230-002.1</t>
  </si>
  <si>
    <t>Product Data: Solvent Cement and Primer</t>
  </si>
  <si>
    <t>Nishant</t>
  </si>
  <si>
    <t>2.03 A. 3</t>
  </si>
  <si>
    <t>Product Data for Solvent Cement and Primer</t>
  </si>
  <si>
    <t>15230-003.1</t>
  </si>
  <si>
    <t>15230-004.0</t>
  </si>
  <si>
    <t>Variance: HDPE Product Data</t>
  </si>
  <si>
    <t>Brandon</t>
  </si>
  <si>
    <t>Variance to use HDPE pipe in lieu of PVC</t>
  </si>
  <si>
    <t>15234(ADD6)</t>
  </si>
  <si>
    <t>POLYETHYLENE (PE) PIPE: ASTM D2513</t>
  </si>
  <si>
    <t>Product data: As specified in Section 15052 - Common Work Results for General 
Piping.</t>
  </si>
  <si>
    <t xml:space="preserve">HIGH DENSITY POLYETHYLENE (HDPE) PIPE: AWWA C906 </t>
  </si>
  <si>
    <t>Submittals: HDPE Pipe &amp; Fittings, Qualifications of installation crew for HDPE</t>
  </si>
  <si>
    <t xml:space="preserve">Qualifications of installation crew for high-density polyethylene pipe including 
qualifications of the fusion machine technician. Furnish proof of training in the use of fusion equipment. </t>
  </si>
  <si>
    <t>15241-001.1</t>
  </si>
  <si>
    <t>HDPE for Emergency Bypass Only</t>
  </si>
  <si>
    <t>Resubmital, no shop drawings</t>
  </si>
  <si>
    <t>AC</t>
  </si>
  <si>
    <t>15254</t>
  </si>
  <si>
    <t xml:space="preserve">CAST IRON SOIL PIPE: ASTM A74 </t>
  </si>
  <si>
    <t>15270</t>
  </si>
  <si>
    <t>STEEL PIPE: GALVANIZED AND BLACK, ASTM A53</t>
  </si>
  <si>
    <t>15272</t>
  </si>
  <si>
    <t>STEEL PIPE</t>
  </si>
  <si>
    <t xml:space="preserve">Submit installation schedule, line-lay drawings, method of handling pipe and method of coating and welding repairs. </t>
  </si>
  <si>
    <t>Wall thickness design calculations sealed by a Licensed Professional Engineer.</t>
  </si>
  <si>
    <t xml:space="preserve">Thrust restraint calculations for all fittings and valves including the restraint length, 
single, and double weld lengths to be sealed by a Licensed Professional Engineer. </t>
  </si>
  <si>
    <t>Fabrication and Lay drawings showing a schematic location with profile and 
tabulated layout schedule that is sealed by a Licensed Professional Engineer</t>
  </si>
  <si>
    <t>Certificates of Compliance.</t>
  </si>
  <si>
    <t>Certified Test Reports.</t>
  </si>
  <si>
    <t>15281</t>
  </si>
  <si>
    <t xml:space="preserve">COPPER WATER TUBE: SEAMLESS, ASTM B88 </t>
  </si>
  <si>
    <t>15286</t>
  </si>
  <si>
    <t>STAINLESS STEEL PIPE AND TUBING</t>
  </si>
  <si>
    <t xml:space="preserve">Field welding references: Welder and weld operator qualification certificates and welding procedures. </t>
  </si>
  <si>
    <t>15293</t>
  </si>
  <si>
    <t xml:space="preserve">DOUBLE CONTAINMENT PIPING </t>
  </si>
  <si>
    <t xml:space="preserve">Manufacturer’s published installation instructions. </t>
  </si>
  <si>
    <t xml:space="preserve">Expansion joint design information. </t>
  </si>
  <si>
    <t>15400</t>
  </si>
  <si>
    <t xml:space="preserve">PLUMBING SYSTEMS </t>
  </si>
  <si>
    <t>15430</t>
  </si>
  <si>
    <t xml:space="preserve">EMERGENCY EYE/FACE WASH AND SHOWER EQUIPMENT </t>
  </si>
  <si>
    <t xml:space="preserve">Submit as specified in Section 01330 - Submittal Procedures and Section 01600 - 
Product Requirements. </t>
  </si>
  <si>
    <t>15500</t>
  </si>
  <si>
    <t xml:space="preserve">COMMON WORK RESULTS FOR HVAC </t>
  </si>
  <si>
    <t xml:space="preserve">Where items in this Section are components of equipment or systems specified in 
other sections, include data for this Section’s components with the equipment or 
system submittal. </t>
  </si>
  <si>
    <t>When products are specified in this Section but are not referenced in other 
Technical Sections: Product data.</t>
  </si>
  <si>
    <t>When products are specified in this Section but are not referenced in other 
Technical Sections: Description of coating system and instructions for field touch up and re-coating.</t>
  </si>
  <si>
    <t>15521</t>
  </si>
  <si>
    <t>HOT WATER SYSTEM COMPONENTS</t>
  </si>
  <si>
    <t xml:space="preserve">Quality control submittals: Factory functional test report. </t>
  </si>
  <si>
    <t xml:space="preserve">Quality control submittals: Field performance test report. </t>
  </si>
  <si>
    <t xml:space="preserve">Quality control submittals: Certificate of Compliance with ASME Code Section VIII, Division 1, as applicable. </t>
  </si>
  <si>
    <t>1.03-B-4</t>
  </si>
  <si>
    <t xml:space="preserve">Quality control submittals: Certificates of Installation as specified in Section 01756 - Commissioning. </t>
  </si>
  <si>
    <t xml:space="preserve">Certificates as specified in Sections 01756 - Commissioning, 15050 - Common 
Work Results for Mechanical Equipment, and 15958 - Mechanical Equipment 
Testing. </t>
  </si>
  <si>
    <t xml:space="preserve">Warranties. </t>
  </si>
  <si>
    <t>15552</t>
  </si>
  <si>
    <t>HOT WATER BOILER</t>
  </si>
  <si>
    <t xml:space="preserve">Provide detailed drawings of the fuel train and individual components. </t>
  </si>
  <si>
    <t xml:space="preserve">Provide detailed product data and dimensioned drawings of the burner and 
associated components.  </t>
  </si>
  <si>
    <t xml:space="preserve">Provide manufacturer published data or cutsheets with product descriptions for all 
accessories including fuel train components, valves, burner, controller, sensors, 
switches, transmitters, gauges, and other equipment provided as part of the 
complete boiler package. </t>
  </si>
  <si>
    <t xml:space="preserve">Provide technical data sheets for coatings system, including coating type for primer 
and topcoat, paint manufacturer’s recommended thickness, application process, 
and other information to confirm coatings are appropriate for the conditions 
specified in paragraph 2.08. </t>
  </si>
  <si>
    <t xml:space="preserve">Include diagrams for power, signal, and control wiring including a schematic wiring 
diagram of boiler control system showing all components, interlocks, and clearly 
identify factory wiring and field wiring by others.  </t>
  </si>
  <si>
    <t xml:space="preserve">Provide manufacturer’s test reports, including combustion test report, and other 
reports as required by the manufacturer. </t>
  </si>
  <si>
    <t>Calculations: As specified in Section 15050 - Common Work Results for Mechanical 
Equipment</t>
  </si>
  <si>
    <t xml:space="preserve">Field emissions testing report. </t>
  </si>
  <si>
    <t xml:space="preserve">Quality control submittals. </t>
  </si>
  <si>
    <t>1.03-M</t>
  </si>
  <si>
    <t xml:space="preserve">Maintenance Service Agreement (MSA): Provide MSA including maintenance 
service requirements per paragraph 3.02-F. </t>
  </si>
  <si>
    <t>1.03-N-1</t>
  </si>
  <si>
    <t>1.03-N-2</t>
  </si>
  <si>
    <t>1.03-O-1</t>
  </si>
  <si>
    <t>1.03-O-2</t>
  </si>
  <si>
    <t xml:space="preserve">Project closeout documents: ASME stamp Certification and Report. Submit a copy of the inspection report and documentation of hydrostatic testing. </t>
  </si>
  <si>
    <t>1.03-O-3</t>
  </si>
  <si>
    <t xml:space="preserve">Project closeout documents: Manufacturer’s data reports. </t>
  </si>
  <si>
    <t>1.03-O-4</t>
  </si>
  <si>
    <t xml:space="preserve">Project closeout documents: Startup reports proving satisfactory performance. </t>
  </si>
  <si>
    <t>15732</t>
  </si>
  <si>
    <t>AIR CONDITIONING UNITS</t>
  </si>
  <si>
    <t>1.07-B</t>
  </si>
  <si>
    <t>Catalog cuts, bulletins, and brochures.</t>
  </si>
  <si>
    <t>1.07-C</t>
  </si>
  <si>
    <t>Drawings.</t>
  </si>
  <si>
    <t>1.07-D</t>
  </si>
  <si>
    <t>Delegated Design submittals: Anchoring and bracing: Provide project-specific calculations based on support conditions and requirements to resist loads specified in Section 01850 - Design Criteria</t>
  </si>
  <si>
    <t>1.07-E-1</t>
  </si>
  <si>
    <t xml:space="preserve">Engineering data: Manufacturer's published data for compressor, evaporator coil, condenser, evaporator fan, refrigerant, filter, etc. </t>
  </si>
  <si>
    <t>1.07-E-2</t>
  </si>
  <si>
    <t>Engineering data: Maximum equipment vibration levels and field-testing method.</t>
  </si>
  <si>
    <t>1.07-E-3</t>
  </si>
  <si>
    <t xml:space="preserve">Engineering data: Sound power level in each of 8 octave bands and overall Sones. </t>
  </si>
  <si>
    <t>1.07-E-4</t>
  </si>
  <si>
    <t xml:space="preserve">Engineering data: Fan performance curves showing specified operating condition. </t>
  </si>
  <si>
    <t>1.07-E-5</t>
  </si>
  <si>
    <t>Engineering data: Bearing life.</t>
  </si>
  <si>
    <t>1.07-F</t>
  </si>
  <si>
    <t xml:space="preserve">Manufacturer's recommendations for handling, storage, and installation. </t>
  </si>
  <si>
    <t>1.07-G</t>
  </si>
  <si>
    <t xml:space="preserve">Nameplate data. </t>
  </si>
  <si>
    <t>1.07-H</t>
  </si>
  <si>
    <t>Vendor operation and maintenance manuals: Manufacturer's standard instruction 
manual for operation and maintenance.</t>
  </si>
  <si>
    <t>15740</t>
  </si>
  <si>
    <t>HEAT PUMPS</t>
  </si>
  <si>
    <t>1.04-F-2</t>
  </si>
  <si>
    <t>1.04-G-1</t>
  </si>
  <si>
    <t>15812</t>
  </si>
  <si>
    <t xml:space="preserve">METAL DUCTS </t>
  </si>
  <si>
    <t>Design data: Seismic design calculations.</t>
  </si>
  <si>
    <t>15814</t>
  </si>
  <si>
    <t>same as spec</t>
  </si>
  <si>
    <t>AS</t>
  </si>
  <si>
    <t>x</t>
  </si>
  <si>
    <t xml:space="preserve">Direct burial procedure and details. </t>
  </si>
  <si>
    <t>Submit test results as specified in Section 06608 - Fiberglass Reinforced Plastic 
verifying that ductwork meets standards specified.</t>
  </si>
  <si>
    <t>15830</t>
  </si>
  <si>
    <t>FANS</t>
  </si>
  <si>
    <t>1.05-A</t>
  </si>
  <si>
    <t xml:space="preserve">Submit as specified in the General Requirements and Section 15050 - Common 
Work Results for Mechanical Equipment. </t>
  </si>
  <si>
    <t>Provide Manufacturer’s Certificate of Source Testing as specified in Section 01756 - 
Commissioning.</t>
  </si>
  <si>
    <t>15832</t>
  </si>
  <si>
    <t xml:space="preserve">ODOR CONTROL FANS </t>
  </si>
  <si>
    <t xml:space="preserve">Submit as specified in Section 15050 - Common Work Results for Mechanical 
Equipment and specified herein. </t>
  </si>
  <si>
    <t>Marshall</t>
  </si>
  <si>
    <t>15832-001.1</t>
  </si>
  <si>
    <t>15838</t>
  </si>
  <si>
    <t>GRAVITY VENTILATORS</t>
  </si>
  <si>
    <t xml:space="preserve">Vendor operation and maintenance manuals: Manufacturer's standard instruction 
manual for operation and maintenance. </t>
  </si>
  <si>
    <t>Provide manufacturers reports on factory testing.</t>
  </si>
  <si>
    <t>High wind certification.</t>
  </si>
  <si>
    <t>15852</t>
  </si>
  <si>
    <t>LOUVERS</t>
  </si>
  <si>
    <t xml:space="preserve">Shop drawings: Include dimensions, anchorage details, and relationships to 
adjacent materials. </t>
  </si>
  <si>
    <t>15936</t>
  </si>
  <si>
    <t xml:space="preserve">INSTRUMENTATION AND CONTROL DEVICES FOR HVAC </t>
  </si>
  <si>
    <t xml:space="preserve">Product data: As specified in Section 15500 - Common Work Results for HVAC. </t>
  </si>
  <si>
    <t>15954</t>
  </si>
  <si>
    <t>TESTING, ADJUSTING, AND BALANCING FOR HVAC</t>
  </si>
  <si>
    <t>Resumes of proposed supervisor and personnel showing training and qualifications.</t>
  </si>
  <si>
    <t>Testing plan.</t>
  </si>
  <si>
    <t>Report.</t>
  </si>
  <si>
    <t>15956</t>
  </si>
  <si>
    <t>PIPING SYSTEMS TESTING</t>
  </si>
  <si>
    <t>Schedule and notification of tests.</t>
  </si>
  <si>
    <t>15958</t>
  </si>
  <si>
    <t xml:space="preserve">MECHANICAL EQUIPMENT TESTING </t>
  </si>
  <si>
    <t xml:space="preserve">Provide Source Test Plans as specified in Section 01756 - Commissioning. </t>
  </si>
  <si>
    <t>Provide Installation and Functional Testing Plans as specified in Section 01756 - 
Commissioning.</t>
  </si>
  <si>
    <t xml:space="preserve">Schedule of source (factory) tests, Owner staff training, installation testing, pretest 
checks, clean water facility testing, functional testing, performance testing, start-up 
testing, and closeout documentation, as specified in this Section and in 
Section 01756 - Commissioning. </t>
  </si>
  <si>
    <t xml:space="preserve">Test instrumentation calibration data. </t>
  </si>
  <si>
    <t xml:space="preserve">Test reports as specified in this Section and in Section 01756 - Commissioning and 
equipment sections. </t>
  </si>
  <si>
    <t>15958-002.0</t>
  </si>
  <si>
    <t>MECHANICAL EQUIPMENT TESTING</t>
  </si>
  <si>
    <t>PDM Specialist Qualifications</t>
  </si>
  <si>
    <t>MC</t>
  </si>
  <si>
    <t>Qualifcations and Equipment Variance Request</t>
  </si>
  <si>
    <t>15958-002.1</t>
  </si>
  <si>
    <t>note: submittal status code: AN - Approved no comments, AC - Approved with comments resumittal not required, AS - Approved Correct and Resubmit,
 NCR - Not Approved Correct Resubmit, NR - Not Approved Rejected, RA - Reciept Acknowledge, RC - Reciept with Comments L - Living Document or continously submitted</t>
  </si>
  <si>
    <t>Submittal title</t>
  </si>
  <si>
    <t>11215</t>
  </si>
  <si>
    <t xml:space="preserve">HIGH-PRESSURE WASHERS </t>
  </si>
  <si>
    <t xml:space="preserve">Shop drawings and product data. </t>
  </si>
  <si>
    <t>Manufacturer’s installation instructions.</t>
  </si>
  <si>
    <t xml:space="preserve">Operations and Maintenance Manual. </t>
  </si>
  <si>
    <t>11245-001.0</t>
  </si>
  <si>
    <t xml:space="preserve">11245
</t>
  </si>
  <si>
    <t xml:space="preserve">LIQUID CHEMICAL PERISTALTIC TUBE METERING PUMPS
</t>
  </si>
  <si>
    <t>Blue - White</t>
  </si>
  <si>
    <t>QC/Marshall</t>
  </si>
  <si>
    <t xml:space="preserve">Product data: Current NSF 61 Certification for components to be in contact with associated chemical or potable water. </t>
  </si>
  <si>
    <t xml:space="preserve">Product data: Provide data showing chemical compatibility and history of service with the associated chemical for materials in the system. </t>
  </si>
  <si>
    <t>Calculations: For each pump type, submit calibration charts and tables relating flow rate to speed.</t>
  </si>
  <si>
    <t>Calculations: Submit calculations for each metering pump showing the suitability of each pump for the suction and discharge conditions of each application point.</t>
  </si>
  <si>
    <t>Calculations: Calibration curves for each pump relating speed to flow rate.</t>
  </si>
  <si>
    <t xml:space="preserve">Vendor operation and maintenance manuals: As specified in Section 01782 -Operation and Maintenance Manuals. </t>
  </si>
  <si>
    <t>1.03-F-1-a</t>
  </si>
  <si>
    <t>1.03-F-1-b</t>
  </si>
  <si>
    <t>1.03-F-1-c</t>
  </si>
  <si>
    <t>Commissioning Submittals: Test Plans.</t>
  </si>
  <si>
    <t>1.03-F-1-d</t>
  </si>
  <si>
    <t>1.03-F-1-e</t>
  </si>
  <si>
    <t>1.03-F-1-f</t>
  </si>
  <si>
    <t>Commissioning Submittals: Owner training.</t>
  </si>
  <si>
    <t>11246</t>
  </si>
  <si>
    <t>POLYMER BLENDING AND FEED EQUIPMENT: LIQUID</t>
  </si>
  <si>
    <t>Product data: Detailed specifications and shop drawings with both isometric and orthogonal views of the proposed installation.</t>
  </si>
  <si>
    <t xml:space="preserve">Product data: Hydraulic characteristics of the mixer. </t>
  </si>
  <si>
    <t xml:space="preserve">Calculations: As specified in Section 15050 - Common Work Results for Mechanical Equipment. </t>
  </si>
  <si>
    <t xml:space="preserve">Vendor operation and maintenance manuals: As specified in Section 01782 - Operation and Maintenance Manuals. </t>
  </si>
  <si>
    <t xml:space="preserve">Commissioning submittals: Provide Manufacturer's Certificate of Source Testing as specified in Section 01756 - Commissioning. </t>
  </si>
  <si>
    <t xml:space="preserve">Commissioning submittals: Provide Manufacturer's Certificate of Installation and Functionality Compliance as specified in Section 01756 - Commissioning. </t>
  </si>
  <si>
    <t>11294B</t>
  </si>
  <si>
    <t>HEAVY-DUTY FABRICATED STAINLESS STEEL SLIDE GATES</t>
  </si>
  <si>
    <t xml:space="preserve">Product data: As specified in Section 15050 - Common Work Results for Mechanical Equipment. </t>
  </si>
  <si>
    <t>1.06-E-1</t>
  </si>
  <si>
    <t>Gate operators: Provide certification from both the operator manufacturer and the gate manufacturer confirming that the proposed gate stem configuration has been coordinated with motorized operator selection.</t>
  </si>
  <si>
    <t>1.06-E-2</t>
  </si>
  <si>
    <t>Gate operators: For coordination purposes, gate manufacturer shall submit calculations verifying the suitability of the selected operator for the application.</t>
  </si>
  <si>
    <t xml:space="preserve">Design Calculations: As specified in Section 15050 - Common Work Results for Mechanical Equipment: </t>
  </si>
  <si>
    <t xml:space="preserve">Wall thimbles design. </t>
  </si>
  <si>
    <t>1.06-I</t>
  </si>
  <si>
    <t>1.06-J</t>
  </si>
  <si>
    <t xml:space="preserve">Vendor operation and maintenance manuals as specified in Section 01782 - Operation and Maintenance Manuals. </t>
  </si>
  <si>
    <t>TC</t>
  </si>
  <si>
    <t>1.06-K-1</t>
  </si>
  <si>
    <t>1.06-K-2</t>
  </si>
  <si>
    <t>Commissioning submittals: Detailed Performance Test Procedures: Factory and field testing.</t>
  </si>
  <si>
    <t>1.06-L</t>
  </si>
  <si>
    <t xml:space="preserve">Detailed performance test procedures for factory and field-testing. </t>
  </si>
  <si>
    <t>1.06-M</t>
  </si>
  <si>
    <t xml:space="preserve">Certificate of Installation and Functionality Compliance. </t>
  </si>
  <si>
    <t>1.06-N</t>
  </si>
  <si>
    <t xml:space="preserve">Testing results reports and certifications. </t>
  </si>
  <si>
    <t>11312C-001.0</t>
  </si>
  <si>
    <t>11312C</t>
  </si>
  <si>
    <t xml:space="preserve">HORIZONTAL RECESS IMPELLER CENTRIFUGAL PUMPS </t>
  </si>
  <si>
    <t>QCMarshall</t>
  </si>
  <si>
    <t xml:space="preserve">Torsional analysis: Submit as specified in Section 15050 - Common Work Results for Mechanical Equipment when scheduled. </t>
  </si>
  <si>
    <t xml:space="preserve">Furnish motor submittals as specified in Section 16222 - Low Voltage Motors up to 500 Horsepower. </t>
  </si>
  <si>
    <t xml:space="preserve">Manufacturer’s Representatives qualifications as specified in Section 01756 - Commissioning. </t>
  </si>
  <si>
    <t>1.05-E</t>
  </si>
  <si>
    <t xml:space="preserve">Provide vendor operation and maintenance manual as specified in Section 01782 - Operation and Maintenance Manuals. </t>
  </si>
  <si>
    <t xml:space="preserve">Test results. Verify conformance with noise requirements.  </t>
  </si>
  <si>
    <t>1.05-H</t>
  </si>
  <si>
    <t xml:space="preserve">Detailed dimensional drawings of pump skid and equipment pad, and any proposed modifications to reduce the footprint for improved clearances in the grit pump room. </t>
  </si>
  <si>
    <t>11312D(ADD4)</t>
  </si>
  <si>
    <t xml:space="preserve">VERTICAL TURBINE SHORT SETTING CENTRIFUGAL PUMPS </t>
  </si>
  <si>
    <t>1.05-B-1</t>
  </si>
  <si>
    <t xml:space="preserve">Product Submittals: As specified in Section 01600 - Product Requirements. </t>
  </si>
  <si>
    <t>1.05-B-2</t>
  </si>
  <si>
    <t>Product Submittals: Product data.</t>
  </si>
  <si>
    <t>1.05-B-3</t>
  </si>
  <si>
    <t>Product Submittals: Shop Drawings.</t>
  </si>
  <si>
    <t>1.05-B-4</t>
  </si>
  <si>
    <t>Product Submittals: Calculations.</t>
  </si>
  <si>
    <t>1.05-C-1</t>
  </si>
  <si>
    <t xml:space="preserve">Delegated Design: Provide project-specific calculations based on support 
conditions and requirements to resist loads specified in Section 01850 - Design Criteria. </t>
  </si>
  <si>
    <t>1.05-D-1-a</t>
  </si>
  <si>
    <t>1.05-D-1-b</t>
  </si>
  <si>
    <t>1.05-D-1-c</t>
  </si>
  <si>
    <t>1.05-D-1-d</t>
  </si>
  <si>
    <t>1.05-D-1-e</t>
  </si>
  <si>
    <t>1.05-D-1-f</t>
  </si>
  <si>
    <t>Commissioning Submittals: Owner Training.</t>
  </si>
  <si>
    <t>11312E</t>
  </si>
  <si>
    <t xml:space="preserve">HORIZONTAL SCREW CENTRIFUGAL PUMPS </t>
  </si>
  <si>
    <t>Vibration analysis: Submit as specified in Section 15050 - Common Work Results for Mechanical Equipment when scheduled.</t>
  </si>
  <si>
    <t>11312E-001.0</t>
  </si>
  <si>
    <t>in progress</t>
  </si>
  <si>
    <t xml:space="preserve">Calculations: Torsional analysis: Submit as specified in Section 15050 - Common Work Results for Mechanical Equipment when scheduled. </t>
  </si>
  <si>
    <t>1.04-G-2</t>
  </si>
  <si>
    <t>11312I</t>
  </si>
  <si>
    <t xml:space="preserve">PROGRESSING CAVITY PUMPS </t>
  </si>
  <si>
    <t xml:space="preserve">Vibration analysis: Submit as specified in Section 15050 - Common Work Results for Mechanical Equipment when scheduled. </t>
  </si>
  <si>
    <t>11312I-001.0</t>
  </si>
  <si>
    <t>Product Data: Netzsch Sludge Pumps</t>
  </si>
  <si>
    <t xml:space="preserve">Product data: Submit seal water pressure and flow requirements. </t>
  </si>
  <si>
    <t>11312J-001.0</t>
  </si>
  <si>
    <t>11312J</t>
  </si>
  <si>
    <t>SUBMERSIBLE PROCESS LIQUID SUMP PUMPS</t>
  </si>
  <si>
    <t>11312K-001.0</t>
  </si>
  <si>
    <t>11312K</t>
  </si>
  <si>
    <t xml:space="preserve">SUBMERSIBLE MEDIUM CAPACITY CENTRIFUGAL PUMPS </t>
  </si>
  <si>
    <t>Product data: As specified in Section 15050 - Common Work Results for Mechanical Equipment.</t>
  </si>
  <si>
    <t xml:space="preserve">Submitted </t>
  </si>
  <si>
    <t>11312O</t>
  </si>
  <si>
    <t xml:space="preserve">HORIZONTAL ANSI CENTRIFUGAL PUMPS </t>
  </si>
  <si>
    <t xml:space="preserve">Product data: Pump certification as specified in Section 01600 - Product Requirements. </t>
  </si>
  <si>
    <t xml:space="preserve">Product data: Weighted average lead calculations Section 01600 - Product Requirements. </t>
  </si>
  <si>
    <t>11312R-001.0</t>
  </si>
  <si>
    <t>11312R</t>
  </si>
  <si>
    <t>SINGLE-LOBE ROTARY PUMPS</t>
  </si>
  <si>
    <t>HES</t>
  </si>
  <si>
    <t>Vendor operation and maintenance manuals: As specified in Section 01782 - Operation and Maintenance Manuals.</t>
  </si>
  <si>
    <t>11313F</t>
  </si>
  <si>
    <t>SUBMERSIBLE CHOPPER CENTRIFUGAL PUMPS</t>
  </si>
  <si>
    <t xml:space="preserve">Delegated Design Submittals: Provide project-specific calculations based on support conditions and requirements to resist loads specified in Section 01850 - Design Criteria. </t>
  </si>
  <si>
    <t>1.05-C-1-a</t>
  </si>
  <si>
    <t xml:space="preserve">Manufacturer’s representative qualifications. </t>
  </si>
  <si>
    <t>1.05-C-1-b</t>
  </si>
  <si>
    <t>1.05-C-1-c</t>
  </si>
  <si>
    <t>Test Plans.</t>
  </si>
  <si>
    <t>1.05-C-1-d</t>
  </si>
  <si>
    <t xml:space="preserve">Test Reports. </t>
  </si>
  <si>
    <t>1.05-C-1-e</t>
  </si>
  <si>
    <t xml:space="preserve">Manufacturer’s representatives field notes and data. </t>
  </si>
  <si>
    <t>1.05-C-1-f</t>
  </si>
  <si>
    <t xml:space="preserve">Owner training. </t>
  </si>
  <si>
    <t>1.05-D-1-a-1</t>
  </si>
  <si>
    <t xml:space="preserve">Product data: Certification of Rockwell C Hardness for cutter bars and impeller. </t>
  </si>
  <si>
    <t>1.05-D-2</t>
  </si>
  <si>
    <t>1.05-D-3-a</t>
  </si>
  <si>
    <t xml:space="preserve">Calculations: Torsional analysis. </t>
  </si>
  <si>
    <t xml:space="preserve">Vendor operation and maintenance manuals: As specified in Section 01782 - 
Operation and Maintenance Manuals. </t>
  </si>
  <si>
    <t>11320-001.0</t>
  </si>
  <si>
    <t>11320</t>
  </si>
  <si>
    <t>PACKAGED SEWER LIFT STATION</t>
  </si>
  <si>
    <t xml:space="preserve">Calculations: As specified in Section 15050 - Common Work Results for Mechanical 
Equipment. </t>
  </si>
  <si>
    <t>01783/11320</t>
  </si>
  <si>
    <t>11322D-001.0</t>
  </si>
  <si>
    <t>11322D</t>
  </si>
  <si>
    <t xml:space="preserve">VORTEX GRIT BASIN EQUIPMENT </t>
  </si>
  <si>
    <t xml:space="preserve">Product Data: Motor characteristics and performance. </t>
  </si>
  <si>
    <t xml:space="preserve">Product Data: Accessories. </t>
  </si>
  <si>
    <t xml:space="preserve">Operation and Maintenance Manuals as specified in Section 01782 - Operation and Maintenance Manuals: Include shop manuals. </t>
  </si>
  <si>
    <t xml:space="preserve">Manufacturer’s performance guarantee. </t>
  </si>
  <si>
    <t xml:space="preserve">Equipment Manufacturer certification of bearing life. </t>
  </si>
  <si>
    <t xml:space="preserve">Motor shop test results. </t>
  </si>
  <si>
    <t>Recommendations for short and long-term storage.</t>
  </si>
  <si>
    <t>Certified Data and Capability.</t>
  </si>
  <si>
    <t xml:space="preserve">Shop and field testing procedures and equipment. </t>
  </si>
  <si>
    <t xml:space="preserve">Removal efficiency testing procedures. </t>
  </si>
  <si>
    <t xml:space="preserve">Removal efficiency testing data and results. </t>
  </si>
  <si>
    <t xml:space="preserve">Training lesson plan. </t>
  </si>
  <si>
    <t>1.04-P</t>
  </si>
  <si>
    <t xml:space="preserve">Nomenclature labels for equipment. </t>
  </si>
  <si>
    <t>1.04-Q</t>
  </si>
  <si>
    <t>11324</t>
  </si>
  <si>
    <t>GRIT WASHING AND DEWATERING EQUIPMENT</t>
  </si>
  <si>
    <t xml:space="preserve">Installation lists. </t>
  </si>
  <si>
    <t xml:space="preserve">Test reports by independent party for a minimum of 5 installations must be provided proving that the organic content of the washed grit product at these tested installations has been below 5 percent. </t>
  </si>
  <si>
    <t>Calculations: Structural calculations and details prepared by a Professional Engineer registered in the state where the Project is located</t>
  </si>
  <si>
    <t xml:space="preserve">Calculations: Non-proprietary mechanical calculations and details prepared by a registered Professional Engineer. </t>
  </si>
  <si>
    <t xml:space="preserve">Test reports. </t>
  </si>
  <si>
    <t xml:space="preserve">Certificates. </t>
  </si>
  <si>
    <t xml:space="preserve">Manufacturer’s field reports, including performance test results and analysis. </t>
  </si>
  <si>
    <t xml:space="preserve">Operation and maintenance manual as specified in Section 01782 - Operation and 
Maintenance Manuals. </t>
  </si>
  <si>
    <t xml:space="preserve">Technician Qualifications Resume: Resume of technician to perform adjustments, 
inspections, start-up, observations of test operations, and training. </t>
  </si>
  <si>
    <t>11332A</t>
  </si>
  <si>
    <t>CHAIN DRIVEN MULTI-RAKE BAR SCREENS</t>
  </si>
  <si>
    <t>Calculations: Detailed calculations and design data verifying conformance with the Drawings and Specifications.</t>
  </si>
  <si>
    <t xml:space="preserve">Complete Bill of Materials. </t>
  </si>
  <si>
    <t>Quality Control Submittals: Detailed performance test procedures: Factory and field testing.</t>
  </si>
  <si>
    <t>Quality Control Submittals: Factory Testing:</t>
  </si>
  <si>
    <t>1.04-F-3</t>
  </si>
  <si>
    <t xml:space="preserve">Quality Control Submittals: Certificate of proper installation. </t>
  </si>
  <si>
    <t xml:space="preserve">Technician Qualifications Resume: Submit resume of technician to perform 
manufacturer’s field services. </t>
  </si>
  <si>
    <t xml:space="preserve">Submit location of the nearest permanent service headquarters of the screen and 
motor manufacturer for the screen and motor submitted. </t>
  </si>
  <si>
    <t xml:space="preserve">Submit operating instructions with descriptive literature. </t>
  </si>
  <si>
    <t xml:space="preserve">A copy of documents proving certification of the Manufacturer’s Quality Management System according to ISO 9001. </t>
  </si>
  <si>
    <t xml:space="preserve">Instrumentation and control: P&amp;IDs for the Screens. </t>
  </si>
  <si>
    <t>1.04-K-2-a</t>
  </si>
  <si>
    <t xml:space="preserve">Instrumentation and control: Hardware submittal: Bill of Materials. </t>
  </si>
  <si>
    <t>1.04-K-2-b</t>
  </si>
  <si>
    <t xml:space="preserve">Instrumentation and control: Hardware submittal: ISA data sheets for instruments provided. </t>
  </si>
  <si>
    <t>1.04-K-2-c</t>
  </si>
  <si>
    <t xml:space="preserve">Instrumentation and control: Hardware submittal: Catalog cut sheets for process control and instrumentation equipment. </t>
  </si>
  <si>
    <t>1.04-K-2-d</t>
  </si>
  <si>
    <t xml:space="preserve">Instrumentation and control: Hardware submittal: Instrument installation, mounting, and anchoring details.  </t>
  </si>
  <si>
    <t>Instrumentation and control: Network Architecture Diagram.</t>
  </si>
  <si>
    <t>1.04-K-5</t>
  </si>
  <si>
    <t xml:space="preserve">Instrumentation and control: List of spare parts to be provided by Vendor. </t>
  </si>
  <si>
    <t>1.04-K-6</t>
  </si>
  <si>
    <t>Instrumentation and control: Develop detailed loop descriptions based on the information in the Contract Documents and submit as specified in Section 01330 - Submittal Procedures and Section 17050 - Common Work Results for Process Control and Instrumentation Systems.</t>
  </si>
  <si>
    <t>1.04-K-7</t>
  </si>
  <si>
    <t>Instrumentation and control: Detailed loop drawings in accordance with ISA S5.4.</t>
  </si>
  <si>
    <t>1.04-K-8</t>
  </si>
  <si>
    <t>Instrumentation and control: Point-to-point interconnection wiring diagrams.</t>
  </si>
  <si>
    <t>1.04-K-9</t>
  </si>
  <si>
    <t xml:space="preserve">Instrumentation and control: Panel wiring, conduit diagrams, and I/O module layout. </t>
  </si>
  <si>
    <t>1.04-K-10</t>
  </si>
  <si>
    <t xml:space="preserve">Instrumentation and control: English-language loop descriptions. </t>
  </si>
  <si>
    <t>1.04-K-11</t>
  </si>
  <si>
    <t xml:space="preserve">Instrumentation and control: Instrument index with ranges and setpoints. </t>
  </si>
  <si>
    <t>1.04-K-12</t>
  </si>
  <si>
    <t xml:space="preserve">Instrumentation and control: Electronic copy on a CD-ROM of the LOI program. </t>
  </si>
  <si>
    <t>1.04-K-13</t>
  </si>
  <si>
    <t>Instrumentation and control: Electronic copy on a CD-ROM of the VCP PLC system program.</t>
  </si>
  <si>
    <t>1.04-K-14</t>
  </si>
  <si>
    <t xml:space="preserve">Instrumentation and control: Detailed factory testing procedure. </t>
  </si>
  <si>
    <t>1.04-L-1</t>
  </si>
  <si>
    <t>Proposed layout of mounted devices and terminals with dimensions within 
VCP.</t>
  </si>
  <si>
    <t>1.04-L-2</t>
  </si>
  <si>
    <t xml:space="preserve">Proposed VCP PLC programming printout with input/output (I/O) listing if 
available using ladder logic format. </t>
  </si>
  <si>
    <t>1.04-L-3</t>
  </si>
  <si>
    <t>Complete I/O list.</t>
  </si>
  <si>
    <t>1.04-L-4</t>
  </si>
  <si>
    <t xml:space="preserve">Proposed VCP LOI graphic display printouts. </t>
  </si>
  <si>
    <t>1.04-L-5</t>
  </si>
  <si>
    <t>Operating description for VCP.</t>
  </si>
  <si>
    <t>1.04-L-6-a</t>
  </si>
  <si>
    <t>PLC cabinet: Panel exterior and internal elevations with detailed bill of materials.</t>
  </si>
  <si>
    <t>1.04-L-6-b</t>
  </si>
  <si>
    <t xml:space="preserve">PLC cabinet: PLC power schematic and I/O shop drawings. </t>
  </si>
  <si>
    <t>1.04-L-6-c</t>
  </si>
  <si>
    <t xml:space="preserve">PLC cabinet: Product data for panel and all components. </t>
  </si>
  <si>
    <t>1.04-L-6-d</t>
  </si>
  <si>
    <t xml:space="preserve">PLC cabinet: PLC memory and spare I/O calculations. </t>
  </si>
  <si>
    <t>1.04-L-6-e</t>
  </si>
  <si>
    <t xml:space="preserve">PLC cabinet: Thermal management calculations. </t>
  </si>
  <si>
    <t>1.04-L-7</t>
  </si>
  <si>
    <t xml:space="preserve">Visual print out of all LOI screens. </t>
  </si>
  <si>
    <t>1.04-L-8</t>
  </si>
  <si>
    <t xml:space="preserve">I/O listing and network mapping of tagged I/O. </t>
  </si>
  <si>
    <t>1.04-L-9</t>
  </si>
  <si>
    <t xml:space="preserve">VCP schematic drawings including interface with local control panel provided 
by others. </t>
  </si>
  <si>
    <t>Operation and Maintenance Manuals.</t>
  </si>
  <si>
    <t xml:space="preserve">List of Spare Parts and Special Tools. </t>
  </si>
  <si>
    <t xml:space="preserve">List of recommended Spare Parts. </t>
  </si>
  <si>
    <t>1.04-R</t>
  </si>
  <si>
    <t xml:space="preserve">Training course outlines. </t>
  </si>
  <si>
    <t>11333A</t>
  </si>
  <si>
    <t xml:space="preserve">SCREENINGS WASHER COMPACTOR </t>
  </si>
  <si>
    <t>Installation Reference List.</t>
  </si>
  <si>
    <t>Control and instrumentation: P&amp;IDs for the screenings compactor Units.</t>
  </si>
  <si>
    <t>1.04-F-2-a</t>
  </si>
  <si>
    <t xml:space="preserve">Control and instrumentation: Hardware submittal: Bill of Materials. </t>
  </si>
  <si>
    <t>1.04-F-2-b</t>
  </si>
  <si>
    <t xml:space="preserve">Control and instrumentation: Hardware submittal: ISA data sheets for instruments provided. </t>
  </si>
  <si>
    <t>1.04-F-2-c</t>
  </si>
  <si>
    <t xml:space="preserve">Control and instrumentation: Hardware submittal: Catalog cuts for process control and instrumentation equipment. </t>
  </si>
  <si>
    <t>1.04-F-2-d</t>
  </si>
  <si>
    <t xml:space="preserve">Control and instrumentation: Hardware submittal: Instrument installation, mounting, and anchoring details. </t>
  </si>
  <si>
    <t>Control and instrumentation: Network Architecture Diagram.</t>
  </si>
  <si>
    <t>1.04-F-5</t>
  </si>
  <si>
    <t xml:space="preserve">Control and instrumentation: List of spare parts to be provided by Vendor. </t>
  </si>
  <si>
    <t>1.04-F-6</t>
  </si>
  <si>
    <t xml:space="preserve">Control and instrumentation: Develop detailed loop descriptions based on the information in the Contract Documents and submit as specified in Section 01330 - Submittal Procedures and Section 17050 - Common Work Results for Process Control and Instrumentation Systems. </t>
  </si>
  <si>
    <t>1.04-F-7</t>
  </si>
  <si>
    <t>Control and instrumentation: Detailed loop drawings in accordance with ISA S5.4.</t>
  </si>
  <si>
    <t>1.04-F-8</t>
  </si>
  <si>
    <t xml:space="preserve">Control and instrumentation: Point-to-point interconnection wiring diagrams indicating field instrumentation and control panel connections. </t>
  </si>
  <si>
    <t>1.04-F-9</t>
  </si>
  <si>
    <t xml:space="preserve">Control and instrumentation: Panel wiring, conduit diagrams, and I/O module layout. </t>
  </si>
  <si>
    <t>1.04-F-10</t>
  </si>
  <si>
    <t xml:space="preserve">Control and instrumentation: English-language loop descriptions. </t>
  </si>
  <si>
    <t>1.04-F-11</t>
  </si>
  <si>
    <t>Control and instrumentation: Instrument index with ranges and setpoints.</t>
  </si>
  <si>
    <t>1.04-F-12</t>
  </si>
  <si>
    <t xml:space="preserve">Control and instrumentation: Electronic copy on a CD-ROM of the LOI program. </t>
  </si>
  <si>
    <t>1.04-F-13</t>
  </si>
  <si>
    <t>Control and instrumentation: Electronic copy on a CD-ROM of the VCP PLC system program.</t>
  </si>
  <si>
    <t>1.04-F-14</t>
  </si>
  <si>
    <t xml:space="preserve">Control and instrumentation: Detailed factory testing procedure. </t>
  </si>
  <si>
    <t xml:space="preserve">Vendor Control Panels (VCPs): Proposed layout of mounted devices and terminals with dimensions within VCP. </t>
  </si>
  <si>
    <t xml:space="preserve">Vendor Control Panels (VCPs): Proposed VCP PLC programming printout with input/output (I/O) listing if available using ladder logic format. </t>
  </si>
  <si>
    <t>1.04-G-3</t>
  </si>
  <si>
    <t>Vendor Control Panels (VCPs): Complete I/O list.</t>
  </si>
  <si>
    <t>1.04-G-4</t>
  </si>
  <si>
    <t xml:space="preserve">Vendor Control Panels (VCPs): Proposed VCP LOI graphic display printouts. </t>
  </si>
  <si>
    <t>1.04-G-5</t>
  </si>
  <si>
    <t>Vendor Control Panels (VCPs): Operating description for VCP.</t>
  </si>
  <si>
    <t>1.04-G-6-a</t>
  </si>
  <si>
    <t xml:space="preserve">Vendor Control Panels (VCPs): PLC cabinet: Panel exterior and internal elevations with detailed bill of materials. </t>
  </si>
  <si>
    <t>1.04-G-6-b</t>
  </si>
  <si>
    <t xml:space="preserve">Vendor Control Panels (VCPs): PLC cabinet: PLC power schematic and I/O shop drawings. </t>
  </si>
  <si>
    <t>1.04-G-6-c</t>
  </si>
  <si>
    <t>Vendor Control Panels (VCPs): PLC cabinet: Product data for panel and all components.</t>
  </si>
  <si>
    <t>1.04-G-6-d</t>
  </si>
  <si>
    <t xml:space="preserve">Vendor Control Panels (VCPs): PLC cabinet: PLC memory and spare I/O calculations. </t>
  </si>
  <si>
    <t>1.04-G-6-e</t>
  </si>
  <si>
    <t>Vendor Control Panels (VCPs): PLC cabinet: Thermal management calculations.</t>
  </si>
  <si>
    <t>1.04-G-7</t>
  </si>
  <si>
    <t>Vendor Control Panels (VCPs): Visual print out of all LOI screens.</t>
  </si>
  <si>
    <t>1.04-G-8</t>
  </si>
  <si>
    <t xml:space="preserve">Vendor Control Panels (VCPs): I/O listing and network mapping of tagged I/O. </t>
  </si>
  <si>
    <t>1.04-G-9</t>
  </si>
  <si>
    <t xml:space="preserve">Vendor Control Panels (VCPs): VCP schematic drawings including interface with local control panel provided by others. </t>
  </si>
  <si>
    <t>Calculations: Detailed calculations and design data verifying conformance with the Drawings and Specifications</t>
  </si>
  <si>
    <t>1.04-J-1</t>
  </si>
  <si>
    <t xml:space="preserve">Quality Control Submittals: Detailed Performance Test Procedures: Factory and Field testing. </t>
  </si>
  <si>
    <t>1.04-J-2</t>
  </si>
  <si>
    <t xml:space="preserve">Quality Control Submittals: Performance Test Data. </t>
  </si>
  <si>
    <t>1.04-J-3-a</t>
  </si>
  <si>
    <t xml:space="preserve">Quality Control Submittals: Manufacturer's certification that the equipment was installed in accordance with the manufacturer's instructions, inspected by the 
manufacturer, serviced with the proper lubricants, and equipped with applicable safety equipment and controls. </t>
  </si>
  <si>
    <t>1.04-J-3-b</t>
  </si>
  <si>
    <t xml:space="preserve">Quality Control Submittals: Manufacturer's certification that all welding was performed in accordance with American Welding Society (AWS) D1.1 Structural Welding Code, or equivalent. </t>
  </si>
  <si>
    <t>1.04-J-3-c</t>
  </si>
  <si>
    <t xml:space="preserve">Quality Control Submittals: Manufacturer's certification that the stainless steel materials of the equipment were passivated after fabrication by submersion in an acid bath or an acid spray to reestablish the oxidation film and to remove 
embedded iron, surface rust, and weld burn. </t>
  </si>
  <si>
    <t>1.04-J-3-d</t>
  </si>
  <si>
    <t xml:space="preserve">Quality Control Submittals: A copy of documents proving certification of the Manufacturer's Quality Management System and Environmental Program. </t>
  </si>
  <si>
    <t xml:space="preserve">Documentation of required maintenance for all equipment including an approved list of lubricants and the required quantities. </t>
  </si>
  <si>
    <t xml:space="preserve">Technician Qualifications Resume: Submit resume of technician to perform 
Manufacturer's Field Services. </t>
  </si>
  <si>
    <t>1.04-S</t>
  </si>
  <si>
    <t>1.04-T</t>
  </si>
  <si>
    <t>11334-001.0</t>
  </si>
  <si>
    <t>11334</t>
  </si>
  <si>
    <t xml:space="preserve">INLINE GRINDER </t>
  </si>
  <si>
    <t xml:space="preserve">Franklin Miller </t>
  </si>
  <si>
    <t>NR</t>
  </si>
  <si>
    <t>1.03-E-2</t>
  </si>
  <si>
    <t xml:space="preserve">Project closeout documents: Final vendor operation and maintenance manual as specified in Section 01782 - Operation and Maintenance Manuals. </t>
  </si>
  <si>
    <t>11342</t>
  </si>
  <si>
    <t xml:space="preserve">HELICAL SCUM SKIMMING EQUIPMENT </t>
  </si>
  <si>
    <t xml:space="preserve">Calculations: Submit structural and mechanical calculations showing that parts and equipment comply with specified requirements. </t>
  </si>
  <si>
    <t>Manufacturer's Drawings.</t>
  </si>
  <si>
    <t xml:space="preserve">Provide draft vendor operation and maintenance manual as specified in Section 01782 - Operation and Maintenance Manuals. </t>
  </si>
  <si>
    <t>1.03-G-1-a</t>
  </si>
  <si>
    <t>1.03-G-1-b</t>
  </si>
  <si>
    <t>1.03-G-1-c</t>
  </si>
  <si>
    <t>1.03-G-1-d</t>
  </si>
  <si>
    <t>1.03-G-1-e</t>
  </si>
  <si>
    <t>1.03-G-1-f</t>
  </si>
  <si>
    <t>1.03-H-1</t>
  </si>
  <si>
    <t>11348-001.0</t>
  </si>
  <si>
    <t>11348(ADD4)</t>
  </si>
  <si>
    <t xml:space="preserve">CHEMICAL MIXERS </t>
  </si>
  <si>
    <t>Vendor operation and maintenance manuals: As specified in Section 01782 - 
Operation and Maintenance Manuals.</t>
  </si>
  <si>
    <t>1.05-F-2</t>
  </si>
  <si>
    <t>11351</t>
  </si>
  <si>
    <t>SLUDGE COLLECTOR FOR RECTANGULAR BASIN: CONVENTIONAL STYLE</t>
  </si>
  <si>
    <t xml:space="preserve">Delegated Design Submittals: rovide project-specific calculations based on support conditions and requirements to resist loads specified in Section 01850 - Design Criteria. </t>
  </si>
  <si>
    <t>1.04-C-1-a</t>
  </si>
  <si>
    <t>Commissioning Submittals: Manufacturer’s representative qualifications.</t>
  </si>
  <si>
    <t>1.04-C-1-b</t>
  </si>
  <si>
    <t xml:space="preserve">Commissioning Submittals: Certificates. </t>
  </si>
  <si>
    <t>1.04-C-1-c</t>
  </si>
  <si>
    <t>1.04-C-1-d</t>
  </si>
  <si>
    <t>1.04-C-1-e</t>
  </si>
  <si>
    <t xml:space="preserve">Commissioning Submittals: Owner training. </t>
  </si>
  <si>
    <t xml:space="preserve">Calculations: Flight deflection. </t>
  </si>
  <si>
    <t>1.04-E-2-a</t>
  </si>
  <si>
    <t xml:space="preserve">Product data: Flights, sprockets, and chains. </t>
  </si>
  <si>
    <t>Manufacturer's instructions.</t>
  </si>
  <si>
    <t>1.04-E-4</t>
  </si>
  <si>
    <t>1.04-E-5</t>
  </si>
  <si>
    <t>Schedules.</t>
  </si>
  <si>
    <t>11353A</t>
  </si>
  <si>
    <t>HYDRAULIC SUCTION HEADER CIRCULAR SECONDARY CLARIFIER EQUIPMENT</t>
  </si>
  <si>
    <t>1.05-C-2</t>
  </si>
  <si>
    <t>Calculations: Mechanical Equipment.</t>
  </si>
  <si>
    <t>1.05-D-3</t>
  </si>
  <si>
    <t xml:space="preserve">Submit Manufacturer's or designated contract fabrication facility’s structural steel 
fabrication qualifications and information. </t>
  </si>
  <si>
    <t>Submit the reference information as a minimum for at least 5 projects of 
equal or greater size where suction header clarifier mechanisms were provided for 
secondary municipal wastewater service over the last 5 years.</t>
  </si>
  <si>
    <t xml:space="preserve">Field test: Submit method of conducting cutout torque test and verification that method of testing will not impose stresses in any member which exceeds maximum allowable stresses specified in this Section. </t>
  </si>
  <si>
    <t xml:space="preserve">Provide draft vendor operation and maintenance manual as specified in 
Section 01782 - Operation and Maintenance Manuals. </t>
  </si>
  <si>
    <t>1.05-I-1</t>
  </si>
  <si>
    <t>11354</t>
  </si>
  <si>
    <t>THICKENERS</t>
  </si>
  <si>
    <t>1.05-C-3</t>
  </si>
  <si>
    <t xml:space="preserve">Quality control submittals: Certified test results for sludge conditioning system. </t>
  </si>
  <si>
    <t>1.05-C-4</t>
  </si>
  <si>
    <t xml:space="preserve">Quality control submittals: Certificate of Installation Compliance. </t>
  </si>
  <si>
    <t>1.05-C-5</t>
  </si>
  <si>
    <t xml:space="preserve">Quality control submittals: Certificate of Functionality Compliance. </t>
  </si>
  <si>
    <t>1.05-C-6</t>
  </si>
  <si>
    <t xml:space="preserve">Quality control submittals: Supplier's installation manuals. </t>
  </si>
  <si>
    <t>1.05-D-2-a</t>
  </si>
  <si>
    <t xml:space="preserve">Operation and maintenance manual:  Lubrication instructions. </t>
  </si>
  <si>
    <t>1.05-D-2-b</t>
  </si>
  <si>
    <t xml:space="preserve">Operation and maintenance manual:  Maintenance instructions. </t>
  </si>
  <si>
    <t>1.05-D-2-c</t>
  </si>
  <si>
    <t xml:space="preserve">Operation and maintenance manual:  Operation instructions. </t>
  </si>
  <si>
    <t>1.05-D-2-d</t>
  </si>
  <si>
    <t xml:space="preserve">Operation and maintenance manual:  Start-up instructions. </t>
  </si>
  <si>
    <t>1.05-D-2-e</t>
  </si>
  <si>
    <t xml:space="preserve">Operation and maintenance manual:  Trouble-shooting instructions. </t>
  </si>
  <si>
    <t>1.05-D-2-f</t>
  </si>
  <si>
    <t xml:space="preserve">Operation and maintenance manual:  Unloading and handling methods. </t>
  </si>
  <si>
    <t>1.05-D-2-g</t>
  </si>
  <si>
    <t xml:space="preserve">Operation and maintenance manual:  Storage requirements for equipment and all supplied consumables. </t>
  </si>
  <si>
    <t xml:space="preserve">Supplier's qualifications: Submit all information proving conformance with quality 
assurance requirements. </t>
  </si>
  <si>
    <t>1.05-G-1</t>
  </si>
  <si>
    <t xml:space="preserve">Commissioning submittals: Provide Supplier's Certificate of Source Testing. </t>
  </si>
  <si>
    <t>1.05-G-2</t>
  </si>
  <si>
    <t xml:space="preserve">Commissioning submittals: Provide Supplier's Certificate of Installation and Functionality Compliance. </t>
  </si>
  <si>
    <t xml:space="preserve">echnician qualifications resume: Submit resume of technician to perform thickener adjustments, inspections, performance testing, and training. </t>
  </si>
  <si>
    <t>1.05-I</t>
  </si>
  <si>
    <t xml:space="preserve">Training course outline. </t>
  </si>
  <si>
    <t>11358</t>
  </si>
  <si>
    <t xml:space="preserve">CENTRIFUGE DEWATERING EQUIPMENT </t>
  </si>
  <si>
    <t>Centrifuge Manufacturer Qualifications.</t>
  </si>
  <si>
    <t>Product Data.(ADD7)</t>
  </si>
  <si>
    <t>Shop Drawings.(ADD7)</t>
  </si>
  <si>
    <t>Design Calculations.</t>
  </si>
  <si>
    <t>Test Procedures.</t>
  </si>
  <si>
    <t xml:space="preserve">Test results. </t>
  </si>
  <si>
    <t>1.05-J-1</t>
  </si>
  <si>
    <t xml:space="preserve">Software: Final electronic PDF reports for PLCs and LOI software shall be submitted after successful installation and testing. </t>
  </si>
  <si>
    <t>1.05-J-2</t>
  </si>
  <si>
    <t xml:space="preserve">Software: Provide electronic data tables or register mapping information to integrate centrifuge system with PCS. This submittal must be finalized 60 days prior to commencement of Field Testing. </t>
  </si>
  <si>
    <t>1.05-J-3</t>
  </si>
  <si>
    <t>Software: As specified in Division 17 to be compatible with Rockwell Automation CompactLogix controller.(ADD7)</t>
  </si>
  <si>
    <t>1.05-K</t>
  </si>
  <si>
    <t>1.05-L</t>
  </si>
  <si>
    <t xml:space="preserve">Manufacturer's Installation Instructions: Installation and check-out instructions 
including lubrication and initial start-up procedures. </t>
  </si>
  <si>
    <t>1.05-M</t>
  </si>
  <si>
    <t>1.05-N</t>
  </si>
  <si>
    <t xml:space="preserve">Location of nearest Service Center and Service Representative and procedure for 
responding to warranty and non-warranty requests. </t>
  </si>
  <si>
    <t>1.05-O</t>
  </si>
  <si>
    <t xml:space="preserve">Operator Training Lesson Plan. </t>
  </si>
  <si>
    <t>1.05-P</t>
  </si>
  <si>
    <t xml:space="preserve">Maintenance Service Agreement (MSA): Provide MSA including maintenance 
service requirements per paragraph 1.09-E. </t>
  </si>
  <si>
    <t>11381-001.0</t>
  </si>
  <si>
    <t>11381</t>
  </si>
  <si>
    <t>DIGESTER APPURTENANCES</t>
  </si>
  <si>
    <t>11395D</t>
  </si>
  <si>
    <t>HEADWORKS ODOR CONTROL SYSTEM</t>
  </si>
  <si>
    <t>Shop Drawings</t>
  </si>
  <si>
    <t>Detailed structural and mechanical layout drawings.</t>
  </si>
  <si>
    <t>Complete basis of design calculations for the FRP vessels, ladders, and media 
supports.</t>
  </si>
  <si>
    <t>1.04-C-3</t>
  </si>
  <si>
    <t>Description of the laminate and the type of reinforcing to be used and a letter from the manufacturer stating the laminate reinforcing material used will provide chemical resistance at least equal to the published chemical resistance for the resin for the intended application, and the resin will meet the performance requirements stated and is suitable for the service conditions specified herein and the fabrication technique proposed.</t>
  </si>
  <si>
    <t>1.04-C-4</t>
  </si>
  <si>
    <t xml:space="preserve">Furnish a list of recommended spare parts for each piece of equipment in the 
scope of supply. </t>
  </si>
  <si>
    <t>1.04-C-5</t>
  </si>
  <si>
    <t>Process control narrative.</t>
  </si>
  <si>
    <t>1.04-C-6</t>
  </si>
  <si>
    <t xml:space="preserve">Description of control system operation to demonstrate compliance with the 
Specifications. </t>
  </si>
  <si>
    <t>1.04-C-7</t>
  </si>
  <si>
    <t xml:space="preserve">Equipment offloading and installation instructions with enough detail to allow 
the Contractor to complete the mechanical and electrical installation of all 
System components. </t>
  </si>
  <si>
    <t>1.04-C-8</t>
  </si>
  <si>
    <t>Annual utility and nutrient usage calculations.</t>
  </si>
  <si>
    <t>1.04-C-9</t>
  </si>
  <si>
    <t xml:space="preserve">Information on hazards associated with the System and appropriate safety 
precautions, including applicable Material Safety Data Sheets (MSDS). </t>
  </si>
  <si>
    <t>1.04-C-10</t>
  </si>
  <si>
    <t>Installation guidelines for the Contractor.</t>
  </si>
  <si>
    <t>1.04-C-11</t>
  </si>
  <si>
    <t xml:space="preserve">Manufacturer’s catalog information, descriptive literature, specifications, and 
identification of materials of construction. Provide a detailed bill of materials. </t>
  </si>
  <si>
    <t>1.04-C-12</t>
  </si>
  <si>
    <t>Manufacturer’s Information on the Bioscrubber media.</t>
  </si>
  <si>
    <t>1.04-C-13</t>
  </si>
  <si>
    <t xml:space="preserve">Manufacturer’s information on the recirculation pump, spray nozzle, mist 
eliminator and all other mechanical components as applicable. </t>
  </si>
  <si>
    <t>1.04-C-14</t>
  </si>
  <si>
    <t xml:space="preserve">External utility requirements. </t>
  </si>
  <si>
    <t>1.04-C-15</t>
  </si>
  <si>
    <t xml:space="preserve">Complete instrumentation, control, logic, and power wiring diagrams, electrical 
schematics in sufficient details to allow installation of the instrumentation, 
controls, and electrical components. </t>
  </si>
  <si>
    <t>1.04-C-16</t>
  </si>
  <si>
    <t xml:space="preserve">VWCP, VLCPs and VMCP external layouts, internal layouts, bill of materials, logic diagrams, HMIs, power and control wirings, PLC I/O, network connections, calculations, thermal management including air conditioners and heaters. </t>
  </si>
  <si>
    <t>1.04-C-17</t>
  </si>
  <si>
    <t xml:space="preserve">Coating systems - Including manufacturer's descriptive technical catalog 
literature and specifications per Section 09960 - High-Performance Coatings. </t>
  </si>
  <si>
    <t>1.04-C-18</t>
  </si>
  <si>
    <t xml:space="preserve">Field-testing plan for meeting system performance requirements. </t>
  </si>
  <si>
    <t xml:space="preserve">Quality control submittals: Manufacturer’s Certification of Compliance that the factory finish system is identical to the requirements specified herein. </t>
  </si>
  <si>
    <t>1.04-D-2</t>
  </si>
  <si>
    <t xml:space="preserve">Quality control submittals: Manufacturer’s Certificate of Installation and Functionality Compliance. </t>
  </si>
  <si>
    <t>1.04-D-3</t>
  </si>
  <si>
    <t>Quality control submittals: Manufacturer’s training program.</t>
  </si>
  <si>
    <t>1.04-D-4</t>
  </si>
  <si>
    <t xml:space="preserve">Quality control submittals: Equipment Testing and Field Start-Up Report. </t>
  </si>
  <si>
    <t xml:space="preserve">Submit certification indicating the quality control, testing, and inspection has been completed and standards specified herein have been met prior to shipment to the jobsite. </t>
  </si>
  <si>
    <t>Furnish 3 bound copies and two (2) electronic copies of the Operation and 
Maintenance instructions for each odor control unit.</t>
  </si>
  <si>
    <t xml:space="preserve">Submit the performance guarantee and warranty for the system. </t>
  </si>
  <si>
    <t xml:space="preserve">Submit results of all performance testing procedures and results. </t>
  </si>
  <si>
    <t>11395E-001.0</t>
  </si>
  <si>
    <t>11395E</t>
  </si>
  <si>
    <t>BLEND TANKS ODOR CONTROL SYSTEM</t>
  </si>
  <si>
    <t>Product Data</t>
  </si>
  <si>
    <t>Detailed structural and mechanical layout drawings showing system fabrication, dimensions, size, and locations of connections to other work.</t>
  </si>
  <si>
    <t xml:space="preserve">Annual utility and nutrient usage calculations. </t>
  </si>
  <si>
    <t xml:space="preserve">Installation guidelines for the Contractor. </t>
  </si>
  <si>
    <t>Manufacturer’s catalog information, descriptive literature, specifications, and 
identification of materials of construction. Provide a detailed bill of materials.</t>
  </si>
  <si>
    <t>Manufacturer’s Information on the biological and activated carbon media.</t>
  </si>
  <si>
    <t xml:space="preserve">Manufacturer’s information on spray nozzle, mist eliminator and all other 
mechanical components as applicable. </t>
  </si>
  <si>
    <t>External utility requirements.</t>
  </si>
  <si>
    <t xml:space="preserve">Complete instrumentation, control, logic, and power wiring diagrams in 
sufficient details to allow installation of the instrumentation, controls, and 
electrical components. </t>
  </si>
  <si>
    <t>VWCP and VMCP external layouts, internal layouts, bill of materials, logic 
diagrams, HMIs, power and control wirings, PLC I/O, network connections, 
calculations, thermal management including air conditioners and heaters.</t>
  </si>
  <si>
    <t xml:space="preserve">Coating systems: Including manufacturer's descriptive technical catalog 
literature and Specifications per Section 09960 - High-Performance Coatings. </t>
  </si>
  <si>
    <t xml:space="preserve">Quality control submittals: Manufacturer’s training program. </t>
  </si>
  <si>
    <t>Furnish three (3) bound copies and two (2) electronic copies of the Operation and 
Maintenance instructions for each odor control unit.</t>
  </si>
  <si>
    <t>11395F-001.0</t>
  </si>
  <si>
    <t>11395F</t>
  </si>
  <si>
    <t xml:space="preserve">SOLIDS ODOR CONTROL SYSTEM </t>
  </si>
  <si>
    <t xml:space="preserve">Detailed structural and mechanical layout drawings showing system fabrication, dimensions, size, and locations of connections to other work. </t>
  </si>
  <si>
    <t>Complete basis of design calculations for the FRP vessels, ladders, and media supports.</t>
  </si>
  <si>
    <t xml:space="preserve">Description of the laminate and the type of reinforcing to be used and a letter from the manufacturer stating the laminate reinforcing material used will provide chemical resistance at least equal to the published chemical resistance for the resin for the intended application, and the resin will meet the performance requirements stated and is suitable for the service conditions specified herein and the fabrication technique proposed. Manufacturer shall also submit certification of applicable wind load design in accordance with current edition of the Hawaii Building Code and applicable specifications. </t>
  </si>
  <si>
    <t>Furnish a list of recommended spare parts for each piece of equipment in the scope of supply.</t>
  </si>
  <si>
    <t xml:space="preserve">Process control narrative. Include irrigation system summary of the operation mode of irrigation. </t>
  </si>
  <si>
    <t xml:space="preserve">Description of control system operation to demonstrate compliance with the Specifications. </t>
  </si>
  <si>
    <t xml:space="preserve">Equipment offloading and installation instructions with enough detail to allow the Contractor to complete the mechanical and electrical installation of all System components. </t>
  </si>
  <si>
    <t xml:space="preserve">Information on hazards associated with the System and appropriate safety precautions, including applicable Material Safety Data Sheets (MSDS). </t>
  </si>
  <si>
    <t xml:space="preserve">Manufacturer’s information on spray nozzle, mist eliminator and all other mechanical components as applicable. </t>
  </si>
  <si>
    <t xml:space="preserve">Complete instrumentation, control, logic, and power wiring diagrams in sufficient details to allow installation of the instrumentation, controls, and electrical components. </t>
  </si>
  <si>
    <t xml:space="preserve">VWCP and VMCP external layouts, internal layouts, bill of materials, logic diagrams, HMIs, power and control wirings, PLC I/O, network connections, calculations, thermal management including air conditioners and heaters. </t>
  </si>
  <si>
    <t xml:space="preserve">Coating systems: Including manufacturer's descriptive technical catalog literature and Specifications per Section 09960 - High-Performance Coatings. </t>
  </si>
  <si>
    <t>11395F-001.1</t>
  </si>
  <si>
    <t>Resubmittal</t>
  </si>
  <si>
    <t>Commising</t>
  </si>
  <si>
    <t>Quality control submittals: Manufacturer’s Certification of Compliance that the factory finish system is identical to the requirements specified herein.</t>
  </si>
  <si>
    <t>Submit results of all performance testing procedures and results.</t>
  </si>
  <si>
    <t>11403-001.0</t>
  </si>
  <si>
    <t>11403</t>
  </si>
  <si>
    <t xml:space="preserve">TUBE-IN-TUBE HEAT EXCHANGER </t>
  </si>
  <si>
    <t>Walker</t>
  </si>
  <si>
    <t>Marshall/QC</t>
  </si>
  <si>
    <t>Product data including materials of construction.</t>
  </si>
  <si>
    <t>Product data of other equipment provided with the heat exchanger package.</t>
  </si>
  <si>
    <t xml:space="preserve">ASME certification. </t>
  </si>
  <si>
    <t>1.03-I-1</t>
  </si>
  <si>
    <t>1.03-I-2</t>
  </si>
  <si>
    <t>1.03-J-1</t>
  </si>
  <si>
    <t>11406-001.0</t>
  </si>
  <si>
    <t>11406A</t>
  </si>
  <si>
    <t xml:space="preserve">WASTE GAS BURNER </t>
  </si>
  <si>
    <t>L&amp;J Technologies</t>
  </si>
  <si>
    <t xml:space="preserve">The make and model and catalog cut sheets for all waste gas burner system components showing materials of construction, layout plans and section drawings for all components, anchor bolt sizing calculations and drawings (if anchor bolts used), a process and instrumentation diagram meeting ISA 
standards, and identification of all materials and metallurgy used in the system. </t>
  </si>
  <si>
    <t xml:space="preserve">Wiring and control diagrams of the system. </t>
  </si>
  <si>
    <t xml:space="preserve">Complete piping layout drawings for the pilot gas train. </t>
  </si>
  <si>
    <t xml:space="preserve">Complete control descriptions including sequence of operations, safety features, and alarms. </t>
  </si>
  <si>
    <t>1.03-B-5</t>
  </si>
  <si>
    <t xml:space="preserve">Local control panel arrangement, elevations, control system logic and control 
system wiring diagrams, and control schematics. </t>
  </si>
  <si>
    <t>1.03-B-6</t>
  </si>
  <si>
    <t xml:space="preserve">Calculations demonstrating resistance of the equipment to loadings/forces from snow, wind, and seismic conditions specified herein. Calculations to be signed by an engineer registered in the state of Hawaii.  </t>
  </si>
  <si>
    <t>1.03-B-7</t>
  </si>
  <si>
    <t xml:space="preserve">Installation procedures. </t>
  </si>
  <si>
    <t>1.03-B-8</t>
  </si>
  <si>
    <t xml:space="preserve">Requirements for storage and protection prior to installation. </t>
  </si>
  <si>
    <t>1.03-B-9</t>
  </si>
  <si>
    <t xml:space="preserve">Complete drawings on control panel mounting frame. </t>
  </si>
  <si>
    <t xml:space="preserve">Operations and Maintenance Manual: As-built control system logic and wiring diagrams. </t>
  </si>
  <si>
    <t xml:space="preserve">Operations and Maintenance Manual: Maintenance schedule. </t>
  </si>
  <si>
    <t>11406B</t>
  </si>
  <si>
    <t xml:space="preserve">TEMPORARY FLARE </t>
  </si>
  <si>
    <t>The temporary flare plan.</t>
  </si>
  <si>
    <t>11501</t>
  </si>
  <si>
    <t xml:space="preserve">DIGESTER GAS CONDITIONING SYSTEM </t>
  </si>
  <si>
    <t xml:space="preserve">Supplier shall submit equipment and appurtenances specified in this Section in a 
complete initial submittal as specified in Section 01330 - Submittal Procedures and 
Section 15050 - Common Work Results for Mechanical Equipment. </t>
  </si>
  <si>
    <t>Engineering drawings.</t>
  </si>
  <si>
    <t>Complete shop drawings.</t>
  </si>
  <si>
    <t>Structural calculations and anchor bolt sizing for structures.</t>
  </si>
  <si>
    <t xml:space="preserve">Data sheets and product information for the H2S adsorption media, including 
material safety data sheets. </t>
  </si>
  <si>
    <t>1.05-B-5</t>
  </si>
  <si>
    <t xml:space="preserve">Certified treatment performance and pressure drop calculations for all system 
components considering the full range of specified digester gas conditions and 
ambient conditions. </t>
  </si>
  <si>
    <t>1.05-B-6</t>
  </si>
  <si>
    <t xml:space="preserve">Material ASTM designations. </t>
  </si>
  <si>
    <t>1.05-B-7</t>
  </si>
  <si>
    <t xml:space="preserve">Complete Operation and Maintenance Support and Service Plan that documents periodic gas sampling and service requirements for the mechanical and H2S adsorption equipment. </t>
  </si>
  <si>
    <t>1.05-B-8</t>
  </si>
  <si>
    <t xml:space="preserve">Original manufacturer installation guides, operation and maintenance manuals, 
bulletins, and spare part lists for each component. </t>
  </si>
  <si>
    <t>1.05-B-9</t>
  </si>
  <si>
    <t xml:space="preserve">Maintenance Service Agreement (MSA) – MSA including maintenance service 
requirements per Part 3 – Execution, below. </t>
  </si>
  <si>
    <t>1.05-B-10</t>
  </si>
  <si>
    <t xml:space="preserve">Handheld analyzer, including manufacturer’s published product data and 
certification showing it has been calibrated for the digester gas application. </t>
  </si>
  <si>
    <t xml:space="preserve">Supplier shall clearly identify: Field wiring and terminations. </t>
  </si>
  <si>
    <t xml:space="preserve">Supplier shall clearly identify: Instrumentation and equipment supplied by others. </t>
  </si>
  <si>
    <t xml:space="preserve">Supplier shall clearly identify: Any shipped-loose instrumentation and/or equipment for Contractor to install and their recommended installation locations. </t>
  </si>
  <si>
    <t>11555(ADD4)</t>
  </si>
  <si>
    <t xml:space="preserve">SELF-CLEANING STRAINERS </t>
  </si>
  <si>
    <t>Tekleen Product Data</t>
  </si>
  <si>
    <t xml:space="preserve">Product data: As specified in Section 15050 - Basic Mechanical Materials and 
Methods. </t>
  </si>
  <si>
    <t>11555-001.1</t>
  </si>
  <si>
    <t xml:space="preserve">Delegated Design Submittals: Provide project-specific calculations based on support 
conditions and requirements to resist loads specified in Section 01850 - Design Criteria. </t>
  </si>
  <si>
    <t>11635-001.0</t>
  </si>
  <si>
    <t>AUTOMATIC SAMPLERS</t>
  </si>
  <si>
    <t>note: submittal status code: AN - Approved no Exeception, AC - Approved with comments, AS - Approved Correct and Resubmit,
 NCR - Not Approved Correct Resubmit, NR - Not Approved Rejected, RA - Reciept Acknowledge, RC - Reciept with Comments,  L - Living Document or continously submitted</t>
  </si>
  <si>
    <t>01722-001.0</t>
  </si>
  <si>
    <t>01722</t>
  </si>
  <si>
    <t xml:space="preserve">FIELD ENGINEERING </t>
  </si>
  <si>
    <t xml:space="preserve">Civil </t>
  </si>
  <si>
    <t>1.02 B</t>
  </si>
  <si>
    <t>Qualifications of the professional land surveyor that will be performing the field engineering.</t>
  </si>
  <si>
    <t>Pre-Excavation Report.</t>
  </si>
  <si>
    <t>01734-001.0</t>
  </si>
  <si>
    <t>01734</t>
  </si>
  <si>
    <t xml:space="preserve">WORK WITHIN PUBLIC RIGHT-OF-WAY </t>
  </si>
  <si>
    <t>Traffic Control Plan</t>
  </si>
  <si>
    <t>Traffic control plan: Submit detailed traffic control plan for acceptance by 
jurisdictional agency.</t>
  </si>
  <si>
    <t>L</t>
  </si>
  <si>
    <t>01738</t>
  </si>
  <si>
    <t xml:space="preserve">SELECTIVE ALTERATIONS AND DEMOLITION </t>
  </si>
  <si>
    <t>n/a</t>
  </si>
  <si>
    <t>Permits and notices authorizing demolition.</t>
  </si>
  <si>
    <t xml:space="preserve">Certificates of severance of utility services. </t>
  </si>
  <si>
    <t>01738-001.0</t>
  </si>
  <si>
    <t>Solid Waste Dispersion SOH, Solid Waste Management Plan</t>
  </si>
  <si>
    <t xml:space="preserve">Permit for transport and disposal of debris. </t>
  </si>
  <si>
    <t>RC</t>
  </si>
  <si>
    <t xml:space="preserve">Selective Demolition Plan. </t>
  </si>
  <si>
    <t xml:space="preserve">Pipe Abandonment Plan. </t>
  </si>
  <si>
    <t>01757</t>
  </si>
  <si>
    <t>DISINFECTION</t>
  </si>
  <si>
    <t>Disinfection Test Plan</t>
  </si>
  <si>
    <t>QC/Civil</t>
  </si>
  <si>
    <t>Submit disinfection test plan which details procedure to be utilized to disinfect the facilities.</t>
  </si>
  <si>
    <t>Submit disinfection reports.</t>
  </si>
  <si>
    <t>Submit bacteriological reports.</t>
  </si>
  <si>
    <t>Submit required permits, including but not limited to permit clearance.</t>
  </si>
  <si>
    <t>02050-001.0</t>
  </si>
  <si>
    <t>02050</t>
  </si>
  <si>
    <t xml:space="preserve">SOILS AND AGGREGATES FOR EARTHWORK </t>
  </si>
  <si>
    <t>PunaRock Aggregate</t>
  </si>
  <si>
    <t>1.03-A&amp; B-1,2</t>
  </si>
  <si>
    <t>Product data./Test Reports/ Certificates of Compliances</t>
  </si>
  <si>
    <t>02050-001.1</t>
  </si>
  <si>
    <t>02085</t>
  </si>
  <si>
    <t>PRECAST CONCRETE VAULTS</t>
  </si>
  <si>
    <t xml:space="preserve">Manufacturer’s Certification for Vaults: Written certification that the vault complies with the requirements of this Section. </t>
  </si>
  <si>
    <t>02240</t>
  </si>
  <si>
    <t>DEWATERING</t>
  </si>
  <si>
    <t>Dewatering plan.</t>
  </si>
  <si>
    <t>02256-001.0</t>
  </si>
  <si>
    <t>02256</t>
  </si>
  <si>
    <t xml:space="preserve">FOUNDATION PROBING AND GROUTING </t>
  </si>
  <si>
    <t>Probe and Grout QC Specialist Qualifications</t>
  </si>
  <si>
    <t>Submit the name and qualifications of the Contractor-retained QC Specialist 
responsible to inspect, observe, and document the following work activities: drilling and cleaning of probe holes; grout preparation; backfilling; and any other related work activities as required throughout construction.</t>
  </si>
  <si>
    <t xml:space="preserve">Probe and Grout Work PLan </t>
  </si>
  <si>
    <t>Probe and Grout Work Plan.</t>
  </si>
  <si>
    <t>Reports and Records.</t>
  </si>
  <si>
    <t>02260</t>
  </si>
  <si>
    <t xml:space="preserve">EXCAVATION SUPPORT AND PROTECTION </t>
  </si>
  <si>
    <t>Shop drawings and calculations</t>
  </si>
  <si>
    <t xml:space="preserve">Submit location and details of control points and method and schedule of 
measurements. </t>
  </si>
  <si>
    <t xml:space="preserve">Survey data. </t>
  </si>
  <si>
    <t>Detailed sequence of installation and removal of shoring.</t>
  </si>
  <si>
    <t xml:space="preserve">Vibration monitoring program as specified in Section 02238 - Rock Removal. </t>
  </si>
  <si>
    <t xml:space="preserve">Manufacturer’s literature on vibration monitoring instrumentation. </t>
  </si>
  <si>
    <t xml:space="preserve">Baseline Data </t>
  </si>
  <si>
    <t xml:space="preserve">Vibration monitoring data. </t>
  </si>
  <si>
    <t>Dewatering submittals as specified in Section 02240 - Dewatering, with submittals for excavation support and protection.</t>
  </si>
  <si>
    <t>02280</t>
  </si>
  <si>
    <t xml:space="preserve">SUBSURFACE UTILITY ENGINEERING </t>
  </si>
  <si>
    <t>02280-001.0</t>
  </si>
  <si>
    <t>Pothole Plan</t>
  </si>
  <si>
    <t>1.06-B-1</t>
  </si>
  <si>
    <t xml:space="preserve">Submit a schedule for all SUE events that shows start, end, and intermediate 
milestones. </t>
  </si>
  <si>
    <t>1.06-B-2</t>
  </si>
  <si>
    <t xml:space="preserve">Provide sketches showing the conditions at various stages in the sequence of 
SUE. </t>
  </si>
  <si>
    <t>02300</t>
  </si>
  <si>
    <t xml:space="preserve">EARTHWORK </t>
  </si>
  <si>
    <t>PM</t>
  </si>
  <si>
    <t xml:space="preserve">Copy of Property Owner’s Agreement allowing placement of surplus soil material on their property. </t>
  </si>
  <si>
    <t>02300-001.0</t>
  </si>
  <si>
    <t>CEL Earthwork Lab Capabilities</t>
  </si>
  <si>
    <t>Testing lab: Submit Contractor's proposed testing laboratory capabilities and 
equipment.</t>
  </si>
  <si>
    <t>02300-002.0</t>
  </si>
  <si>
    <t xml:space="preserve">For Information Only - Test Report Proctor </t>
  </si>
  <si>
    <t>Submit certified test reports of tests specified to be performed by the 
Contractor.</t>
  </si>
  <si>
    <t xml:space="preserve">Qualifications of Offsite Borrow Source: If offsite borrow source is required, 
Contractor shall submit qualifications package of the borrow source for approval by the Engineer. </t>
  </si>
  <si>
    <t>02312</t>
  </si>
  <si>
    <t xml:space="preserve">CONTROLLED LOW STRENGTH MATERIAL (CLSM) </t>
  </si>
  <si>
    <t>Mix Design CLSM</t>
  </si>
  <si>
    <t xml:space="preserve">Product data: Submit data completely describing materials in the mix and 
demonstrating compliance with the requirements of this Section. </t>
  </si>
  <si>
    <t>Trial batch test data.</t>
  </si>
  <si>
    <t>02314</t>
  </si>
  <si>
    <t>LOW DENSITY CELLULAR CONCRETE FILL</t>
  </si>
  <si>
    <t xml:space="preserve">Mix design. </t>
  </si>
  <si>
    <t xml:space="preserve">Cellular concrete applicator qualifications. </t>
  </si>
  <si>
    <t>02318</t>
  </si>
  <si>
    <t>TRENCHING</t>
  </si>
  <si>
    <t xml:space="preserve">Product data on soils and aggregates. </t>
  </si>
  <si>
    <t xml:space="preserve">Provide 50-pound sample of materials when requested by the Engineer. </t>
  </si>
  <si>
    <t>Certification of Contractor's testing laboratory.</t>
  </si>
  <si>
    <t xml:space="preserve">Record copy report for tests performed by Contractor's testing laboratory. </t>
  </si>
  <si>
    <t>02370-001.0</t>
  </si>
  <si>
    <t>02370</t>
  </si>
  <si>
    <t>RIPRAP</t>
  </si>
  <si>
    <t xml:space="preserve">Puna Riprap: Product data. </t>
  </si>
  <si>
    <t>2600-001.0</t>
  </si>
  <si>
    <t>02600</t>
  </si>
  <si>
    <t>CONCRETE MANHOLES</t>
  </si>
  <si>
    <t xml:space="preserve">Calculations and criteria used in manhole design including material properties, loadings, load combinations, and dimensions assumed. </t>
  </si>
  <si>
    <t xml:space="preserve">Test methods and results including certification that the manhole riser exceeds the minimum requirements in accordance with ASTM C478. </t>
  </si>
  <si>
    <t>1.0-E</t>
  </si>
  <si>
    <t xml:space="preserve">Sealed drawings and design calculations by a licensed Professional Engineer 
licensed in the State where the project is located. </t>
  </si>
  <si>
    <t xml:space="preserve">ISO 9001 certificate by a third party confirming that ASTM test reports are 
valid and up to date at the time of the bid and during construction period. </t>
  </si>
  <si>
    <t xml:space="preserve">Manufacturer's Certificate of Source Testing. </t>
  </si>
  <si>
    <t>02620-001.0</t>
  </si>
  <si>
    <t>02620</t>
  </si>
  <si>
    <t xml:space="preserve">Filter Fabric </t>
  </si>
  <si>
    <t xml:space="preserve">Filter Fabric - Mirafi 140N </t>
  </si>
  <si>
    <t xml:space="preserve">QC: Certificates of Compliance. </t>
  </si>
  <si>
    <t xml:space="preserve">QC: Manufacturer's Instructions. </t>
  </si>
  <si>
    <t>02621-001.0</t>
  </si>
  <si>
    <t>02621</t>
  </si>
  <si>
    <t xml:space="preserve">Stabilization Fabric </t>
  </si>
  <si>
    <t>Stabilization Fabric - Mirafi 600X</t>
  </si>
  <si>
    <t xml:space="preserve">Certificates of Compliance. </t>
  </si>
  <si>
    <t>02742</t>
  </si>
  <si>
    <t>ASPHALTIC CONCRETE PAVING</t>
  </si>
  <si>
    <t>Yamada</t>
  </si>
  <si>
    <t xml:space="preserve">Proposed mix design and gradation of materials. </t>
  </si>
  <si>
    <t xml:space="preserve">Certificate of Compliance. </t>
  </si>
  <si>
    <t>02762-001.0</t>
  </si>
  <si>
    <t>02762</t>
  </si>
  <si>
    <t xml:space="preserve">PAVEMENT MARKINGS </t>
  </si>
  <si>
    <t xml:space="preserve">Traffic Sign Submital </t>
  </si>
  <si>
    <t>Civil / GP</t>
  </si>
  <si>
    <t>Civil / Gp</t>
  </si>
  <si>
    <t xml:space="preserve">Manufacturer's instructions. </t>
  </si>
  <si>
    <t>02772</t>
  </si>
  <si>
    <t>CONCRETE CURBS, GUTTERS, AND SIDEWALKS</t>
  </si>
  <si>
    <t xml:space="preserve">Product data: Submit data completely describing products. </t>
  </si>
  <si>
    <t xml:space="preserve">Samples: Submit samples when requested. </t>
  </si>
  <si>
    <t>02820-001.1</t>
  </si>
  <si>
    <t>02820</t>
  </si>
  <si>
    <t>FENCES AND GATES  (Islandwide Fencing)</t>
  </si>
  <si>
    <t>islandwide</t>
  </si>
  <si>
    <t xml:space="preserve">Certificates of compliance: Provide certification that materials conform to 
referenced specifications. </t>
  </si>
  <si>
    <t xml:space="preserve">Qualifications: Provide installer's references and list of local references. </t>
  </si>
  <si>
    <t>02820-001.4</t>
  </si>
  <si>
    <t>Resubmittal Islandwide</t>
  </si>
  <si>
    <t>02952</t>
  </si>
  <si>
    <t>PAVEMENT RESTORATION AND REHABILITATION</t>
  </si>
  <si>
    <t xml:space="preserve">Prior to placement of asphalt concrete, submit full details, including design and calculations for the asphalt concrete mix proposed. </t>
  </si>
  <si>
    <t xml:space="preserve">Submit gradation of aggregate base. </t>
  </si>
  <si>
    <t>1.02-A-3</t>
  </si>
  <si>
    <t xml:space="preserve">Submit proposed mix design of portland cement concrete. </t>
  </si>
  <si>
    <t>note: submittal status code: AN - Approved no comments, AC - Approved with comments, AS - Approved Correct and Resubmit,
 NCR - Not Approved Correct Resubmit, NR - Not Approved Rejected, RA - Reciept Acknowledge, RC - Reciept with Comments,  L - Living Document or continously submitted</t>
  </si>
  <si>
    <t>01759</t>
  </si>
  <si>
    <t xml:space="preserve">WATER LEAKAGE TEST FOR CONCRETE STRUCTURES </t>
  </si>
  <si>
    <t>Tests and evaluation reports.</t>
  </si>
  <si>
    <t xml:space="preserve">Testing plan for each structure, or portion thereof, required to be tested. </t>
  </si>
  <si>
    <t xml:space="preserve">Proposed procedures and products for repair of leaks. </t>
  </si>
  <si>
    <t>03055</t>
  </si>
  <si>
    <t>ADHESIVE-BONDED REINFORCING BARS AND ALL THREAD RODS IN CONCRETE</t>
  </si>
  <si>
    <t>Product Data: Adhesive Bonded Reinforcing Bars and All Thread Ro...</t>
  </si>
  <si>
    <t>Struc</t>
  </si>
  <si>
    <t>Product data: Technical data for adhesives.</t>
  </si>
  <si>
    <t>QA</t>
  </si>
  <si>
    <t>Special inspection: Detailed step-by-step instructions for the special inspection procedures required by the building code specified in Section 01410 - Regulatory Requirements.</t>
  </si>
  <si>
    <t>Evaluation Report confirming that the product complies with the requirements of AC308 for both un-cracked and cracked concrete and for use in Seismic Design Categories A through F.</t>
  </si>
  <si>
    <t>Installer qualifications.</t>
  </si>
  <si>
    <t>QC/Struc</t>
  </si>
  <si>
    <t>Inspection and testing reports.</t>
  </si>
  <si>
    <t>03071</t>
  </si>
  <si>
    <t>EPOXIES</t>
  </si>
  <si>
    <t>Product Data: Submit manufacturer's data completely describing epoxy materials.</t>
  </si>
  <si>
    <t>03072</t>
  </si>
  <si>
    <t>EPOXY RESIN/PORTLAND CEMENT BONDING AGENT</t>
  </si>
  <si>
    <t>03102</t>
  </si>
  <si>
    <t>CONCRETE FORMWORK</t>
  </si>
  <si>
    <t xml:space="preserve">Submit in such detail as the Engineer may require to assure themselves that 
intent of the Specifications can be complied with by use of proposed system. </t>
  </si>
  <si>
    <t>In progress</t>
  </si>
  <si>
    <t xml:space="preserve">Alternate combinations of plywood thickness and stud spacing may be 
submitted. </t>
  </si>
  <si>
    <t>In Progress</t>
  </si>
  <si>
    <t>1.04-A-3</t>
  </si>
  <si>
    <t xml:space="preserve">Shop drawings and design calculations stamped and signed by a Structural 
Engineer licensed in the State of Hawaii.  </t>
  </si>
  <si>
    <t>03111</t>
  </si>
  <si>
    <t xml:space="preserve">CONCRETE VOID FILL (GEOFOAM) </t>
  </si>
  <si>
    <t xml:space="preserve">CONCRETE VOID FILL (GEOFOAM) 
</t>
  </si>
  <si>
    <t>Krishna Dubbudu</t>
  </si>
  <si>
    <t>Krishna Dubbudu &lt;kdubbudu@nanhawaii.com&gt;</t>
  </si>
  <si>
    <t xml:space="preserve">Manufacturer's installation instructions for application type specified. </t>
  </si>
  <si>
    <t>03111-001.1</t>
  </si>
  <si>
    <t>03111-002.1</t>
  </si>
  <si>
    <t>03150</t>
  </si>
  <si>
    <t>CONCRETE ACCESSORIES</t>
  </si>
  <si>
    <t>Joint fillers</t>
  </si>
  <si>
    <t>Product data. Joint fillers</t>
  </si>
  <si>
    <t>PVC Waterstop</t>
  </si>
  <si>
    <t>product data polyvinyl waterstops</t>
  </si>
  <si>
    <t>6/31/2025</t>
  </si>
  <si>
    <t>Sample: Polyvinyl chloride waterstop.</t>
  </si>
  <si>
    <t xml:space="preserve">Laboratory test reports: Indicating that average properties of polyvinyl chloride waterstops material and finish conform to requirements specified in this Section. </t>
  </si>
  <si>
    <t>1.03-D-1-a</t>
  </si>
  <si>
    <t xml:space="preserve">Written certificates that polyvinyl chloride waterstops supplied on this 
Project meet or exceed physical property in accordance with USACE CRD-C-572 and the requirements of this Section. </t>
  </si>
  <si>
    <t xml:space="preserve">Manufacturer's instructions: For materials specified in this Section that are 
specified to be installed with such instructions. </t>
  </si>
  <si>
    <t>1.04 A</t>
  </si>
  <si>
    <t>Mock-up</t>
  </si>
  <si>
    <t>03154-001.0</t>
  </si>
  <si>
    <t>03154</t>
  </si>
  <si>
    <t>HYDROPHILIC RUBBER WATERSTOP</t>
  </si>
  <si>
    <t>Sika Hydrotite(Product Data)</t>
  </si>
  <si>
    <t>1.02-A-2-a</t>
  </si>
  <si>
    <t xml:space="preserve">Manufacturer’s product data sheets. </t>
  </si>
  <si>
    <t>1.02-A-3-a</t>
  </si>
  <si>
    <t xml:space="preserve">Minimum 6-inch long samples of each type of waterstop to be used if 
requested by the Engineer. </t>
  </si>
  <si>
    <t>1.02-A-4-a</t>
  </si>
  <si>
    <t xml:space="preserve">Installation instructions and recommended installation details for the 
complete waterstop system, and for each component used in that system. </t>
  </si>
  <si>
    <t>03200</t>
  </si>
  <si>
    <t>CONCRETE REINFORCING</t>
  </si>
  <si>
    <t>1.04-B-1-a-1</t>
  </si>
  <si>
    <t xml:space="preserve">Schedule of support materials to be provided and locations of use. </t>
  </si>
  <si>
    <t>CMC Rebar(Precast concrete Bar Supports)</t>
  </si>
  <si>
    <t>1.04-B-1-b-2</t>
  </si>
  <si>
    <t xml:space="preserve">Manufacturer's data indicating compression strength of concrete and confirming dimensions and thickness(es).height(s) to be provided for each location where used. </t>
  </si>
  <si>
    <t>1.04-B-2-a</t>
  </si>
  <si>
    <t xml:space="preserve">Mechanical reinforcing bar couplers: Evaluation Report documenting compliance with the requirements of ICC-ES AC133. </t>
  </si>
  <si>
    <t>1.04-B-2-b</t>
  </si>
  <si>
    <t>Mechanical reinforcing bar couplers: Details, properties, and dimensions of couplers. Include type or size identification, and bar size(s) and grade(s) for which the coupler is suitable.</t>
  </si>
  <si>
    <t>1.04-B-2-c</t>
  </si>
  <si>
    <t xml:space="preserve">Mechanical reinforcing bar couplers: Manufacturer’s installation and testing instructions. </t>
  </si>
  <si>
    <t>1.04-B-2-d</t>
  </si>
  <si>
    <t xml:space="preserve">Mechanical reinforcing bar couplers: Manufacturer's statement that products installed in accordance with manufacturer's recommended procedures will develop strengths and limit slip as specified in this Section. </t>
  </si>
  <si>
    <t>CONCRETE REINFORCING SHOP DRAWINGS
Grit basins, Head odor Control, and Head works</t>
  </si>
  <si>
    <t>03200-003.0</t>
  </si>
  <si>
    <t>CONCRETE REINFORCING SHOP DRAWINGS
Screening Walls</t>
  </si>
  <si>
    <t>Note: If Requested By Engineer</t>
  </si>
  <si>
    <t>Bar supports/wire reinforcement supports: Samples of each type of chair and 
bolster proposed for use. Submit with letter stating where each type will be 
used.</t>
  </si>
  <si>
    <t xml:space="preserve">Precast concrete bar supports: Samples of each type of precast support 
proposed for use. Submit with letter stating where each will be used. </t>
  </si>
  <si>
    <t xml:space="preserve">Note: Submittal be provided for each shipping. </t>
  </si>
  <si>
    <t xml:space="preserve">Certified copy of mill test for each steel used. Show physical properties and 
chemical analysis. </t>
  </si>
  <si>
    <t xml:space="preserve">Mechanical reinforcing bar couplers: Current Evaluation Report confirming that couplers provide specified tension and compression strength and conform to specified limits on total slip within the coupler. </t>
  </si>
  <si>
    <t>1.04-E-2-b</t>
  </si>
  <si>
    <t xml:space="preserve">Mechanical reinforcing bar couplers: Certified copy of mill tests for heat(s) of steel incorporated into the reinforcing bar couplers shipped. </t>
  </si>
  <si>
    <t>1.04-E-2-c</t>
  </si>
  <si>
    <t>Mechanical reinforcing bar couplers: For threaded sleeve type couplers, heat treatment lot numbers for each shipment.</t>
  </si>
  <si>
    <t>1.04-F-1-a</t>
  </si>
  <si>
    <t xml:space="preserve">Mechanical reinforcing bar couplers: Manufacturer's installation instructions. </t>
  </si>
  <si>
    <t>1.04-F-1-b</t>
  </si>
  <si>
    <t xml:space="preserve">Mechanical reinforcing bar couplers: Manufacturer's instructions for confirmation testing of couplers after reinforcing bars have been inserted into the couplers. </t>
  </si>
  <si>
    <t>Subcontractor has no plan to use welding, will include if needed</t>
  </si>
  <si>
    <t>1.04-G-1-a</t>
  </si>
  <si>
    <t xml:space="preserve">Welding procedures conforming to AWS D1.4 for reinforcement to be field 
welded - Procedures qualification record. </t>
  </si>
  <si>
    <t xml:space="preserve">Welder qualifications. </t>
  </si>
  <si>
    <t xml:space="preserve">Field quality control and inspection reports. </t>
  </si>
  <si>
    <t>1.04-I-2</t>
  </si>
  <si>
    <t xml:space="preserve">Field quality assurance special inspection and testing reports. </t>
  </si>
  <si>
    <t>03300-001.0</t>
  </si>
  <si>
    <t>03300</t>
  </si>
  <si>
    <t xml:space="preserve">CAST-IN-PLACE-CONCRETE </t>
  </si>
  <si>
    <t>Product Submittal: Evaporation Retardant</t>
  </si>
  <si>
    <t xml:space="preserve">Product data: data completely describing products and demonstrating compliance with the requirements of this Section. </t>
  </si>
  <si>
    <t>Product Data, Design Data, Test Report : Cast-in-Place Concrete</t>
  </si>
  <si>
    <t>STRUC</t>
  </si>
  <si>
    <t xml:space="preserve">Product data: Data for all products in the mix for each class of concrete shall be submitted concurrently with that mix design. </t>
  </si>
  <si>
    <t>Product Data: Cast-in-Place Concrete</t>
  </si>
  <si>
    <t>1.05-B-3-a</t>
  </si>
  <si>
    <t xml:space="preserve">Product data: For each admixture included in concrete mixes, submit manufacturer's product data demonstrating compliance with standards specified. </t>
  </si>
  <si>
    <t xml:space="preserve">Product data: Curing compound: Submit complete data on proposed compound. </t>
  </si>
  <si>
    <t>Design Data: Cast-in-Place Concrete</t>
  </si>
  <si>
    <t>Concrete mix designs.</t>
  </si>
  <si>
    <t>QC/STRUC</t>
  </si>
  <si>
    <t>1.05-D-1</t>
  </si>
  <si>
    <t xml:space="preserve">Concrete mixes - Trial batches: Drying shrinkage test results. </t>
  </si>
  <si>
    <t xml:space="preserve">Concrete mixes - Trial batches: Compression strength test results. </t>
  </si>
  <si>
    <t xml:space="preserve">If there is any change in suppliers or in quality of concrete mix constituents, 
submit new test data. </t>
  </si>
  <si>
    <t>Test Reports: Cast-in-Place Concrete</t>
  </si>
  <si>
    <t>Test reports: Aggregate.</t>
  </si>
  <si>
    <t>Test reports: Cement.</t>
  </si>
  <si>
    <t>1.05-E-4</t>
  </si>
  <si>
    <t>Test reports: Supplemental cementitious material.</t>
  </si>
  <si>
    <t xml:space="preserve">Current NRMCA certification for all plants and trucks that will be used to 
supply concrete. </t>
  </si>
  <si>
    <t xml:space="preserve">Truck batch tickets for each load of concrete delivered to the site, whether 
accepted or rejected. </t>
  </si>
  <si>
    <t>Concrete supplier's quality control plan.</t>
  </si>
  <si>
    <t xml:space="preserve">Contractor's notifications of readiness for concrete placement. </t>
  </si>
  <si>
    <t>1.05-H-2</t>
  </si>
  <si>
    <t xml:space="preserve">Contractor's reports of field quality control testing. </t>
  </si>
  <si>
    <t>Special procedure submittals: Sequence of concrete placing.</t>
  </si>
  <si>
    <t>03300-002.0</t>
  </si>
  <si>
    <t>Special Procedure: Hot Weather Concreting Plan</t>
  </si>
  <si>
    <t>1.05-I-2</t>
  </si>
  <si>
    <t>Special procedure submittals: Hot weather concreting plan.</t>
  </si>
  <si>
    <t>1.05-I-3</t>
  </si>
  <si>
    <t>Special procedure submittals: Repair of defective concrete</t>
  </si>
  <si>
    <t>03300-004.0</t>
  </si>
  <si>
    <t>CAST-IN-PLACE-CONCRETE</t>
  </si>
  <si>
    <t xml:space="preserve">Cast-in-place Concrete structures shop drawings </t>
  </si>
  <si>
    <t xml:space="preserve">cast in place delegated drawings </t>
  </si>
  <si>
    <t>03366</t>
  </si>
  <si>
    <t xml:space="preserve">TOOLED CONCRETE FINISHING </t>
  </si>
  <si>
    <t>03565</t>
  </si>
  <si>
    <t>BASIN BOTTOM GROUT</t>
  </si>
  <si>
    <t>03600</t>
  </si>
  <si>
    <t>GROUTING</t>
  </si>
  <si>
    <t xml:space="preserve">Cement grout: Mix design. </t>
  </si>
  <si>
    <t xml:space="preserve">Cement grout: Material submittals. </t>
  </si>
  <si>
    <t xml:space="preserve">Cement mortar: Mix design. </t>
  </si>
  <si>
    <t>Non-shrink Epoxy Grout - Five Star</t>
  </si>
  <si>
    <t>Material submittals. Non-shrink epoxy grout: Manufacturer's literature.</t>
  </si>
  <si>
    <t xml:space="preserve"> </t>
  </si>
  <si>
    <t xml:space="preserve">Material submittals. Non-shrink epoxy grout: Quality control tests results. </t>
  </si>
  <si>
    <t xml:space="preserve">Non-shrink grout: Manufacturer's literature. </t>
  </si>
  <si>
    <t>Qc/Struc</t>
  </si>
  <si>
    <t xml:space="preserve">Non-shrink grout: Quality control tests results. </t>
  </si>
  <si>
    <t>03703</t>
  </si>
  <si>
    <t>THERMAL CONTROL OF CONCRETE</t>
  </si>
  <si>
    <t xml:space="preserve">Thermal Control Plan. </t>
  </si>
  <si>
    <t xml:space="preserve">Temperature Monitoring Program. </t>
  </si>
  <si>
    <t>Temperature monitoring data.</t>
  </si>
  <si>
    <t xml:space="preserve">Layout of cooling pipe system, if used, showing pipe sizes and material type, 
connections, location, spacing, method of support, and system for monitoring 
temperature of water in cooling pipes. </t>
  </si>
  <si>
    <t>03926-001.0</t>
  </si>
  <si>
    <t>03926</t>
  </si>
  <si>
    <t xml:space="preserve">STRUCTURAL CONCRETE REPAIR </t>
  </si>
  <si>
    <t>Concrete Repair</t>
  </si>
  <si>
    <t xml:space="preserve">Product data: Submit manufacturer's data completely describing structural repair 
concrete materials. </t>
  </si>
  <si>
    <t xml:space="preserve">Manufacturer's Instructions. </t>
  </si>
  <si>
    <t>03931</t>
  </si>
  <si>
    <t xml:space="preserve">EPOXY INJECTION SYSTEM </t>
  </si>
  <si>
    <t xml:space="preserve">Quality control submittals: Certificates of Compliance. </t>
  </si>
  <si>
    <t xml:space="preserve">Quality control submittals: Manufacturer's Instructions. </t>
  </si>
  <si>
    <t xml:space="preserve">Special procedure submittals: Protection plan for surrounding areas and non-cementitious surfaces. </t>
  </si>
  <si>
    <t>03933-001.0</t>
  </si>
  <si>
    <t>03933</t>
  </si>
  <si>
    <t xml:space="preserve">HYDROPHILIC AND HYDROPHOBIC FOAM POLYURETHANE RESIN INJECTION SYSTEM </t>
  </si>
  <si>
    <t xml:space="preserve">Product data: Submit manufacturer's data completely describing polyurethane resin injection system materials. </t>
  </si>
  <si>
    <t>1.03-C-3</t>
  </si>
  <si>
    <t xml:space="preserve">Quality control submittals: Protection plan for surrounding areas and non-cementitious surfaces. </t>
  </si>
  <si>
    <t>04055</t>
  </si>
  <si>
    <t>ADHESIVE BONDING REINFORCING BARS AND ALL THREAD RODS IN MASONRY</t>
  </si>
  <si>
    <t xml:space="preserve">Product data: Independent testing laboratory results indicating allowable loads in tension and shear for masonry walls of the types included in the Work, with load modification factors for temperature, spacing, edge distance, and other installation variables. </t>
  </si>
  <si>
    <t xml:space="preserve">Product data: Handling and storage instructions. </t>
  </si>
  <si>
    <t>Product data: Installation instructions.</t>
  </si>
  <si>
    <t xml:space="preserve">Quality control submittals:  Detailed instructions for special inspection to comply with the building code specified in Section 01410 - Regulatory Requirements. </t>
  </si>
  <si>
    <t xml:space="preserve">Evaluation Report confirming that the product complies with the requirements 
of ICC-ES AC58. </t>
  </si>
  <si>
    <t>04090</t>
  </si>
  <si>
    <t xml:space="preserve">MASONRY ACCESSORIES </t>
  </si>
  <si>
    <t>1.03-A-1-a</t>
  </si>
  <si>
    <t xml:space="preserve">Changes to reinforcing steel contract drawing requirements: Indicate in separate letter submitted with shop drawings any changes of requirements indicated on the Drawings for reinforcing steel. </t>
  </si>
  <si>
    <t>1.03-A-1-c</t>
  </si>
  <si>
    <t>Changes to reinforcing steel contract drawing requirements: Reinforcement detail drawings.</t>
  </si>
  <si>
    <t>1.03-A-1-d</t>
  </si>
  <si>
    <t xml:space="preserve">Changes to reinforcing steel contract drawing requirements: Welding procedures. </t>
  </si>
  <si>
    <t>04100</t>
  </si>
  <si>
    <t xml:space="preserve">MORTAR AND MASONRY GROUT </t>
  </si>
  <si>
    <t xml:space="preserve">Mortar color samples. </t>
  </si>
  <si>
    <t xml:space="preserve">Design Mixes for mortar and grout. </t>
  </si>
  <si>
    <t xml:space="preserve">Test reports: Mortar Strength Test Results. </t>
  </si>
  <si>
    <t>Test reports: Grout Strength Test Results.</t>
  </si>
  <si>
    <t>04220</t>
  </si>
  <si>
    <t>CONCRETE UNIT MASONRY</t>
  </si>
  <si>
    <t xml:space="preserve">Product data: manufacturer’s product data for split face block. </t>
  </si>
  <si>
    <t xml:space="preserve">Product data: manufacturer’s product data for proposed cleaning agent. </t>
  </si>
  <si>
    <t xml:space="preserve">Samples: Include samples of stretcher units in sufficient quantity to illustrate color range. </t>
  </si>
  <si>
    <t xml:space="preserve">Test reports: Compressive strength. </t>
  </si>
  <si>
    <t xml:space="preserve">Test reports: Linear shrinkage. </t>
  </si>
  <si>
    <t xml:space="preserve">Test reports: Moisture content as a percentage of total absorption. </t>
  </si>
  <si>
    <t xml:space="preserve">Test reports: Total absorption. </t>
  </si>
  <si>
    <t xml:space="preserve">Test reports: Unit weight. </t>
  </si>
  <si>
    <t>Manufacturer’s instructions</t>
  </si>
  <si>
    <t xml:space="preserve">Quality assurance submittals: If requested by the Engineer, submit a record of the Installer’s evidence of qualifications. </t>
  </si>
  <si>
    <t>Quality assurance submittals: If requested by the Engineer, submit a record of the Masonry Cleaner’s evidence of qualifications.</t>
  </si>
  <si>
    <t xml:space="preserve">05120
</t>
  </si>
  <si>
    <t xml:space="preserve">STRUCTURAL STEEL FRAMING 
</t>
  </si>
  <si>
    <t xml:space="preserve">Product data: Welding electrodes : Electrode manufacturer's data. </t>
  </si>
  <si>
    <t>Product data: Compressible-washer-type direct tension indicators.</t>
  </si>
  <si>
    <t>Product data: Stainless steel.</t>
  </si>
  <si>
    <t>Quality control submittals: Welding procedure specifications (WPS) in accordance with AWS D1.1 and D1.6.</t>
  </si>
  <si>
    <t>Quality control submittals: Welder qualifications.</t>
  </si>
  <si>
    <t xml:space="preserve">Quality control submittals: Steel fabricator's AISC certification. </t>
  </si>
  <si>
    <t xml:space="preserve">Test reports: Certified copies of mill tests and analyses made in accordance with applicable ASTM standards, or reports from a recognized commercial laboratory, including chemical and tensile properties of each shipment of structural steel or part thereof having common properties. </t>
  </si>
  <si>
    <t>05140</t>
  </si>
  <si>
    <t xml:space="preserve">STRUCTURAL ALUMINUM </t>
  </si>
  <si>
    <t xml:space="preserve">Quality control submittals: Test Reports: Certified copies of mill tests or reports from a recognized commercial laboratory including chemical and tensile properties of each shipment of structural metal or part thereof having common properties. Tests and analyses shall be made in accordance with applicable ASTM Standards. </t>
  </si>
  <si>
    <t xml:space="preserve">Quality control submittals: Welder’s certificates. </t>
  </si>
  <si>
    <t>05190</t>
  </si>
  <si>
    <t xml:space="preserve">MECHANICAL ANCHORING AND FASTENING TO CONCRETE AND MASONRY </t>
  </si>
  <si>
    <t>1.05-A-2</t>
  </si>
  <si>
    <t xml:space="preserve">Submit information listed for each type of anchor or fastener to be used. </t>
  </si>
  <si>
    <t>Test reports.</t>
  </si>
  <si>
    <t>Manufacturer’s instructions.</t>
  </si>
  <si>
    <t>Qualification statements.</t>
  </si>
  <si>
    <t>1.05-B-7-a</t>
  </si>
  <si>
    <t xml:space="preserve">Delegated Design Submittals: When requesting product substitutions for post installed anchors, submit calculations, indicating the diameter, effective embedment depth and spacing of the proposed anchors, and demonstrating that the substituted product will provide load resistance that is equal to or greater than that provided by the anchors listed in this Section. </t>
  </si>
  <si>
    <t>05310</t>
  </si>
  <si>
    <t xml:space="preserve">STEEL DECKING </t>
  </si>
  <si>
    <t>05500</t>
  </si>
  <si>
    <t xml:space="preserve">METAL FABRICATIONS </t>
  </si>
  <si>
    <t>Product Data.</t>
  </si>
  <si>
    <t>05500-001.0</t>
  </si>
  <si>
    <t>Metal Fabrications</t>
  </si>
  <si>
    <t>Struc/QC/Jyun</t>
  </si>
  <si>
    <t xml:space="preserve">Samples: Guardrails with specified finishes. </t>
  </si>
  <si>
    <t xml:space="preserve">Design data. </t>
  </si>
  <si>
    <t>1.04-D-2-a</t>
  </si>
  <si>
    <t>Test reports: Guardrails.</t>
  </si>
  <si>
    <t>1.04-D-2-b</t>
  </si>
  <si>
    <t>Test reports: Gratings.</t>
  </si>
  <si>
    <t>1.04-D-2-c</t>
  </si>
  <si>
    <t>Test reports: Planks.</t>
  </si>
  <si>
    <t>06070(ADD3)</t>
  </si>
  <si>
    <t>WOOD TREATMENT</t>
  </si>
  <si>
    <t>Product Data: Provide data on all treatment products, including field application 
instructions if applicable.</t>
  </si>
  <si>
    <t>Preserver Certifications.</t>
  </si>
  <si>
    <t xml:space="preserve">Contractor’s Certification: Provide a certification letter stating that all wood used on this job including cuts and penetration were treated and coated with preservatives in compliance with requirements of this contract. </t>
  </si>
  <si>
    <t>Guarantee: Guarantee form for written guarantee.</t>
  </si>
  <si>
    <t>Act 045, Session Laws of Hawaii 2018, Contractor Temporary Permit.</t>
  </si>
  <si>
    <t>06200</t>
  </si>
  <si>
    <t xml:space="preserve">FINISH CARPENTRY </t>
  </si>
  <si>
    <t xml:space="preserve">Submit shop drawings, product data, and samples. </t>
  </si>
  <si>
    <t xml:space="preserve">Installation instructions. </t>
  </si>
  <si>
    <t>Submit minimum 6-inch long trim and molding samples, and minimum 2-inch square plastic laminate samples showing colors and patterns.</t>
  </si>
  <si>
    <t>06400</t>
  </si>
  <si>
    <t>ARCHITECTURAL WOODWORK</t>
  </si>
  <si>
    <t>1.03-A-3-a</t>
  </si>
  <si>
    <t xml:space="preserve">Samples: Wood species to receive transparent finish. </t>
  </si>
  <si>
    <t>1.03-A-3-b</t>
  </si>
  <si>
    <t xml:space="preserve">Samples: Factory applied finish. </t>
  </si>
  <si>
    <t>1.03-A-3-c</t>
  </si>
  <si>
    <t xml:space="preserve">Samples: Type and color of plastic laminate. </t>
  </si>
  <si>
    <t>1.03-A-4</t>
  </si>
  <si>
    <t>1.03-A-5</t>
  </si>
  <si>
    <t>06605(ADD3)</t>
  </si>
  <si>
    <t xml:space="preserve">FIBERGLASS REINFORCED PLASTIC PANELS </t>
  </si>
  <si>
    <t>Product Data:  Manufacturer's data sheets on each product to be used.</t>
  </si>
  <si>
    <t xml:space="preserve">Selection Samples:  For each finish specified, two complete sets of color chips 
representing manufacturer's full range of available colors and patterns. </t>
  </si>
  <si>
    <t>Maintenance Instructions.</t>
  </si>
  <si>
    <t>06607(ADD8)</t>
  </si>
  <si>
    <t>CLARIFIER LAUNDER COVERS</t>
  </si>
  <si>
    <t>Test Reports.</t>
  </si>
  <si>
    <t>06608</t>
  </si>
  <si>
    <t xml:space="preserve">FIBERGLASS REINFORCED PLASTIC </t>
  </si>
  <si>
    <t xml:space="preserve">Submit general arrangement and fabrication drawings, calculations, and elements of the design. </t>
  </si>
  <si>
    <t>Operation and Maintenance Data.</t>
  </si>
  <si>
    <t>06611</t>
  </si>
  <si>
    <t xml:space="preserve">FIBERGLASS REINFORCED PLASTIC FABRICATIONS </t>
  </si>
  <si>
    <t xml:space="preserve">Submit general arrangement and fabrication drawings, calculations, and elements of the design for grating and stairs. </t>
  </si>
  <si>
    <t xml:space="preserve">Product Data and Material Certifications. </t>
  </si>
  <si>
    <t xml:space="preserve">For tank covers: Submit structural design calculations prepared and signed by a professional structural engineer licensed in the state of Hawaii. </t>
  </si>
  <si>
    <t>06616</t>
  </si>
  <si>
    <t>FIBERGLASS REINFORCED PLASTIC HANDRAIL AND GUARDRAIL</t>
  </si>
  <si>
    <t>Product data: Include available colors.</t>
  </si>
  <si>
    <t xml:space="preserve">Shop drawings: Plans and elevations showing heights, sizes, shapes, and locations of installations, and details of connections and anchorage. Shop drawings shall be stamped and signed by Professional Engineer registered with the state of Hawaii. </t>
  </si>
  <si>
    <t>06622(ADD3)</t>
  </si>
  <si>
    <t xml:space="preserve">SOLID SURFACE COUNTERTOPS </t>
  </si>
  <si>
    <t xml:space="preserve">Product Data:  Submit manufacturer's product data and installation instruction for 
each type of countertop material. </t>
  </si>
  <si>
    <t>Color Samples:  Submit physical samples and/or color cards of available finishes for 
countertop materials for selection by Engineer.</t>
  </si>
  <si>
    <t>07110</t>
  </si>
  <si>
    <t>DAMPPROOFING</t>
  </si>
  <si>
    <t>07164</t>
  </si>
  <si>
    <t>CEMENTITIOUS CRYSTALLINE CONCRETE WATERPROOFING</t>
  </si>
  <si>
    <t xml:space="preserve">Product data: Include mixing and application procedures. </t>
  </si>
  <si>
    <t>Certificates of conformance or compliance: Attest that waterproofing materials meets specified requirements, signed by manufacturer.</t>
  </si>
  <si>
    <t xml:space="preserve">Certificates of conformance or compliance: Attest that chemical and physical properties of cementitious crystalline waterproofing materials have been determined by specified methods, and have been found to conform with Specification. </t>
  </si>
  <si>
    <t xml:space="preserve">Laboratory test reports. </t>
  </si>
  <si>
    <t>07190</t>
  </si>
  <si>
    <t>WATER REPELLENTS</t>
  </si>
  <si>
    <t xml:space="preserve">Samples: Water repellent applied on 8-inch by 8-inch substrates to receive water 
repellent, marked with application date and application rate. </t>
  </si>
  <si>
    <t xml:space="preserve">Manufacturer's Application Instructions. </t>
  </si>
  <si>
    <t>07210(ADD3)</t>
  </si>
  <si>
    <t xml:space="preserve">BUILDING INSULATION </t>
  </si>
  <si>
    <t xml:space="preserve">Manufacturer's Data: Submit manufacturer's specifications and installation 
instructions for types of insulation required. Include data substantiating that 
materials comply with specified requirements. </t>
  </si>
  <si>
    <t xml:space="preserve">Material Safety Data Sheets (MSDS): Submit MSDS for each material. </t>
  </si>
  <si>
    <t>07212(ADD5)</t>
  </si>
  <si>
    <t>WALL INSULATION SYSTEM</t>
  </si>
  <si>
    <t>07220</t>
  </si>
  <si>
    <t>ROOF AND DECK INSULATION</t>
  </si>
  <si>
    <t xml:space="preserve">Samples. Include 6-inch square samples of each type and thickness of insulation 
required. </t>
  </si>
  <si>
    <t xml:space="preserve">State thickness and R-value of insulation to be provided at each building. </t>
  </si>
  <si>
    <t xml:space="preserve">Certificates: Certify that products meet or exceed specified requirements. </t>
  </si>
  <si>
    <t xml:space="preserve">Certificates: Certify that insulation is approved by manufacturer for use with specified roofing materials. </t>
  </si>
  <si>
    <t xml:space="preserve">Manufacturer's field reports. </t>
  </si>
  <si>
    <t>07410(ADD3)</t>
  </si>
  <si>
    <t xml:space="preserve">PREFORMED METAL ROOFING AND SIDING </t>
  </si>
  <si>
    <t>Preformed Metal roofing and Siding</t>
  </si>
  <si>
    <t xml:space="preserve">Manufacturer's Data: Submit manufacturer's product specifications, standard 
details, installation instructions and general recommendations, as applicable to 
materials and finishes for each component and for total system of preformed 
panels. </t>
  </si>
  <si>
    <t>Roof Color and Samples.</t>
  </si>
  <si>
    <t xml:space="preserve">Test Reports: Provide test data demonstrating structural capacity, wind uplift and 
resistance to water infiltration performance as specified. </t>
  </si>
  <si>
    <t xml:space="preserve">Manufacturer's Technical Representative's Reports: Submit copies of all reports to 
the Contracting Officer. </t>
  </si>
  <si>
    <t xml:space="preserve">Warranty: Submit warranty as noted under Article 1.04. </t>
  </si>
  <si>
    <t>07540</t>
  </si>
  <si>
    <t>THERMOPLASTIC POLYOLEFIN (TPO) MEMBRANE ROOFING</t>
  </si>
  <si>
    <t xml:space="preserve">Product data: Include specifications and flashing details. </t>
  </si>
  <si>
    <t>Detail drawings.</t>
  </si>
  <si>
    <t>Samples.</t>
  </si>
  <si>
    <t xml:space="preserve">Certificates: UL listings. </t>
  </si>
  <si>
    <t xml:space="preserve">Certificates: Letter of certification from the manufacturer certifying the roofing contractor is authorized to install the manufacturer's roofing system, include certified foreman and training dates. </t>
  </si>
  <si>
    <t>1.03-E-3</t>
  </si>
  <si>
    <t xml:space="preserve">Certificates: Indicating membrane thickness from the membrane manufacturer. </t>
  </si>
  <si>
    <t xml:space="preserve">Installer Authorization: Letter or certificate signed by roofing system manufacturer certifying that installer is approved, authorized, or licensed by manufacturer to install roofing system. </t>
  </si>
  <si>
    <t xml:space="preserve">Maintenance manual: Include repair instructions. </t>
  </si>
  <si>
    <t xml:space="preserve">Prior to beginning the Work of this Section: Submit sample warranties. </t>
  </si>
  <si>
    <t>1.03-H-2</t>
  </si>
  <si>
    <t>Prior to beginning the Work of this Section: Submit the final System Assembly Letter issued by manufacturer.</t>
  </si>
  <si>
    <t>1.03-H-3</t>
  </si>
  <si>
    <t>Prior to beginning the Work of this Section: Submit the Guarantee Application Confirmation document issued by manufacturer.</t>
  </si>
  <si>
    <t xml:space="preserve">Upon substantial completion: Submit final warranties. </t>
  </si>
  <si>
    <t>07700</t>
  </si>
  <si>
    <t xml:space="preserve">ROOF SPECIALTIES </t>
  </si>
  <si>
    <t xml:space="preserve">Product data: Include finish and color options. </t>
  </si>
  <si>
    <t xml:space="preserve">Shop drawings. Include equipment curbs and supports details. </t>
  </si>
  <si>
    <t xml:space="preserve">Certifications: Certify that curbs are capable of supporting the specified equipment including loads specified in Section 01850 - Design Criteria. </t>
  </si>
  <si>
    <t xml:space="preserve">Samples: Include finish and color samples. </t>
  </si>
  <si>
    <t>07722</t>
  </si>
  <si>
    <t>ROOF HATCHES</t>
  </si>
  <si>
    <t>Product data: Indicate general construction, configurations, and jointing methods.</t>
  </si>
  <si>
    <t xml:space="preserve">Shop drawings: Show locations, sizes, fastening methods, and installation details. </t>
  </si>
  <si>
    <t>07840</t>
  </si>
  <si>
    <t>FIRESTOPPING</t>
  </si>
  <si>
    <t>R&amp;L Ohana</t>
  </si>
  <si>
    <t xml:space="preserve">Product data: Submit manufacturer's data and installation instructions. </t>
  </si>
  <si>
    <t>07900</t>
  </si>
  <si>
    <t xml:space="preserve">JOINT SEALANTS </t>
  </si>
  <si>
    <t xml:space="preserve">Samples, include color selections. </t>
  </si>
  <si>
    <t>07914</t>
  </si>
  <si>
    <t>J-SEALS</t>
  </si>
  <si>
    <t>07920(ADD3)</t>
  </si>
  <si>
    <t xml:space="preserve">SEALANT </t>
  </si>
  <si>
    <t>08254</t>
  </si>
  <si>
    <t>PRE-ASSEMBLED PLASTIC DOOR ASSEMBLIES</t>
  </si>
  <si>
    <t>Product data of other equipment provided with the heat exchanger package</t>
  </si>
  <si>
    <t xml:space="preserve">Samples: Typical corners, minimum 6-inch long horizontal and vertical members, 
showing construction texture and finish color. </t>
  </si>
  <si>
    <t xml:space="preserve">Manufacturer's instructions: Submit manufacturer's installation instructions. </t>
  </si>
  <si>
    <t>08320</t>
  </si>
  <si>
    <t>FLOOR ACCESS DOORS</t>
  </si>
  <si>
    <t>08332</t>
  </si>
  <si>
    <t xml:space="preserve">OVERHEAD COILING DOORS </t>
  </si>
  <si>
    <t xml:space="preserve">Samples: Submit samples of finishes for finish selection. </t>
  </si>
  <si>
    <t>Manufacturer’s Certificates: Certify products meet or exceed specified requirements.</t>
  </si>
  <si>
    <t>Project record documents: Operation and maintenance data.</t>
  </si>
  <si>
    <t>Project record documents: Warranty.</t>
  </si>
  <si>
    <t>08393</t>
  </si>
  <si>
    <t xml:space="preserve">WATERTIGHT DOORS </t>
  </si>
  <si>
    <t>1.06-B-3</t>
  </si>
  <si>
    <t>Manufacturer’s Instructions.</t>
  </si>
  <si>
    <t>1.06-B-4</t>
  </si>
  <si>
    <t>1.06-B-5-a</t>
  </si>
  <si>
    <t xml:space="preserve">Manufacturer's certification that the doors furnished, or doors of similar design (including dimensions and detailing), have been tested and will withstand the specified hydrostatic pressure without leakage. </t>
  </si>
  <si>
    <t>Vendor operation and maintenance manual as specified in Section 01782 - Operation and Maintenance Manuals.</t>
  </si>
  <si>
    <t>1.06-D-a</t>
  </si>
  <si>
    <t>Qualifications: Manufacturer.</t>
  </si>
  <si>
    <t>1.06-D-2</t>
  </si>
  <si>
    <t xml:space="preserve">Protocols for source testing and for field testing. </t>
  </si>
  <si>
    <t>1.06-D-3</t>
  </si>
  <si>
    <t>Manufacturer’s Certificate of Source Testing as specified in Section 01756 - Commissioning.</t>
  </si>
  <si>
    <t>1.06-D-4</t>
  </si>
  <si>
    <t>Manufacturer’s Certificate of Installation Verification as specified in Section 01756 - Commissioning.</t>
  </si>
  <si>
    <t>1.06-D-5</t>
  </si>
  <si>
    <t xml:space="preserve">Manufacturer’s Certificate of Functional Compliance as specified in Section 01756 - Commissioning. </t>
  </si>
  <si>
    <t xml:space="preserve">Calculations demonstrating that frame anchoring geometry and anchors will resist pressures against the door without damage to the surrounding concrete. </t>
  </si>
  <si>
    <t>08530(ADD3)</t>
  </si>
  <si>
    <t>VINYL WINDOWS</t>
  </si>
  <si>
    <t xml:space="preserve">Manufacturer's Data: Submit manufacturer's descriptive literature and data along 
with shop drawings for approval. </t>
  </si>
  <si>
    <t xml:space="preserve">Samples: Submit three samples of required finish. Submit samples of finishes, 
including hardware to the Contracting Officer for acceptance. </t>
  </si>
  <si>
    <t xml:space="preserve">Test Reports: Where manufacturer's data does not clearly indicate conformance with performance requirements submit test reports from an independent laboratory certifying performance requirements of all exterior systems. </t>
  </si>
  <si>
    <t xml:space="preserve">Certification: Supply certification by the manufacturer that the windows, including 
finish, conform to specifications. </t>
  </si>
  <si>
    <t xml:space="preserve">Warranty: Submit warranty as stipulated in Article 1.04 "WARRANTY". </t>
  </si>
  <si>
    <t>Maintenance Manual: Submit three maintenance manuals for each type of window 
and finish.</t>
  </si>
  <si>
    <t>08710</t>
  </si>
  <si>
    <t xml:space="preserve">DOOR HARDWARE </t>
  </si>
  <si>
    <t>Product data: Manufacturer's product data sheets.</t>
  </si>
  <si>
    <t>Product data: Product Test Reports.</t>
  </si>
  <si>
    <t>Hardware schedule.</t>
  </si>
  <si>
    <t xml:space="preserve">Samples: Include for each different type and manufacturer for review of finish. </t>
  </si>
  <si>
    <t xml:space="preserve">Construction key distribution list: Submit upon Owner's request. </t>
  </si>
  <si>
    <t>Templates.</t>
  </si>
  <si>
    <t xml:space="preserve">Project record documents: Include corrected hardware schedule. </t>
  </si>
  <si>
    <t>Operating and Maintenance Manuals.</t>
  </si>
  <si>
    <t>08800</t>
  </si>
  <si>
    <t>GLAZING</t>
  </si>
  <si>
    <t xml:space="preserve">Shop drawings: Locations of glass types and typical glazing details. </t>
  </si>
  <si>
    <t>Samples: Glazing sealants.</t>
  </si>
  <si>
    <t>Samples: Glass.</t>
  </si>
  <si>
    <t xml:space="preserve">Certificates of compliance: Certification that tempered glass in accordance with ANSI Z97.1 and CPSC 16 CFR 1201. </t>
  </si>
  <si>
    <t>08952</t>
  </si>
  <si>
    <t xml:space="preserve">TRANSLUCENT SKYLIGHT SYSTEM </t>
  </si>
  <si>
    <t xml:space="preserve">Product data: Manufacturer's standard technical specifications and product literature describing materials, special handling instructions, and installation instruction. </t>
  </si>
  <si>
    <t xml:space="preserve">Samples: Include metal finishes, colors of metal framed skylights, and face sheet 
types and colors. </t>
  </si>
  <si>
    <t>Manufacturer's installation instructions.</t>
  </si>
  <si>
    <t>Manufacturer's certificates: Certifications that materials meet specified requirements.</t>
  </si>
  <si>
    <t>Structural calculations.</t>
  </si>
  <si>
    <t xml:space="preserve">Proof of regular, independent quality control monitoring under a building code 
review and listing program shall be submitted. </t>
  </si>
  <si>
    <t>09110</t>
  </si>
  <si>
    <t>NON-LOAD BEARING WALL FRAMING</t>
  </si>
  <si>
    <t xml:space="preserve">Product data: Product data for all proposed material for framing system. </t>
  </si>
  <si>
    <t>09131</t>
  </si>
  <si>
    <t>ACOUSTICAL CEILING SUSPENSION ASSEMBLIES</t>
  </si>
  <si>
    <t>Product Data: Include installation instructions.</t>
  </si>
  <si>
    <t xml:space="preserve">Shop Drawings: Include reflected ceiling plan, details. </t>
  </si>
  <si>
    <t xml:space="preserve">Samples: Include minimum 3-inch long main and cross members showing intersections, profile, and finish. </t>
  </si>
  <si>
    <t>09250</t>
  </si>
  <si>
    <t xml:space="preserve">GYPSUM BOARD </t>
  </si>
  <si>
    <t xml:space="preserve">Product Data: Include manufacturer's instructions for sealing openings, penetrations, and cut edges of water-resistant gypsum board. </t>
  </si>
  <si>
    <t xml:space="preserve">Samples: Include texture samples on minimum 6 inch square specified materials. </t>
  </si>
  <si>
    <t>09310</t>
  </si>
  <si>
    <t>CERAMIC TILING</t>
  </si>
  <si>
    <t>Maka Construction</t>
  </si>
  <si>
    <t xml:space="preserve">Product data: Include manufacturer's standard colors. </t>
  </si>
  <si>
    <t>Samples</t>
  </si>
  <si>
    <t xml:space="preserve">Samples: Tile and grout on minimum 24-inch square waterproof boards showing range of Engineer's selected colors. </t>
  </si>
  <si>
    <t>09510(ADD3)</t>
  </si>
  <si>
    <t xml:space="preserve">ACOUSTICAL CEILING </t>
  </si>
  <si>
    <t>09511</t>
  </si>
  <si>
    <t xml:space="preserve">ACOUSTICAL PANEL CEILINGS </t>
  </si>
  <si>
    <t xml:space="preserve">Samples: Include nominal 12-inch square acoustical panels. </t>
  </si>
  <si>
    <t>09523</t>
  </si>
  <si>
    <t xml:space="preserve">ACOUSTICAL PANELS </t>
  </si>
  <si>
    <t xml:space="preserve">Product data: Include sound absorption data, cutting and fabrication, and installation details for panel systems. </t>
  </si>
  <si>
    <t xml:space="preserve">Test reports: Results of sound absorption coefficient testing by independent acoustical laboratory. </t>
  </si>
  <si>
    <t xml:space="preserve">Manufacturer's installation instructions: Including installation instructions for suspended grid system and adhesives. </t>
  </si>
  <si>
    <t>09650(ADD3)</t>
  </si>
  <si>
    <t xml:space="preserve">RESILIENT FLOORING </t>
  </si>
  <si>
    <t xml:space="preserve">Manufacturer's Data: Submit manufacturer's technical data and installation 
instructions for resilient flooring, wax, and accessories. </t>
  </si>
  <si>
    <t xml:space="preserve">Samples: Submit samples of all flooring, bases, and accessories to the Contracting 
Officer for color and/or pattern selection. </t>
  </si>
  <si>
    <t xml:space="preserve">Maintenance Instructions: Submit manufacturer's recommended cleaning and 
maintenance practices for resilient flooring and accessories. </t>
  </si>
  <si>
    <t xml:space="preserve">Test Reports: Submit copies of all concrete floor moisture and alkalinity tests to the 
Contracting Officer. </t>
  </si>
  <si>
    <t xml:space="preserve">Material Safety Data Sheets (MSDS): Submit MSDS for adhesives, patching and 
leveling compounds, and sealers. </t>
  </si>
  <si>
    <t>09652</t>
  </si>
  <si>
    <t xml:space="preserve">RESILIENT BASE AND ACCESSORIES </t>
  </si>
  <si>
    <t xml:space="preserve">RESILIENT BASE AND ADHESIVES
</t>
  </si>
  <si>
    <t xml:space="preserve">Samples: Include 6 inch by full height or width sections for each type or color base and accessory. </t>
  </si>
  <si>
    <t>09654</t>
  </si>
  <si>
    <t xml:space="preserve">RESILIENT TILE FLOORING </t>
  </si>
  <si>
    <t xml:space="preserve">Samples: Include 8-inch by 10-inch sized samples of each flooring material, color, and pattern selected. </t>
  </si>
  <si>
    <t>09672-001.0</t>
  </si>
  <si>
    <t>09672(ADD3)</t>
  </si>
  <si>
    <t>RESINOUS FLOORING</t>
  </si>
  <si>
    <t>Zelensky</t>
  </si>
  <si>
    <t xml:space="preserve">Product Data: For each type of product include manufacturer's technical data, safety data sheets, application instructions, and recommendations for each resinous flooring component required. </t>
  </si>
  <si>
    <t xml:space="preserve">Samples for Verification: For each resinous flooring system required, 6-inches 
square, applied to a rigid backing by Installer for this Project.  Samples must comply 
with specified system materials, application thickness, color and finish texture. </t>
  </si>
  <si>
    <t>Installer Certificates: Installer certification by material manufacturer for the 
system(s) specified.</t>
  </si>
  <si>
    <t xml:space="preserve">Material Data Sheets, Safety Data Sheets (SDS) and Installation Instructions: For 
each resinous flooring component and system from manufacturer. </t>
  </si>
  <si>
    <t xml:space="preserve">Maintenance Data: For each resinous flooring system maintenance instructions and 
period system evaluation from material manufacturer. </t>
  </si>
  <si>
    <t xml:space="preserve">Warranty: Installation and material warranty from installer and material 
manufacturer. </t>
  </si>
  <si>
    <t>09910-001.0</t>
  </si>
  <si>
    <t>09910</t>
  </si>
  <si>
    <t xml:space="preserve">PAINTING </t>
  </si>
  <si>
    <t>Krishna/QC</t>
  </si>
  <si>
    <t xml:space="preserve">Product data: Include description of physical properties of coatings including solids content and ingredient analysis, VOC content, temperature resistance, typical exposures and limitations, and manufacturer's standard color chips. </t>
  </si>
  <si>
    <t xml:space="preserve">Samples: Include 8-inch square draw-downs or brush-outs of topcoat finish when requested. Identify each sample as to finish, formula, color name and number and sheen name and gloss units. </t>
  </si>
  <si>
    <t>Manufacturer's instructions: Submit in accordance with requirements for Product 
Data.</t>
  </si>
  <si>
    <t>09960</t>
  </si>
  <si>
    <t xml:space="preserve">HIGH-PERFORMANCE COATINGS </t>
  </si>
  <si>
    <t>1.05-A-1</t>
  </si>
  <si>
    <t xml:space="preserve">Schedule of proposed coating materials. </t>
  </si>
  <si>
    <t xml:space="preserve">Schedule of surfaces to be coated with each coating material. </t>
  </si>
  <si>
    <t>1.05-A-3</t>
  </si>
  <si>
    <t xml:space="preserve">Dehumidification and heating plan. </t>
  </si>
  <si>
    <t>09960-001.0</t>
  </si>
  <si>
    <t>Product Data: Zelensky</t>
  </si>
  <si>
    <t>1.05-A-4</t>
  </si>
  <si>
    <t>1.05-A-5-a</t>
  </si>
  <si>
    <t xml:space="preserve">Quality assurance plan. </t>
  </si>
  <si>
    <t>1.05-A-5-b</t>
  </si>
  <si>
    <t>Qualifications of CSA.</t>
  </si>
  <si>
    <t>1.05-A-5-c</t>
  </si>
  <si>
    <t>CSA Reports.</t>
  </si>
  <si>
    <t>1.05-A-5-d</t>
  </si>
  <si>
    <t>CTR Reports.</t>
  </si>
  <si>
    <t>09968</t>
  </si>
  <si>
    <t>CONCRETE REPAIR AND COATING</t>
  </si>
  <si>
    <t xml:space="preserve">Product data (general): Submit prior to start of work. </t>
  </si>
  <si>
    <t>1.06-C-1</t>
  </si>
  <si>
    <t xml:space="preserve">Product data for 100 percent solids elastomeric polyurethane coating: Manufacturer’s literature including installation procedure and warranty for coating system. </t>
  </si>
  <si>
    <t>1.06-C-2</t>
  </si>
  <si>
    <t xml:space="preserve">Product data for 100 percent solids elastomeric polyurethane coating: Manufacturer’s letter of declaration to maintain local permanent inventory and field technical services during coating application and Warranty period. </t>
  </si>
  <si>
    <t>1.06-C-3</t>
  </si>
  <si>
    <t xml:space="preserve">Product data for 100 percent solids elastomeric polyurethane coating: Test results of product from approved material testing laboratory certifying that product meets or exceeds required physical properties. </t>
  </si>
  <si>
    <t>1.06-C-4</t>
  </si>
  <si>
    <t xml:space="preserve">Product data for 100 percent solids elastomeric polyurethane coating: Certification of manufacturer’s technical services representative. </t>
  </si>
  <si>
    <t xml:space="preserve">Testing procedure in accordance with ASTM D4263. </t>
  </si>
  <si>
    <t xml:space="preserve">Coating repair procedures. </t>
  </si>
  <si>
    <t>1.06-F-1</t>
  </si>
  <si>
    <t xml:space="preserve">Coating applicator licensing: Approval and licensing by manufacturer of 100 percent solids elastomeric polyurethane coating for coating applicator to apply this system. </t>
  </si>
  <si>
    <t xml:space="preserve">Manufacturer's instructions: Submit in accordance with requirements for product 
data. </t>
  </si>
  <si>
    <t xml:space="preserve">Manufacturer's technical representative’s field reports. </t>
  </si>
  <si>
    <t>10100</t>
  </si>
  <si>
    <t xml:space="preserve">VISUAL DISPLAY SURFACES </t>
  </si>
  <si>
    <t xml:space="preserve">Samples: Include minimum 6-inch square samples of selected finishes. </t>
  </si>
  <si>
    <t xml:space="preserve">Operation and maintenance data: Include cleaning instructions. </t>
  </si>
  <si>
    <t>10400</t>
  </si>
  <si>
    <t>SIGNAGE</t>
  </si>
  <si>
    <t xml:space="preserve">Samples: Include actual materials. </t>
  </si>
  <si>
    <t>10810</t>
  </si>
  <si>
    <t xml:space="preserve">TOILET ACCESSORIES </t>
  </si>
  <si>
    <t xml:space="preserve">Product data: Include dimensions gauge, profiles, materials, fabrication details, manufacturer's installation instructions including setting drawings where cutouts are required, templates, substrate preparation instructions and directions for preparing cutouts for installation of accessories. </t>
  </si>
  <si>
    <t xml:space="preserve">Special samples: Include 1 of each accessory type. </t>
  </si>
  <si>
    <t>13120(ADD3)</t>
  </si>
  <si>
    <t xml:space="preserve">Pre-Engineered Structures </t>
  </si>
  <si>
    <t xml:space="preserve">Product Data:  For all metal building system components. </t>
  </si>
  <si>
    <t>13120-001.1</t>
  </si>
  <si>
    <t>Letter of Design Certification:  Signed and sealed by a qualified professional 
engineer licensed in the State of Hawaii.</t>
  </si>
  <si>
    <t xml:space="preserve">Welding certificates. </t>
  </si>
  <si>
    <t xml:space="preserve">Erector Certificate:  Signed by manufacturer certifying that erector complies with 
requirements. </t>
  </si>
  <si>
    <t>Manufacturer certificate.</t>
  </si>
  <si>
    <t>Fabrication shall proceed based only on approved anchor bolt plan and building 
shop drawings.</t>
  </si>
  <si>
    <t>note: submittal status code: AN - Approved no comments, AC - Approved no comments, AS - Approved Correct and Resubmit,
 NCR - Not Approved Correct Resubmit, NR - Not Approved Rejected, RA - Reciept Acknowledge, RC - Reciept with Comments, L - Living Document or continously submitted</t>
  </si>
  <si>
    <t>Submitted Date</t>
  </si>
  <si>
    <t>02581</t>
  </si>
  <si>
    <t xml:space="preserve">PRECAST ELECTRICAL HANDHOLES AND ELECTRICAL MANHOLES </t>
  </si>
  <si>
    <t>Product data: Manufacturer's catalog data, details, and warranties.</t>
  </si>
  <si>
    <t>Manufacturer's statement of materials used for fabrication and 
construction, in accordance with ASTM C858, for record.</t>
  </si>
  <si>
    <t>1.04-D-1-a</t>
  </si>
  <si>
    <t xml:space="preserve">Fabricator's tests for compressive strength of concrete used in structures, 
made in accordance with recommendations of ASTM C858. </t>
  </si>
  <si>
    <t xml:space="preserve">Manufacturer's current plant certification under NPCA for the structures to 
be supplied. </t>
  </si>
  <si>
    <t xml:space="preserve">Manufacturer's certification that handholes and manholes are in 
accordance with the requirements of ASTM C858. </t>
  </si>
  <si>
    <t xml:space="preserve">Instructions for handling and setting structures in place. </t>
  </si>
  <si>
    <t>Instructions for operation and maintenance of hatches.</t>
  </si>
  <si>
    <t xml:space="preserve">Manufacturer's inspection reports in accordance with ASTM C1037. </t>
  </si>
  <si>
    <t>Project record documents.</t>
  </si>
  <si>
    <t>Warranties.</t>
  </si>
  <si>
    <t>16060-001.0</t>
  </si>
  <si>
    <t>16060</t>
  </si>
  <si>
    <t>GROUNDING AND BONDING</t>
  </si>
  <si>
    <t>Grounding and Bonding</t>
  </si>
  <si>
    <t xml:space="preserve">Mass </t>
  </si>
  <si>
    <t>16070</t>
  </si>
  <si>
    <t xml:space="preserve">HANGERS AND SUPPORTS </t>
  </si>
  <si>
    <t>Delegated design submittals: Hangers and supports – General.</t>
  </si>
  <si>
    <t>Delegated design submittals: Hangers and supports – Exterior and seismic conditions.</t>
  </si>
  <si>
    <t>Delegated design submittals: Hangers and supports anchored to concrete and masonry.</t>
  </si>
  <si>
    <t>16075</t>
  </si>
  <si>
    <t xml:space="preserve">IDENTIFICATION FOR ELECTRICAL SYSTEMS </t>
  </si>
  <si>
    <t xml:space="preserve">Record documents: Update the conduit schedule to reflect the exact quantity of wire numbers including spares and destination points for all wires. </t>
  </si>
  <si>
    <t>16123</t>
  </si>
  <si>
    <t>600-VOLT OR LESS WIRES AND CABLES</t>
  </si>
  <si>
    <t xml:space="preserve">Cable lengths: Submit installed cable lengths using a conduit measuring tape for all 3-phase circuits. </t>
  </si>
  <si>
    <t>Cable lengths: Submit installed lengths of cable for the following single-phase circuits.</t>
  </si>
  <si>
    <t>16124
Deleted(ADD6)</t>
  </si>
  <si>
    <t>MEDIUM VOLTAGE CABLES</t>
  </si>
  <si>
    <t>Qualifications.</t>
  </si>
  <si>
    <t>Cable lengths: Submit installed cable lengths using a conduit measuring tape for medium voltage circuits</t>
  </si>
  <si>
    <t>Record documents.</t>
  </si>
  <si>
    <t>16125</t>
  </si>
  <si>
    <t xml:space="preserve">FIBER OPTIC CABLE AND APPURTENANCES </t>
  </si>
  <si>
    <t>Installation instructions.</t>
  </si>
  <si>
    <t>Calculations</t>
  </si>
  <si>
    <t>16130-001.0</t>
  </si>
  <si>
    <t>16130</t>
  </si>
  <si>
    <t>CONDUITS</t>
  </si>
  <si>
    <t>Explosion Prof and Liquidtight Flex Conduit</t>
  </si>
  <si>
    <t>16130-001.1</t>
  </si>
  <si>
    <t>16130-002.0</t>
  </si>
  <si>
    <t>Rigid PVC Conduit</t>
  </si>
  <si>
    <t>16130-003.0</t>
  </si>
  <si>
    <t>PCS RIGID COATED</t>
  </si>
  <si>
    <t>16130-004.0</t>
  </si>
  <si>
    <t>Galavanized Rigid Steel</t>
  </si>
  <si>
    <t>Delegated design submittals.</t>
  </si>
  <si>
    <t>Certifications.</t>
  </si>
  <si>
    <t>Record Documents.</t>
  </si>
  <si>
    <t>Installation drawings.</t>
  </si>
  <si>
    <t>16133</t>
  </si>
  <si>
    <t xml:space="preserve">DUCT BANKS </t>
  </si>
  <si>
    <t>Underground Marking Tape</t>
  </si>
  <si>
    <t xml:space="preserve">1.02-B </t>
  </si>
  <si>
    <t xml:space="preserve">Markings </t>
  </si>
  <si>
    <t>16133-002.0</t>
  </si>
  <si>
    <t xml:space="preserve">Shop Drawings </t>
  </si>
  <si>
    <t>1.02 C (1) &amp; (2)</t>
  </si>
  <si>
    <t>Product data &amp; Shop drawings.</t>
  </si>
  <si>
    <t>16133-002.1</t>
  </si>
  <si>
    <t>16133-003.0</t>
  </si>
  <si>
    <t>Conduit Spaces and Duct Seal</t>
  </si>
  <si>
    <t>16134</t>
  </si>
  <si>
    <t>BOXES</t>
  </si>
  <si>
    <t>16140</t>
  </si>
  <si>
    <t xml:space="preserve">WIRING DEVICES </t>
  </si>
  <si>
    <t>16150</t>
  </si>
  <si>
    <t>LOW VOLTAGE WIRE CONNECTIONS</t>
  </si>
  <si>
    <t>16210</t>
  </si>
  <si>
    <t>UTILITY COORDINATION</t>
  </si>
  <si>
    <t>Certification.</t>
  </si>
  <si>
    <t>16222</t>
  </si>
  <si>
    <t xml:space="preserve">LOW VOLTAGE MOTORS UP TO 500 HORSEPOWER </t>
  </si>
  <si>
    <t>Submit completed motor data sheets for each motor supplied.</t>
  </si>
  <si>
    <t xml:space="preserve">Furnish commissioning submittals listed below and specified in this Section as 
specified in Section 01756 - Commissioning. </t>
  </si>
  <si>
    <t>16232</t>
  </si>
  <si>
    <t>SINGLE DIESEL FUELED ENGINE GENERATOR ABOVE 200 KW</t>
  </si>
  <si>
    <t>Delegated design submittals: Project-specific calculations with anchoring and bracing details based on support conditions and requirements to resist loads specified in Section 01850- Design Criteria.</t>
  </si>
  <si>
    <t>Maintenance Service Agreement (MSA): Provide MSA including maintenance 
service requirements as specified in this section..</t>
  </si>
  <si>
    <t>1.04-G-a</t>
  </si>
  <si>
    <t>Commissioning submittals: Manufacturer’s representative qualifications.</t>
  </si>
  <si>
    <t>1.04-G-b</t>
  </si>
  <si>
    <t>Commissioning submittals: Certificates.</t>
  </si>
  <si>
    <t>1.04-G-c</t>
  </si>
  <si>
    <t>1.04-G-d</t>
  </si>
  <si>
    <t>Commissioning submittals: Test Reports.</t>
  </si>
  <si>
    <t>1.04-G-e</t>
  </si>
  <si>
    <t>Commissioning submittals: Manufacturer’s representatives field notes and data.</t>
  </si>
  <si>
    <t>1.04-G-f</t>
  </si>
  <si>
    <t>Commissioning submittals: Owner training.</t>
  </si>
  <si>
    <t>16239</t>
  </si>
  <si>
    <t xml:space="preserve">GENERATOR CONNECTION CABINET </t>
  </si>
  <si>
    <t>Delegated Design Submittals: Provide project-specific calculations based on support 
conditions and requirements to resist loads specified in Section 01850 - Design Criteria.</t>
  </si>
  <si>
    <t xml:space="preserve">Quality Control Submittals: Manufacturer’s Certificate of Source Testing as specified in Section 01756 - Commissioning. </t>
  </si>
  <si>
    <t>16251</t>
  </si>
  <si>
    <t xml:space="preserve">GENERATOR CONTROL SYSTEM FOR PARALLEL OPERATION </t>
  </si>
  <si>
    <t>Control system narrative.</t>
  </si>
  <si>
    <t>1.04-F-a</t>
  </si>
  <si>
    <t>1.04-F-b</t>
  </si>
  <si>
    <t>1.04-F-c</t>
  </si>
  <si>
    <t>1.04-F-d</t>
  </si>
  <si>
    <t xml:space="preserve">Commissioning submittals: Test Reports. </t>
  </si>
  <si>
    <t>1.04-F-e</t>
  </si>
  <si>
    <t>1.04-F-f</t>
  </si>
  <si>
    <t xml:space="preserve">Commissioning submittals: Owner training. </t>
  </si>
  <si>
    <t xml:space="preserve">Start-up testing procedure. </t>
  </si>
  <si>
    <t>16262</t>
  </si>
  <si>
    <t>VARIABLE FREQUENCY DRIVES 0.50 - 50 HORSEPOWER</t>
  </si>
  <si>
    <t xml:space="preserve">Custom prepared by the VFD manufacturer and specific for the equipment 
furnished. </t>
  </si>
  <si>
    <t xml:space="preserve">Delegated design submittals: For wall mounted equipment weighing 125 pounds or more and floor mounted equipment installed in structures designated as seismic design category C, D, E, or F: Project-specific calculations with anchoring and bracing details based on support conditions and requirements to resist loads specified in Section 01850 - Design Criteria. </t>
  </si>
  <si>
    <t xml:space="preserve">Delegated design submittals: For outdoor installations: Project-specific calculations with anchoring and bracing details based on support conditions and requirements to resist loads specified in Section 01850 - Design Criteria. </t>
  </si>
  <si>
    <t xml:space="preserve">Furnish commissioning submittals listed below and specified in this Section as 
specified in Section 01756 - Commissioning: Manufacturer’s representative qualifications. </t>
  </si>
  <si>
    <t xml:space="preserve">Furnish commissioning submittals listed below and specified in this Section as 
specified in Section 01756 - Commissioning: Owner training. </t>
  </si>
  <si>
    <t>Test forms and reports.</t>
  </si>
  <si>
    <t>Manufacturer’s field reports.</t>
  </si>
  <si>
    <t>16265</t>
  </si>
  <si>
    <t xml:space="preserve">REDUCED HARMONIC VARIABLE FREQUENCY DRIVES </t>
  </si>
  <si>
    <t xml:space="preserve">Quality Control Submittals: Manufacturer’s representative qualifications. </t>
  </si>
  <si>
    <t>1.05-G-3</t>
  </si>
  <si>
    <t xml:space="preserve">Quality Control Submittals: Manufacturer’s Certificate of Installation as specified in Section 01756 - Commissioning. </t>
  </si>
  <si>
    <t>1.05-G-4</t>
  </si>
  <si>
    <t xml:space="preserve">Quality Control Submittals: Test reports. </t>
  </si>
  <si>
    <t>1.05-G-5</t>
  </si>
  <si>
    <t xml:space="preserve">Quality Control Submittals: Report listing the setting of VFD adjustable parameters and their values after start-up. </t>
  </si>
  <si>
    <t xml:space="preserve">Owner Training Submittals: As specified in Section 01756 - Commissioning. </t>
  </si>
  <si>
    <t>1.05-J</t>
  </si>
  <si>
    <t>16272</t>
  </si>
  <si>
    <t>DRY-TYPE TRANSFORMERS</t>
  </si>
  <si>
    <t xml:space="preserve">Delegated design submittals: For equipment installed in structures designated as seismic design category C, D, E, or F: Project-specific calculations with anchoring and bracing details based on support conditions and requirements to resist loads specified in Section 01850 - Design Criteria. </t>
  </si>
  <si>
    <t>1.04-C-2-a</t>
  </si>
  <si>
    <t xml:space="preserve">Furnish commissioning submittals specified in this Section as specified in 
Section 01756 - Commissioning. </t>
  </si>
  <si>
    <t>16281</t>
  </si>
  <si>
    <t>HARMONIC FILTER</t>
  </si>
  <si>
    <t>Delegated design submittals: Provide project-specific calculations based on support 
conditions and requirements to resist loads specified in Section 01850 - Design Criteria.</t>
  </si>
  <si>
    <t xml:space="preserve">Commissioning submittals: Manufacturer’s representative qualifications. </t>
  </si>
  <si>
    <t xml:space="preserve">Commissioning submittals: Manufacturer’s representatives field notes and data. </t>
  </si>
  <si>
    <t>16285</t>
  </si>
  <si>
    <t xml:space="preserve">SURGE PROTECTIVE DEVICES </t>
  </si>
  <si>
    <t>16290</t>
  </si>
  <si>
    <t xml:space="preserve">ELECTRICAL POWER MONITORING </t>
  </si>
  <si>
    <t>Configuration files and reports.</t>
  </si>
  <si>
    <t>16305</t>
  </si>
  <si>
    <t>ELECTRICAL SYSTEM STUDIES</t>
  </si>
  <si>
    <t>Initial studies and reports.</t>
  </si>
  <si>
    <t>Delegated Design final studies and reports.</t>
  </si>
  <si>
    <t>16305-001.0</t>
  </si>
  <si>
    <t>Quality Assurance</t>
  </si>
  <si>
    <t xml:space="preserve">Submit the credentials of the individual(s) performing the study and the individual in responsible charge of the study. </t>
  </si>
  <si>
    <t>Submit course outline for Owner’s training.</t>
  </si>
  <si>
    <t>16411</t>
  </si>
  <si>
    <t xml:space="preserve">DISCONNECT SWITCHES </t>
  </si>
  <si>
    <t>16412</t>
  </si>
  <si>
    <t xml:space="preserve">LOW VOLTAGE MOLDED CASE CIRCUIT BREAKERS </t>
  </si>
  <si>
    <t>16413</t>
  </si>
  <si>
    <t xml:space="preserve">LOW VOLTAGE INSULATED CASE CIRCUIT BREAKERS </t>
  </si>
  <si>
    <t>16422</t>
  </si>
  <si>
    <t>MOTOR STARTERS</t>
  </si>
  <si>
    <t xml:space="preserve">Submit motor starter data with equipment submittal. </t>
  </si>
  <si>
    <t>16433</t>
  </si>
  <si>
    <t xml:space="preserve">SERVICE ENTRANCE AUTOMATIC TRANSFER EQUIPMENT </t>
  </si>
  <si>
    <t>Commissioning Submittals: Test Reports.</t>
  </si>
  <si>
    <t xml:space="preserve">Utility Coordination: Submit certifications as specified in Section 16210 - Utility Coordination. </t>
  </si>
  <si>
    <t xml:space="preserve">Utility Coordination: Submit table of utility required parameters and settings for control functions. </t>
  </si>
  <si>
    <t>16441</t>
  </si>
  <si>
    <t>GROUP-MOUNTED CIRCUIT BREAKER SWITCHBOARDS</t>
  </si>
  <si>
    <t>Operating and maintenance manuals.</t>
  </si>
  <si>
    <t>16442</t>
  </si>
  <si>
    <t>INDIVIDUALLY-MOUNTED CIRCUIT BREAKER SWITCHBOARDS</t>
  </si>
  <si>
    <t>16444</t>
  </si>
  <si>
    <t xml:space="preserve">LOW VOLTAGE MOTOR CONTROL CENTERS </t>
  </si>
  <si>
    <t>16445</t>
  </si>
  <si>
    <t>PANELBOARDS</t>
  </si>
  <si>
    <t>Operations and maintenance manual.</t>
  </si>
  <si>
    <t>16472</t>
  </si>
  <si>
    <t>PACKAGED POWER SUPPLY CENTER</t>
  </si>
  <si>
    <t>16491</t>
  </si>
  <si>
    <t xml:space="preserve">TRANSFER SWITCHES </t>
  </si>
  <si>
    <t>1.04-I-a</t>
  </si>
  <si>
    <t>1.04-I-b</t>
  </si>
  <si>
    <t>1.04-I-c</t>
  </si>
  <si>
    <t>1.04-I-d</t>
  </si>
  <si>
    <t>1.04-I-e</t>
  </si>
  <si>
    <t>16510</t>
  </si>
  <si>
    <t xml:space="preserve">LIGHTING: LED LUMINAIRES </t>
  </si>
  <si>
    <t xml:space="preserve">Delegated design submittals: Project-specific calculations with anchoring and bracing details based on support conditions and requirements to resist loads specified in Section 01850 - Design Criteria. </t>
  </si>
  <si>
    <t>16670</t>
  </si>
  <si>
    <t xml:space="preserve">LIGHTNING PROTECTION </t>
  </si>
  <si>
    <t>16710</t>
  </si>
  <si>
    <t>FIRE ALARM AND SMOKE DETECTION SYSTEM</t>
  </si>
  <si>
    <t xml:space="preserve">Delegated Design Submittals: Fire detection system block diagram. </t>
  </si>
  <si>
    <t xml:space="preserve">Delegated Design Submittals: System power and battery charts with performance graphs and voltage drop calculations to ensure that system will operate per the specified backup time periods and under all voltage conditions per UL and NFPA standards. </t>
  </si>
  <si>
    <t xml:space="preserve">Delegated Design Submittals: System layout on floor plan drawings, drawn to scale using AutoCAD software. </t>
  </si>
  <si>
    <t xml:space="preserve">Delegated Design Submittals: Location diagrams for all ventilation duct mounted smoke detectors and corresponding ventilation system shutdown interlock. </t>
  </si>
  <si>
    <t xml:space="preserve">Delegated Design Submittals: Fire alarm system input-output point list. </t>
  </si>
  <si>
    <t xml:space="preserve">Delegated Design Submittals: Sequence of Operation in either an input/output matrix or narrative form. </t>
  </si>
  <si>
    <t xml:space="preserve">Operating and Maintenance data as specified in Section 01782 - Operation and 
Maintenance Manuals. Manufacturer's installation instructions. </t>
  </si>
  <si>
    <t xml:space="preserve">Designer, manufacturer, and installer qualifications. </t>
  </si>
  <si>
    <t xml:space="preserve">Test reports indicating satisfactory completion of required tests and inspections. </t>
  </si>
  <si>
    <t>16950</t>
  </si>
  <si>
    <t>FIELD ELECTRICAL ACCEPTANCE TESTS</t>
  </si>
  <si>
    <t>Copper Ethernet test form.</t>
  </si>
  <si>
    <t>Manufacturers’ testing procedures.</t>
  </si>
  <si>
    <t>Test report.</t>
  </si>
  <si>
    <t>Test data records.</t>
  </si>
  <si>
    <t>Testing laboratory qualifications.</t>
  </si>
  <si>
    <t xml:space="preserve">Division of responsibilities: Submit a list identifying who is responsible for performing each portion of the testing. </t>
  </si>
  <si>
    <t>16990</t>
  </si>
  <si>
    <t xml:space="preserve">CONDUIT SCHEDULE </t>
  </si>
  <si>
    <t>16990.01.02</t>
  </si>
  <si>
    <t>CONDUIT SCHEDULE AREA 01 &amp; 02</t>
  </si>
  <si>
    <t>1.01-A</t>
  </si>
  <si>
    <t>Conduit requirements: As defined in Section 16050 and Section 16130.</t>
  </si>
  <si>
    <t>1.01-B</t>
  </si>
  <si>
    <t>Cable requirements: As defined in Section 16050 and Section 16123.</t>
  </si>
  <si>
    <t>16990.03</t>
  </si>
  <si>
    <t>CONDUIT SCHEDULE AREA 03</t>
  </si>
  <si>
    <t>16990.05.06</t>
  </si>
  <si>
    <t>CONDUIT SCHEDULE AREA 05 &amp; 06</t>
  </si>
  <si>
    <t>16990.07</t>
  </si>
  <si>
    <t>CONDUIT SCHEDULE AREA 07</t>
  </si>
  <si>
    <t>16990.08.09</t>
  </si>
  <si>
    <t>CONDUIT SCHEDULE AREA 08 &amp; 09</t>
  </si>
  <si>
    <t>16990.10</t>
  </si>
  <si>
    <t>CONDUIT SCHEDULE AREA 10</t>
  </si>
  <si>
    <t>16990.11</t>
  </si>
  <si>
    <t>CONDUIT SCHEDULE AREA 11</t>
  </si>
  <si>
    <t>16990.11AA</t>
  </si>
  <si>
    <t>CONDUIT SCHEDULE AREA 11AA</t>
  </si>
  <si>
    <t>16990.12</t>
  </si>
  <si>
    <t>CONDUIT SCHEDULE AREA 12</t>
  </si>
  <si>
    <t>16990.13</t>
  </si>
  <si>
    <t>CONDUIT SCHEDULE AREA 13</t>
  </si>
  <si>
    <t>16990.14</t>
  </si>
  <si>
    <t>CONDUIT SCHEDULE AREA 14</t>
  </si>
  <si>
    <t>16990.19</t>
  </si>
  <si>
    <t>CONDUIT SCHEDULE AREA 19</t>
  </si>
  <si>
    <t>16990.21</t>
  </si>
  <si>
    <t>CONDUIT SCHEDULE AREA 21</t>
  </si>
  <si>
    <t>16990.22</t>
  </si>
  <si>
    <t>CONDUIT SCHEDULE AREA 22</t>
  </si>
  <si>
    <t>16990.25</t>
  </si>
  <si>
    <t>CONDUIT SCHEDULE AREA25</t>
  </si>
  <si>
    <t>17050</t>
  </si>
  <si>
    <t xml:space="preserve">COMMON WORK RESULTS FOR PROCESS CONTROL AND INSTRUMENTATION SYSTEMS </t>
  </si>
  <si>
    <t>Control Panel Drawings.</t>
  </si>
  <si>
    <t>Schematics and Wiring Diagrams.</t>
  </si>
  <si>
    <t>Loop drawings.</t>
  </si>
  <si>
    <t>PLC I/O List.</t>
  </si>
  <si>
    <t>Control Descriptions.</t>
  </si>
  <si>
    <t>Instrument Datasheets.</t>
  </si>
  <si>
    <t>Instrument Installation Drawings.</t>
  </si>
  <si>
    <t>1.05-B-9-a</t>
  </si>
  <si>
    <t>Commissioning Submittals: As specified in Section 01756 - Commissioning.</t>
  </si>
  <si>
    <t>1.05-B-9-b</t>
  </si>
  <si>
    <t xml:space="preserve">Commissioning Submittals: Manufacturer representative qualifications. </t>
  </si>
  <si>
    <t>1.05-B-9-c</t>
  </si>
  <si>
    <t>Commissioning Submittals: Manufacturer certificates.</t>
  </si>
  <si>
    <t>1.05-B-9-d</t>
  </si>
  <si>
    <t>Commissioning Submittals: Test plans.</t>
  </si>
  <si>
    <t>1.05-B-9-e</t>
  </si>
  <si>
    <t>Commissioning Submittals: Test reports.</t>
  </si>
  <si>
    <t>1.05-B-9-f</t>
  </si>
  <si>
    <t xml:space="preserve">Commissioning Submittals: Owner Training Submittals. </t>
  </si>
  <si>
    <t>1.05-B-9-g</t>
  </si>
  <si>
    <t xml:space="preserve">Commissioning Submittals: Operation and maintenance manuals. </t>
  </si>
  <si>
    <t>17100</t>
  </si>
  <si>
    <t xml:space="preserve">CONTROL STRATEGIES </t>
  </si>
  <si>
    <t xml:space="preserve">As specified in Section 17050 - Common Work Results for Process Control and 
Instrumentation Systems. </t>
  </si>
  <si>
    <t>17101A</t>
  </si>
  <si>
    <t xml:space="preserve">SPECIFIC CONTROL STRATEGIES - SEPTAGE RECEIVING </t>
  </si>
  <si>
    <t xml:space="preserve">Develop detailed loop descriptions based on the information in the Contract 
Documents and submit as specified in Sections 01330 - Submittal Procedures and 
17050 - Common Work Results for Process Control and Instrumentation Systems. </t>
  </si>
  <si>
    <t>Loop number and title.</t>
  </si>
  <si>
    <t>17101B</t>
  </si>
  <si>
    <t xml:space="preserve">SPECIFIC CONTROL STRATEGIES - SCREENING AND SCREENINGS HANDLING </t>
  </si>
  <si>
    <t xml:space="preserve">Loop number and title. </t>
  </si>
  <si>
    <t>17101C</t>
  </si>
  <si>
    <t xml:space="preserve">SPECIFIC CONTROL STRATEGIES - GRIT REMOVAL AND HANDLING </t>
  </si>
  <si>
    <t>17101D</t>
  </si>
  <si>
    <t xml:space="preserve">SPECIFIC CONTROL STRATEGIES - INFLUENT SAMPLING </t>
  </si>
  <si>
    <t>17101E</t>
  </si>
  <si>
    <t>SPECIFIC CONTROL STRATEGIES - HEADWORKS ODOR CONTROL</t>
  </si>
  <si>
    <t xml:space="preserve">Develop detailed loop descriptions based on the information in the Contract 
Documents and submit as specified in Section 01330 - Submittal Procedures, 
Section 17050 - Common Work Results for Process Control and Instrumentation 
Systems, Section 11395D - Headworks Odor Control System, and Section 15832 - 
Odor Control Fans. </t>
  </si>
  <si>
    <t>17101F</t>
  </si>
  <si>
    <t xml:space="preserve">SPECIFIC CONTROL STRATEGIES - HEADWORKS DRAINAGE </t>
  </si>
  <si>
    <t>17101G</t>
  </si>
  <si>
    <t xml:space="preserve">SPECIFIC CONTROL STRATEGIES - PRIMARY SEDIMENTATION TANKS </t>
  </si>
  <si>
    <t>17101H</t>
  </si>
  <si>
    <t xml:space="preserve">SPECIFIC CONTROL STRATEGIES - VENTILATION SYSTEM </t>
  </si>
  <si>
    <t>17101I</t>
  </si>
  <si>
    <t xml:space="preserve">SPECIFIC CONTROL STRATEGIES - SECONDARY CLARIFIERS </t>
  </si>
  <si>
    <t>17101J</t>
  </si>
  <si>
    <t>SPECIFIC CONTROL STRATEGIES - BLEND TANKS</t>
  </si>
  <si>
    <t>17101K</t>
  </si>
  <si>
    <t>SPECIFIC CONTROL STRATEGIES - BLEND TANKS ODOR CONTROL</t>
  </si>
  <si>
    <t>17101L</t>
  </si>
  <si>
    <t xml:space="preserve">SPECIFIC CONTROL STRATEGIES - SOLIDS ODOR CONTROL </t>
  </si>
  <si>
    <t>Develop detailed loop descriptions based on the information in the Contract 
Documents and submit as specified in Sections 01330 - Submittal Procedures and 
17050 - Common Work Results for Process Control and Instrumentation Systems.</t>
  </si>
  <si>
    <t>17101M</t>
  </si>
  <si>
    <t xml:space="preserve">SPECIFIC CONTROL STRATEGIES - DIGESTION </t>
  </si>
  <si>
    <t>17101N</t>
  </si>
  <si>
    <t xml:space="preserve">SPECIFIC CONTROL STRATEGIES - DIGESTER GAS HANDLING </t>
  </si>
  <si>
    <t>17101O</t>
  </si>
  <si>
    <t>SPECIFIC CONTROL STRATEGIES - DIGESTED SLUDGE TRANSFER</t>
  </si>
  <si>
    <t>17101P(ADD3)</t>
  </si>
  <si>
    <t xml:space="preserve">SPECIFIC CONTROL STRATEGIES - THICKENING </t>
  </si>
  <si>
    <t>17101Q(ADD3)</t>
  </si>
  <si>
    <t>SPECIFIC CONTROL STRATEGIES - DEWATERING</t>
  </si>
  <si>
    <t>Develop detailed loop descriptions based on the information in the Contract 
Documents.</t>
  </si>
  <si>
    <t>17101R(ADD3)</t>
  </si>
  <si>
    <t xml:space="preserve">SPECIFIC CONTROL STRATEGIES - CAKE LOADING </t>
  </si>
  <si>
    <t>17101S</t>
  </si>
  <si>
    <t xml:space="preserve">SPECIFIC CONTROL STRATEGIES - DISINFECTION </t>
  </si>
  <si>
    <t>17101T(ADD4)</t>
  </si>
  <si>
    <t xml:space="preserve">SPECIFIC CONTROL STRATEGIES - UTILITY WATER </t>
  </si>
  <si>
    <t>17101U</t>
  </si>
  <si>
    <t xml:space="preserve">SPECIFIC CONTROL STRATEGIES - RETURN FLOW PUMP STATION </t>
  </si>
  <si>
    <t>17101V</t>
  </si>
  <si>
    <t xml:space="preserve">SPECIFIC CONTROL STRATEGIES - WASTE SECONDARY SLUDGE (WSS) PUMP </t>
  </si>
  <si>
    <t>17101W</t>
  </si>
  <si>
    <t xml:space="preserve">SPECIFIC CONTROL STRATEGIES - GENERATOR </t>
  </si>
  <si>
    <t xml:space="preserve">Develop detailed loop descriptions based on the information in the Contract 
Documents and submit as specified in Section 01330 - Submittal Procedures, 
Section 17050 - Common Work Results for Process Control and Instrumentation 
Systems, Section 16232 – Single Diesel Fueled Engine Generator Above 200 kW, 
and Section 16251 – Generator Control System for Parallel Operation. </t>
  </si>
  <si>
    <t>17201</t>
  </si>
  <si>
    <t>LEVEL MEASUREMENT: SWITCHES</t>
  </si>
  <si>
    <t xml:space="preserve">Furnish submittals as specified in Sections 01330 - Submittal Procedures and 
17050 - Common Work Results for Process Control and Instrumentation Systems. </t>
  </si>
  <si>
    <t xml:space="preserve">Provide complete documentation covering the traceability of all calibration 
instruments. </t>
  </si>
  <si>
    <t>17206</t>
  </si>
  <si>
    <t>LEVEL MEASUREMENT: ULTRASONIC</t>
  </si>
  <si>
    <t>17208</t>
  </si>
  <si>
    <t xml:space="preserve">LEVEL MEASUREMENT: RADAR PULSE TIME OF FLIGHT (PTOF) </t>
  </si>
  <si>
    <t>Furnish commissioning submittals listed below and specified in this Section as 
specified in Section 01756 - Commissioning: Owner training.</t>
  </si>
  <si>
    <t>17301</t>
  </si>
  <si>
    <t xml:space="preserve">FLOW MEASUREMENT: SWITCHES </t>
  </si>
  <si>
    <t>17302</t>
  </si>
  <si>
    <t xml:space="preserve">FLOW MEASUREMENT: MAGNETIC FLOWMETERS </t>
  </si>
  <si>
    <t>17302-001.0</t>
  </si>
  <si>
    <t>Product Data(Dynatek)</t>
  </si>
  <si>
    <t>Mark</t>
  </si>
  <si>
    <t xml:space="preserve">Chart of the measurement error from zero to maximum measured volumetric flow range indicated in data sheets. </t>
  </si>
  <si>
    <t xml:space="preserve">Indication of all input parameters and their values used in the calculations. </t>
  </si>
  <si>
    <t>1.03-C1</t>
  </si>
  <si>
    <t>17302.001.0</t>
  </si>
  <si>
    <t>17305</t>
  </si>
  <si>
    <t>FLOW MEASUREMENT: THERMAL MASS</t>
  </si>
  <si>
    <t>Furnish submittals as specified in Sections 01330 - Submittal Procedures and 
17050 - Common Work Results for Process Control and Instrumentation Systems.</t>
  </si>
  <si>
    <t>Design calculations.</t>
  </si>
  <si>
    <t>17307</t>
  </si>
  <si>
    <t>FLOW MEASUREMENT: ULTRASONIC TRANSIT TIME - NON-INTRUSIVE</t>
  </si>
  <si>
    <t>17316</t>
  </si>
  <si>
    <t xml:space="preserve">FLOW MEASUREMENT: ROTAMETERS (VARIABLE AREA FLOWMETERS) </t>
  </si>
  <si>
    <t xml:space="preserve">Furnish submittals as specified in Sections 01330 and 17050 - Common Work 
Results for Process Control and Instrumentation Systems. </t>
  </si>
  <si>
    <t>17401</t>
  </si>
  <si>
    <t>PRESSURE/VACUUM MEASUREMENT: DIAPHRAGM AND ANNULAR SEALS</t>
  </si>
  <si>
    <t>17402</t>
  </si>
  <si>
    <t>PRESSURE/VACUUM MEASUREMENT: INSTRUMENT VALVES</t>
  </si>
  <si>
    <t>17403</t>
  </si>
  <si>
    <t xml:space="preserve">PRESSURE/VACUUM MEASUREMENT: SWITCHES </t>
  </si>
  <si>
    <t>17404</t>
  </si>
  <si>
    <t xml:space="preserve">PRESSURE/VACUUM MEASUREMENT: GAUGES </t>
  </si>
  <si>
    <t>17405</t>
  </si>
  <si>
    <t xml:space="preserve">PRESSURE/VACUUM MEASUREMENT: DIRECT </t>
  </si>
  <si>
    <t>17407</t>
  </si>
  <si>
    <t>PRESSURE MEASUREMENT: SUBMERSIBLE</t>
  </si>
  <si>
    <t xml:space="preserve">Furnish submittals as specified in Sections 01330 - Submittal Procedures, and 
17050 - Common Work Results for Process Control and Instrumentation Systems. </t>
  </si>
  <si>
    <t>17409</t>
  </si>
  <si>
    <t>PRESSURE/VACUUM MEASUREMENT: MANOMETERS</t>
  </si>
  <si>
    <t>Provide complete documentation covering the traceability of all calibration 
instruments.</t>
  </si>
  <si>
    <t>17504</t>
  </si>
  <si>
    <t xml:space="preserve">ANALYZERS: GAS MONITORS </t>
  </si>
  <si>
    <t>17505</t>
  </si>
  <si>
    <t xml:space="preserve">ANALYZERS: RESIDUAL CHLORINE </t>
  </si>
  <si>
    <t xml:space="preserve">Furnish Submittals as specified in Section 01330 - Submittal Procedures and 
Section 17050 - Common Work Results for Process Control and Instrumentation 
Systems. </t>
  </si>
  <si>
    <t xml:space="preserve">Provide complete documentation covering the traceability of calibration instruments. </t>
  </si>
  <si>
    <t xml:space="preserve">Furnish commissioning Submittals listed below, as specified in this Section, and 
Section 01756 - Commissioning: Manufacturer’s representative qualifications. </t>
  </si>
  <si>
    <t xml:space="preserve">Furnish commissioning Submittals listed below, as specified in this Section, and 
Section 01756 - Commissioning: Owner training. </t>
  </si>
  <si>
    <t>17522</t>
  </si>
  <si>
    <t xml:space="preserve">ANALYZERS: TOTAL SUSPENDED SOLIDS (TSS) </t>
  </si>
  <si>
    <t>17524</t>
  </si>
  <si>
    <t xml:space="preserve">ANALYZERS: SLUDGE BLANKET </t>
  </si>
  <si>
    <t>17604</t>
  </si>
  <si>
    <t xml:space="preserve">TEMPERATURE MEASUREMENT: RTD </t>
  </si>
  <si>
    <t xml:space="preserve">17622
</t>
  </si>
  <si>
    <t xml:space="preserve">WEIGHT MEASUREMENT: PLATFORM SCALE AND LOAD CELLS
</t>
  </si>
  <si>
    <t xml:space="preserve">Furnish commissioning Submittals listed below and specified in this Section as 
specified in Section 01756 - Commissioning: Manufacturer’s representative qualifications. </t>
  </si>
  <si>
    <t>Furnish commissioning Submittals listed below and specified in this Section as 
specified in Section 01756 - Commissioning: Owner training.</t>
  </si>
  <si>
    <t>17710</t>
  </si>
  <si>
    <t>CONTROL SYSTEMS: PANELS, ENCLOSURES, AND PANEL COMPONENTS</t>
  </si>
  <si>
    <t xml:space="preserve">Provide submittals as specified in Section 01330 - Submittal Procedures and 
Section 17050 - Common Work Results for Process Control and Instrumentation 
Systems. </t>
  </si>
  <si>
    <t>Provide a control panel hardware submittal for each control panel/enclosure being 
provided on this project: Product data.</t>
  </si>
  <si>
    <t>Provide a control panel hardware submittal for each control panel/enclosure being 
provided on this project: Shop drawings.</t>
  </si>
  <si>
    <t>Provide a control panel hardware submittal for each control panel/enclosure being 
provided on this project: Calculations.</t>
  </si>
  <si>
    <t>Seismic design: Seismic panel construction: Provide seismic design calculations and installation details for anchorage of all panels, enclosures, consoles, etc. to meet seismic requirements in Section 01850 - Design Criteria.</t>
  </si>
  <si>
    <t xml:space="preserve">Seismic design: Seismic panel construction: For floor-mounted freestanding panels weighing 200 pounds or more (assembled, including contents), submit calculations, data sheets, and other information to substantiate that panel, base, and framing meet minimum design strength requirements and seismic requirements as specified in Section 01850 - Design Criteria. </t>
  </si>
  <si>
    <t>17712</t>
  </si>
  <si>
    <t xml:space="preserve">CONTROL SYSTEMS: UNINTERRUPTIBLE POWER SUPPLIES 10 KVA AND BELOW </t>
  </si>
  <si>
    <t xml:space="preserve">Record documents: Provide Record Drawings of installed unit(s) including layout and wiring. </t>
  </si>
  <si>
    <t xml:space="preserve">Manufacturer’s field reports. </t>
  </si>
  <si>
    <t>17713</t>
  </si>
  <si>
    <t>CONTROL SYSTEMS: COMPUTER CONSOLES</t>
  </si>
  <si>
    <t xml:space="preserve">Furnish submittals as specified in Section 01330 - Submittal Procedures. and 
Section 17050 - Common Work Results for Process Control and Instrumentation 
Systems. </t>
  </si>
  <si>
    <t xml:space="preserve">Bill of materials with a detailed description of components and equipment data 
sheets. </t>
  </si>
  <si>
    <t>Drawing plan.</t>
  </si>
  <si>
    <t>Console installation plan.</t>
  </si>
  <si>
    <t xml:space="preserve">Delegated design submittals: Provide project-specific calculations based on support 
conditions and requirements to resist loads specified in Section 01850 - Design Criteria. </t>
  </si>
  <si>
    <t>17720</t>
  </si>
  <si>
    <t xml:space="preserve">CONTROL SYSTEMS: PROGRAMMABLE LOGIC CONTROLLERS </t>
  </si>
  <si>
    <t>?</t>
  </si>
  <si>
    <t>Control logic.</t>
  </si>
  <si>
    <t xml:space="preserve">Provide application software for the specific Project process requirements. </t>
  </si>
  <si>
    <t>17721</t>
  </si>
  <si>
    <t xml:space="preserve">CONTROL SYSTEMS: LOCAL OPERATOR INTERFACE (LOI) </t>
  </si>
  <si>
    <t xml:space="preserve">Furnish submittals in accordance with Sections 01330 - Submittal Procedures and 
17050 - Common Work Results for Process Control and Instrumentation Systems. </t>
  </si>
  <si>
    <t>17730</t>
  </si>
  <si>
    <t xml:space="preserve">CONTROL SYSTEMS: PCS COMPUTER EQUIPMENT </t>
  </si>
  <si>
    <t xml:space="preserve">Furnish submittals as specified in Sections 01330 - Submittal Procedures and 17050 
- Common Work Results for Process Control and Instrumentation Systems. </t>
  </si>
  <si>
    <t>17733</t>
  </si>
  <si>
    <t xml:space="preserve">CONTROL SYSTEMS: NETWORK MATERIALS AND EQUIPMENT </t>
  </si>
  <si>
    <t>Calculations.</t>
  </si>
  <si>
    <t>Operating manuals.</t>
  </si>
  <si>
    <t>Record drawings.</t>
  </si>
  <si>
    <t>17762</t>
  </si>
  <si>
    <t xml:space="preserve">CONTROL SYSTEMS: PCS SOFTWARE </t>
  </si>
  <si>
    <t>Remote alarm database.</t>
  </si>
  <si>
    <t>1.04-D-1-b-1</t>
  </si>
  <si>
    <t xml:space="preserve">Graphic displays. </t>
  </si>
  <si>
    <t>1.04-D-1-b-2</t>
  </si>
  <si>
    <t xml:space="preserve">Overview screens. </t>
  </si>
  <si>
    <t>1.04-D-1-b-3</t>
  </si>
  <si>
    <t xml:space="preserve">Process screens. </t>
  </si>
  <si>
    <t>1.04-D-1-b-4</t>
  </si>
  <si>
    <t>Setpoint screens.</t>
  </si>
  <si>
    <t>1.04-D-1-b-5</t>
  </si>
  <si>
    <t>Faceplates/popups.</t>
  </si>
  <si>
    <t>1.04-D-1-b-6</t>
  </si>
  <si>
    <t xml:space="preserve">Trend displays. </t>
  </si>
  <si>
    <t>1.04-D-1-b-7</t>
  </si>
  <si>
    <t xml:space="preserve">Alpha numeric displays. </t>
  </si>
  <si>
    <t>1.04-D-1-b-8</t>
  </si>
  <si>
    <t xml:space="preserve">Alarm displays. </t>
  </si>
  <si>
    <t>1.04-D-1-b-9</t>
  </si>
  <si>
    <t xml:space="preserve">Summary screens. </t>
  </si>
  <si>
    <t>1.04-D-1-b-10</t>
  </si>
  <si>
    <t xml:space="preserve">Diagnostic screens. </t>
  </si>
  <si>
    <t>1.04-D-1-b-11</t>
  </si>
  <si>
    <t xml:space="preserve">Network status screens. </t>
  </si>
  <si>
    <t>Pre-acceptance test documentation as specified in the Sequencing article of this 
Section.</t>
  </si>
  <si>
    <t>Operator's reference manual.</t>
  </si>
  <si>
    <t>Review meeting minutes submittals: Graphics review meeting.</t>
  </si>
  <si>
    <t>Review meeting minutes submittals: Report review meeting.</t>
  </si>
  <si>
    <t>Review meeting minutes submittals: Alarm review meeting.</t>
  </si>
  <si>
    <t>17765</t>
  </si>
  <si>
    <t xml:space="preserve">CONTROL SYSTEMS: PROGRAMMING REQUIREMENTS </t>
  </si>
  <si>
    <t>1.02-B-1-a-2-a</t>
  </si>
  <si>
    <t>1.02-B-1-a-2-b</t>
  </si>
  <si>
    <t>1.02-B-1-a-2-c</t>
  </si>
  <si>
    <t>1.02-B-1-a-2-d</t>
  </si>
  <si>
    <t>Alarm displays</t>
  </si>
  <si>
    <t>1.02-B-2</t>
  </si>
  <si>
    <t>1.02-B-3-a</t>
  </si>
  <si>
    <t>17903</t>
  </si>
  <si>
    <t xml:space="preserve">SCHEDULES: I/O LIST </t>
  </si>
  <si>
    <t>17950</t>
  </si>
  <si>
    <t>COMMISSIONING FOR INSTRUMENTATION AND CONTROLS</t>
  </si>
  <si>
    <t xml:space="preserve">Reference additional detailed test submittal scheduling and prerequisite 
requirements as specified in the Sequencing article of Section 17050 - 
Common Work Results for Process Control and Instrumentation Systems. </t>
  </si>
  <si>
    <t>Overall test plan.</t>
  </si>
  <si>
    <t>Test procedures.</t>
  </si>
  <si>
    <t>Test forms.</t>
  </si>
  <si>
    <t>FAT procedure additional minimal requirements: Prepare and submit a FAT procedure .</t>
  </si>
  <si>
    <t>Details on the simulator construction, components, and operation.</t>
  </si>
  <si>
    <t>1.03-J-1-a</t>
  </si>
  <si>
    <t xml:space="preserve">Application software: Finalized fully annotated copy of programmed PLC logic in its native format. </t>
  </si>
  <si>
    <t>1.03-J-1-b</t>
  </si>
  <si>
    <t xml:space="preserve">Application software: Cross-referenced index of all PLC registers or points. </t>
  </si>
  <si>
    <t>note: submittal status code: S - submited AN - Approved no comments, AC - Approved with comments, AS - Approved Correct and Resubmit,
 NCR - Not Approved Correct Resubmit, NR - Not Approved Rejected, RA - Reciept Acknowledge, RC - Reciept with Comments, L - Living Document or continously submitted</t>
  </si>
  <si>
    <t>Quality Control</t>
  </si>
  <si>
    <t xml:space="preserve">Trueform Independent Lab Qualifications </t>
  </si>
  <si>
    <t>Independent Lab Concrete Testing Trueform LLC</t>
  </si>
  <si>
    <t>note: Mark Grant to speak with Carollo for allowance</t>
  </si>
  <si>
    <t>Resubmittal for Trueform LLC Qualifcations</t>
  </si>
  <si>
    <t>01450-001.2</t>
  </si>
  <si>
    <t>HMA Independent Lab Qualification</t>
  </si>
  <si>
    <t>Resubmittal for ASTM Qualifcations</t>
  </si>
  <si>
    <t>01450-001.3</t>
  </si>
  <si>
    <t xml:space="preserve">01452(ADD3)
</t>
  </si>
  <si>
    <t xml:space="preserve">MOISTURE VAPOR AND ALKALINITY TEST
 </t>
  </si>
  <si>
    <t>Testing Agency qualifications.</t>
  </si>
  <si>
    <t xml:space="preserve">Report all test results in chart form listing test dates, start/stop time, start/stop 
weight, weight gain in grams, moisture vapor emission value and alkalinity levels. </t>
  </si>
  <si>
    <t xml:space="preserve">List test locations on chart and show same on 8-1/2 inch x 11-inch site map (when 
such map is made available to testing agency). </t>
  </si>
  <si>
    <t xml:space="preserve">Deliver results for distribution to Contracting Officer and General Contractor. </t>
  </si>
  <si>
    <t>01455</t>
  </si>
  <si>
    <t xml:space="preserve">REGULATORY QUALITY ASSURANCE </t>
  </si>
  <si>
    <t xml:space="preserve">Contractor shall submit special certifications for designated seismic systems and wind load. </t>
  </si>
  <si>
    <t>Contractor shall schedule and coordinate the submittal of Special Inspection reports and test results prepared by others.</t>
  </si>
  <si>
    <t>CONTRACTOR QUALITY CONTROL - Manager Qualification</t>
  </si>
  <si>
    <t>MM</t>
  </si>
  <si>
    <t>Mark McCarthy Added to QC team as QCM</t>
  </si>
  <si>
    <t>01460-001.0</t>
  </si>
  <si>
    <t>01460</t>
  </si>
  <si>
    <t xml:space="preserve">CONTRACTOR QUALITY CONTROL PLAN </t>
  </si>
  <si>
    <t xml:space="preserve">Qualifications of the Contractor’s Quality Control (CQC) Plan Manager. </t>
  </si>
  <si>
    <t>Contractor’s Quality Control Plan</t>
  </si>
  <si>
    <t>Contractor’s Daily Quality Control Report</t>
  </si>
  <si>
    <t>Daily Inspection Report</t>
  </si>
  <si>
    <t>01460-001.1</t>
  </si>
  <si>
    <t>01460-001.2</t>
  </si>
  <si>
    <t>FIO</t>
  </si>
  <si>
    <t>QC/ Struc</t>
  </si>
  <si>
    <t>01770</t>
  </si>
  <si>
    <t xml:space="preserve">CLOSEOUT PROCEDURES </t>
  </si>
  <si>
    <t>1.08-A-1</t>
  </si>
  <si>
    <t>Punch list of items to be completed or corrected with the request for issuance of Substantial Completion.</t>
  </si>
  <si>
    <t>1.08-A-2</t>
  </si>
  <si>
    <t xml:space="preserve">Evidence of Compliance with Requirements of Governing Authorities. </t>
  </si>
  <si>
    <t>1.08-A-3</t>
  </si>
  <si>
    <t>Project Record Documents.</t>
  </si>
  <si>
    <t>1.08-A-4</t>
  </si>
  <si>
    <t>Approved Operation and Maintenance Manuals.</t>
  </si>
  <si>
    <t>1.08-A-5</t>
  </si>
  <si>
    <t xml:space="preserve">Approved Warranties and Bonds. </t>
  </si>
  <si>
    <t>1.08-A-6</t>
  </si>
  <si>
    <t xml:space="preserve">Keys and Keying Schedule. </t>
  </si>
  <si>
    <t>1.08-A-7</t>
  </si>
  <si>
    <t xml:space="preserve">Completed contract requirements for commissioning and process start-up. </t>
  </si>
  <si>
    <t>1.08-B-1</t>
  </si>
  <si>
    <t xml:space="preserve">Punch list of items have been completed and Engineer and Owner are 
satisfied that all deficiencies are corrected. </t>
  </si>
  <si>
    <t>1.08-B-2</t>
  </si>
  <si>
    <t>Evidence of Payment and Release of Liens or Stop Payment Notices as 
outlined in Conditions of the Contract.</t>
  </si>
  <si>
    <t>1.08-B-3</t>
  </si>
  <si>
    <t xml:space="preserve">Release of claims as outlined in Conditions of the Contract. </t>
  </si>
  <si>
    <t>1.08-B-4</t>
  </si>
  <si>
    <t xml:space="preserve">Submit certification of insurance for products and completed operations, as 
specified in the General Conditions. </t>
  </si>
  <si>
    <t>1.08-B-5</t>
  </si>
  <si>
    <t xml:space="preserve">Final statement of accounting. </t>
  </si>
  <si>
    <t>1.08-B-6</t>
  </si>
  <si>
    <t xml:space="preserve">Submit Final (As-Built) Schedule as specified in Section 01321 - Schedules 
and Reports. </t>
  </si>
  <si>
    <t>1.08-B-7</t>
  </si>
  <si>
    <t xml:space="preserve">Submit final Project Record (As-Built) documents. </t>
  </si>
  <si>
    <t>01784</t>
  </si>
  <si>
    <t xml:space="preserve">ASSET MANAGEMENT DATA SPREADSHEET </t>
  </si>
  <si>
    <t>The Contractor shall submit 2 CDs with the completed electronic spreadsheet in Excel format and 10 hard copies.</t>
  </si>
  <si>
    <t xml:space="preserve">Contractor shall use one equipment as an example to demonstrate how the 
information is obtained and entered into the spreadsheet. </t>
  </si>
  <si>
    <t>The Asset Management Data Spreadsheet shall be completed in its entirety except the warranty start date and submitted prior to the Reliability Acceptance Testing (RAT).</t>
  </si>
  <si>
    <t xml:space="preserve">The Final Asset Management Data Spreadsheet submittal with the warranty start date shall be submitted to the County prior to acceptance of the project. The Contractor shall submit 1 CD in Excel format and 2 hard copies for this final submittal. </t>
  </si>
  <si>
    <t>01756</t>
  </si>
  <si>
    <t xml:space="preserve">COMMISSIONING </t>
  </si>
  <si>
    <t>Organization chart for conducting start-up and testing.</t>
  </si>
  <si>
    <t xml:space="preserve">Description of previous experience on similar projects for the designated TSC. 
Include list of references complete with phone numbers. </t>
  </si>
  <si>
    <t>01756-002.0</t>
  </si>
  <si>
    <t>3.13-B</t>
  </si>
  <si>
    <t>Contractor Designated Training Coordinator</t>
  </si>
  <si>
    <t>Detailed start-up and testing plan with schedule signed by the TSC, for each 
equipment item and system.</t>
  </si>
  <si>
    <t xml:space="preserve">An overall schedule and subsequent updates, presenting the Contractor’s plan for testing the equipment and systems installed under this contract. </t>
  </si>
  <si>
    <t>1.05-A-5</t>
  </si>
  <si>
    <t>A detailed schedule establishing the expected time period.</t>
  </si>
  <si>
    <t>1.05-A-6</t>
  </si>
  <si>
    <t xml:space="preserve">A summary of the Quality Assurance Manager’s qualifications. </t>
  </si>
  <si>
    <t>1.05-A-7</t>
  </si>
  <si>
    <t xml:space="preserve">The original and 3 copies of all records produced during the testing program. </t>
  </si>
  <si>
    <t>1.05-A-8</t>
  </si>
  <si>
    <t>Acceptance criteria required to release equipment and systems for start-up.</t>
  </si>
  <si>
    <t>1.05-A-9</t>
  </si>
  <si>
    <t>Manufacturer’s certification of proper installation of equipment before testing begins.</t>
  </si>
  <si>
    <t>1.05-A-10</t>
  </si>
  <si>
    <t>Operation and maintenance instruction manual for each equipment item and 
system to be tested as specified in Section 01782.</t>
  </si>
  <si>
    <t>1.05-B-1-a</t>
  </si>
  <si>
    <t xml:space="preserve">All testing procedures. </t>
  </si>
  <si>
    <t>1.05-B-1-b</t>
  </si>
  <si>
    <t xml:space="preserve">All testing forms. </t>
  </si>
  <si>
    <t>1.05-B-1-c</t>
  </si>
  <si>
    <t>Required information on all testing equipment.</t>
  </si>
  <si>
    <t xml:space="preserve">1.05-C </t>
  </si>
  <si>
    <t xml:space="preserve">1.05-D </t>
  </si>
  <si>
    <t>Operation and Maintenance (O&amp;M) Manuals.</t>
  </si>
  <si>
    <t>1.06-D-1-a</t>
  </si>
  <si>
    <t xml:space="preserve">Qualifications and experience records of each proposed Manufacturer’s 
Representative who will provide field services. </t>
  </si>
  <si>
    <t>1.06-D-1-b</t>
  </si>
  <si>
    <t xml:space="preserve">After installation inspection, a written report (using the form prepared by the TSC) certifying that the equipment is installed properly, in accordance with the manufacturer’s installation instructions. </t>
  </si>
  <si>
    <t>1.06-D-1-c</t>
  </si>
  <si>
    <t>After start-up/testing, a written report (using the form prepared by the TSC) verifying that the equipment has been properly installed and lubricated and that it operated satisfactorily.</t>
  </si>
  <si>
    <t>1.06-D-1-d</t>
  </si>
  <si>
    <t>After final checkout, a written report (using the form prepared by the TSC) verifying that the equipment is in proper condition for regular continuous operation.</t>
  </si>
  <si>
    <t>1.06-D-1-e</t>
  </si>
  <si>
    <t>After post-start-up, a written report (using the form prepared by the TSC) verifying that this service has been performed and that the equipment 
Manufacturer’s Representative and the Contractor have inspected all equipment under this contract as installed, the appropriate adjustments 
have been made, and the complete system is operating in conformance 
with the design, specifications, and manufacturer’s requirements.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</si>
</sst>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Calibri"/>
      <family val="2"/>
      <scheme val="minor"/>
    </font>
    <font>
      <b/>
      <sz val="10"/>
      <color theme="1"/>
      <name val="Calibri"/>
      <family val="2"/>
      <scheme val="minor"/>
    </font>
    <font>
      <sz val="10"/>
      <color theme="1"/>
      <name val="Calibri"/>
      <family val="2"/>
      <scheme val="minor"/>
    </font>
    <font>
      <sz val="10"/>
      <color rgb="FF006100"/>
      <name val="Calibri"/>
      <charset val="1"/>
    </font>
    <font>
      <b/>
      <sz val="10"/>
      <color rgb="FFFF0000"/>
      <name val="Calibri"/>
      <family val="2"/>
      <scheme val="minor"/>
    </font>
    <font>
      <sz val="10"/>
      <color rgb="FF9C0006"/>
      <name val="Calibri"/>
      <charset val="1"/>
    </font>
    <font>
      <strike/>
      <sz val="10"/>
      <color theme="1"/>
      <name val="Calibri"/>
      <family val="2"/>
      <scheme val="minor"/>
    </font>
    <font>
      <strike/>
      <sz val="11"/>
      <color theme="1"/>
      <name val="Calibri"/>
      <family val="2"/>
      <scheme val="minor"/>
    </font>
    <font>
      <sz val="11"/>
      <color rgb="FFFF0000"/>
      <name val="Calibri"/>
      <family val="2"/>
      <scheme val="minor"/>
    </font>
    <font>
      <b/>
      <sz val="11"/>
      <color theme="1"/>
      <name val="Calibri"/>
      <family val="2"/>
      <scheme val="minor"/>
    </font>
    <font>
      <b/>
      <sz val="36"/>
      <color theme="1"/>
      <name val="Calibri"/>
      <family val="2"/>
      <scheme val="minor"/>
    </font>
    <font>
      <b/>
      <sz val="24"/>
      <color theme="1"/>
      <name val="Calibri"/>
      <family val="2"/>
      <scheme val="minor"/>
    </font>
    <font>
      <sz val="11"/>
      <color rgb="FF000000"/>
      <name val="Calibri Light"/>
      <scheme val="major"/>
    </font>
    <font>
      <sz val="11"/>
      <color theme="1"/>
      <name val="Calibri Light"/>
      <scheme val="major"/>
    </font>
    <font>
      <sz val="10"/>
      <color theme="1"/>
      <name val="Calibri Light"/>
      <scheme val="major"/>
    </font>
    <font>
      <b/>
      <sz val="11"/>
      <color rgb="FFFFFF00"/>
      <name val="Calibri Light"/>
      <scheme val="major"/>
    </font>
    <font>
      <sz val="10"/>
      <color rgb="FF000000"/>
      <name val="Calibri Light"/>
      <scheme val="major"/>
    </font>
    <font>
      <strike/>
      <sz val="10"/>
      <color theme="1"/>
      <name val="Calibri Light"/>
      <scheme val="major"/>
    </font>
    <font>
      <sz val="10"/>
      <color rgb="FF000000"/>
      <name val="Calibri"/>
      <charset val="1"/>
    </font>
    <font>
      <sz val="10"/>
      <color theme="5" tint="-0.249977111117893"/>
      <name val="Calibri"/>
      <family val="2"/>
      <scheme val="minor"/>
    </font>
    <font>
      <b/>
      <sz val="20"/>
      <color theme="1"/>
      <name val="Calibri"/>
      <family val="2"/>
      <scheme val="minor"/>
    </font>
  </fonts>
  <fills count="29">
    <fill>
      <patternFill patternType="none"/>
    </fill>
    <fill>
      <patternFill patternType="gray125"/>
    </fill>
    <fill>
      <patternFill patternType="solid">
        <fgColor theme="4" tint="0.59999389629810485"/>
        <bgColor indexed="64"/>
      </patternFill>
    </fill>
    <fill>
      <patternFill patternType="solid">
        <fgColor theme="0" tint="-0.14999847407452621"/>
        <bgColor indexed="64"/>
      </patternFill>
    </fill>
    <fill>
      <patternFill patternType="solid">
        <fgColor theme="7" tint="0.79998168889431442"/>
        <bgColor indexed="64"/>
      </patternFill>
    </fill>
    <fill>
      <patternFill patternType="solid">
        <fgColor theme="2"/>
        <bgColor indexed="64"/>
      </patternFill>
    </fill>
    <fill>
      <patternFill patternType="solid">
        <fgColor theme="3"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FF0000"/>
        <bgColor indexed="64"/>
      </patternFill>
    </fill>
    <fill>
      <patternFill patternType="solid">
        <fgColor theme="5" tint="0.39997558519241921"/>
        <bgColor indexed="64"/>
      </patternFill>
    </fill>
    <fill>
      <patternFill patternType="solid">
        <fgColor rgb="FFB8C2E6"/>
        <bgColor indexed="64"/>
      </patternFill>
    </fill>
    <fill>
      <patternFill patternType="solid">
        <fgColor theme="1"/>
        <bgColor indexed="64"/>
      </patternFill>
    </fill>
    <fill>
      <patternFill patternType="solid">
        <fgColor theme="9" tint="0.39997558519241921"/>
        <bgColor indexed="64"/>
      </patternFill>
    </fill>
    <fill>
      <patternFill patternType="solid">
        <fgColor rgb="FF9BC2E6"/>
        <bgColor rgb="FF000000"/>
      </patternFill>
    </fill>
    <fill>
      <patternFill patternType="solid">
        <fgColor rgb="FFFFF2CC"/>
        <bgColor rgb="FF000000"/>
      </patternFill>
    </fill>
    <fill>
      <patternFill patternType="solid">
        <fgColor rgb="FFF8CBAD"/>
        <bgColor rgb="FF000000"/>
      </patternFill>
    </fill>
    <fill>
      <patternFill patternType="solid">
        <fgColor rgb="FFC6E0B4"/>
        <bgColor rgb="FF000000"/>
      </patternFill>
    </fill>
    <fill>
      <patternFill patternType="solid">
        <fgColor rgb="FFC9C9C9"/>
        <bgColor rgb="FF000000"/>
      </patternFill>
    </fill>
    <fill>
      <patternFill patternType="solid">
        <fgColor rgb="FFFFC000"/>
        <bgColor rgb="FF000000"/>
      </patternFill>
    </fill>
    <fill>
      <patternFill patternType="solid">
        <fgColor rgb="FFFFFF00"/>
        <bgColor indexed="64"/>
      </patternFill>
    </fill>
    <fill>
      <patternFill patternType="solid">
        <fgColor theme="7" tint="0.59999389629810485"/>
        <bgColor indexed="64"/>
      </patternFill>
    </fill>
    <fill>
      <patternFill patternType="solid">
        <fgColor theme="5"/>
        <bgColor indexed="64"/>
      </patternFill>
    </fill>
    <fill>
      <patternFill patternType="solid">
        <fgColor theme="7" tint="0.39997558519241921"/>
        <bgColor indexed="64"/>
      </patternFill>
    </fill>
    <fill>
      <patternFill patternType="solid">
        <fgColor rgb="FF884E99"/>
        <bgColor indexed="64"/>
      </patternFill>
    </fill>
  </fills>
  <borders count="5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ck">
        <color indexed="64"/>
      </bottom>
      <diagonal/>
    </border>
    <border>
      <left/>
      <right/>
      <top/>
      <bottom style="thick">
        <color indexed="64"/>
      </bottom>
      <diagonal/>
    </border>
    <border>
      <left style="thin">
        <color indexed="64"/>
      </left>
      <right style="thin">
        <color indexed="64"/>
      </right>
      <top style="thick">
        <color indexed="64"/>
      </top>
      <bottom/>
      <diagonal/>
    </border>
    <border>
      <left style="thin">
        <color indexed="64"/>
      </left>
      <right style="thin">
        <color indexed="64"/>
      </right>
      <top/>
      <bottom style="thick">
        <color indexed="64"/>
      </bottom>
      <diagonal/>
    </border>
    <border>
      <left style="thin">
        <color indexed="64"/>
      </left>
      <right style="thin">
        <color indexed="64"/>
      </right>
      <top style="thick">
        <color indexed="64"/>
      </top>
      <bottom style="thin">
        <color indexed="64"/>
      </bottom>
      <diagonal/>
    </border>
    <border>
      <left/>
      <right/>
      <top style="thick">
        <color indexed="64"/>
      </top>
      <bottom style="thin">
        <color indexed="64"/>
      </bottom>
      <diagonal/>
    </border>
    <border>
      <left/>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diagonal/>
    </border>
    <border>
      <left style="thin">
        <color indexed="64"/>
      </left>
      <right/>
      <top style="thin">
        <color indexed="64"/>
      </top>
      <bottom style="thick">
        <color indexed="64"/>
      </bottom>
      <diagonal/>
    </border>
    <border>
      <left style="thin">
        <color indexed="64"/>
      </left>
      <right/>
      <top style="thick">
        <color indexed="64"/>
      </top>
      <bottom/>
      <diagonal/>
    </border>
    <border>
      <left/>
      <right style="thin">
        <color indexed="64"/>
      </right>
      <top/>
      <bottom style="thin">
        <color indexed="64"/>
      </bottom>
      <diagonal/>
    </border>
    <border>
      <left/>
      <right style="thin">
        <color indexed="64"/>
      </right>
      <top style="thin">
        <color indexed="64"/>
      </top>
      <bottom style="thick">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style="thin">
        <color indexed="64"/>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indexed="64"/>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medium">
        <color rgb="FF000000"/>
      </left>
      <right style="thin">
        <color indexed="64"/>
      </right>
      <top style="medium">
        <color rgb="FF000000"/>
      </top>
      <bottom style="medium">
        <color rgb="FF000000"/>
      </bottom>
      <diagonal/>
    </border>
    <border>
      <left style="thin">
        <color indexed="64"/>
      </left>
      <right style="thin">
        <color indexed="64"/>
      </right>
      <top style="medium">
        <color rgb="FF000000"/>
      </top>
      <bottom style="medium">
        <color rgb="FF000000"/>
      </bottom>
      <diagonal/>
    </border>
    <border>
      <left style="thin">
        <color indexed="64"/>
      </left>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thin">
        <color rgb="FF000000"/>
      </right>
      <top/>
      <bottom/>
      <diagonal/>
    </border>
    <border>
      <left style="thin">
        <color rgb="FF000000"/>
      </left>
      <right style="thin">
        <color rgb="FF000000"/>
      </right>
      <top style="medium">
        <color rgb="FF000000"/>
      </top>
      <bottom/>
      <diagonal/>
    </border>
    <border>
      <left/>
      <right style="thin">
        <color rgb="FF000000"/>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right/>
      <top style="medium">
        <color rgb="FF000000"/>
      </top>
      <bottom style="medium">
        <color rgb="FF000000"/>
      </bottom>
      <diagonal/>
    </border>
    <border>
      <left style="thin">
        <color rgb="FF000000"/>
      </left>
      <right style="thin">
        <color rgb="FF000000"/>
      </right>
      <top style="thin">
        <color indexed="64"/>
      </top>
      <bottom/>
      <diagonal/>
    </border>
    <border>
      <left/>
      <right/>
      <top style="thin">
        <color indexed="64"/>
      </top>
      <bottom style="thin">
        <color indexed="64"/>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right/>
      <top/>
      <bottom style="medium">
        <color rgb="FF000000"/>
      </bottom>
      <diagonal/>
    </border>
    <border>
      <left style="thin">
        <color indexed="64"/>
      </left>
      <right/>
      <top/>
      <bottom style="thick">
        <color indexed="64"/>
      </bottom>
      <diagonal/>
    </border>
    <border>
      <left style="thin">
        <color indexed="64"/>
      </left>
      <right style="thin">
        <color indexed="64"/>
      </right>
      <top style="medium">
        <color rgb="FF000000"/>
      </top>
      <bottom/>
      <diagonal/>
    </border>
    <border>
      <left style="medium">
        <color rgb="FF000000"/>
      </left>
      <right/>
      <top/>
      <bottom style="medium">
        <color rgb="FF000000"/>
      </bottom>
      <diagonal/>
    </border>
    <border>
      <left/>
      <right style="medium">
        <color rgb="FF000000"/>
      </right>
      <top/>
      <bottom style="medium">
        <color rgb="FF000000"/>
      </bottom>
      <diagonal/>
    </border>
  </borders>
  <cellStyleXfs count="1">
    <xf numFmtId="0" fontId="0" fillId="0" borderId="0"/>
  </cellStyleXfs>
  <cellXfs count="902">
    <xf numFmtId="0" fontId="0" fillId="0" borderId="0" xfId="0"/>
    <xf numFmtId="0" fontId="2" fillId="0" borderId="0" xfId="0" applyFont="1" applyAlignment="1">
      <alignment horizontal="center" vertical="center"/>
    </xf>
    <xf numFmtId="0" fontId="2" fillId="0" borderId="2" xfId="0" applyFont="1" applyBorder="1" applyAlignment="1">
      <alignment vertical="center"/>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xf>
    <xf numFmtId="0" fontId="2" fillId="3" borderId="0" xfId="0" applyFont="1" applyFill="1" applyAlignment="1">
      <alignment horizontal="center" vertical="center"/>
    </xf>
    <xf numFmtId="0" fontId="2" fillId="0" borderId="3" xfId="0" applyFont="1" applyBorder="1" applyAlignment="1">
      <alignment vertical="center"/>
    </xf>
    <xf numFmtId="0" fontId="2" fillId="0" borderId="1" xfId="0" applyFont="1" applyBorder="1" applyAlignment="1">
      <alignment horizontal="left" vertical="center" wrapText="1"/>
    </xf>
    <xf numFmtId="0" fontId="2" fillId="0" borderId="1" xfId="0" applyFont="1" applyBorder="1" applyAlignment="1">
      <alignment horizontal="center" vertical="center" wrapText="1"/>
    </xf>
    <xf numFmtId="0" fontId="2" fillId="0" borderId="1" xfId="0" applyFont="1" applyBorder="1" applyAlignment="1">
      <alignment horizontal="center" vertical="center"/>
    </xf>
    <xf numFmtId="0" fontId="2" fillId="0" borderId="4" xfId="0" applyFont="1" applyBorder="1" applyAlignment="1">
      <alignment vertical="center"/>
    </xf>
    <xf numFmtId="0" fontId="2" fillId="0" borderId="1" xfId="0" quotePrefix="1" applyFont="1" applyBorder="1" applyAlignment="1">
      <alignment horizontal="center" vertical="center"/>
    </xf>
    <xf numFmtId="0" fontId="2" fillId="0" borderId="1" xfId="0" applyFont="1" applyBorder="1" applyAlignment="1">
      <alignment vertical="center"/>
    </xf>
    <xf numFmtId="0" fontId="2" fillId="0" borderId="1" xfId="0" applyFont="1" applyBorder="1" applyAlignment="1">
      <alignment horizontal="left" vertical="center"/>
    </xf>
    <xf numFmtId="14" fontId="2" fillId="0" borderId="1" xfId="0" applyNumberFormat="1" applyFont="1" applyBorder="1" applyAlignment="1">
      <alignment horizontal="center" vertical="center"/>
    </xf>
    <xf numFmtId="0" fontId="2" fillId="3" borderId="1" xfId="0" quotePrefix="1" applyFont="1" applyFill="1" applyBorder="1" applyAlignment="1">
      <alignment horizontal="center" vertical="center"/>
    </xf>
    <xf numFmtId="0" fontId="2" fillId="3" borderId="1" xfId="0" applyFont="1" applyFill="1" applyBorder="1" applyAlignment="1">
      <alignment vertical="center"/>
    </xf>
    <xf numFmtId="0" fontId="2" fillId="3" borderId="1" xfId="0" applyFont="1" applyFill="1" applyBorder="1" applyAlignment="1">
      <alignment horizontal="left" vertical="center"/>
    </xf>
    <xf numFmtId="14" fontId="2" fillId="3"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2" fillId="0" borderId="0" xfId="0" applyFont="1" applyAlignment="1">
      <alignment horizontal="left" vertical="center"/>
    </xf>
    <xf numFmtId="0" fontId="2" fillId="0" borderId="4" xfId="0" applyFont="1" applyBorder="1" applyAlignment="1">
      <alignment horizontal="center" vertical="center"/>
    </xf>
    <xf numFmtId="0" fontId="2" fillId="4" borderId="1" xfId="0" applyFont="1" applyFill="1" applyBorder="1" applyAlignment="1">
      <alignment horizontal="center" vertical="center"/>
    </xf>
    <xf numFmtId="0" fontId="2" fillId="4" borderId="2" xfId="0" applyFont="1" applyFill="1" applyBorder="1" applyAlignment="1">
      <alignment horizontal="left" vertical="center" wrapText="1"/>
    </xf>
    <xf numFmtId="0" fontId="2" fillId="4" borderId="1" xfId="0" applyFont="1" applyFill="1" applyBorder="1" applyAlignment="1">
      <alignment horizontal="left" vertical="center"/>
    </xf>
    <xf numFmtId="14" fontId="2" fillId="4" borderId="1" xfId="0" applyNumberFormat="1" applyFont="1" applyFill="1" applyBorder="1" applyAlignment="1">
      <alignment horizontal="center" vertical="center"/>
    </xf>
    <xf numFmtId="0" fontId="2" fillId="4" borderId="0" xfId="0" applyFont="1" applyFill="1" applyAlignment="1">
      <alignment horizontal="center" vertical="center"/>
    </xf>
    <xf numFmtId="0" fontId="2" fillId="4" borderId="3" xfId="0" applyFont="1" applyFill="1" applyBorder="1" applyAlignment="1">
      <alignment horizontal="left" vertical="center"/>
    </xf>
    <xf numFmtId="0" fontId="2" fillId="4" borderId="1" xfId="0" applyFont="1" applyFill="1" applyBorder="1" applyAlignment="1">
      <alignment horizontal="left" vertical="center" wrapText="1"/>
    </xf>
    <xf numFmtId="0" fontId="2" fillId="4" borderId="4" xfId="0" applyFont="1" applyFill="1" applyBorder="1" applyAlignment="1">
      <alignment horizontal="left" vertical="center"/>
    </xf>
    <xf numFmtId="14" fontId="2" fillId="3" borderId="2" xfId="0" applyNumberFormat="1" applyFont="1" applyFill="1" applyBorder="1" applyAlignment="1">
      <alignment horizontal="center" vertical="center"/>
    </xf>
    <xf numFmtId="0" fontId="2" fillId="3" borderId="4" xfId="0" applyFont="1" applyFill="1" applyBorder="1" applyAlignment="1">
      <alignment vertical="center"/>
    </xf>
    <xf numFmtId="0" fontId="2" fillId="0" borderId="2" xfId="0" quotePrefix="1" applyFont="1" applyBorder="1" applyAlignment="1">
      <alignment horizontal="center" vertical="center"/>
    </xf>
    <xf numFmtId="0" fontId="2" fillId="0" borderId="3" xfId="0" quotePrefix="1" applyFont="1" applyBorder="1" applyAlignment="1">
      <alignment horizontal="center" vertical="center"/>
    </xf>
    <xf numFmtId="0" fontId="2" fillId="3" borderId="2" xfId="0" applyFont="1" applyFill="1" applyBorder="1" applyAlignment="1">
      <alignment horizontal="left" vertical="center"/>
    </xf>
    <xf numFmtId="0" fontId="2" fillId="3" borderId="3" xfId="0" applyFont="1" applyFill="1" applyBorder="1" applyAlignment="1">
      <alignment horizontal="left" vertical="center"/>
    </xf>
    <xf numFmtId="0" fontId="2" fillId="3" borderId="4" xfId="0" applyFont="1" applyFill="1" applyBorder="1" applyAlignment="1">
      <alignment horizontal="left" vertical="center"/>
    </xf>
    <xf numFmtId="0" fontId="2" fillId="0" borderId="2" xfId="0" applyFont="1" applyBorder="1" applyAlignment="1">
      <alignment horizontal="left" vertical="center"/>
    </xf>
    <xf numFmtId="0" fontId="2" fillId="0" borderId="2" xfId="0" applyFont="1" applyBorder="1" applyAlignment="1">
      <alignment horizontal="center" vertical="center"/>
    </xf>
    <xf numFmtId="0" fontId="2" fillId="0" borderId="3" xfId="0" applyFont="1" applyBorder="1" applyAlignment="1">
      <alignment horizontal="left" vertical="center"/>
    </xf>
    <xf numFmtId="0" fontId="2" fillId="0" borderId="2" xfId="0" applyFont="1" applyBorder="1" applyAlignment="1">
      <alignment horizontal="left" vertical="center" wrapText="1"/>
    </xf>
    <xf numFmtId="14" fontId="2" fillId="0" borderId="2" xfId="0" applyNumberFormat="1" applyFont="1" applyBorder="1" applyAlignment="1">
      <alignment horizontal="center" vertical="center"/>
    </xf>
    <xf numFmtId="0" fontId="2" fillId="3" borderId="7" xfId="0" applyFont="1" applyFill="1" applyBorder="1" applyAlignment="1">
      <alignment horizontal="center" vertical="center"/>
    </xf>
    <xf numFmtId="0" fontId="2" fillId="3" borderId="7" xfId="0" applyFont="1" applyFill="1" applyBorder="1" applyAlignment="1">
      <alignment horizontal="left" vertical="center"/>
    </xf>
    <xf numFmtId="14" fontId="2" fillId="3" borderId="7" xfId="0" applyNumberFormat="1" applyFont="1" applyFill="1" applyBorder="1" applyAlignment="1">
      <alignment horizontal="center" vertical="center"/>
    </xf>
    <xf numFmtId="0" fontId="2" fillId="3" borderId="8" xfId="0" applyFont="1" applyFill="1" applyBorder="1" applyAlignment="1">
      <alignment horizontal="center" vertical="center"/>
    </xf>
    <xf numFmtId="0" fontId="2" fillId="0" borderId="4" xfId="0" applyFont="1" applyBorder="1" applyAlignment="1">
      <alignment horizontal="left" vertical="center"/>
    </xf>
    <xf numFmtId="0" fontId="2" fillId="0" borderId="2" xfId="0" quotePrefix="1" applyFont="1" applyBorder="1" applyAlignment="1">
      <alignment vertical="center"/>
    </xf>
    <xf numFmtId="0" fontId="2" fillId="0" borderId="3" xfId="0" quotePrefix="1" applyFont="1" applyBorder="1" applyAlignment="1">
      <alignment vertical="center"/>
    </xf>
    <xf numFmtId="0" fontId="2" fillId="3" borderId="10" xfId="0" applyFont="1" applyFill="1" applyBorder="1" applyAlignment="1">
      <alignment horizontal="left" vertical="center"/>
    </xf>
    <xf numFmtId="0" fontId="2" fillId="0" borderId="3" xfId="0" applyFont="1" applyBorder="1" applyAlignment="1">
      <alignment horizontal="left" vertical="center" wrapText="1"/>
    </xf>
    <xf numFmtId="14" fontId="2" fillId="0" borderId="4" xfId="0" applyNumberFormat="1" applyFont="1" applyBorder="1" applyAlignment="1">
      <alignment horizontal="center" vertical="center"/>
    </xf>
    <xf numFmtId="0" fontId="2" fillId="0" borderId="4" xfId="0" applyFont="1" applyBorder="1" applyAlignment="1">
      <alignment horizontal="left" vertical="center" wrapText="1"/>
    </xf>
    <xf numFmtId="0" fontId="2" fillId="3" borderId="2" xfId="0" applyFont="1" applyFill="1" applyBorder="1" applyAlignment="1">
      <alignment horizontal="left" vertical="center" wrapText="1"/>
    </xf>
    <xf numFmtId="0" fontId="2" fillId="3" borderId="2" xfId="0" quotePrefix="1" applyFont="1" applyFill="1" applyBorder="1" applyAlignment="1">
      <alignment vertical="center"/>
    </xf>
    <xf numFmtId="0" fontId="2" fillId="3" borderId="2" xfId="0" applyFont="1" applyFill="1" applyBorder="1" applyAlignment="1">
      <alignment vertical="center"/>
    </xf>
    <xf numFmtId="0" fontId="2" fillId="3" borderId="3" xfId="0" quotePrefix="1" applyFont="1" applyFill="1" applyBorder="1" applyAlignment="1">
      <alignment vertical="center"/>
    </xf>
    <xf numFmtId="0" fontId="2" fillId="3" borderId="3" xfId="0" applyFont="1" applyFill="1" applyBorder="1" applyAlignment="1">
      <alignment vertical="center"/>
    </xf>
    <xf numFmtId="0" fontId="2" fillId="3" borderId="4" xfId="0" quotePrefix="1" applyFont="1" applyFill="1" applyBorder="1" applyAlignment="1">
      <alignment vertical="center"/>
    </xf>
    <xf numFmtId="0" fontId="2" fillId="3" borderId="3" xfId="0" applyFont="1" applyFill="1" applyBorder="1" applyAlignment="1">
      <alignment horizontal="left" vertical="center" wrapText="1"/>
    </xf>
    <xf numFmtId="0" fontId="2" fillId="3" borderId="10" xfId="0" applyFont="1" applyFill="1" applyBorder="1" applyAlignment="1">
      <alignment horizontal="left" vertical="center" wrapText="1"/>
    </xf>
    <xf numFmtId="0" fontId="2" fillId="3" borderId="7" xfId="0" applyFont="1" applyFill="1" applyBorder="1" applyAlignment="1">
      <alignment horizontal="left" vertical="center" wrapText="1"/>
    </xf>
    <xf numFmtId="0" fontId="2" fillId="5" borderId="11" xfId="0" applyFont="1" applyFill="1" applyBorder="1" applyAlignment="1">
      <alignment horizontal="center" vertical="center"/>
    </xf>
    <xf numFmtId="0" fontId="2" fillId="5" borderId="9" xfId="0" applyFont="1" applyFill="1" applyBorder="1" applyAlignment="1">
      <alignment horizontal="left" vertical="center"/>
    </xf>
    <xf numFmtId="0" fontId="2" fillId="5" borderId="11" xfId="0" applyFont="1" applyFill="1" applyBorder="1" applyAlignment="1">
      <alignment horizontal="left" vertical="center" wrapText="1"/>
    </xf>
    <xf numFmtId="14" fontId="2" fillId="5" borderId="11" xfId="0" applyNumberFormat="1" applyFont="1" applyFill="1" applyBorder="1" applyAlignment="1">
      <alignment horizontal="center" vertical="center"/>
    </xf>
    <xf numFmtId="0" fontId="2" fillId="5" borderId="12" xfId="0" applyFont="1" applyFill="1" applyBorder="1" applyAlignment="1">
      <alignment horizontal="center" vertical="center"/>
    </xf>
    <xf numFmtId="0" fontId="2" fillId="5" borderId="4" xfId="0" applyFont="1" applyFill="1" applyBorder="1" applyAlignment="1">
      <alignment horizontal="center" vertical="center"/>
    </xf>
    <xf numFmtId="0" fontId="2" fillId="5" borderId="3" xfId="0" applyFont="1" applyFill="1" applyBorder="1" applyAlignment="1">
      <alignment horizontal="left" vertical="center"/>
    </xf>
    <xf numFmtId="0" fontId="2" fillId="5" borderId="4" xfId="0" applyFont="1" applyFill="1" applyBorder="1" applyAlignment="1">
      <alignment horizontal="left" vertical="center"/>
    </xf>
    <xf numFmtId="14" fontId="2" fillId="5" borderId="4" xfId="0" applyNumberFormat="1" applyFont="1" applyFill="1" applyBorder="1" applyAlignment="1">
      <alignment horizontal="center" vertical="center"/>
    </xf>
    <xf numFmtId="0" fontId="2" fillId="5" borderId="13" xfId="0" applyFont="1" applyFill="1" applyBorder="1" applyAlignment="1">
      <alignment horizontal="center" vertical="center"/>
    </xf>
    <xf numFmtId="0" fontId="2" fillId="5" borderId="4" xfId="0" applyFont="1" applyFill="1" applyBorder="1" applyAlignment="1">
      <alignment horizontal="left" vertical="center" wrapText="1"/>
    </xf>
    <xf numFmtId="0" fontId="2" fillId="3" borderId="4" xfId="0" applyFont="1" applyFill="1" applyBorder="1" applyAlignment="1">
      <alignment horizontal="center" vertical="center"/>
    </xf>
    <xf numFmtId="14" fontId="2" fillId="3" borderId="4" xfId="0" applyNumberFormat="1" applyFont="1" applyFill="1" applyBorder="1" applyAlignment="1">
      <alignment horizontal="center" vertical="center"/>
    </xf>
    <xf numFmtId="0" fontId="2" fillId="3" borderId="4" xfId="0" applyFont="1" applyFill="1" applyBorder="1" applyAlignment="1">
      <alignment horizontal="left" vertical="center" wrapText="1"/>
    </xf>
    <xf numFmtId="0" fontId="2" fillId="4" borderId="2" xfId="0" applyFont="1" applyFill="1" applyBorder="1" applyAlignment="1">
      <alignment horizontal="left" vertical="center"/>
    </xf>
    <xf numFmtId="0" fontId="2" fillId="3" borderId="13" xfId="0" applyFont="1" applyFill="1" applyBorder="1" applyAlignment="1">
      <alignment horizontal="center" vertical="center"/>
    </xf>
    <xf numFmtId="0" fontId="2" fillId="4" borderId="3" xfId="0" applyFont="1" applyFill="1" applyBorder="1" applyAlignment="1">
      <alignment horizontal="center" vertical="center"/>
    </xf>
    <xf numFmtId="0" fontId="2" fillId="4" borderId="3" xfId="0" applyFont="1" applyFill="1" applyBorder="1" applyAlignment="1">
      <alignment horizontal="left" vertical="center" wrapText="1"/>
    </xf>
    <xf numFmtId="14" fontId="2" fillId="4" borderId="3" xfId="0" applyNumberFormat="1" applyFont="1" applyFill="1" applyBorder="1" applyAlignment="1">
      <alignment horizontal="center" vertical="center"/>
    </xf>
    <xf numFmtId="0" fontId="2" fillId="4" borderId="10" xfId="0" applyFont="1" applyFill="1" applyBorder="1" applyAlignment="1">
      <alignment horizontal="center" vertical="center"/>
    </xf>
    <xf numFmtId="0" fontId="2" fillId="4" borderId="7" xfId="0" applyFont="1" applyFill="1" applyBorder="1" applyAlignment="1">
      <alignment horizontal="center" vertical="center"/>
    </xf>
    <xf numFmtId="0" fontId="2" fillId="4" borderId="7" xfId="0" applyFont="1" applyFill="1" applyBorder="1" applyAlignment="1">
      <alignment horizontal="left" vertical="center" wrapText="1"/>
    </xf>
    <xf numFmtId="14" fontId="2" fillId="4" borderId="10" xfId="0" applyNumberFormat="1" applyFont="1" applyFill="1" applyBorder="1" applyAlignment="1">
      <alignment horizontal="center" vertical="center"/>
    </xf>
    <xf numFmtId="0" fontId="2" fillId="4" borderId="8" xfId="0" applyFont="1" applyFill="1" applyBorder="1" applyAlignment="1">
      <alignment horizontal="center" vertical="center"/>
    </xf>
    <xf numFmtId="0" fontId="2" fillId="3" borderId="2" xfId="0" quotePrefix="1" applyFont="1" applyFill="1" applyBorder="1" applyAlignment="1">
      <alignment horizontal="center" vertical="center"/>
    </xf>
    <xf numFmtId="0" fontId="2" fillId="4" borderId="7" xfId="0" quotePrefix="1" applyFont="1" applyFill="1" applyBorder="1" applyAlignment="1">
      <alignment horizontal="center" vertical="center"/>
    </xf>
    <xf numFmtId="0" fontId="2" fillId="4" borderId="7" xfId="0" applyFont="1" applyFill="1" applyBorder="1" applyAlignment="1">
      <alignment horizontal="left" vertical="center"/>
    </xf>
    <xf numFmtId="14" fontId="2" fillId="4" borderId="7" xfId="0" applyNumberFormat="1" applyFont="1" applyFill="1" applyBorder="1" applyAlignment="1">
      <alignment horizontal="center" vertical="center"/>
    </xf>
    <xf numFmtId="0" fontId="2" fillId="0" borderId="7" xfId="0" applyFont="1" applyBorder="1" applyAlignment="1">
      <alignment horizontal="center" vertical="center"/>
    </xf>
    <xf numFmtId="0" fontId="2" fillId="0" borderId="10" xfId="0" applyFont="1" applyBorder="1" applyAlignment="1">
      <alignment horizontal="left" vertical="center"/>
    </xf>
    <xf numFmtId="0" fontId="2" fillId="0" borderId="7" xfId="0" applyFont="1" applyBorder="1" applyAlignment="1">
      <alignment horizontal="left" vertical="center" wrapText="1"/>
    </xf>
    <xf numFmtId="14" fontId="2" fillId="0" borderId="7" xfId="0" applyNumberFormat="1" applyFont="1" applyBorder="1" applyAlignment="1">
      <alignment horizontal="center" vertical="center"/>
    </xf>
    <xf numFmtId="0" fontId="2" fillId="0" borderId="8" xfId="0" applyFont="1" applyBorder="1" applyAlignment="1">
      <alignment horizontal="center" vertical="center"/>
    </xf>
    <xf numFmtId="0" fontId="2" fillId="3" borderId="4" xfId="0" quotePrefix="1" applyFont="1" applyFill="1" applyBorder="1" applyAlignment="1">
      <alignment horizontal="center" vertical="center"/>
    </xf>
    <xf numFmtId="0" fontId="2" fillId="4" borderId="3" xfId="0" quotePrefix="1" applyFont="1" applyFill="1" applyBorder="1" applyAlignment="1">
      <alignment horizontal="center" vertical="center"/>
    </xf>
    <xf numFmtId="0" fontId="2" fillId="0" borderId="4" xfId="0" quotePrefix="1" applyFont="1" applyBorder="1" applyAlignment="1">
      <alignment horizontal="center" vertical="center"/>
    </xf>
    <xf numFmtId="0" fontId="2" fillId="0" borderId="7" xfId="0" applyFont="1" applyBorder="1" applyAlignment="1">
      <alignment horizontal="left" vertical="center"/>
    </xf>
    <xf numFmtId="0" fontId="2" fillId="4" borderId="2" xfId="0" applyFont="1" applyFill="1" applyBorder="1" applyAlignment="1">
      <alignment horizontal="center" vertical="center"/>
    </xf>
    <xf numFmtId="0" fontId="2" fillId="0" borderId="3" xfId="0" applyFont="1" applyBorder="1" applyAlignment="1">
      <alignment horizontal="center" vertical="center"/>
    </xf>
    <xf numFmtId="0" fontId="2" fillId="4" borderId="4" xfId="0" applyFont="1" applyFill="1" applyBorder="1" applyAlignment="1">
      <alignment horizontal="left" vertical="center" wrapText="1"/>
    </xf>
    <xf numFmtId="0" fontId="2" fillId="0" borderId="0" xfId="0" applyFont="1" applyAlignment="1">
      <alignment horizontal="left" vertical="center" wrapText="1"/>
    </xf>
    <xf numFmtId="0" fontId="2" fillId="3" borderId="0" xfId="0" applyFont="1" applyFill="1" applyAlignment="1">
      <alignment horizontal="left" vertical="center"/>
    </xf>
    <xf numFmtId="0" fontId="4" fillId="3" borderId="1" xfId="0" applyFont="1" applyFill="1" applyBorder="1" applyAlignment="1">
      <alignment horizontal="center" vertical="center"/>
    </xf>
    <xf numFmtId="0" fontId="4" fillId="3" borderId="2" xfId="0" applyFont="1" applyFill="1" applyBorder="1" applyAlignment="1">
      <alignment horizontal="left" vertical="center"/>
    </xf>
    <xf numFmtId="0" fontId="4" fillId="3" borderId="1" xfId="0" applyFont="1" applyFill="1" applyBorder="1" applyAlignment="1">
      <alignment horizontal="left" vertical="center"/>
    </xf>
    <xf numFmtId="0" fontId="4" fillId="3" borderId="0" xfId="0" applyFont="1" applyFill="1" applyAlignment="1">
      <alignment horizontal="center" vertical="center"/>
    </xf>
    <xf numFmtId="0" fontId="4" fillId="3" borderId="3" xfId="0" applyFont="1" applyFill="1" applyBorder="1" applyAlignment="1">
      <alignment horizontal="left" vertical="center"/>
    </xf>
    <xf numFmtId="0" fontId="4" fillId="3" borderId="1" xfId="0" applyFont="1" applyFill="1" applyBorder="1" applyAlignment="1">
      <alignment horizontal="left" vertical="center" wrapText="1"/>
    </xf>
    <xf numFmtId="0" fontId="4" fillId="3" borderId="4" xfId="0" applyFont="1" applyFill="1" applyBorder="1" applyAlignment="1">
      <alignment horizontal="left" vertical="center"/>
    </xf>
    <xf numFmtId="0" fontId="2" fillId="3" borderId="3" xfId="0" quotePrefix="1" applyFont="1" applyFill="1" applyBorder="1" applyAlignment="1">
      <alignment horizontal="center" vertical="center"/>
    </xf>
    <xf numFmtId="0" fontId="2" fillId="6" borderId="1" xfId="0" applyFont="1" applyFill="1" applyBorder="1" applyAlignment="1">
      <alignment horizontal="center" vertical="center"/>
    </xf>
    <xf numFmtId="0" fontId="2" fillId="6" borderId="1" xfId="0" applyFont="1" applyFill="1" applyBorder="1" applyAlignment="1">
      <alignment horizontal="left" vertical="center"/>
    </xf>
    <xf numFmtId="0" fontId="2" fillId="6" borderId="1" xfId="0" applyFont="1" applyFill="1" applyBorder="1" applyAlignment="1">
      <alignment horizontal="left" vertical="center" wrapText="1"/>
    </xf>
    <xf numFmtId="0" fontId="2" fillId="7" borderId="1" xfId="0" applyFont="1" applyFill="1" applyBorder="1" applyAlignment="1">
      <alignment horizontal="center" vertical="center"/>
    </xf>
    <xf numFmtId="0" fontId="2" fillId="7" borderId="1" xfId="0" quotePrefix="1" applyFont="1" applyFill="1" applyBorder="1" applyAlignment="1">
      <alignment horizontal="center" vertical="center"/>
    </xf>
    <xf numFmtId="0" fontId="2" fillId="7" borderId="1" xfId="0" applyFont="1" applyFill="1" applyBorder="1" applyAlignment="1">
      <alignment horizontal="left" vertical="center"/>
    </xf>
    <xf numFmtId="0" fontId="2" fillId="7"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0" fontId="2" fillId="7" borderId="2" xfId="0" applyFont="1" applyFill="1" applyBorder="1" applyAlignment="1">
      <alignment vertical="center"/>
    </xf>
    <xf numFmtId="14" fontId="2" fillId="7" borderId="4" xfId="0" applyNumberFormat="1" applyFont="1" applyFill="1" applyBorder="1" applyAlignment="1">
      <alignment horizontal="center" vertical="center"/>
    </xf>
    <xf numFmtId="0" fontId="2" fillId="8" borderId="1" xfId="0" applyFont="1" applyFill="1" applyBorder="1" applyAlignment="1">
      <alignment horizontal="center" vertical="center"/>
    </xf>
    <xf numFmtId="14" fontId="0" fillId="0" borderId="1" xfId="0" applyNumberFormat="1" applyBorder="1"/>
    <xf numFmtId="0" fontId="2" fillId="0" borderId="0" xfId="0" applyFont="1" applyAlignment="1">
      <alignment vertical="center"/>
    </xf>
    <xf numFmtId="0" fontId="2" fillId="3" borderId="0" xfId="0" applyFont="1" applyFill="1" applyAlignment="1">
      <alignment vertical="center"/>
    </xf>
    <xf numFmtId="0" fontId="2" fillId="3" borderId="6" xfId="0" applyFont="1" applyFill="1" applyBorder="1" applyAlignment="1">
      <alignment horizontal="center" vertical="center"/>
    </xf>
    <xf numFmtId="0" fontId="2" fillId="0" borderId="10" xfId="0" quotePrefix="1" applyFont="1" applyBorder="1" applyAlignment="1">
      <alignment vertical="center"/>
    </xf>
    <xf numFmtId="0" fontId="2" fillId="4" borderId="2" xfId="0" quotePrefix="1" applyFont="1" applyFill="1" applyBorder="1" applyAlignment="1">
      <alignment vertical="center"/>
    </xf>
    <xf numFmtId="0" fontId="2" fillId="4" borderId="2" xfId="0" applyFont="1" applyFill="1" applyBorder="1" applyAlignment="1">
      <alignment vertical="center"/>
    </xf>
    <xf numFmtId="0" fontId="2" fillId="3" borderId="14" xfId="0" applyFont="1" applyFill="1" applyBorder="1" applyAlignment="1">
      <alignment horizontal="left" vertical="center"/>
    </xf>
    <xf numFmtId="0" fontId="2" fillId="3" borderId="15" xfId="0" applyFont="1" applyFill="1" applyBorder="1" applyAlignment="1">
      <alignment horizontal="left" vertical="center"/>
    </xf>
    <xf numFmtId="0" fontId="2" fillId="3" borderId="5" xfId="0" applyFont="1" applyFill="1" applyBorder="1" applyAlignment="1">
      <alignment horizontal="left" vertical="center"/>
    </xf>
    <xf numFmtId="0" fontId="2" fillId="9" borderId="4" xfId="0" applyFont="1" applyFill="1" applyBorder="1" applyAlignment="1">
      <alignment horizontal="center" vertical="center"/>
    </xf>
    <xf numFmtId="0" fontId="2" fillId="9" borderId="9" xfId="0" quotePrefix="1" applyFont="1" applyFill="1" applyBorder="1" applyAlignment="1">
      <alignment horizontal="center" vertical="center"/>
    </xf>
    <xf numFmtId="0" fontId="2" fillId="9" borderId="9" xfId="0" applyFont="1" applyFill="1" applyBorder="1" applyAlignment="1">
      <alignment horizontal="left" vertical="center"/>
    </xf>
    <xf numFmtId="0" fontId="2" fillId="9" borderId="9" xfId="0" applyFont="1" applyFill="1" applyBorder="1" applyAlignment="1">
      <alignment horizontal="center" vertical="center"/>
    </xf>
    <xf numFmtId="0" fontId="2" fillId="9" borderId="4" xfId="0" applyFont="1" applyFill="1" applyBorder="1" applyAlignment="1">
      <alignment horizontal="left" vertical="center"/>
    </xf>
    <xf numFmtId="0" fontId="2" fillId="9" borderId="0" xfId="0" applyFont="1" applyFill="1" applyAlignment="1">
      <alignment horizontal="center" vertical="center"/>
    </xf>
    <xf numFmtId="0" fontId="0" fillId="9" borderId="0" xfId="0" applyFill="1"/>
    <xf numFmtId="0" fontId="2" fillId="0" borderId="6" xfId="0" applyFont="1" applyBorder="1" applyAlignment="1">
      <alignment horizontal="center" vertical="center"/>
    </xf>
    <xf numFmtId="0" fontId="2" fillId="0" borderId="17" xfId="0" applyFont="1" applyBorder="1" applyAlignment="1">
      <alignment horizontal="center" vertical="center"/>
    </xf>
    <xf numFmtId="0" fontId="2" fillId="3" borderId="18" xfId="0" applyFont="1" applyFill="1" applyBorder="1" applyAlignment="1">
      <alignment horizontal="center" vertical="center"/>
    </xf>
    <xf numFmtId="0" fontId="2" fillId="0" borderId="6" xfId="0" applyFont="1" applyBorder="1" applyAlignment="1">
      <alignment horizontal="left" vertical="center"/>
    </xf>
    <xf numFmtId="0" fontId="2" fillId="3" borderId="6" xfId="0" applyFont="1" applyFill="1" applyBorder="1" applyAlignment="1">
      <alignment horizontal="left" vertical="center"/>
    </xf>
    <xf numFmtId="0" fontId="2" fillId="3" borderId="16" xfId="0" applyFont="1" applyFill="1" applyBorder="1" applyAlignment="1">
      <alignment horizontal="left" vertical="center"/>
    </xf>
    <xf numFmtId="0" fontId="2" fillId="3" borderId="17" xfId="0" applyFont="1" applyFill="1" applyBorder="1" applyAlignment="1">
      <alignment horizontal="center" vertical="center"/>
    </xf>
    <xf numFmtId="0" fontId="2" fillId="10" borderId="1" xfId="0" applyFont="1" applyFill="1" applyBorder="1" applyAlignment="1">
      <alignment horizontal="center" vertical="center"/>
    </xf>
    <xf numFmtId="0" fontId="2" fillId="10" borderId="1" xfId="0" applyFont="1" applyFill="1" applyBorder="1" applyAlignment="1">
      <alignment horizontal="left" vertical="center"/>
    </xf>
    <xf numFmtId="0" fontId="0" fillId="10" borderId="0" xfId="0" applyFill="1"/>
    <xf numFmtId="0" fontId="2" fillId="10" borderId="0" xfId="0" applyFont="1" applyFill="1" applyAlignment="1">
      <alignment horizontal="center" vertical="center"/>
    </xf>
    <xf numFmtId="0" fontId="0" fillId="4" borderId="0" xfId="0" applyFill="1"/>
    <xf numFmtId="0" fontId="2" fillId="9" borderId="1" xfId="0" applyFont="1" applyFill="1" applyBorder="1" applyAlignment="1">
      <alignment horizontal="center" vertical="center"/>
    </xf>
    <xf numFmtId="0" fontId="2" fillId="9" borderId="1" xfId="0" applyFont="1" applyFill="1" applyBorder="1" applyAlignment="1">
      <alignment horizontal="left" vertical="center"/>
    </xf>
    <xf numFmtId="0" fontId="2" fillId="9" borderId="1" xfId="0" applyFont="1" applyFill="1" applyBorder="1" applyAlignment="1">
      <alignment horizontal="left" vertical="center" wrapText="1"/>
    </xf>
    <xf numFmtId="0" fontId="0" fillId="0" borderId="0" xfId="0" applyAlignment="1">
      <alignment horizontal="center"/>
    </xf>
    <xf numFmtId="0" fontId="2" fillId="9" borderId="6" xfId="0" applyFont="1" applyFill="1" applyBorder="1" applyAlignment="1">
      <alignment horizontal="left" vertical="center" wrapText="1"/>
    </xf>
    <xf numFmtId="0" fontId="2" fillId="9" borderId="5" xfId="0" applyFont="1" applyFill="1" applyBorder="1" applyAlignment="1">
      <alignment horizontal="left" vertical="center" wrapText="1"/>
    </xf>
    <xf numFmtId="0" fontId="2" fillId="3" borderId="6" xfId="0" applyFont="1" applyFill="1" applyBorder="1" applyAlignment="1">
      <alignment horizontal="left" vertical="center" wrapText="1"/>
    </xf>
    <xf numFmtId="0" fontId="2" fillId="9" borderId="6" xfId="0" applyFont="1" applyFill="1" applyBorder="1" applyAlignment="1">
      <alignment horizontal="left" vertical="center"/>
    </xf>
    <xf numFmtId="0" fontId="2" fillId="0" borderId="6" xfId="0" applyFont="1" applyBorder="1" applyAlignment="1">
      <alignment horizontal="left" vertical="center" wrapText="1"/>
    </xf>
    <xf numFmtId="0" fontId="2" fillId="3" borderId="5" xfId="0" applyFont="1" applyFill="1" applyBorder="1" applyAlignment="1">
      <alignment horizontal="left" vertical="center" wrapText="1"/>
    </xf>
    <xf numFmtId="0" fontId="2" fillId="0" borderId="5" xfId="0" applyFont="1" applyBorder="1" applyAlignment="1">
      <alignment horizontal="left" vertical="center"/>
    </xf>
    <xf numFmtId="0" fontId="2" fillId="9" borderId="5" xfId="0" applyFont="1" applyFill="1" applyBorder="1" applyAlignment="1">
      <alignment horizontal="left" vertical="center"/>
    </xf>
    <xf numFmtId="0" fontId="2" fillId="9" borderId="16" xfId="0" applyFont="1" applyFill="1" applyBorder="1" applyAlignment="1">
      <alignment horizontal="left" vertical="center"/>
    </xf>
    <xf numFmtId="0" fontId="2" fillId="0" borderId="5" xfId="0" applyFont="1" applyBorder="1" applyAlignment="1">
      <alignment horizontal="left" vertical="center" wrapText="1"/>
    </xf>
    <xf numFmtId="0" fontId="2" fillId="3" borderId="20" xfId="0" applyFont="1" applyFill="1" applyBorder="1" applyAlignment="1">
      <alignment horizontal="left" vertical="center"/>
    </xf>
    <xf numFmtId="0" fontId="2" fillId="10" borderId="5" xfId="0" applyFont="1" applyFill="1" applyBorder="1" applyAlignment="1">
      <alignment horizontal="left" vertical="center"/>
    </xf>
    <xf numFmtId="0" fontId="2" fillId="10" borderId="6" xfId="0" applyFont="1" applyFill="1" applyBorder="1" applyAlignment="1">
      <alignment horizontal="left" vertical="center"/>
    </xf>
    <xf numFmtId="0" fontId="2" fillId="9" borderId="2" xfId="0" applyFont="1" applyFill="1" applyBorder="1" applyAlignment="1">
      <alignment horizontal="left" vertical="center"/>
    </xf>
    <xf numFmtId="0" fontId="2" fillId="9" borderId="2" xfId="0" quotePrefix="1" applyFont="1" applyFill="1" applyBorder="1" applyAlignment="1">
      <alignment vertical="center"/>
    </xf>
    <xf numFmtId="0" fontId="3" fillId="9" borderId="0" xfId="0" applyFont="1" applyFill="1"/>
    <xf numFmtId="0" fontId="2" fillId="9" borderId="1" xfId="0" applyFont="1" applyFill="1" applyBorder="1" applyAlignment="1">
      <alignment vertical="center"/>
    </xf>
    <xf numFmtId="0" fontId="2" fillId="9" borderId="1" xfId="0" quotePrefix="1" applyFont="1" applyFill="1" applyBorder="1" applyAlignment="1">
      <alignment horizontal="center" vertical="center"/>
    </xf>
    <xf numFmtId="0" fontId="2" fillId="9" borderId="21" xfId="0" applyFont="1" applyFill="1" applyBorder="1" applyAlignment="1">
      <alignment horizontal="center" vertical="center"/>
    </xf>
    <xf numFmtId="0" fontId="2" fillId="0" borderId="14" xfId="0" applyFont="1" applyBorder="1" applyAlignment="1">
      <alignment horizontal="left" vertical="center"/>
    </xf>
    <xf numFmtId="0" fontId="2" fillId="0" borderId="15" xfId="0" applyFont="1" applyBorder="1" applyAlignment="1">
      <alignment horizontal="left" vertical="center"/>
    </xf>
    <xf numFmtId="0" fontId="2" fillId="10" borderId="14" xfId="0" applyFont="1" applyFill="1" applyBorder="1" applyAlignment="1">
      <alignment horizontal="left" vertical="center"/>
    </xf>
    <xf numFmtId="0" fontId="2" fillId="0" borderId="16" xfId="0" applyFont="1" applyBorder="1" applyAlignment="1">
      <alignment horizontal="left" vertical="center"/>
    </xf>
    <xf numFmtId="0" fontId="2" fillId="9" borderId="17" xfId="0" applyFont="1" applyFill="1" applyBorder="1" applyAlignment="1">
      <alignment horizontal="center" vertical="center"/>
    </xf>
    <xf numFmtId="0" fontId="2" fillId="10" borderId="17" xfId="0" applyFont="1" applyFill="1" applyBorder="1" applyAlignment="1">
      <alignment horizontal="center" vertical="center"/>
    </xf>
    <xf numFmtId="0" fontId="2" fillId="9" borderId="22" xfId="0" applyFont="1" applyFill="1" applyBorder="1" applyAlignment="1">
      <alignment horizontal="center" vertical="center"/>
    </xf>
    <xf numFmtId="0" fontId="2" fillId="3" borderId="23" xfId="0" applyFont="1" applyFill="1" applyBorder="1" applyAlignment="1">
      <alignment horizontal="center" vertical="center"/>
    </xf>
    <xf numFmtId="0" fontId="2" fillId="0" borderId="5" xfId="0" applyFont="1" applyBorder="1" applyAlignment="1">
      <alignment horizontal="center" vertical="center"/>
    </xf>
    <xf numFmtId="14" fontId="0" fillId="0" borderId="5" xfId="0" applyNumberFormat="1" applyBorder="1"/>
    <xf numFmtId="0" fontId="2" fillId="0" borderId="25" xfId="0" applyFont="1" applyBorder="1" applyAlignment="1">
      <alignment horizontal="center" vertical="center"/>
    </xf>
    <xf numFmtId="0" fontId="2" fillId="0" borderId="26" xfId="0" applyFont="1" applyBorder="1" applyAlignment="1">
      <alignment horizontal="left" vertical="center"/>
    </xf>
    <xf numFmtId="0" fontId="2" fillId="0" borderId="25" xfId="0" applyFont="1" applyBorder="1" applyAlignment="1">
      <alignment horizontal="left" vertical="center"/>
    </xf>
    <xf numFmtId="0" fontId="2" fillId="11" borderId="1" xfId="0" applyFont="1" applyFill="1" applyBorder="1" applyAlignment="1">
      <alignment horizontal="center" vertical="center"/>
    </xf>
    <xf numFmtId="0" fontId="0" fillId="11" borderId="0" xfId="0" applyFill="1"/>
    <xf numFmtId="0" fontId="2" fillId="9" borderId="4" xfId="0" applyFont="1" applyFill="1" applyBorder="1" applyAlignment="1">
      <alignment vertical="center"/>
    </xf>
    <xf numFmtId="0" fontId="2" fillId="4" borderId="1" xfId="0" quotePrefix="1" applyFont="1" applyFill="1" applyBorder="1" applyAlignment="1">
      <alignment horizontal="center" vertical="center"/>
    </xf>
    <xf numFmtId="0" fontId="2" fillId="11" borderId="1" xfId="0" applyFont="1" applyFill="1" applyBorder="1" applyAlignment="1">
      <alignment vertical="center"/>
    </xf>
    <xf numFmtId="0" fontId="2" fillId="10" borderId="1" xfId="0" quotePrefix="1" applyFont="1" applyFill="1" applyBorder="1" applyAlignment="1">
      <alignment horizontal="center" vertical="center"/>
    </xf>
    <xf numFmtId="0" fontId="2" fillId="10" borderId="1" xfId="0" applyFont="1" applyFill="1" applyBorder="1" applyAlignment="1">
      <alignment horizontal="left" vertical="center" wrapText="1"/>
    </xf>
    <xf numFmtId="0" fontId="2" fillId="10" borderId="5" xfId="0" applyFont="1" applyFill="1" applyBorder="1" applyAlignment="1">
      <alignment horizontal="center" vertical="center"/>
    </xf>
    <xf numFmtId="0" fontId="2" fillId="3" borderId="27" xfId="0" applyFont="1" applyFill="1" applyBorder="1" applyAlignment="1">
      <alignment horizontal="left" vertical="center" wrapText="1"/>
    </xf>
    <xf numFmtId="0" fontId="2" fillId="0" borderId="27" xfId="0" applyFont="1" applyBorder="1" applyAlignment="1">
      <alignment horizontal="left" vertical="center"/>
    </xf>
    <xf numFmtId="0" fontId="2" fillId="9" borderId="27" xfId="0" applyFont="1" applyFill="1" applyBorder="1" applyAlignment="1">
      <alignment horizontal="center" vertical="center"/>
    </xf>
    <xf numFmtId="0" fontId="2" fillId="9" borderId="27" xfId="0" applyFont="1" applyFill="1" applyBorder="1" applyAlignment="1">
      <alignment horizontal="left" vertical="center"/>
    </xf>
    <xf numFmtId="0" fontId="2" fillId="3" borderId="27" xfId="0" applyFont="1" applyFill="1" applyBorder="1" applyAlignment="1">
      <alignment horizontal="left" vertical="center"/>
    </xf>
    <xf numFmtId="0" fontId="2" fillId="0" borderId="27" xfId="0" applyFont="1" applyBorder="1" applyAlignment="1">
      <alignment horizontal="left" vertical="center" wrapText="1"/>
    </xf>
    <xf numFmtId="0" fontId="2" fillId="4" borderId="15" xfId="0" applyFont="1" applyFill="1" applyBorder="1" applyAlignment="1">
      <alignment horizontal="left" vertical="center"/>
    </xf>
    <xf numFmtId="0" fontId="2" fillId="4" borderId="6" xfId="0" applyFont="1" applyFill="1" applyBorder="1" applyAlignment="1">
      <alignment horizontal="left" vertical="center"/>
    </xf>
    <xf numFmtId="0" fontId="2" fillId="4" borderId="17" xfId="0" applyFont="1" applyFill="1" applyBorder="1" applyAlignment="1">
      <alignment horizontal="center" vertical="center"/>
    </xf>
    <xf numFmtId="0" fontId="2" fillId="12" borderId="1" xfId="0" applyFont="1" applyFill="1" applyBorder="1" applyAlignment="1">
      <alignment horizontal="center" vertical="center"/>
    </xf>
    <xf numFmtId="0" fontId="2" fillId="12" borderId="2" xfId="0" applyFont="1" applyFill="1" applyBorder="1" applyAlignment="1">
      <alignment horizontal="left" vertical="center"/>
    </xf>
    <xf numFmtId="0" fontId="2" fillId="12" borderId="6" xfId="0" applyFont="1" applyFill="1" applyBorder="1" applyAlignment="1">
      <alignment horizontal="left" vertical="center"/>
    </xf>
    <xf numFmtId="0" fontId="2" fillId="12" borderId="17" xfId="0" applyFont="1" applyFill="1" applyBorder="1" applyAlignment="1">
      <alignment horizontal="center" vertical="center"/>
    </xf>
    <xf numFmtId="0" fontId="2" fillId="12" borderId="5" xfId="0" applyFont="1" applyFill="1" applyBorder="1" applyAlignment="1">
      <alignment horizontal="left" vertical="center"/>
    </xf>
    <xf numFmtId="0" fontId="2" fillId="12" borderId="27" xfId="0" applyFont="1" applyFill="1" applyBorder="1" applyAlignment="1">
      <alignment horizontal="left" vertical="center"/>
    </xf>
    <xf numFmtId="0" fontId="2" fillId="12" borderId="0" xfId="0" applyFont="1" applyFill="1" applyAlignment="1">
      <alignment horizontal="center" vertical="center"/>
    </xf>
    <xf numFmtId="0" fontId="2" fillId="10" borderId="1" xfId="0" applyFont="1" applyFill="1" applyBorder="1" applyAlignment="1">
      <alignment vertical="center"/>
    </xf>
    <xf numFmtId="0" fontId="2" fillId="10" borderId="5" xfId="0" applyFont="1" applyFill="1" applyBorder="1" applyAlignment="1">
      <alignment vertical="center"/>
    </xf>
    <xf numFmtId="0" fontId="2" fillId="10" borderId="6" xfId="0" applyFont="1" applyFill="1" applyBorder="1" applyAlignment="1">
      <alignment vertical="center"/>
    </xf>
    <xf numFmtId="0" fontId="2" fillId="10" borderId="5" xfId="0" applyFont="1" applyFill="1" applyBorder="1" applyAlignment="1">
      <alignment horizontal="left" vertical="center" wrapText="1"/>
    </xf>
    <xf numFmtId="0" fontId="2" fillId="10" borderId="27" xfId="0" applyFont="1" applyFill="1" applyBorder="1" applyAlignment="1">
      <alignment horizontal="left" vertical="center" wrapText="1"/>
    </xf>
    <xf numFmtId="14" fontId="2" fillId="9" borderId="6" xfId="0" applyNumberFormat="1" applyFont="1" applyFill="1" applyBorder="1" applyAlignment="1">
      <alignment horizontal="left" vertical="center"/>
    </xf>
    <xf numFmtId="0" fontId="2" fillId="10" borderId="4" xfId="0" applyFont="1" applyFill="1" applyBorder="1" applyAlignment="1">
      <alignment horizontal="left" vertical="center"/>
    </xf>
    <xf numFmtId="0" fontId="2" fillId="10" borderId="16" xfId="0" applyFont="1" applyFill="1" applyBorder="1" applyAlignment="1">
      <alignment horizontal="left" vertical="center"/>
    </xf>
    <xf numFmtId="0" fontId="2" fillId="10" borderId="3" xfId="0" applyFont="1" applyFill="1" applyBorder="1" applyAlignment="1">
      <alignment horizontal="left" vertical="center"/>
    </xf>
    <xf numFmtId="0" fontId="2" fillId="10" borderId="15" xfId="0" applyFont="1" applyFill="1" applyBorder="1" applyAlignment="1">
      <alignment horizontal="left" vertical="center"/>
    </xf>
    <xf numFmtId="0" fontId="6" fillId="0" borderId="1" xfId="0" applyFont="1" applyBorder="1" applyAlignment="1">
      <alignment horizontal="center" vertical="center"/>
    </xf>
    <xf numFmtId="0" fontId="6" fillId="0" borderId="1" xfId="0" applyFont="1" applyBorder="1" applyAlignment="1">
      <alignment horizontal="left" vertical="center"/>
    </xf>
    <xf numFmtId="0" fontId="6" fillId="0" borderId="5" xfId="0" applyFont="1" applyBorder="1" applyAlignment="1">
      <alignment horizontal="left" vertical="center"/>
    </xf>
    <xf numFmtId="0" fontId="6" fillId="0" borderId="6" xfId="0" applyFont="1" applyBorder="1" applyAlignment="1">
      <alignment horizontal="left" vertical="center"/>
    </xf>
    <xf numFmtId="0" fontId="6" fillId="0" borderId="17" xfId="0" applyFont="1" applyBorder="1" applyAlignment="1">
      <alignment horizontal="center" vertical="center"/>
    </xf>
    <xf numFmtId="0" fontId="6" fillId="0" borderId="27" xfId="0" applyFont="1" applyBorder="1" applyAlignment="1">
      <alignment horizontal="left" vertical="center"/>
    </xf>
    <xf numFmtId="0" fontId="7" fillId="0" borderId="0" xfId="0" applyFont="1"/>
    <xf numFmtId="0" fontId="6" fillId="0" borderId="0" xfId="0" applyFont="1" applyAlignment="1">
      <alignment horizontal="center" vertical="center"/>
    </xf>
    <xf numFmtId="0" fontId="6" fillId="0" borderId="2" xfId="0" quotePrefix="1" applyFont="1" applyBorder="1" applyAlignment="1">
      <alignment horizontal="center" vertical="center"/>
    </xf>
    <xf numFmtId="0" fontId="6" fillId="0" borderId="2" xfId="0" applyFont="1" applyBorder="1" applyAlignment="1">
      <alignment horizontal="center" vertical="center"/>
    </xf>
    <xf numFmtId="0" fontId="2" fillId="10" borderId="2" xfId="0" applyFont="1" applyFill="1" applyBorder="1" applyAlignment="1">
      <alignment horizontal="left" vertical="center"/>
    </xf>
    <xf numFmtId="0" fontId="2" fillId="4" borderId="14" xfId="0" applyFont="1" applyFill="1" applyBorder="1" applyAlignment="1">
      <alignment horizontal="left" vertical="center"/>
    </xf>
    <xf numFmtId="14" fontId="2" fillId="10" borderId="1" xfId="0" applyNumberFormat="1" applyFont="1" applyFill="1" applyBorder="1" applyAlignment="1">
      <alignment horizontal="center" vertical="center"/>
    </xf>
    <xf numFmtId="14" fontId="2" fillId="10" borderId="6" xfId="0" applyNumberFormat="1" applyFont="1" applyFill="1" applyBorder="1" applyAlignment="1">
      <alignment horizontal="left" vertical="center"/>
    </xf>
    <xf numFmtId="0" fontId="2" fillId="9" borderId="1" xfId="0" applyFont="1" applyFill="1" applyBorder="1" applyAlignment="1">
      <alignment horizontal="center" vertical="center" wrapText="1"/>
    </xf>
    <xf numFmtId="14" fontId="2" fillId="10" borderId="0" xfId="0" applyNumberFormat="1" applyFont="1" applyFill="1" applyAlignment="1">
      <alignment horizontal="left" vertical="center"/>
    </xf>
    <xf numFmtId="0" fontId="2" fillId="4" borderId="24" xfId="0" applyFont="1" applyFill="1" applyBorder="1" applyAlignment="1">
      <alignment horizontal="left" vertical="center"/>
    </xf>
    <xf numFmtId="0" fontId="0" fillId="0" borderId="6" xfId="0" applyBorder="1"/>
    <xf numFmtId="0" fontId="2" fillId="9" borderId="2" xfId="0" quotePrefix="1" applyFont="1" applyFill="1" applyBorder="1" applyAlignment="1">
      <alignment horizontal="center" vertical="center"/>
    </xf>
    <xf numFmtId="0" fontId="2" fillId="10" borderId="4" xfId="0" applyFont="1" applyFill="1" applyBorder="1" applyAlignment="1">
      <alignment horizontal="center" vertical="center"/>
    </xf>
    <xf numFmtId="0" fontId="2" fillId="6" borderId="0" xfId="0" applyFont="1" applyFill="1" applyAlignment="1">
      <alignment horizontal="left" vertical="center"/>
    </xf>
    <xf numFmtId="0" fontId="2" fillId="6" borderId="0" xfId="0" applyFont="1" applyFill="1" applyAlignment="1">
      <alignment horizontal="left" vertical="center" wrapText="1"/>
    </xf>
    <xf numFmtId="0" fontId="2" fillId="6" borderId="2" xfId="0" applyFont="1" applyFill="1" applyBorder="1" applyAlignment="1">
      <alignment vertical="center"/>
    </xf>
    <xf numFmtId="0" fontId="2" fillId="6" borderId="2" xfId="0" quotePrefix="1" applyFont="1" applyFill="1" applyBorder="1" applyAlignment="1">
      <alignment vertical="center"/>
    </xf>
    <xf numFmtId="0" fontId="2" fillId="10" borderId="2" xfId="0" quotePrefix="1" applyFont="1" applyFill="1" applyBorder="1" applyAlignment="1">
      <alignment vertical="center"/>
    </xf>
    <xf numFmtId="0" fontId="2" fillId="10" borderId="27" xfId="0" applyFont="1" applyFill="1" applyBorder="1" applyAlignment="1">
      <alignment horizontal="center" vertical="center"/>
    </xf>
    <xf numFmtId="0" fontId="6" fillId="0" borderId="6" xfId="0" applyFont="1" applyBorder="1" applyAlignment="1">
      <alignment horizontal="left" vertical="center" wrapText="1"/>
    </xf>
    <xf numFmtId="14" fontId="2" fillId="13" borderId="1" xfId="0" applyNumberFormat="1" applyFont="1" applyFill="1" applyBorder="1" applyAlignment="1">
      <alignment horizontal="center" vertical="center"/>
    </xf>
    <xf numFmtId="0" fontId="0" fillId="13" borderId="0" xfId="0" applyFill="1"/>
    <xf numFmtId="0" fontId="2" fillId="13" borderId="0" xfId="0" applyFont="1" applyFill="1" applyAlignment="1">
      <alignment horizontal="center" vertical="center"/>
    </xf>
    <xf numFmtId="14" fontId="2" fillId="4" borderId="17" xfId="0" applyNumberFormat="1" applyFont="1" applyFill="1" applyBorder="1" applyAlignment="1">
      <alignment horizontal="center" vertical="center"/>
    </xf>
    <xf numFmtId="14" fontId="0" fillId="0" borderId="6" xfId="0" applyNumberFormat="1" applyBorder="1"/>
    <xf numFmtId="14" fontId="0" fillId="9" borderId="6" xfId="0" applyNumberFormat="1" applyFill="1" applyBorder="1"/>
    <xf numFmtId="0" fontId="2" fillId="4" borderId="5" xfId="0" applyFont="1" applyFill="1" applyBorder="1" applyAlignment="1">
      <alignment horizontal="left" vertical="center"/>
    </xf>
    <xf numFmtId="0" fontId="2" fillId="0" borderId="14" xfId="0" applyFont="1" applyBorder="1" applyAlignment="1">
      <alignment horizontal="left" vertical="center" wrapText="1"/>
    </xf>
    <xf numFmtId="0" fontId="2" fillId="0" borderId="6" xfId="0" applyFont="1" applyBorder="1" applyAlignment="1">
      <alignment vertical="center"/>
    </xf>
    <xf numFmtId="0" fontId="2" fillId="0" borderId="17" xfId="0" applyFont="1" applyBorder="1" applyAlignment="1">
      <alignment horizontal="left" vertical="center"/>
    </xf>
    <xf numFmtId="0" fontId="2" fillId="0" borderId="0" xfId="0" quotePrefix="1" applyFont="1" applyAlignment="1">
      <alignment vertical="center"/>
    </xf>
    <xf numFmtId="0" fontId="2" fillId="0" borderId="29" xfId="0" quotePrefix="1" applyFont="1" applyBorder="1" applyAlignment="1">
      <alignment vertical="center"/>
    </xf>
    <xf numFmtId="0" fontId="2" fillId="9" borderId="2" xfId="0" applyFont="1" applyFill="1" applyBorder="1" applyAlignment="1">
      <alignment vertical="center"/>
    </xf>
    <xf numFmtId="14" fontId="2" fillId="9" borderId="1" xfId="0" applyNumberFormat="1" applyFont="1" applyFill="1" applyBorder="1" applyAlignment="1">
      <alignment horizontal="center" vertical="center"/>
    </xf>
    <xf numFmtId="0" fontId="2" fillId="14" borderId="1" xfId="0" applyFont="1" applyFill="1" applyBorder="1" applyAlignment="1">
      <alignment horizontal="center" vertical="center"/>
    </xf>
    <xf numFmtId="0" fontId="2" fillId="14" borderId="3" xfId="0" applyFont="1" applyFill="1" applyBorder="1" applyAlignment="1">
      <alignment horizontal="left" vertical="center"/>
    </xf>
    <xf numFmtId="0" fontId="2" fillId="14" borderId="1" xfId="0" applyFont="1" applyFill="1" applyBorder="1" applyAlignment="1">
      <alignment horizontal="left" vertical="center"/>
    </xf>
    <xf numFmtId="14" fontId="2" fillId="14" borderId="1" xfId="0" applyNumberFormat="1" applyFont="1" applyFill="1" applyBorder="1" applyAlignment="1">
      <alignment horizontal="center" vertical="center"/>
    </xf>
    <xf numFmtId="0" fontId="2" fillId="14" borderId="0" xfId="0" applyFont="1" applyFill="1" applyAlignment="1">
      <alignment horizontal="center" vertical="center"/>
    </xf>
    <xf numFmtId="0" fontId="2" fillId="14" borderId="2" xfId="0" applyFont="1" applyFill="1" applyBorder="1" applyAlignment="1">
      <alignment horizontal="left" vertical="center"/>
    </xf>
    <xf numFmtId="0" fontId="2" fillId="3" borderId="4" xfId="0" applyFont="1" applyFill="1" applyBorder="1" applyAlignment="1">
      <alignment horizontal="center" vertical="center" wrapText="1"/>
    </xf>
    <xf numFmtId="0" fontId="2" fillId="0" borderId="16" xfId="0" applyFont="1" applyBorder="1" applyAlignment="1">
      <alignment horizontal="center" vertical="center"/>
    </xf>
    <xf numFmtId="0" fontId="2" fillId="3" borderId="4" xfId="0" quotePrefix="1" applyFont="1" applyFill="1" applyBorder="1" applyAlignment="1">
      <alignment horizontal="center" vertical="center" wrapText="1"/>
    </xf>
    <xf numFmtId="0" fontId="0" fillId="10" borderId="6" xfId="0" applyFill="1" applyBorder="1"/>
    <xf numFmtId="0" fontId="0" fillId="4" borderId="6" xfId="0" applyFill="1" applyBorder="1"/>
    <xf numFmtId="0" fontId="2" fillId="13" borderId="6" xfId="0" applyFont="1" applyFill="1" applyBorder="1" applyAlignment="1">
      <alignment horizontal="left" vertical="center"/>
    </xf>
    <xf numFmtId="14" fontId="2" fillId="9" borderId="27" xfId="0" applyNumberFormat="1" applyFont="1" applyFill="1" applyBorder="1" applyAlignment="1">
      <alignment horizontal="left" vertical="center"/>
    </xf>
    <xf numFmtId="14" fontId="2" fillId="10" borderId="27" xfId="0" applyNumberFormat="1" applyFont="1" applyFill="1" applyBorder="1" applyAlignment="1">
      <alignment horizontal="left" vertical="center"/>
    </xf>
    <xf numFmtId="14" fontId="2" fillId="4" borderId="27" xfId="0" applyNumberFormat="1" applyFont="1" applyFill="1" applyBorder="1" applyAlignment="1">
      <alignment horizontal="left" vertical="center"/>
    </xf>
    <xf numFmtId="14" fontId="2" fillId="10" borderId="27" xfId="0" applyNumberFormat="1" applyFont="1" applyFill="1" applyBorder="1" applyAlignment="1">
      <alignment horizontal="left" vertical="center" wrapText="1"/>
    </xf>
    <xf numFmtId="0" fontId="2" fillId="9" borderId="30" xfId="0" applyFont="1" applyFill="1" applyBorder="1" applyAlignment="1">
      <alignment horizontal="left" vertical="center"/>
    </xf>
    <xf numFmtId="0" fontId="2" fillId="9" borderId="16" xfId="0" applyFont="1" applyFill="1" applyBorder="1" applyAlignment="1">
      <alignment horizontal="left" vertical="center" wrapText="1"/>
    </xf>
    <xf numFmtId="14" fontId="2" fillId="9" borderId="31" xfId="0" applyNumberFormat="1" applyFont="1" applyFill="1" applyBorder="1" applyAlignment="1">
      <alignment horizontal="left" vertical="center" wrapText="1"/>
    </xf>
    <xf numFmtId="14" fontId="2" fillId="9" borderId="30" xfId="0" applyNumberFormat="1" applyFont="1" applyFill="1" applyBorder="1" applyAlignment="1">
      <alignment horizontal="left" vertical="center" wrapText="1"/>
    </xf>
    <xf numFmtId="0" fontId="1" fillId="2" borderId="32" xfId="0" applyFont="1" applyFill="1" applyBorder="1" applyAlignment="1">
      <alignment horizontal="center" vertical="center" wrapText="1"/>
    </xf>
    <xf numFmtId="0" fontId="1" fillId="2" borderId="33" xfId="0" applyFont="1" applyFill="1" applyBorder="1" applyAlignment="1">
      <alignment horizontal="center" vertical="center" wrapText="1"/>
    </xf>
    <xf numFmtId="0" fontId="1" fillId="2" borderId="34" xfId="0" applyFont="1" applyFill="1" applyBorder="1" applyAlignment="1">
      <alignment horizontal="center" vertical="center" wrapText="1"/>
    </xf>
    <xf numFmtId="0" fontId="1" fillId="2" borderId="35" xfId="0" applyFont="1" applyFill="1" applyBorder="1" applyAlignment="1">
      <alignment horizontal="center" vertical="center" wrapText="1"/>
    </xf>
    <xf numFmtId="0" fontId="0" fillId="0" borderId="30" xfId="0" applyBorder="1"/>
    <xf numFmtId="14" fontId="0" fillId="0" borderId="4" xfId="0" applyNumberFormat="1" applyBorder="1"/>
    <xf numFmtId="14" fontId="0" fillId="0" borderId="30" xfId="0" applyNumberFormat="1" applyBorder="1"/>
    <xf numFmtId="14" fontId="0" fillId="0" borderId="16" xfId="0" applyNumberFormat="1" applyBorder="1"/>
    <xf numFmtId="0" fontId="9" fillId="2" borderId="35" xfId="0" applyFont="1" applyFill="1" applyBorder="1" applyAlignment="1">
      <alignment horizontal="center" vertical="center" wrapText="1"/>
    </xf>
    <xf numFmtId="0" fontId="9" fillId="2" borderId="35" xfId="0" applyFont="1" applyFill="1" applyBorder="1" applyAlignment="1">
      <alignment horizontal="center" vertical="center"/>
    </xf>
    <xf numFmtId="0" fontId="1" fillId="2" borderId="36" xfId="0" applyFont="1" applyFill="1" applyBorder="1" applyAlignment="1">
      <alignment horizontal="center" vertical="center" wrapText="1"/>
    </xf>
    <xf numFmtId="0" fontId="0" fillId="9" borderId="35" xfId="0" applyFill="1" applyBorder="1" applyAlignment="1">
      <alignment horizontal="center" vertical="center"/>
    </xf>
    <xf numFmtId="0" fontId="0" fillId="10" borderId="35" xfId="0" applyFill="1" applyBorder="1" applyAlignment="1">
      <alignment horizontal="center" vertical="center"/>
    </xf>
    <xf numFmtId="0" fontId="0" fillId="4" borderId="37" xfId="0" applyFill="1" applyBorder="1" applyAlignment="1">
      <alignment horizontal="center" vertical="center"/>
    </xf>
    <xf numFmtId="0" fontId="0" fillId="0" borderId="0" xfId="0" applyAlignment="1">
      <alignment horizontal="center" vertical="center"/>
    </xf>
    <xf numFmtId="0" fontId="2" fillId="9" borderId="2" xfId="0" applyFont="1" applyFill="1" applyBorder="1" applyAlignment="1">
      <alignment horizontal="center" vertical="center"/>
    </xf>
    <xf numFmtId="0" fontId="2" fillId="9" borderId="3" xfId="0" applyFont="1" applyFill="1" applyBorder="1" applyAlignment="1">
      <alignment horizontal="center" vertical="center"/>
    </xf>
    <xf numFmtId="14" fontId="2" fillId="3" borderId="6" xfId="0" applyNumberFormat="1" applyFont="1" applyFill="1" applyBorder="1" applyAlignment="1">
      <alignment horizontal="left" vertical="center" wrapText="1"/>
    </xf>
    <xf numFmtId="0" fontId="2" fillId="7" borderId="6" xfId="0" applyFont="1" applyFill="1" applyBorder="1" applyAlignment="1">
      <alignment horizontal="left" vertical="center" wrapText="1"/>
    </xf>
    <xf numFmtId="14" fontId="2" fillId="7" borderId="6" xfId="0" applyNumberFormat="1" applyFont="1" applyFill="1" applyBorder="1" applyAlignment="1">
      <alignment horizontal="left" vertical="center"/>
    </xf>
    <xf numFmtId="14" fontId="2" fillId="9" borderId="6" xfId="0" applyNumberFormat="1" applyFont="1" applyFill="1" applyBorder="1" applyAlignment="1">
      <alignment horizontal="left" vertical="center" wrapText="1"/>
    </xf>
    <xf numFmtId="0" fontId="2" fillId="3" borderId="16" xfId="0" applyFont="1" applyFill="1" applyBorder="1" applyAlignment="1">
      <alignment horizontal="left" vertical="center" wrapText="1"/>
    </xf>
    <xf numFmtId="0" fontId="2" fillId="7" borderId="5" xfId="0" applyFont="1" applyFill="1" applyBorder="1" applyAlignment="1">
      <alignment horizontal="left" vertical="center" wrapText="1"/>
    </xf>
    <xf numFmtId="0" fontId="2" fillId="7" borderId="5" xfId="0" applyFont="1" applyFill="1" applyBorder="1" applyAlignment="1">
      <alignment horizontal="left" vertical="center"/>
    </xf>
    <xf numFmtId="0" fontId="9" fillId="2" borderId="39" xfId="0" applyFont="1" applyFill="1" applyBorder="1" applyAlignment="1">
      <alignment horizontal="center" vertical="center" wrapText="1"/>
    </xf>
    <xf numFmtId="0" fontId="2" fillId="3" borderId="18" xfId="0" applyFont="1" applyFill="1" applyBorder="1" applyAlignment="1">
      <alignment horizontal="left" vertical="center"/>
    </xf>
    <xf numFmtId="0" fontId="2" fillId="3" borderId="19" xfId="0" applyFont="1" applyFill="1" applyBorder="1" applyAlignment="1">
      <alignment horizontal="left" vertical="center"/>
    </xf>
    <xf numFmtId="0" fontId="2" fillId="3" borderId="22" xfId="0" applyFont="1" applyFill="1" applyBorder="1" applyAlignment="1">
      <alignment horizontal="left" vertical="center"/>
    </xf>
    <xf numFmtId="0" fontId="2" fillId="4" borderId="2" xfId="0" quotePrefix="1" applyFont="1" applyFill="1" applyBorder="1" applyAlignment="1">
      <alignment horizontal="center" vertical="center"/>
    </xf>
    <xf numFmtId="0" fontId="9" fillId="15" borderId="36" xfId="0" applyFont="1" applyFill="1" applyBorder="1" applyAlignment="1">
      <alignment horizontal="center" vertical="center"/>
    </xf>
    <xf numFmtId="0" fontId="0" fillId="0" borderId="44" xfId="0" applyBorder="1"/>
    <xf numFmtId="0" fontId="0" fillId="0" borderId="45" xfId="0" applyBorder="1"/>
    <xf numFmtId="0" fontId="0" fillId="16" borderId="41" xfId="0" applyFill="1" applyBorder="1"/>
    <xf numFmtId="0" fontId="0" fillId="16" borderId="42" xfId="0" applyFill="1" applyBorder="1"/>
    <xf numFmtId="0" fontId="0" fillId="16" borderId="43" xfId="0" applyFill="1" applyBorder="1"/>
    <xf numFmtId="0" fontId="0" fillId="16" borderId="0" xfId="0" applyFill="1"/>
    <xf numFmtId="0" fontId="7" fillId="16" borderId="0" xfId="0" applyFont="1" applyFill="1"/>
    <xf numFmtId="0" fontId="9" fillId="16" borderId="46" xfId="0" applyFont="1" applyFill="1" applyBorder="1" applyAlignment="1">
      <alignment horizontal="center" vertical="center"/>
    </xf>
    <xf numFmtId="0" fontId="2" fillId="16" borderId="7" xfId="0" applyFont="1" applyFill="1" applyBorder="1" applyAlignment="1">
      <alignment horizontal="center" vertical="center"/>
    </xf>
    <xf numFmtId="0" fontId="2" fillId="11" borderId="1" xfId="0" quotePrefix="1" applyFont="1" applyFill="1" applyBorder="1" applyAlignment="1">
      <alignment horizontal="center" vertical="center"/>
    </xf>
    <xf numFmtId="0" fontId="2" fillId="11" borderId="5" xfId="0" applyFont="1" applyFill="1" applyBorder="1" applyAlignment="1">
      <alignment horizontal="left" vertical="center" wrapText="1"/>
    </xf>
    <xf numFmtId="14" fontId="2" fillId="11" borderId="6" xfId="0" applyNumberFormat="1" applyFont="1" applyFill="1" applyBorder="1" applyAlignment="1">
      <alignment horizontal="left" vertical="center" wrapText="1"/>
    </xf>
    <xf numFmtId="0" fontId="2" fillId="7" borderId="2" xfId="0" quotePrefix="1" applyFont="1" applyFill="1" applyBorder="1" applyAlignment="1">
      <alignment vertical="center"/>
    </xf>
    <xf numFmtId="0" fontId="2" fillId="4" borderId="1" xfId="0" quotePrefix="1" applyFont="1" applyFill="1" applyBorder="1" applyAlignment="1">
      <alignment vertical="center"/>
    </xf>
    <xf numFmtId="0" fontId="2" fillId="4" borderId="1" xfId="0" applyFont="1" applyFill="1" applyBorder="1" applyAlignment="1">
      <alignment vertical="center"/>
    </xf>
    <xf numFmtId="0" fontId="2" fillId="4" borderId="14" xfId="0" applyFont="1" applyFill="1" applyBorder="1" applyAlignment="1">
      <alignment horizontal="left" vertical="center" wrapText="1"/>
    </xf>
    <xf numFmtId="14" fontId="2" fillId="4" borderId="6" xfId="0" applyNumberFormat="1" applyFont="1" applyFill="1" applyBorder="1" applyAlignment="1">
      <alignment horizontal="left" vertical="center" wrapText="1"/>
    </xf>
    <xf numFmtId="14" fontId="2" fillId="4" borderId="6" xfId="0" applyNumberFormat="1" applyFont="1" applyFill="1" applyBorder="1" applyAlignment="1">
      <alignment horizontal="center" vertical="center" wrapText="1"/>
    </xf>
    <xf numFmtId="0" fontId="2" fillId="4" borderId="27" xfId="0" applyFont="1" applyFill="1" applyBorder="1" applyAlignment="1">
      <alignment horizontal="center" vertical="center" wrapText="1"/>
    </xf>
    <xf numFmtId="0" fontId="2" fillId="4" borderId="16" xfId="0" applyFont="1" applyFill="1" applyBorder="1" applyAlignment="1">
      <alignment horizontal="left" vertical="center" wrapText="1"/>
    </xf>
    <xf numFmtId="0" fontId="2" fillId="10" borderId="2" xfId="0" applyFont="1" applyFill="1" applyBorder="1" applyAlignment="1">
      <alignment vertical="center"/>
    </xf>
    <xf numFmtId="0" fontId="2" fillId="10" borderId="3" xfId="0" quotePrefix="1" applyFont="1" applyFill="1" applyBorder="1" applyAlignment="1">
      <alignment horizontal="center" vertical="center"/>
    </xf>
    <xf numFmtId="0" fontId="2" fillId="10" borderId="3" xfId="0" applyFont="1" applyFill="1" applyBorder="1" applyAlignment="1">
      <alignment horizontal="center" vertical="center"/>
    </xf>
    <xf numFmtId="0" fontId="2" fillId="4" borderId="5" xfId="0" applyFont="1" applyFill="1" applyBorder="1" applyAlignment="1">
      <alignment horizontal="center" vertical="center"/>
    </xf>
    <xf numFmtId="0" fontId="2" fillId="4" borderId="1" xfId="0" applyFont="1" applyFill="1" applyBorder="1" applyAlignment="1">
      <alignment horizontal="center" vertical="center" wrapText="1"/>
    </xf>
    <xf numFmtId="0" fontId="5" fillId="4" borderId="0" xfId="0" applyFont="1" applyFill="1" applyAlignment="1">
      <alignment horizontal="left" vertical="center"/>
    </xf>
    <xf numFmtId="14" fontId="2" fillId="10" borderId="6" xfId="0" applyNumberFormat="1" applyFont="1" applyFill="1" applyBorder="1" applyAlignment="1">
      <alignment horizontal="left" vertical="center" wrapText="1"/>
    </xf>
    <xf numFmtId="0" fontId="6" fillId="0" borderId="3" xfId="0" applyFont="1" applyBorder="1" applyAlignment="1">
      <alignment horizontal="left" vertical="center"/>
    </xf>
    <xf numFmtId="0" fontId="6" fillId="0" borderId="4" xfId="0" applyFont="1" applyBorder="1" applyAlignment="1">
      <alignment horizontal="left" vertical="center"/>
    </xf>
    <xf numFmtId="0" fontId="2" fillId="14" borderId="2" xfId="0" quotePrefix="1" applyFont="1" applyFill="1" applyBorder="1" applyAlignment="1">
      <alignment vertical="center"/>
    </xf>
    <xf numFmtId="0" fontId="2" fillId="14" borderId="2" xfId="0" applyFont="1" applyFill="1" applyBorder="1" applyAlignment="1">
      <alignment vertical="center"/>
    </xf>
    <xf numFmtId="0" fontId="2" fillId="11" borderId="2" xfId="0" applyFont="1" applyFill="1" applyBorder="1" applyAlignment="1">
      <alignment horizontal="left" vertical="center" wrapText="1"/>
    </xf>
    <xf numFmtId="14" fontId="2" fillId="11" borderId="2" xfId="0" applyNumberFormat="1" applyFont="1" applyFill="1" applyBorder="1" applyAlignment="1">
      <alignment horizontal="center" vertical="center"/>
    </xf>
    <xf numFmtId="0" fontId="2" fillId="10" borderId="27" xfId="0" quotePrefix="1" applyFont="1" applyFill="1" applyBorder="1" applyAlignment="1">
      <alignment horizontal="center" vertical="center"/>
    </xf>
    <xf numFmtId="0" fontId="2" fillId="3" borderId="14" xfId="0" applyFont="1" applyFill="1" applyBorder="1" applyAlignment="1">
      <alignment vertical="center"/>
    </xf>
    <xf numFmtId="0" fontId="2" fillId="9" borderId="3" xfId="0" applyFont="1" applyFill="1" applyBorder="1" applyAlignment="1">
      <alignment horizontal="left" vertical="center"/>
    </xf>
    <xf numFmtId="0" fontId="2" fillId="0" borderId="19" xfId="0" applyFont="1" applyBorder="1" applyAlignment="1">
      <alignment horizontal="left" vertical="center"/>
    </xf>
    <xf numFmtId="0" fontId="2" fillId="17" borderId="1" xfId="0" applyFont="1" applyFill="1" applyBorder="1" applyAlignment="1">
      <alignment horizontal="center" vertical="center"/>
    </xf>
    <xf numFmtId="0" fontId="2" fillId="17" borderId="2" xfId="0" quotePrefix="1" applyFont="1" applyFill="1" applyBorder="1" applyAlignment="1">
      <alignment horizontal="center" vertical="center"/>
    </xf>
    <xf numFmtId="0" fontId="2" fillId="17" borderId="1" xfId="0" quotePrefix="1" applyFont="1" applyFill="1" applyBorder="1" applyAlignment="1">
      <alignment horizontal="center" vertical="center"/>
    </xf>
    <xf numFmtId="0" fontId="2" fillId="17" borderId="2" xfId="0" applyFont="1" applyFill="1" applyBorder="1" applyAlignment="1">
      <alignment vertical="center"/>
    </xf>
    <xf numFmtId="0" fontId="2" fillId="17" borderId="1" xfId="0" applyFont="1" applyFill="1" applyBorder="1" applyAlignment="1">
      <alignment horizontal="left" vertical="center"/>
    </xf>
    <xf numFmtId="0" fontId="2" fillId="17" borderId="5" xfId="0" applyFont="1" applyFill="1" applyBorder="1" applyAlignment="1">
      <alignment horizontal="left" vertical="center"/>
    </xf>
    <xf numFmtId="14" fontId="2" fillId="17" borderId="6" xfId="0" applyNumberFormat="1" applyFont="1" applyFill="1" applyBorder="1" applyAlignment="1">
      <alignment horizontal="left" vertical="center"/>
    </xf>
    <xf numFmtId="0" fontId="0" fillId="17" borderId="0" xfId="0" applyFill="1"/>
    <xf numFmtId="0" fontId="2" fillId="9" borderId="15" xfId="0" applyFont="1" applyFill="1" applyBorder="1" applyAlignment="1">
      <alignment horizontal="left" vertical="center"/>
    </xf>
    <xf numFmtId="14" fontId="2" fillId="9" borderId="27" xfId="0" applyNumberFormat="1" applyFont="1" applyFill="1" applyBorder="1" applyAlignment="1">
      <alignment horizontal="left" vertical="center" wrapText="1"/>
    </xf>
    <xf numFmtId="0" fontId="2" fillId="4" borderId="14" xfId="0" applyFont="1" applyFill="1" applyBorder="1" applyAlignment="1">
      <alignment vertical="center"/>
    </xf>
    <xf numFmtId="0" fontId="2" fillId="4" borderId="18" xfId="0" applyFont="1" applyFill="1" applyBorder="1" applyAlignment="1">
      <alignment horizontal="left" vertical="center"/>
    </xf>
    <xf numFmtId="0" fontId="2" fillId="0" borderId="9" xfId="0" applyFont="1" applyBorder="1" applyAlignment="1">
      <alignment vertical="center" wrapText="1"/>
    </xf>
    <xf numFmtId="0" fontId="2" fillId="0" borderId="9" xfId="0" quotePrefix="1" applyFont="1" applyBorder="1" applyAlignment="1">
      <alignment vertical="center"/>
    </xf>
    <xf numFmtId="0" fontId="2" fillId="13" borderId="5" xfId="0" applyFont="1" applyFill="1" applyBorder="1" applyAlignment="1">
      <alignment horizontal="center" vertical="center"/>
    </xf>
    <xf numFmtId="0" fontId="2" fillId="13" borderId="27" xfId="0" quotePrefix="1" applyFont="1" applyFill="1" applyBorder="1" applyAlignment="1">
      <alignment horizontal="center" vertical="center"/>
    </xf>
    <xf numFmtId="0" fontId="2" fillId="13" borderId="18" xfId="0" applyFont="1" applyFill="1" applyBorder="1" applyAlignment="1">
      <alignment horizontal="left" vertical="center"/>
    </xf>
    <xf numFmtId="0" fontId="2" fillId="13" borderId="2" xfId="0" applyFont="1" applyFill="1" applyBorder="1" applyAlignment="1">
      <alignment horizontal="left" vertical="center"/>
    </xf>
    <xf numFmtId="0" fontId="2" fillId="13" borderId="1" xfId="0" applyFont="1" applyFill="1" applyBorder="1" applyAlignment="1">
      <alignment horizontal="center" vertical="center"/>
    </xf>
    <xf numFmtId="0" fontId="2" fillId="13" borderId="1" xfId="0" applyFont="1" applyFill="1" applyBorder="1" applyAlignment="1">
      <alignment horizontal="left" vertical="center"/>
    </xf>
    <xf numFmtId="0" fontId="2" fillId="4" borderId="4" xfId="0" quotePrefix="1" applyFont="1" applyFill="1" applyBorder="1" applyAlignment="1">
      <alignment horizontal="center" vertical="center"/>
    </xf>
    <xf numFmtId="0" fontId="2" fillId="3" borderId="9" xfId="0" quotePrefix="1" applyFont="1" applyFill="1" applyBorder="1" applyAlignment="1">
      <alignment horizontal="center" vertical="center"/>
    </xf>
    <xf numFmtId="0" fontId="2" fillId="3" borderId="9" xfId="0" applyFont="1" applyFill="1" applyBorder="1" applyAlignment="1">
      <alignment horizontal="left" vertical="center"/>
    </xf>
    <xf numFmtId="0" fontId="2" fillId="0" borderId="10" xfId="0" quotePrefix="1" applyFont="1" applyBorder="1" applyAlignment="1">
      <alignment horizontal="center" vertical="center"/>
    </xf>
    <xf numFmtId="0" fontId="2" fillId="0" borderId="2" xfId="0" quotePrefix="1" applyFont="1" applyBorder="1" applyAlignment="1">
      <alignment horizontal="center" vertical="center" wrapText="1"/>
    </xf>
    <xf numFmtId="0" fontId="0" fillId="0" borderId="0" xfId="0" applyAlignment="1">
      <alignment horizontal="left" vertical="center"/>
    </xf>
    <xf numFmtId="0" fontId="2" fillId="0" borderId="24" xfId="0" quotePrefix="1" applyFont="1" applyBorder="1" applyAlignment="1">
      <alignment horizontal="center" vertical="center"/>
    </xf>
    <xf numFmtId="0" fontId="2" fillId="7" borderId="6" xfId="0" applyFont="1" applyFill="1" applyBorder="1" applyAlignment="1">
      <alignment horizontal="center" vertical="center"/>
    </xf>
    <xf numFmtId="0" fontId="2" fillId="7" borderId="6" xfId="0" applyFont="1" applyFill="1" applyBorder="1" applyAlignment="1">
      <alignment horizontal="left" vertical="center"/>
    </xf>
    <xf numFmtId="14" fontId="2" fillId="7" borderId="6" xfId="0" applyNumberFormat="1" applyFont="1" applyFill="1" applyBorder="1" applyAlignment="1">
      <alignment horizontal="center" vertical="center"/>
    </xf>
    <xf numFmtId="0" fontId="0" fillId="7" borderId="6" xfId="0" applyFill="1" applyBorder="1"/>
    <xf numFmtId="0" fontId="10" fillId="8" borderId="44" xfId="0" applyFont="1" applyFill="1" applyBorder="1" applyAlignment="1">
      <alignment horizontal="center" vertical="center" textRotation="180"/>
    </xf>
    <xf numFmtId="0" fontId="10" fillId="8" borderId="0" xfId="0" applyFont="1" applyFill="1" applyAlignment="1">
      <alignment horizontal="center" vertical="center" textRotation="180"/>
    </xf>
    <xf numFmtId="0" fontId="10" fillId="8" borderId="45" xfId="0" applyFont="1" applyFill="1" applyBorder="1" applyAlignment="1">
      <alignment horizontal="center" vertical="center" textRotation="180"/>
    </xf>
    <xf numFmtId="0" fontId="0" fillId="14" borderId="0" xfId="0" applyFill="1"/>
    <xf numFmtId="14" fontId="6" fillId="3" borderId="1" xfId="0" applyNumberFormat="1" applyFont="1" applyFill="1" applyBorder="1" applyAlignment="1">
      <alignment horizontal="center" vertical="center"/>
    </xf>
    <xf numFmtId="0" fontId="2" fillId="0" borderId="24" xfId="0" applyFont="1" applyBorder="1" applyAlignment="1">
      <alignment vertical="center"/>
    </xf>
    <xf numFmtId="0" fontId="2" fillId="24" borderId="6" xfId="0" applyFont="1" applyFill="1" applyBorder="1" applyAlignment="1">
      <alignment horizontal="left" vertical="center"/>
    </xf>
    <xf numFmtId="0" fontId="2" fillId="24" borderId="22" xfId="0" applyFont="1" applyFill="1" applyBorder="1" applyAlignment="1">
      <alignment horizontal="left" vertical="center"/>
    </xf>
    <xf numFmtId="0" fontId="2" fillId="24" borderId="19" xfId="0" applyFont="1" applyFill="1" applyBorder="1" applyAlignment="1">
      <alignment horizontal="left" vertical="center"/>
    </xf>
    <xf numFmtId="0" fontId="2" fillId="9" borderId="14" xfId="0" applyFont="1" applyFill="1" applyBorder="1" applyAlignment="1">
      <alignment vertical="center"/>
    </xf>
    <xf numFmtId="14" fontId="2" fillId="9" borderId="0" xfId="0" applyNumberFormat="1" applyFont="1" applyFill="1" applyAlignment="1">
      <alignment horizontal="left" vertical="center"/>
    </xf>
    <xf numFmtId="0" fontId="2" fillId="3" borderId="2" xfId="0" quotePrefix="1" applyFont="1" applyFill="1" applyBorder="1" applyAlignment="1">
      <alignment horizontal="left" vertical="center"/>
    </xf>
    <xf numFmtId="0" fontId="6" fillId="4" borderId="1" xfId="0" applyFont="1" applyFill="1" applyBorder="1" applyAlignment="1">
      <alignment horizontal="center" vertical="center"/>
    </xf>
    <xf numFmtId="0" fontId="6" fillId="4" borderId="2" xfId="0" quotePrefix="1" applyFont="1" applyFill="1" applyBorder="1" applyAlignment="1">
      <alignment vertical="center"/>
    </xf>
    <xf numFmtId="0" fontId="6" fillId="4" borderId="2" xfId="0" applyFont="1" applyFill="1" applyBorder="1" applyAlignment="1">
      <alignment vertical="center"/>
    </xf>
    <xf numFmtId="0" fontId="6" fillId="13" borderId="0" xfId="0" applyFont="1" applyFill="1" applyAlignment="1">
      <alignment horizontal="center" vertical="center"/>
    </xf>
    <xf numFmtId="0" fontId="6" fillId="4" borderId="2" xfId="0" applyFont="1" applyFill="1" applyBorder="1" applyAlignment="1">
      <alignment horizontal="left" vertical="center"/>
    </xf>
    <xf numFmtId="0" fontId="6" fillId="4" borderId="1" xfId="0" applyFont="1" applyFill="1" applyBorder="1" applyAlignment="1">
      <alignment horizontal="left" vertical="center"/>
    </xf>
    <xf numFmtId="0" fontId="6" fillId="3" borderId="1" xfId="0" applyFont="1" applyFill="1" applyBorder="1" applyAlignment="1">
      <alignment horizontal="center" vertical="center"/>
    </xf>
    <xf numFmtId="0" fontId="6" fillId="3" borderId="2" xfId="0" quotePrefix="1" applyFont="1" applyFill="1" applyBorder="1" applyAlignment="1">
      <alignment vertical="center"/>
    </xf>
    <xf numFmtId="0" fontId="6" fillId="3" borderId="2" xfId="0" applyFont="1" applyFill="1" applyBorder="1" applyAlignment="1">
      <alignment vertical="center"/>
    </xf>
    <xf numFmtId="0" fontId="6" fillId="13" borderId="0" xfId="0" applyFont="1" applyFill="1" applyAlignment="1">
      <alignment horizontal="left" vertical="center"/>
    </xf>
    <xf numFmtId="0" fontId="6" fillId="0" borderId="19" xfId="0" applyFont="1" applyBorder="1" applyAlignment="1">
      <alignment horizontal="left" vertical="center"/>
    </xf>
    <xf numFmtId="0" fontId="6" fillId="0" borderId="1" xfId="0" applyFont="1" applyBorder="1" applyAlignment="1">
      <alignment horizontal="left" vertical="center" wrapText="1"/>
    </xf>
    <xf numFmtId="0" fontId="6" fillId="3" borderId="2" xfId="0" quotePrefix="1" applyFont="1" applyFill="1" applyBorder="1" applyAlignment="1">
      <alignment horizontal="left" vertical="center"/>
    </xf>
    <xf numFmtId="0" fontId="6" fillId="3" borderId="14" xfId="0" applyFont="1" applyFill="1" applyBorder="1" applyAlignment="1">
      <alignment vertical="center"/>
    </xf>
    <xf numFmtId="0" fontId="6" fillId="24" borderId="6" xfId="0" applyFont="1" applyFill="1" applyBorder="1" applyAlignment="1">
      <alignment horizontal="left" vertical="center"/>
    </xf>
    <xf numFmtId="0" fontId="6" fillId="3" borderId="18" xfId="0" applyFont="1" applyFill="1" applyBorder="1" applyAlignment="1">
      <alignment horizontal="left" vertical="center"/>
    </xf>
    <xf numFmtId="0" fontId="6" fillId="3" borderId="1" xfId="0" applyFont="1" applyFill="1" applyBorder="1" applyAlignment="1">
      <alignment horizontal="left" vertical="center" wrapText="1"/>
    </xf>
    <xf numFmtId="0" fontId="6" fillId="3" borderId="0" xfId="0" applyFont="1" applyFill="1" applyAlignment="1">
      <alignment horizontal="center" vertical="center"/>
    </xf>
    <xf numFmtId="0" fontId="6" fillId="24" borderId="19" xfId="0" applyFont="1" applyFill="1" applyBorder="1" applyAlignment="1">
      <alignment horizontal="left" vertical="center"/>
    </xf>
    <xf numFmtId="0" fontId="6" fillId="3" borderId="1" xfId="0" applyFont="1" applyFill="1" applyBorder="1" applyAlignment="1">
      <alignment horizontal="left" vertical="center"/>
    </xf>
    <xf numFmtId="0" fontId="6" fillId="24" borderId="22" xfId="0" applyFont="1" applyFill="1" applyBorder="1" applyAlignment="1">
      <alignment horizontal="left" vertical="center"/>
    </xf>
    <xf numFmtId="0" fontId="6" fillId="0" borderId="3" xfId="0" quotePrefix="1" applyFont="1" applyBorder="1" applyAlignment="1">
      <alignment vertical="center"/>
    </xf>
    <xf numFmtId="0" fontId="6" fillId="0" borderId="1" xfId="0" applyFont="1" applyBorder="1" applyAlignment="1">
      <alignment vertical="center"/>
    </xf>
    <xf numFmtId="0" fontId="7" fillId="0" borderId="6" xfId="0" applyFont="1" applyBorder="1"/>
    <xf numFmtId="0" fontId="6" fillId="0" borderId="4" xfId="0" applyFont="1" applyBorder="1" applyAlignment="1">
      <alignment horizontal="center" vertical="center"/>
    </xf>
    <xf numFmtId="0" fontId="6" fillId="0" borderId="9" xfId="0" quotePrefix="1" applyFont="1" applyBorder="1" applyAlignment="1">
      <alignment vertical="center"/>
    </xf>
    <xf numFmtId="0" fontId="6" fillId="0" borderId="9" xfId="0" applyFont="1" applyBorder="1" applyAlignment="1">
      <alignment vertical="center" wrapText="1"/>
    </xf>
    <xf numFmtId="0" fontId="6" fillId="0" borderId="4" xfId="0" applyFont="1" applyBorder="1" applyAlignment="1">
      <alignment horizontal="left" vertical="center" wrapText="1"/>
    </xf>
    <xf numFmtId="14" fontId="6" fillId="0" borderId="4" xfId="0" applyNumberFormat="1" applyFont="1" applyBorder="1" applyAlignment="1">
      <alignment horizontal="center" vertical="center"/>
    </xf>
    <xf numFmtId="0" fontId="6" fillId="0" borderId="2" xfId="0" applyFont="1" applyBorder="1" applyAlignment="1">
      <alignment vertical="center"/>
    </xf>
    <xf numFmtId="14" fontId="6" fillId="0" borderId="1" xfId="0" applyNumberFormat="1" applyFont="1" applyBorder="1" applyAlignment="1">
      <alignment horizontal="center" vertical="center"/>
    </xf>
    <xf numFmtId="0" fontId="6" fillId="0" borderId="3" xfId="0" applyFont="1" applyBorder="1" applyAlignment="1">
      <alignment vertical="center"/>
    </xf>
    <xf numFmtId="0" fontId="2" fillId="3" borderId="2" xfId="0" applyFont="1" applyFill="1" applyBorder="1" applyAlignment="1">
      <alignment vertical="center" wrapText="1"/>
    </xf>
    <xf numFmtId="0" fontId="2" fillId="14" borderId="1" xfId="0" applyFont="1" applyFill="1" applyBorder="1" applyAlignment="1">
      <alignment horizontal="left" vertical="center" wrapText="1"/>
    </xf>
    <xf numFmtId="0" fontId="2" fillId="10" borderId="2" xfId="0" quotePrefix="1" applyFont="1" applyFill="1" applyBorder="1" applyAlignment="1">
      <alignment horizontal="center" vertical="center"/>
    </xf>
    <xf numFmtId="0" fontId="2" fillId="9" borderId="14" xfId="0" applyFont="1" applyFill="1" applyBorder="1" applyAlignment="1">
      <alignment horizontal="left" vertical="center"/>
    </xf>
    <xf numFmtId="0" fontId="2" fillId="9" borderId="5" xfId="0" applyFont="1" applyFill="1" applyBorder="1" applyAlignment="1">
      <alignment horizontal="center" vertical="center"/>
    </xf>
    <xf numFmtId="14" fontId="0" fillId="9" borderId="1" xfId="0" applyNumberFormat="1" applyFill="1" applyBorder="1"/>
    <xf numFmtId="14" fontId="0" fillId="9" borderId="5" xfId="0" applyNumberFormat="1" applyFill="1" applyBorder="1"/>
    <xf numFmtId="0" fontId="6" fillId="9" borderId="1" xfId="0" applyFont="1" applyFill="1" applyBorder="1" applyAlignment="1">
      <alignment horizontal="left" vertical="center"/>
    </xf>
    <xf numFmtId="14" fontId="2" fillId="10" borderId="5" xfId="0" applyNumberFormat="1" applyFont="1" applyFill="1" applyBorder="1" applyAlignment="1">
      <alignment horizontal="center" vertical="center"/>
    </xf>
    <xf numFmtId="0" fontId="2" fillId="4" borderId="10" xfId="0" applyFont="1" applyFill="1" applyBorder="1" applyAlignment="1">
      <alignment horizontal="left" vertical="center" wrapText="1"/>
    </xf>
    <xf numFmtId="0" fontId="2" fillId="17" borderId="3" xfId="0" applyFont="1" applyFill="1" applyBorder="1" applyAlignment="1">
      <alignment horizontal="left" vertical="center" wrapText="1"/>
    </xf>
    <xf numFmtId="0" fontId="2" fillId="17" borderId="4" xfId="0" applyFont="1" applyFill="1" applyBorder="1" applyAlignment="1">
      <alignment horizontal="center" vertical="center"/>
    </xf>
    <xf numFmtId="0" fontId="12" fillId="0" borderId="0" xfId="0" applyFont="1"/>
    <xf numFmtId="0" fontId="13" fillId="0" borderId="6" xfId="0" applyFont="1" applyBorder="1" applyAlignment="1">
      <alignment horizontal="center"/>
    </xf>
    <xf numFmtId="0" fontId="13" fillId="0" borderId="0" xfId="0" applyFont="1"/>
    <xf numFmtId="0" fontId="13" fillId="10" borderId="6" xfId="0" applyFont="1" applyFill="1" applyBorder="1" applyAlignment="1">
      <alignment horizontal="center"/>
    </xf>
    <xf numFmtId="0" fontId="13" fillId="0" borderId="6" xfId="0" applyFont="1" applyBorder="1"/>
    <xf numFmtId="0" fontId="12" fillId="19" borderId="48" xfId="0" applyFont="1" applyFill="1" applyBorder="1"/>
    <xf numFmtId="0" fontId="12" fillId="19" borderId="6" xfId="0" applyFont="1" applyFill="1" applyBorder="1"/>
    <xf numFmtId="0" fontId="13" fillId="10" borderId="30" xfId="0" applyFont="1" applyFill="1" applyBorder="1" applyAlignment="1">
      <alignment horizontal="center"/>
    </xf>
    <xf numFmtId="0" fontId="13" fillId="10" borderId="31" xfId="0" applyFont="1" applyFill="1" applyBorder="1" applyAlignment="1">
      <alignment horizontal="center"/>
    </xf>
    <xf numFmtId="0" fontId="12" fillId="19" borderId="13" xfId="0" applyFont="1" applyFill="1" applyBorder="1"/>
    <xf numFmtId="0" fontId="14" fillId="10" borderId="1" xfId="0" applyFont="1" applyFill="1" applyBorder="1" applyAlignment="1">
      <alignment horizontal="center" vertical="center"/>
    </xf>
    <xf numFmtId="0" fontId="13" fillId="10" borderId="27" xfId="0" applyFont="1" applyFill="1" applyBorder="1"/>
    <xf numFmtId="0" fontId="13" fillId="10" borderId="31" xfId="0" applyFont="1" applyFill="1" applyBorder="1"/>
    <xf numFmtId="0" fontId="15" fillId="13" borderId="6" xfId="0" applyFont="1" applyFill="1" applyBorder="1"/>
    <xf numFmtId="0" fontId="13" fillId="10" borderId="2" xfId="0" applyFont="1" applyFill="1" applyBorder="1" applyAlignment="1">
      <alignment horizontal="center"/>
    </xf>
    <xf numFmtId="0" fontId="13" fillId="10" borderId="14" xfId="0" applyFont="1" applyFill="1" applyBorder="1"/>
    <xf numFmtId="0" fontId="12" fillId="10" borderId="6" xfId="0" applyFont="1" applyFill="1" applyBorder="1" applyAlignment="1">
      <alignment horizontal="center"/>
    </xf>
    <xf numFmtId="0" fontId="12" fillId="10" borderId="6" xfId="0" applyFont="1" applyFill="1" applyBorder="1"/>
    <xf numFmtId="0" fontId="15" fillId="0" borderId="6" xfId="0" applyFont="1" applyBorder="1"/>
    <xf numFmtId="0" fontId="14" fillId="4" borderId="4" xfId="0" applyFont="1" applyFill="1" applyBorder="1" applyAlignment="1">
      <alignment horizontal="left" vertical="center"/>
    </xf>
    <xf numFmtId="0" fontId="13" fillId="10" borderId="6" xfId="0" applyFont="1" applyFill="1" applyBorder="1"/>
    <xf numFmtId="0" fontId="13" fillId="10" borderId="30" xfId="0" applyFont="1" applyFill="1" applyBorder="1"/>
    <xf numFmtId="0" fontId="16" fillId="19" borderId="6" xfId="0" applyFont="1" applyFill="1" applyBorder="1"/>
    <xf numFmtId="0" fontId="12" fillId="0" borderId="0" xfId="0" applyFont="1" applyAlignment="1">
      <alignment horizontal="center"/>
    </xf>
    <xf numFmtId="0" fontId="12" fillId="20" borderId="0" xfId="0" applyFont="1" applyFill="1" applyAlignment="1">
      <alignment horizontal="center" vertical="center" textRotation="90"/>
    </xf>
    <xf numFmtId="0" fontId="15" fillId="0" borderId="49" xfId="0" applyFont="1" applyBorder="1"/>
    <xf numFmtId="0" fontId="14" fillId="4" borderId="2" xfId="0" applyFont="1" applyFill="1" applyBorder="1" applyAlignment="1">
      <alignment horizontal="left" vertical="center"/>
    </xf>
    <xf numFmtId="0" fontId="14" fillId="4" borderId="3" xfId="0" applyFont="1" applyFill="1" applyBorder="1" applyAlignment="1">
      <alignment horizontal="left" vertical="center"/>
    </xf>
    <xf numFmtId="0" fontId="14" fillId="4" borderId="6" xfId="0" applyFont="1" applyFill="1" applyBorder="1" applyAlignment="1">
      <alignment horizontal="left" vertical="center"/>
    </xf>
    <xf numFmtId="0" fontId="13" fillId="0" borderId="30" xfId="0" applyFont="1" applyBorder="1"/>
    <xf numFmtId="0" fontId="16" fillId="19" borderId="13" xfId="0" applyFont="1" applyFill="1" applyBorder="1"/>
    <xf numFmtId="0" fontId="13" fillId="4" borderId="0" xfId="0" applyFont="1" applyFill="1"/>
    <xf numFmtId="0" fontId="12" fillId="23" borderId="0" xfId="0" applyFont="1" applyFill="1" applyAlignment="1">
      <alignment horizontal="center" textRotation="90"/>
    </xf>
    <xf numFmtId="0" fontId="16" fillId="19" borderId="48" xfId="0" applyFont="1" applyFill="1" applyBorder="1" applyAlignment="1">
      <alignment vertical="center"/>
    </xf>
    <xf numFmtId="0" fontId="12" fillId="19" borderId="6" xfId="0" applyFont="1" applyFill="1" applyBorder="1" applyAlignment="1">
      <alignment vertical="center"/>
    </xf>
    <xf numFmtId="0" fontId="13" fillId="0" borderId="0" xfId="0" applyFont="1" applyAlignment="1">
      <alignment horizontal="center"/>
    </xf>
    <xf numFmtId="0" fontId="12" fillId="2" borderId="0" xfId="0" applyFont="1" applyFill="1" applyAlignment="1">
      <alignment horizontal="center" textRotation="90"/>
    </xf>
    <xf numFmtId="0" fontId="13" fillId="0" borderId="27" xfId="0" applyFont="1" applyBorder="1"/>
    <xf numFmtId="0" fontId="17" fillId="4" borderId="6" xfId="0" applyFont="1" applyFill="1" applyBorder="1" applyAlignment="1">
      <alignment horizontal="left" vertical="center"/>
    </xf>
    <xf numFmtId="0" fontId="17" fillId="4" borderId="6" xfId="0" applyFont="1" applyFill="1" applyBorder="1" applyAlignment="1">
      <alignment vertical="center"/>
    </xf>
    <xf numFmtId="0" fontId="13" fillId="0" borderId="28" xfId="0" applyFont="1" applyBorder="1"/>
    <xf numFmtId="0" fontId="13" fillId="4" borderId="49" xfId="0" applyFont="1" applyFill="1" applyBorder="1" applyAlignment="1">
      <alignment horizontal="center" vertical="center"/>
    </xf>
    <xf numFmtId="0" fontId="13" fillId="4" borderId="49" xfId="0" applyFont="1" applyFill="1" applyBorder="1" applyAlignment="1">
      <alignment vertical="center"/>
    </xf>
    <xf numFmtId="0" fontId="13" fillId="4" borderId="6" xfId="0" applyFont="1" applyFill="1" applyBorder="1" applyAlignment="1">
      <alignment horizontal="center" vertical="center"/>
    </xf>
    <xf numFmtId="0" fontId="13" fillId="4" borderId="6" xfId="0" applyFont="1" applyFill="1" applyBorder="1" applyAlignment="1">
      <alignment vertical="center"/>
    </xf>
    <xf numFmtId="0" fontId="13" fillId="10" borderId="0" xfId="0" applyFont="1" applyFill="1"/>
    <xf numFmtId="0" fontId="2" fillId="17" borderId="2" xfId="0" applyFont="1" applyFill="1" applyBorder="1" applyAlignment="1">
      <alignment horizontal="left" vertical="center"/>
    </xf>
    <xf numFmtId="0" fontId="2" fillId="17" borderId="1" xfId="0" applyFont="1" applyFill="1" applyBorder="1" applyAlignment="1">
      <alignment horizontal="left" vertical="center" wrapText="1"/>
    </xf>
    <xf numFmtId="14" fontId="2" fillId="17" borderId="1" xfId="0" applyNumberFormat="1" applyFont="1" applyFill="1" applyBorder="1" applyAlignment="1">
      <alignment horizontal="center" vertical="center"/>
    </xf>
    <xf numFmtId="0" fontId="2" fillId="17" borderId="0" xfId="0" applyFont="1" applyFill="1" applyAlignment="1">
      <alignment horizontal="center" vertical="center"/>
    </xf>
    <xf numFmtId="0" fontId="2" fillId="17" borderId="4" xfId="0" applyFont="1" applyFill="1" applyBorder="1" applyAlignment="1">
      <alignment horizontal="left" vertical="center"/>
    </xf>
    <xf numFmtId="0" fontId="13" fillId="10" borderId="49" xfId="0" applyFont="1" applyFill="1" applyBorder="1" applyAlignment="1">
      <alignment horizontal="center"/>
    </xf>
    <xf numFmtId="0" fontId="12" fillId="10" borderId="27" xfId="0" applyFont="1" applyFill="1" applyBorder="1" applyAlignment="1">
      <alignment horizontal="center"/>
    </xf>
    <xf numFmtId="0" fontId="12" fillId="10" borderId="51" xfId="0" applyFont="1" applyFill="1" applyBorder="1"/>
    <xf numFmtId="0" fontId="14" fillId="4" borderId="6" xfId="0" applyFont="1" applyFill="1" applyBorder="1" applyAlignment="1">
      <alignment horizontal="left"/>
    </xf>
    <xf numFmtId="0" fontId="12" fillId="19" borderId="0" xfId="0" applyFont="1" applyFill="1"/>
    <xf numFmtId="0" fontId="12" fillId="19" borderId="49" xfId="0" applyFont="1" applyFill="1" applyBorder="1"/>
    <xf numFmtId="0" fontId="13" fillId="4" borderId="6" xfId="0" applyFont="1" applyFill="1" applyBorder="1"/>
    <xf numFmtId="0" fontId="15" fillId="13" borderId="27" xfId="0" applyFont="1" applyFill="1" applyBorder="1"/>
    <xf numFmtId="0" fontId="12" fillId="19" borderId="50" xfId="0" applyFont="1" applyFill="1" applyBorder="1"/>
    <xf numFmtId="0" fontId="2" fillId="10" borderId="19" xfId="0" applyFont="1" applyFill="1" applyBorder="1" applyAlignment="1">
      <alignment horizontal="center" vertical="center" wrapText="1"/>
    </xf>
    <xf numFmtId="0" fontId="2" fillId="10" borderId="22" xfId="0" applyFont="1" applyFill="1" applyBorder="1" applyAlignment="1">
      <alignment horizontal="center" vertical="center" wrapText="1"/>
    </xf>
    <xf numFmtId="0" fontId="2" fillId="10" borderId="14" xfId="0" applyFont="1" applyFill="1" applyBorder="1" applyAlignment="1">
      <alignment horizontal="center" vertical="center"/>
    </xf>
    <xf numFmtId="0" fontId="2" fillId="10" borderId="28" xfId="0" quotePrefix="1" applyFont="1" applyFill="1" applyBorder="1" applyAlignment="1">
      <alignment horizontal="center" vertical="center"/>
    </xf>
    <xf numFmtId="14" fontId="0" fillId="0" borderId="0" xfId="0" applyNumberFormat="1" applyAlignment="1">
      <alignment horizontal="center"/>
    </xf>
    <xf numFmtId="14" fontId="9" fillId="2" borderId="35" xfId="0" applyNumberFormat="1" applyFont="1" applyFill="1" applyBorder="1" applyAlignment="1">
      <alignment horizontal="center" vertical="center" wrapText="1"/>
    </xf>
    <xf numFmtId="14" fontId="2" fillId="0" borderId="6" xfId="0" applyNumberFormat="1" applyFont="1" applyBorder="1" applyAlignment="1">
      <alignment horizontal="left" vertical="center" wrapText="1"/>
    </xf>
    <xf numFmtId="14" fontId="2" fillId="0" borderId="6" xfId="0" applyNumberFormat="1" applyFont="1" applyBorder="1" applyAlignment="1">
      <alignment horizontal="left" vertical="center"/>
    </xf>
    <xf numFmtId="14" fontId="2" fillId="9" borderId="6" xfId="0" applyNumberFormat="1" applyFont="1" applyFill="1" applyBorder="1" applyAlignment="1">
      <alignment horizontal="center" vertical="center"/>
    </xf>
    <xf numFmtId="14" fontId="2" fillId="3" borderId="6" xfId="0" applyNumberFormat="1" applyFont="1" applyFill="1" applyBorder="1" applyAlignment="1">
      <alignment horizontal="left" vertical="center"/>
    </xf>
    <xf numFmtId="14" fontId="6" fillId="0" borderId="6" xfId="0" applyNumberFormat="1" applyFont="1" applyBorder="1" applyAlignment="1">
      <alignment horizontal="left" vertical="center"/>
    </xf>
    <xf numFmtId="14" fontId="2" fillId="12" borderId="6" xfId="0" applyNumberFormat="1" applyFont="1" applyFill="1" applyBorder="1" applyAlignment="1">
      <alignment horizontal="left" vertical="center"/>
    </xf>
    <xf numFmtId="14" fontId="2" fillId="13" borderId="6" xfId="0" applyNumberFormat="1" applyFont="1" applyFill="1" applyBorder="1" applyAlignment="1">
      <alignment horizontal="left" vertical="center"/>
    </xf>
    <xf numFmtId="14" fontId="0" fillId="16" borderId="0" xfId="0" applyNumberFormat="1" applyFill="1"/>
    <xf numFmtId="14" fontId="0" fillId="0" borderId="0" xfId="0" applyNumberFormat="1"/>
    <xf numFmtId="0" fontId="2" fillId="10" borderId="2" xfId="0" applyFont="1" applyFill="1" applyBorder="1" applyAlignment="1">
      <alignment horizontal="left" vertical="center" wrapText="1"/>
    </xf>
    <xf numFmtId="0" fontId="2" fillId="10" borderId="4" xfId="0" applyFont="1" applyFill="1" applyBorder="1" applyAlignment="1">
      <alignment horizontal="left" vertical="center" wrapText="1"/>
    </xf>
    <xf numFmtId="14" fontId="7" fillId="0" borderId="6" xfId="0" applyNumberFormat="1" applyFont="1" applyBorder="1"/>
    <xf numFmtId="0" fontId="2" fillId="17" borderId="15" xfId="0" applyFont="1" applyFill="1" applyBorder="1" applyAlignment="1">
      <alignment horizontal="left" vertical="center"/>
    </xf>
    <xf numFmtId="0" fontId="2" fillId="17" borderId="6" xfId="0" applyFont="1" applyFill="1" applyBorder="1" applyAlignment="1">
      <alignment horizontal="left" vertical="center"/>
    </xf>
    <xf numFmtId="0" fontId="2" fillId="17" borderId="17" xfId="0" applyFont="1" applyFill="1" applyBorder="1" applyAlignment="1">
      <alignment horizontal="center" vertical="center"/>
    </xf>
    <xf numFmtId="14" fontId="2" fillId="17" borderId="27" xfId="0" applyNumberFormat="1" applyFont="1" applyFill="1" applyBorder="1" applyAlignment="1">
      <alignment horizontal="left" vertical="center"/>
    </xf>
    <xf numFmtId="0" fontId="2" fillId="9" borderId="9" xfId="0" quotePrefix="1" applyFont="1" applyFill="1" applyBorder="1" applyAlignment="1">
      <alignment vertical="center"/>
    </xf>
    <xf numFmtId="0" fontId="2" fillId="9" borderId="9" xfId="0" applyFont="1" applyFill="1" applyBorder="1" applyAlignment="1">
      <alignment vertical="center" wrapText="1"/>
    </xf>
    <xf numFmtId="0" fontId="2" fillId="9" borderId="3" xfId="0" applyFont="1" applyFill="1" applyBorder="1" applyAlignment="1">
      <alignment horizontal="left" vertical="center" wrapText="1"/>
    </xf>
    <xf numFmtId="14" fontId="2" fillId="9" borderId="4" xfId="0" applyNumberFormat="1" applyFont="1" applyFill="1" applyBorder="1" applyAlignment="1">
      <alignment horizontal="center" vertical="center"/>
    </xf>
    <xf numFmtId="0" fontId="2" fillId="9" borderId="4" xfId="0" applyFont="1" applyFill="1" applyBorder="1" applyAlignment="1">
      <alignment horizontal="left" vertical="center" wrapText="1"/>
    </xf>
    <xf numFmtId="0" fontId="2" fillId="14" borderId="2" xfId="0" quotePrefix="1" applyFont="1" applyFill="1" applyBorder="1" applyAlignment="1">
      <alignment horizontal="center" vertical="center"/>
    </xf>
    <xf numFmtId="0" fontId="2" fillId="14" borderId="3" xfId="0" quotePrefix="1" applyFont="1" applyFill="1" applyBorder="1" applyAlignment="1">
      <alignment horizontal="center" vertical="center"/>
    </xf>
    <xf numFmtId="0" fontId="2" fillId="25" borderId="1" xfId="0" applyFont="1" applyFill="1" applyBorder="1" applyAlignment="1">
      <alignment horizontal="center" vertical="center"/>
    </xf>
    <xf numFmtId="0" fontId="2" fillId="25" borderId="2" xfId="0" applyFont="1" applyFill="1" applyBorder="1" applyAlignment="1">
      <alignment horizontal="left" vertical="center"/>
    </xf>
    <xf numFmtId="0" fontId="2" fillId="25" borderId="0" xfId="0" applyFont="1" applyFill="1" applyAlignment="1">
      <alignment horizontal="center" vertical="center"/>
    </xf>
    <xf numFmtId="0" fontId="2" fillId="25" borderId="6" xfId="0" applyFont="1" applyFill="1" applyBorder="1" applyAlignment="1">
      <alignment horizontal="left" vertical="center"/>
    </xf>
    <xf numFmtId="0" fontId="2" fillId="25" borderId="17" xfId="0" applyFont="1" applyFill="1" applyBorder="1" applyAlignment="1">
      <alignment horizontal="center" vertical="center"/>
    </xf>
    <xf numFmtId="0" fontId="0" fillId="25" borderId="0" xfId="0" applyFill="1"/>
    <xf numFmtId="0" fontId="2" fillId="9" borderId="2" xfId="0" applyFont="1" applyFill="1" applyBorder="1" applyAlignment="1">
      <alignment horizontal="left" vertical="center" wrapText="1"/>
    </xf>
    <xf numFmtId="0" fontId="2" fillId="25" borderId="2" xfId="0" quotePrefix="1" applyFont="1" applyFill="1" applyBorder="1" applyAlignment="1">
      <alignment vertical="center"/>
    </xf>
    <xf numFmtId="0" fontId="2" fillId="25" borderId="2" xfId="0" applyFont="1" applyFill="1" applyBorder="1" applyAlignment="1">
      <alignment vertical="center"/>
    </xf>
    <xf numFmtId="0" fontId="2" fillId="25" borderId="1" xfId="0" applyFont="1" applyFill="1" applyBorder="1" applyAlignment="1">
      <alignment horizontal="left" vertical="center"/>
    </xf>
    <xf numFmtId="14" fontId="2" fillId="25" borderId="1" xfId="0" applyNumberFormat="1" applyFont="1" applyFill="1" applyBorder="1" applyAlignment="1">
      <alignment horizontal="center" vertical="center"/>
    </xf>
    <xf numFmtId="0" fontId="0" fillId="24" borderId="0" xfId="0" applyFill="1"/>
    <xf numFmtId="0" fontId="2" fillId="9" borderId="2" xfId="0" quotePrefix="1" applyFont="1" applyFill="1" applyBorder="1" applyAlignment="1">
      <alignment horizontal="left" vertical="center"/>
    </xf>
    <xf numFmtId="0" fontId="2" fillId="9" borderId="18" xfId="0" applyFont="1" applyFill="1" applyBorder="1" applyAlignment="1">
      <alignment horizontal="left" vertical="center"/>
    </xf>
    <xf numFmtId="0" fontId="2" fillId="25" borderId="2" xfId="0" quotePrefix="1" applyFont="1" applyFill="1" applyBorder="1" applyAlignment="1">
      <alignment horizontal="center" vertical="center"/>
    </xf>
    <xf numFmtId="0" fontId="2" fillId="10" borderId="6" xfId="0" applyFont="1" applyFill="1" applyBorder="1" applyAlignment="1">
      <alignment horizontal="center" vertical="center"/>
    </xf>
    <xf numFmtId="14" fontId="2" fillId="10" borderId="17" xfId="0" applyNumberFormat="1" applyFont="1" applyFill="1" applyBorder="1" applyAlignment="1">
      <alignment horizontal="center" vertical="center"/>
    </xf>
    <xf numFmtId="0" fontId="2" fillId="25" borderId="1" xfId="0" applyFont="1" applyFill="1" applyBorder="1" applyAlignment="1">
      <alignment horizontal="left" vertical="center" wrapText="1"/>
    </xf>
    <xf numFmtId="0" fontId="2" fillId="10" borderId="9" xfId="0" applyFont="1" applyFill="1" applyBorder="1" applyAlignment="1">
      <alignment horizontal="center" vertical="center"/>
    </xf>
    <xf numFmtId="14" fontId="2" fillId="10" borderId="3" xfId="0" applyNumberFormat="1" applyFont="1" applyFill="1" applyBorder="1" applyAlignment="1">
      <alignment horizontal="center" vertical="center"/>
    </xf>
    <xf numFmtId="0" fontId="2" fillId="10" borderId="1" xfId="0" applyFont="1" applyFill="1" applyBorder="1" applyAlignment="1">
      <alignment horizontal="center" vertical="center" wrapText="1"/>
    </xf>
    <xf numFmtId="0" fontId="2" fillId="17" borderId="25" xfId="0" applyFont="1" applyFill="1" applyBorder="1" applyAlignment="1">
      <alignment horizontal="left" vertical="center"/>
    </xf>
    <xf numFmtId="0" fontId="6" fillId="14" borderId="1" xfId="0" applyFont="1" applyFill="1" applyBorder="1" applyAlignment="1">
      <alignment horizontal="center" vertical="center"/>
    </xf>
    <xf numFmtId="0" fontId="6" fillId="14" borderId="3" xfId="0" quotePrefix="1" applyFont="1" applyFill="1" applyBorder="1" applyAlignment="1">
      <alignment vertical="center"/>
    </xf>
    <xf numFmtId="0" fontId="6" fillId="14" borderId="3" xfId="0" applyFont="1" applyFill="1" applyBorder="1" applyAlignment="1">
      <alignment vertical="center"/>
    </xf>
    <xf numFmtId="0" fontId="6" fillId="14" borderId="3" xfId="0" applyFont="1" applyFill="1" applyBorder="1" applyAlignment="1">
      <alignment horizontal="left" vertical="center"/>
    </xf>
    <xf numFmtId="0" fontId="6" fillId="14" borderId="1" xfId="0" applyFont="1" applyFill="1" applyBorder="1" applyAlignment="1">
      <alignment horizontal="left" vertical="center"/>
    </xf>
    <xf numFmtId="14" fontId="6" fillId="14" borderId="1" xfId="0" applyNumberFormat="1" applyFont="1" applyFill="1" applyBorder="1" applyAlignment="1">
      <alignment horizontal="center" vertical="center"/>
    </xf>
    <xf numFmtId="0" fontId="6" fillId="14" borderId="0" xfId="0" applyFont="1" applyFill="1" applyAlignment="1">
      <alignment horizontal="center" vertical="center"/>
    </xf>
    <xf numFmtId="0" fontId="2" fillId="17" borderId="2" xfId="0" quotePrefix="1" applyFont="1" applyFill="1" applyBorder="1" applyAlignment="1">
      <alignment vertical="center"/>
    </xf>
    <xf numFmtId="0" fontId="2" fillId="8" borderId="2" xfId="0" quotePrefix="1" applyFont="1" applyFill="1" applyBorder="1" applyAlignment="1">
      <alignment vertical="center"/>
    </xf>
    <xf numFmtId="0" fontId="2" fillId="8" borderId="2" xfId="0" applyFont="1" applyFill="1" applyBorder="1" applyAlignment="1">
      <alignment vertical="center"/>
    </xf>
    <xf numFmtId="0" fontId="2" fillId="8" borderId="4" xfId="0" applyFont="1" applyFill="1" applyBorder="1" applyAlignment="1">
      <alignment horizontal="left" vertical="center"/>
    </xf>
    <xf numFmtId="0" fontId="2" fillId="8" borderId="1" xfId="0" applyFont="1" applyFill="1" applyBorder="1" applyAlignment="1">
      <alignment horizontal="left" vertical="center" wrapText="1"/>
    </xf>
    <xf numFmtId="14" fontId="2" fillId="8" borderId="1" xfId="0" applyNumberFormat="1" applyFont="1" applyFill="1" applyBorder="1" applyAlignment="1">
      <alignment horizontal="center" vertical="center"/>
    </xf>
    <xf numFmtId="0" fontId="2" fillId="8" borderId="0" xfId="0" applyFont="1" applyFill="1" applyAlignment="1">
      <alignment horizontal="center" vertical="center"/>
    </xf>
    <xf numFmtId="0" fontId="2" fillId="14" borderId="2" xfId="0" applyFont="1" applyFill="1" applyBorder="1" applyAlignment="1">
      <alignment horizontal="center" vertical="center"/>
    </xf>
    <xf numFmtId="0" fontId="2" fillId="14" borderId="1" xfId="0" quotePrefix="1" applyFont="1" applyFill="1" applyBorder="1" applyAlignment="1">
      <alignment horizontal="center" vertical="center"/>
    </xf>
    <xf numFmtId="0" fontId="2" fillId="14" borderId="5" xfId="0" applyFont="1" applyFill="1" applyBorder="1" applyAlignment="1">
      <alignment horizontal="left" vertical="center" wrapText="1"/>
    </xf>
    <xf numFmtId="14" fontId="0" fillId="14" borderId="6" xfId="0" applyNumberFormat="1" applyFill="1" applyBorder="1"/>
    <xf numFmtId="0" fontId="2" fillId="0" borderId="30" xfId="0" quotePrefix="1" applyFont="1" applyBorder="1" applyAlignment="1">
      <alignment horizontal="center" vertical="center"/>
    </xf>
    <xf numFmtId="0" fontId="2" fillId="0" borderId="6" xfId="0" quotePrefix="1" applyFont="1" applyBorder="1" applyAlignment="1">
      <alignment horizontal="center" vertical="center"/>
    </xf>
    <xf numFmtId="0" fontId="2" fillId="0" borderId="19" xfId="0" applyFont="1" applyBorder="1" applyAlignment="1">
      <alignment horizontal="center" vertical="center"/>
    </xf>
    <xf numFmtId="0" fontId="2" fillId="0" borderId="22" xfId="0" applyFont="1" applyBorder="1" applyAlignment="1">
      <alignment horizontal="center" vertical="center"/>
    </xf>
    <xf numFmtId="0" fontId="2" fillId="7" borderId="38" xfId="0" applyFont="1" applyFill="1" applyBorder="1" applyAlignment="1">
      <alignment horizontal="left" vertical="center"/>
    </xf>
    <xf numFmtId="0" fontId="2" fillId="7" borderId="30" xfId="0" applyFont="1" applyFill="1" applyBorder="1" applyAlignment="1">
      <alignment horizontal="left" vertical="center"/>
    </xf>
    <xf numFmtId="0" fontId="2" fillId="0" borderId="3" xfId="0" applyFont="1" applyBorder="1" applyAlignment="1">
      <alignment vertical="center" wrapText="1"/>
    </xf>
    <xf numFmtId="0" fontId="2" fillId="3" borderId="19" xfId="0" applyFont="1" applyFill="1" applyBorder="1" applyAlignment="1">
      <alignment vertical="center"/>
    </xf>
    <xf numFmtId="0" fontId="2" fillId="3" borderId="29" xfId="0" applyFont="1" applyFill="1" applyBorder="1" applyAlignment="1">
      <alignment vertical="center"/>
    </xf>
    <xf numFmtId="0" fontId="2" fillId="3" borderId="3" xfId="0" applyFont="1" applyFill="1" applyBorder="1" applyAlignment="1">
      <alignment vertical="center" wrapText="1"/>
    </xf>
    <xf numFmtId="0" fontId="2" fillId="4" borderId="0" xfId="0" applyFont="1" applyFill="1" applyAlignment="1">
      <alignment horizontal="left" vertical="center"/>
    </xf>
    <xf numFmtId="0" fontId="2" fillId="3" borderId="0" xfId="0" applyFont="1" applyFill="1" applyAlignment="1">
      <alignment horizontal="left" vertical="center" wrapText="1"/>
    </xf>
    <xf numFmtId="0" fontId="2" fillId="25" borderId="0" xfId="0" applyFont="1" applyFill="1" applyAlignment="1">
      <alignment horizontal="left" vertical="center"/>
    </xf>
    <xf numFmtId="0" fontId="2" fillId="10" borderId="0" xfId="0" applyFont="1" applyFill="1" applyAlignment="1">
      <alignment horizontal="left" vertical="center"/>
    </xf>
    <xf numFmtId="0" fontId="2" fillId="0" borderId="18" xfId="0" applyFont="1" applyBorder="1" applyAlignment="1">
      <alignment horizontal="center" vertical="center"/>
    </xf>
    <xf numFmtId="0" fontId="2" fillId="0" borderId="23" xfId="0" applyFont="1" applyBorder="1" applyAlignment="1">
      <alignment horizontal="center" vertical="center"/>
    </xf>
    <xf numFmtId="0" fontId="1" fillId="2" borderId="54" xfId="0" applyFont="1" applyFill="1" applyBorder="1" applyAlignment="1">
      <alignment horizontal="center" vertical="center" wrapText="1"/>
    </xf>
    <xf numFmtId="0" fontId="2" fillId="4" borderId="6" xfId="0" applyFont="1" applyFill="1" applyBorder="1" applyAlignment="1">
      <alignment horizontal="center" vertical="center"/>
    </xf>
    <xf numFmtId="0" fontId="2" fillId="3" borderId="6" xfId="0" quotePrefix="1" applyFont="1" applyFill="1" applyBorder="1" applyAlignment="1">
      <alignment horizontal="center" vertical="center"/>
    </xf>
    <xf numFmtId="0" fontId="2" fillId="3" borderId="5" xfId="0" applyFont="1" applyFill="1" applyBorder="1" applyAlignment="1">
      <alignment horizontal="center" vertical="center"/>
    </xf>
    <xf numFmtId="0" fontId="2" fillId="0" borderId="49" xfId="0" applyFont="1" applyBorder="1" applyAlignment="1">
      <alignment horizontal="left" vertical="center"/>
    </xf>
    <xf numFmtId="0" fontId="2" fillId="12" borderId="50" xfId="0" applyFont="1" applyFill="1" applyBorder="1" applyAlignment="1">
      <alignment horizontal="left" vertical="center"/>
    </xf>
    <xf numFmtId="0" fontId="2" fillId="10" borderId="50" xfId="0" applyFont="1" applyFill="1" applyBorder="1" applyAlignment="1">
      <alignment horizontal="left" vertical="center"/>
    </xf>
    <xf numFmtId="0" fontId="18" fillId="4" borderId="0" xfId="0" applyFont="1" applyFill="1"/>
    <xf numFmtId="0" fontId="2" fillId="4" borderId="19" xfId="0" applyFont="1" applyFill="1" applyBorder="1" applyAlignment="1">
      <alignment horizontal="left" vertical="center"/>
    </xf>
    <xf numFmtId="14" fontId="2" fillId="4" borderId="5" xfId="0" applyNumberFormat="1" applyFont="1" applyFill="1" applyBorder="1" applyAlignment="1">
      <alignment horizontal="center" vertical="center"/>
    </xf>
    <xf numFmtId="0" fontId="2" fillId="9" borderId="25" xfId="0" applyFont="1" applyFill="1" applyBorder="1" applyAlignment="1">
      <alignment horizontal="left" vertical="center"/>
    </xf>
    <xf numFmtId="0" fontId="0" fillId="10" borderId="6" xfId="0" applyFill="1" applyBorder="1" applyAlignment="1">
      <alignment horizontal="center" vertical="center"/>
    </xf>
    <xf numFmtId="0" fontId="0" fillId="4" borderId="6" xfId="0" applyFill="1" applyBorder="1" applyAlignment="1">
      <alignment horizontal="center" vertical="center"/>
    </xf>
    <xf numFmtId="0" fontId="0" fillId="0" borderId="6" xfId="0" applyBorder="1" applyAlignment="1">
      <alignment horizontal="center" vertical="center"/>
    </xf>
    <xf numFmtId="0" fontId="0" fillId="14" borderId="6" xfId="0" applyFill="1" applyBorder="1" applyAlignment="1">
      <alignment horizontal="center" vertical="center"/>
    </xf>
    <xf numFmtId="14" fontId="2" fillId="3" borderId="5" xfId="0" applyNumberFormat="1" applyFont="1" applyFill="1" applyBorder="1" applyAlignment="1">
      <alignment horizontal="center" vertical="center"/>
    </xf>
    <xf numFmtId="14" fontId="2" fillId="14" borderId="5" xfId="0" applyNumberFormat="1" applyFont="1" applyFill="1" applyBorder="1" applyAlignment="1">
      <alignment horizontal="center" vertical="center"/>
    </xf>
    <xf numFmtId="0" fontId="6" fillId="0" borderId="2" xfId="0" quotePrefix="1" applyFont="1" applyBorder="1" applyAlignment="1">
      <alignment vertical="center"/>
    </xf>
    <xf numFmtId="0" fontId="2" fillId="9" borderId="2" xfId="0" applyFont="1" applyFill="1" applyBorder="1" applyAlignment="1">
      <alignment vertical="center" wrapText="1"/>
    </xf>
    <xf numFmtId="14" fontId="2" fillId="9" borderId="2" xfId="0" applyNumberFormat="1" applyFont="1" applyFill="1" applyBorder="1" applyAlignment="1">
      <alignment horizontal="center" vertical="center"/>
    </xf>
    <xf numFmtId="0" fontId="2" fillId="10" borderId="2" xfId="0" applyFont="1" applyFill="1" applyBorder="1" applyAlignment="1">
      <alignment horizontal="center" vertical="center"/>
    </xf>
    <xf numFmtId="14" fontId="2" fillId="10" borderId="2" xfId="0" applyNumberFormat="1" applyFont="1" applyFill="1" applyBorder="1" applyAlignment="1">
      <alignment horizontal="center" vertical="center"/>
    </xf>
    <xf numFmtId="0" fontId="4" fillId="3" borderId="2" xfId="0" quotePrefix="1" applyFont="1" applyFill="1" applyBorder="1" applyAlignment="1">
      <alignment horizontal="center" vertical="center" wrapText="1"/>
    </xf>
    <xf numFmtId="0" fontId="4" fillId="3" borderId="3" xfId="0" quotePrefix="1" applyFont="1" applyFill="1" applyBorder="1" applyAlignment="1">
      <alignment horizontal="center" vertical="center"/>
    </xf>
    <xf numFmtId="0" fontId="4" fillId="3" borderId="4" xfId="0" quotePrefix="1" applyFont="1" applyFill="1" applyBorder="1" applyAlignment="1">
      <alignment horizontal="center" vertical="center"/>
    </xf>
    <xf numFmtId="0" fontId="5" fillId="10" borderId="0" xfId="0" applyFont="1" applyFill="1" applyAlignment="1">
      <alignment horizontal="left" vertical="center"/>
    </xf>
    <xf numFmtId="0" fontId="2" fillId="4" borderId="6" xfId="0" quotePrefix="1" applyFont="1" applyFill="1" applyBorder="1" applyAlignment="1">
      <alignment horizontal="center" vertical="center"/>
    </xf>
    <xf numFmtId="0" fontId="2" fillId="4" borderId="6" xfId="0" applyFont="1" applyFill="1" applyBorder="1" applyAlignment="1">
      <alignment horizontal="left" vertical="center" wrapText="1"/>
    </xf>
    <xf numFmtId="14" fontId="2" fillId="4" borderId="6" xfId="0" applyNumberFormat="1" applyFont="1" applyFill="1" applyBorder="1" applyAlignment="1">
      <alignment horizontal="center" vertical="center"/>
    </xf>
    <xf numFmtId="14" fontId="2" fillId="4" borderId="2" xfId="0" applyNumberFormat="1" applyFont="1" applyFill="1" applyBorder="1" applyAlignment="1">
      <alignment horizontal="center" vertical="center"/>
    </xf>
    <xf numFmtId="0" fontId="7" fillId="10" borderId="0" xfId="0" applyFont="1" applyFill="1"/>
    <xf numFmtId="0" fontId="2" fillId="25" borderId="3" xfId="0" applyFont="1" applyFill="1" applyBorder="1" applyAlignment="1">
      <alignment horizontal="left" vertical="center"/>
    </xf>
    <xf numFmtId="0" fontId="2" fillId="9" borderId="3" xfId="0" quotePrefix="1" applyFont="1" applyFill="1" applyBorder="1" applyAlignment="1">
      <alignment horizontal="center" vertical="center"/>
    </xf>
    <xf numFmtId="0" fontId="2" fillId="25" borderId="2" xfId="0" applyFont="1" applyFill="1" applyBorder="1" applyAlignment="1">
      <alignment horizontal="center" vertical="center"/>
    </xf>
    <xf numFmtId="0" fontId="2" fillId="25" borderId="2" xfId="0" applyFont="1" applyFill="1" applyBorder="1" applyAlignment="1">
      <alignment horizontal="left" vertical="center" wrapText="1"/>
    </xf>
    <xf numFmtId="14" fontId="2" fillId="25" borderId="2" xfId="0" applyNumberFormat="1" applyFont="1" applyFill="1" applyBorder="1" applyAlignment="1">
      <alignment horizontal="center" vertical="center"/>
    </xf>
    <xf numFmtId="0" fontId="2" fillId="24" borderId="1" xfId="0" applyFont="1" applyFill="1" applyBorder="1" applyAlignment="1">
      <alignment horizontal="center" vertical="center"/>
    </xf>
    <xf numFmtId="0" fontId="2" fillId="24" borderId="2" xfId="0" quotePrefix="1" applyFont="1" applyFill="1" applyBorder="1" applyAlignment="1">
      <alignment vertical="center"/>
    </xf>
    <xf numFmtId="0" fontId="2" fillId="24" borderId="2" xfId="0" applyFont="1" applyFill="1" applyBorder="1" applyAlignment="1">
      <alignment vertical="center"/>
    </xf>
    <xf numFmtId="0" fontId="2" fillId="24" borderId="1" xfId="0" applyFont="1" applyFill="1" applyBorder="1" applyAlignment="1">
      <alignment horizontal="left" vertical="center"/>
    </xf>
    <xf numFmtId="0" fontId="2" fillId="24" borderId="4" xfId="0" applyFont="1" applyFill="1" applyBorder="1" applyAlignment="1">
      <alignment horizontal="center" vertical="center"/>
    </xf>
    <xf numFmtId="0" fontId="2" fillId="24" borderId="4" xfId="0" applyFont="1" applyFill="1" applyBorder="1" applyAlignment="1">
      <alignment horizontal="left" vertical="center"/>
    </xf>
    <xf numFmtId="14" fontId="2" fillId="24" borderId="0" xfId="0" applyNumberFormat="1" applyFont="1" applyFill="1" applyAlignment="1">
      <alignment horizontal="left" vertical="center"/>
    </xf>
    <xf numFmtId="0" fontId="2" fillId="24" borderId="1" xfId="0" applyFont="1" applyFill="1" applyBorder="1" applyAlignment="1">
      <alignment vertical="center"/>
    </xf>
    <xf numFmtId="0" fontId="2" fillId="9" borderId="0" xfId="0" applyFont="1" applyFill="1" applyAlignment="1">
      <alignment horizontal="left" vertical="center"/>
    </xf>
    <xf numFmtId="0" fontId="2" fillId="4" borderId="0" xfId="0" applyFont="1" applyFill="1" applyAlignment="1">
      <alignment horizontal="left" vertical="center" wrapText="1"/>
    </xf>
    <xf numFmtId="0" fontId="2" fillId="4" borderId="49" xfId="0" applyFont="1" applyFill="1" applyBorder="1" applyAlignment="1">
      <alignment horizontal="left" vertical="center"/>
    </xf>
    <xf numFmtId="0" fontId="2" fillId="10" borderId="17" xfId="0" applyFont="1" applyFill="1" applyBorder="1" applyAlignment="1">
      <alignment horizontal="left" vertical="center" wrapText="1"/>
    </xf>
    <xf numFmtId="0" fontId="2" fillId="11" borderId="6" xfId="0" applyFont="1" applyFill="1" applyBorder="1" applyAlignment="1">
      <alignment horizontal="left" vertical="center"/>
    </xf>
    <xf numFmtId="0" fontId="2" fillId="11" borderId="14" xfId="0" applyFont="1" applyFill="1" applyBorder="1" applyAlignment="1">
      <alignment vertical="center"/>
    </xf>
    <xf numFmtId="0" fontId="2" fillId="11" borderId="18" xfId="0" applyFont="1" applyFill="1" applyBorder="1" applyAlignment="1">
      <alignment horizontal="center" vertical="center"/>
    </xf>
    <xf numFmtId="0" fontId="2" fillId="25" borderId="18" xfId="0" applyFont="1" applyFill="1" applyBorder="1" applyAlignment="1">
      <alignment horizontal="center" vertical="center"/>
    </xf>
    <xf numFmtId="0" fontId="2" fillId="11" borderId="6" xfId="0" quotePrefix="1" applyFont="1" applyFill="1" applyBorder="1" applyAlignment="1">
      <alignment vertical="center"/>
    </xf>
    <xf numFmtId="0" fontId="2" fillId="25" borderId="6" xfId="0" quotePrefix="1" applyFont="1" applyFill="1" applyBorder="1" applyAlignment="1">
      <alignment vertical="center"/>
    </xf>
    <xf numFmtId="0" fontId="2" fillId="11" borderId="14" xfId="0" applyFont="1" applyFill="1" applyBorder="1" applyAlignment="1">
      <alignment horizontal="center" vertical="center"/>
    </xf>
    <xf numFmtId="0" fontId="2" fillId="25" borderId="14" xfId="0" applyFont="1" applyFill="1" applyBorder="1" applyAlignment="1">
      <alignment horizontal="center" vertical="center"/>
    </xf>
    <xf numFmtId="0" fontId="2" fillId="11" borderId="18" xfId="0" applyFont="1" applyFill="1" applyBorder="1" applyAlignment="1">
      <alignment vertical="center"/>
    </xf>
    <xf numFmtId="0" fontId="2" fillId="25" borderId="6" xfId="0" applyFont="1" applyFill="1" applyBorder="1" applyAlignment="1">
      <alignment vertical="center"/>
    </xf>
    <xf numFmtId="0" fontId="2" fillId="25" borderId="29" xfId="0" applyFont="1" applyFill="1" applyBorder="1" applyAlignment="1">
      <alignment vertical="center"/>
    </xf>
    <xf numFmtId="0" fontId="2" fillId="11" borderId="29" xfId="0" applyFont="1" applyFill="1" applyBorder="1" applyAlignment="1">
      <alignment vertical="center"/>
    </xf>
    <xf numFmtId="0" fontId="2" fillId="25" borderId="50" xfId="0" applyFont="1" applyFill="1" applyBorder="1" applyAlignment="1">
      <alignment horizontal="left" vertical="center"/>
    </xf>
    <xf numFmtId="0" fontId="2" fillId="11" borderId="50" xfId="0" applyFont="1" applyFill="1" applyBorder="1" applyAlignment="1">
      <alignment horizontal="left" vertical="center"/>
    </xf>
    <xf numFmtId="0" fontId="2" fillId="10" borderId="2" xfId="0" quotePrefix="1" applyFont="1" applyFill="1" applyBorder="1" applyAlignment="1">
      <alignment horizontal="left" vertical="center"/>
    </xf>
    <xf numFmtId="0" fontId="2" fillId="10" borderId="14" xfId="0" applyFont="1" applyFill="1" applyBorder="1" applyAlignment="1">
      <alignment vertical="center"/>
    </xf>
    <xf numFmtId="0" fontId="2" fillId="10" borderId="18" xfId="0" applyFont="1" applyFill="1" applyBorder="1" applyAlignment="1">
      <alignment horizontal="left" vertical="center"/>
    </xf>
    <xf numFmtId="0" fontId="2" fillId="10" borderId="6" xfId="0" applyFont="1" applyFill="1" applyBorder="1" applyAlignment="1">
      <alignment horizontal="left" vertical="center" wrapText="1"/>
    </xf>
    <xf numFmtId="0" fontId="2" fillId="11" borderId="1" xfId="0" applyFont="1" applyFill="1" applyBorder="1" applyAlignment="1">
      <alignment horizontal="center" vertical="center" wrapText="1"/>
    </xf>
    <xf numFmtId="0" fontId="2" fillId="11" borderId="2" xfId="0" quotePrefix="1" applyFont="1" applyFill="1" applyBorder="1" applyAlignment="1">
      <alignment horizontal="center" vertical="center"/>
    </xf>
    <xf numFmtId="0" fontId="2" fillId="11" borderId="2" xfId="0" applyFont="1" applyFill="1" applyBorder="1" applyAlignment="1">
      <alignment horizontal="left" vertical="center"/>
    </xf>
    <xf numFmtId="0" fontId="2" fillId="11" borderId="1" xfId="0" applyFont="1" applyFill="1" applyBorder="1" applyAlignment="1">
      <alignment horizontal="left" vertical="center" wrapText="1"/>
    </xf>
    <xf numFmtId="14" fontId="2" fillId="11" borderId="1" xfId="0" applyNumberFormat="1" applyFont="1" applyFill="1" applyBorder="1" applyAlignment="1">
      <alignment horizontal="center" vertical="center"/>
    </xf>
    <xf numFmtId="14" fontId="2" fillId="11" borderId="5" xfId="0" applyNumberFormat="1" applyFont="1" applyFill="1" applyBorder="1" applyAlignment="1">
      <alignment horizontal="center" vertical="center"/>
    </xf>
    <xf numFmtId="0" fontId="0" fillId="11" borderId="6" xfId="0" applyFill="1" applyBorder="1" applyAlignment="1">
      <alignment horizontal="center" vertical="center"/>
    </xf>
    <xf numFmtId="0" fontId="2" fillId="11" borderId="0" xfId="0" applyFont="1" applyFill="1" applyAlignment="1">
      <alignment horizontal="center" vertical="center"/>
    </xf>
    <xf numFmtId="0" fontId="2" fillId="11" borderId="1" xfId="0" applyFont="1" applyFill="1" applyBorder="1" applyAlignment="1">
      <alignment horizontal="left" vertical="center"/>
    </xf>
    <xf numFmtId="0" fontId="2" fillId="4" borderId="2" xfId="0" quotePrefix="1" applyFont="1" applyFill="1" applyBorder="1" applyAlignment="1">
      <alignment horizontal="center" vertical="center" wrapText="1"/>
    </xf>
    <xf numFmtId="0" fontId="2" fillId="25" borderId="6" xfId="0" applyFont="1" applyFill="1" applyBorder="1" applyAlignment="1">
      <alignment horizontal="center" vertical="center"/>
    </xf>
    <xf numFmtId="14" fontId="0" fillId="25" borderId="1" xfId="0" applyNumberFormat="1" applyFill="1" applyBorder="1"/>
    <xf numFmtId="0" fontId="2" fillId="25" borderId="14" xfId="0" applyFont="1" applyFill="1" applyBorder="1" applyAlignment="1">
      <alignment vertical="center"/>
    </xf>
    <xf numFmtId="0" fontId="18" fillId="10" borderId="0" xfId="0" applyFont="1" applyFill="1"/>
    <xf numFmtId="0" fontId="2" fillId="10" borderId="19" xfId="0" applyFont="1" applyFill="1" applyBorder="1" applyAlignment="1">
      <alignment horizontal="left" vertical="center"/>
    </xf>
    <xf numFmtId="0" fontId="2" fillId="17" borderId="2" xfId="0" applyFont="1" applyFill="1" applyBorder="1" applyAlignment="1">
      <alignment horizontal="center" vertical="center"/>
    </xf>
    <xf numFmtId="0" fontId="2" fillId="9" borderId="6" xfId="0" quotePrefix="1" applyFont="1" applyFill="1" applyBorder="1" applyAlignment="1">
      <alignment horizontal="center" vertical="center"/>
    </xf>
    <xf numFmtId="0" fontId="2" fillId="9" borderId="50" xfId="0" applyFont="1" applyFill="1" applyBorder="1" applyAlignment="1">
      <alignment horizontal="left" vertical="center"/>
    </xf>
    <xf numFmtId="0" fontId="2" fillId="9" borderId="22" xfId="0" applyFont="1" applyFill="1" applyBorder="1" applyAlignment="1">
      <alignment horizontal="center" vertical="center" wrapText="1"/>
    </xf>
    <xf numFmtId="0" fontId="1" fillId="3" borderId="3" xfId="0" applyFont="1" applyFill="1" applyBorder="1" applyAlignment="1">
      <alignment horizontal="left" vertical="center"/>
    </xf>
    <xf numFmtId="0" fontId="19" fillId="11" borderId="1" xfId="0" applyFont="1" applyFill="1" applyBorder="1" applyAlignment="1">
      <alignment horizontal="center" vertical="center"/>
    </xf>
    <xf numFmtId="0" fontId="19" fillId="11" borderId="2" xfId="0" quotePrefix="1" applyFont="1" applyFill="1" applyBorder="1" applyAlignment="1">
      <alignment horizontal="center" vertical="center"/>
    </xf>
    <xf numFmtId="0" fontId="19" fillId="11" borderId="2" xfId="0" applyFont="1" applyFill="1" applyBorder="1" applyAlignment="1">
      <alignment horizontal="left" vertical="center"/>
    </xf>
    <xf numFmtId="0" fontId="19" fillId="11" borderId="1" xfId="0" applyFont="1" applyFill="1" applyBorder="1" applyAlignment="1">
      <alignment horizontal="left" vertical="center"/>
    </xf>
    <xf numFmtId="14" fontId="19" fillId="11" borderId="1" xfId="0" applyNumberFormat="1" applyFont="1" applyFill="1" applyBorder="1" applyAlignment="1">
      <alignment horizontal="center" vertical="center"/>
    </xf>
    <xf numFmtId="0" fontId="19" fillId="11" borderId="0" xfId="0" applyFont="1" applyFill="1" applyAlignment="1">
      <alignment horizontal="center" vertical="center"/>
    </xf>
    <xf numFmtId="0" fontId="2" fillId="11" borderId="3" xfId="0" applyFont="1" applyFill="1" applyBorder="1" applyAlignment="1">
      <alignment horizontal="left" vertical="center"/>
    </xf>
    <xf numFmtId="0" fontId="2" fillId="11" borderId="4" xfId="0" applyFont="1" applyFill="1" applyBorder="1" applyAlignment="1">
      <alignment horizontal="left" vertical="center"/>
    </xf>
    <xf numFmtId="0" fontId="2" fillId="26" borderId="1" xfId="0" applyFont="1" applyFill="1" applyBorder="1" applyAlignment="1">
      <alignment horizontal="center" vertical="center"/>
    </xf>
    <xf numFmtId="0" fontId="2" fillId="26" borderId="2" xfId="0" quotePrefix="1" applyFont="1" applyFill="1" applyBorder="1" applyAlignment="1">
      <alignment vertical="center"/>
    </xf>
    <xf numFmtId="0" fontId="2" fillId="26" borderId="2" xfId="0" applyFont="1" applyFill="1" applyBorder="1" applyAlignment="1">
      <alignment vertical="center"/>
    </xf>
    <xf numFmtId="0" fontId="2" fillId="26" borderId="0" xfId="0" applyFont="1" applyFill="1" applyAlignment="1">
      <alignment horizontal="center" vertical="center"/>
    </xf>
    <xf numFmtId="0" fontId="2" fillId="26" borderId="1" xfId="0" applyFont="1" applyFill="1" applyBorder="1" applyAlignment="1">
      <alignment horizontal="left" vertical="center" wrapText="1"/>
    </xf>
    <xf numFmtId="14" fontId="2" fillId="26" borderId="1" xfId="0" applyNumberFormat="1" applyFont="1" applyFill="1" applyBorder="1" applyAlignment="1">
      <alignment horizontal="center" vertical="center"/>
    </xf>
    <xf numFmtId="0" fontId="2" fillId="10" borderId="30" xfId="0" quotePrefix="1" applyFont="1" applyFill="1" applyBorder="1" applyAlignment="1">
      <alignment horizontal="center" vertical="center"/>
    </xf>
    <xf numFmtId="0" fontId="2" fillId="10" borderId="19" xfId="0" applyFont="1" applyFill="1" applyBorder="1" applyAlignment="1">
      <alignment horizontal="center" vertical="center"/>
    </xf>
    <xf numFmtId="14" fontId="0" fillId="10" borderId="1" xfId="0" applyNumberFormat="1" applyFill="1" applyBorder="1"/>
    <xf numFmtId="14" fontId="8" fillId="10" borderId="5" xfId="0" applyNumberFormat="1" applyFont="1" applyFill="1" applyBorder="1"/>
    <xf numFmtId="0" fontId="2" fillId="9" borderId="30" xfId="0" quotePrefix="1" applyFont="1" applyFill="1" applyBorder="1" applyAlignment="1">
      <alignment horizontal="center" vertical="center"/>
    </xf>
    <xf numFmtId="0" fontId="2" fillId="9" borderId="19" xfId="0" applyFont="1" applyFill="1" applyBorder="1" applyAlignment="1">
      <alignment horizontal="center" vertical="center"/>
    </xf>
    <xf numFmtId="0" fontId="2" fillId="14" borderId="3" xfId="0" applyFont="1" applyFill="1" applyBorder="1" applyAlignment="1">
      <alignment horizontal="center" vertical="center"/>
    </xf>
    <xf numFmtId="0" fontId="2" fillId="14" borderId="24" xfId="0" applyFont="1" applyFill="1" applyBorder="1" applyAlignment="1">
      <alignment vertical="center"/>
    </xf>
    <xf numFmtId="14" fontId="2" fillId="14" borderId="0" xfId="0" applyNumberFormat="1" applyFont="1" applyFill="1" applyAlignment="1">
      <alignment horizontal="center" vertical="center"/>
    </xf>
    <xf numFmtId="0" fontId="0" fillId="14" borderId="6" xfId="0" applyFill="1" applyBorder="1"/>
    <xf numFmtId="0" fontId="2" fillId="27" borderId="1" xfId="0" applyFont="1" applyFill="1" applyBorder="1" applyAlignment="1">
      <alignment horizontal="center" vertical="center"/>
    </xf>
    <xf numFmtId="0" fontId="2" fillId="27" borderId="2" xfId="0" quotePrefix="1" applyFont="1" applyFill="1" applyBorder="1" applyAlignment="1">
      <alignment vertical="center"/>
    </xf>
    <xf numFmtId="0" fontId="2" fillId="27" borderId="2" xfId="0" applyFont="1" applyFill="1" applyBorder="1" applyAlignment="1">
      <alignment vertical="center"/>
    </xf>
    <xf numFmtId="0" fontId="2" fillId="27" borderId="3" xfId="0" applyFont="1" applyFill="1" applyBorder="1" applyAlignment="1">
      <alignment horizontal="left" vertical="center"/>
    </xf>
    <xf numFmtId="0" fontId="2" fillId="27" borderId="1" xfId="0" applyFont="1" applyFill="1" applyBorder="1" applyAlignment="1">
      <alignment horizontal="left" vertical="center"/>
    </xf>
    <xf numFmtId="14" fontId="2" fillId="27" borderId="1" xfId="0" applyNumberFormat="1" applyFont="1" applyFill="1" applyBorder="1" applyAlignment="1">
      <alignment horizontal="center" vertical="center"/>
    </xf>
    <xf numFmtId="0" fontId="0" fillId="27" borderId="0" xfId="0" applyFill="1"/>
    <xf numFmtId="0" fontId="2" fillId="27" borderId="0" xfId="0" applyFont="1" applyFill="1" applyAlignment="1">
      <alignment horizontal="center" vertical="center"/>
    </xf>
    <xf numFmtId="14" fontId="0" fillId="0" borderId="27" xfId="0" applyNumberFormat="1" applyBorder="1"/>
    <xf numFmtId="0" fontId="7" fillId="25" borderId="0" xfId="0" applyFont="1" applyFill="1"/>
    <xf numFmtId="0" fontId="2" fillId="25" borderId="17" xfId="0" applyFont="1" applyFill="1" applyBorder="1" applyAlignment="1">
      <alignment horizontal="left" vertical="center" wrapText="1"/>
    </xf>
    <xf numFmtId="0" fontId="2" fillId="25" borderId="14" xfId="0" applyFont="1" applyFill="1" applyBorder="1" applyAlignment="1">
      <alignment horizontal="left" vertical="center" wrapText="1"/>
    </xf>
    <xf numFmtId="0" fontId="2" fillId="25" borderId="5" xfId="0" applyFont="1" applyFill="1" applyBorder="1" applyAlignment="1">
      <alignment horizontal="left" vertical="center"/>
    </xf>
    <xf numFmtId="14" fontId="2" fillId="25" borderId="27" xfId="0" applyNumberFormat="1" applyFont="1" applyFill="1" applyBorder="1" applyAlignment="1">
      <alignment horizontal="left" vertical="center"/>
    </xf>
    <xf numFmtId="14" fontId="2" fillId="25" borderId="6" xfId="0" applyNumberFormat="1" applyFont="1" applyFill="1" applyBorder="1" applyAlignment="1">
      <alignment horizontal="left" vertical="center"/>
    </xf>
    <xf numFmtId="0" fontId="1" fillId="4" borderId="19" xfId="0" applyFont="1" applyFill="1" applyBorder="1" applyAlignment="1">
      <alignment horizontal="center" vertical="center" wrapText="1"/>
    </xf>
    <xf numFmtId="0" fontId="1" fillId="4" borderId="3" xfId="0" applyFont="1" applyFill="1" applyBorder="1" applyAlignment="1">
      <alignment horizontal="center" vertical="center" wrapText="1"/>
    </xf>
    <xf numFmtId="0" fontId="1" fillId="4" borderId="15" xfId="0" applyFont="1" applyFill="1" applyBorder="1" applyAlignment="1">
      <alignment horizontal="center" vertical="center" wrapText="1"/>
    </xf>
    <xf numFmtId="14" fontId="9" fillId="4" borderId="38" xfId="0" applyNumberFormat="1" applyFont="1" applyFill="1" applyBorder="1" applyAlignment="1">
      <alignment horizontal="center" vertical="center" wrapText="1"/>
    </xf>
    <xf numFmtId="0" fontId="9" fillId="4" borderId="0" xfId="0" applyFont="1" applyFill="1" applyAlignment="1">
      <alignment horizontal="center" vertical="center"/>
    </xf>
    <xf numFmtId="0" fontId="0" fillId="4" borderId="0" xfId="0" applyFill="1" applyAlignment="1">
      <alignment horizontal="center" vertical="center"/>
    </xf>
    <xf numFmtId="0" fontId="2" fillId="5" borderId="3" xfId="0" quotePrefix="1" applyFont="1" applyFill="1" applyBorder="1" applyAlignment="1">
      <alignment vertical="center" wrapText="1"/>
    </xf>
    <xf numFmtId="0" fontId="2" fillId="5" borderId="3" xfId="0" applyFont="1" applyFill="1" applyBorder="1" applyAlignment="1">
      <alignment vertical="center" wrapText="1"/>
    </xf>
    <xf numFmtId="0" fontId="2" fillId="5" borderId="16" xfId="0" applyFont="1" applyFill="1" applyBorder="1" applyAlignment="1">
      <alignment horizontal="left" vertical="center"/>
    </xf>
    <xf numFmtId="14" fontId="0" fillId="5" borderId="30" xfId="0" applyNumberFormat="1" applyFill="1" applyBorder="1"/>
    <xf numFmtId="0" fontId="0" fillId="5" borderId="0" xfId="0" applyFill="1"/>
    <xf numFmtId="0" fontId="2" fillId="5" borderId="0" xfId="0" applyFont="1" applyFill="1" applyAlignment="1">
      <alignment horizontal="center" vertical="center"/>
    </xf>
    <xf numFmtId="0" fontId="2" fillId="5" borderId="1" xfId="0" applyFont="1" applyFill="1" applyBorder="1" applyAlignment="1">
      <alignment horizontal="center" vertical="center"/>
    </xf>
    <xf numFmtId="0" fontId="2" fillId="5" borderId="2" xfId="0" applyFont="1" applyFill="1" applyBorder="1" applyAlignment="1">
      <alignment vertical="center" wrapText="1"/>
    </xf>
    <xf numFmtId="0" fontId="2" fillId="5" borderId="1" xfId="0" applyFont="1" applyFill="1" applyBorder="1" applyAlignment="1">
      <alignment horizontal="left" vertical="center"/>
    </xf>
    <xf numFmtId="0" fontId="2" fillId="5" borderId="5" xfId="0" applyFont="1" applyFill="1" applyBorder="1" applyAlignment="1">
      <alignment horizontal="left" vertical="center" wrapText="1"/>
    </xf>
    <xf numFmtId="14" fontId="0" fillId="5" borderId="6" xfId="0" applyNumberFormat="1" applyFill="1" applyBorder="1"/>
    <xf numFmtId="0" fontId="2" fillId="5" borderId="5" xfId="0" applyFont="1" applyFill="1" applyBorder="1" applyAlignment="1">
      <alignment horizontal="left" vertical="center"/>
    </xf>
    <xf numFmtId="0" fontId="1" fillId="28" borderId="19" xfId="0" applyFont="1" applyFill="1" applyBorder="1" applyAlignment="1">
      <alignment horizontal="center" vertical="center" wrapText="1"/>
    </xf>
    <xf numFmtId="0" fontId="1" fillId="28" borderId="3" xfId="0" applyFont="1" applyFill="1" applyBorder="1" applyAlignment="1">
      <alignment horizontal="center" vertical="center" wrapText="1"/>
    </xf>
    <xf numFmtId="0" fontId="1" fillId="28" borderId="15" xfId="0" applyFont="1" applyFill="1" applyBorder="1" applyAlignment="1">
      <alignment horizontal="center" vertical="center" wrapText="1"/>
    </xf>
    <xf numFmtId="14" fontId="9" fillId="28" borderId="38" xfId="0" applyNumberFormat="1" applyFont="1" applyFill="1" applyBorder="1" applyAlignment="1">
      <alignment horizontal="center" vertical="center" wrapText="1"/>
    </xf>
    <xf numFmtId="0" fontId="9" fillId="28" borderId="0" xfId="0" applyFont="1" applyFill="1" applyAlignment="1">
      <alignment horizontal="center" vertical="center"/>
    </xf>
    <xf numFmtId="0" fontId="0" fillId="28" borderId="0" xfId="0" applyFill="1"/>
    <xf numFmtId="0" fontId="0" fillId="28" borderId="0" xfId="0" applyFill="1" applyAlignment="1">
      <alignment horizontal="center" vertical="center"/>
    </xf>
    <xf numFmtId="0" fontId="18" fillId="25" borderId="0" xfId="0" quotePrefix="1" applyFont="1" applyFill="1"/>
    <xf numFmtId="0" fontId="18" fillId="25" borderId="0" xfId="0" applyFont="1" applyFill="1"/>
    <xf numFmtId="0" fontId="2" fillId="25" borderId="0" xfId="0" applyFont="1" applyFill="1" applyAlignment="1">
      <alignment horizontal="left" vertical="center" wrapText="1"/>
    </xf>
    <xf numFmtId="14" fontId="2" fillId="25" borderId="0" xfId="0" applyNumberFormat="1" applyFont="1" applyFill="1" applyAlignment="1">
      <alignment horizontal="center" vertical="center"/>
    </xf>
    <xf numFmtId="0" fontId="2" fillId="28" borderId="0" xfId="0" applyFont="1" applyFill="1" applyAlignment="1">
      <alignment horizontal="center" vertical="center"/>
    </xf>
    <xf numFmtId="0" fontId="18" fillId="28" borderId="0" xfId="0" quotePrefix="1" applyFont="1" applyFill="1"/>
    <xf numFmtId="0" fontId="18" fillId="28" borderId="0" xfId="0" applyFont="1" applyFill="1"/>
    <xf numFmtId="0" fontId="2" fillId="28" borderId="0" xfId="0" applyFont="1" applyFill="1" applyAlignment="1">
      <alignment horizontal="left" vertical="center"/>
    </xf>
    <xf numFmtId="0" fontId="2" fillId="28" borderId="0" xfId="0" applyFont="1" applyFill="1" applyAlignment="1">
      <alignment horizontal="left" vertical="center" wrapText="1"/>
    </xf>
    <xf numFmtId="14" fontId="2" fillId="28" borderId="0" xfId="0" applyNumberFormat="1" applyFont="1" applyFill="1" applyAlignment="1">
      <alignment horizontal="center" vertical="center"/>
    </xf>
    <xf numFmtId="0" fontId="0" fillId="28" borderId="6" xfId="0" applyFill="1" applyBorder="1"/>
    <xf numFmtId="0" fontId="2" fillId="28" borderId="6" xfId="0" quotePrefix="1" applyFont="1" applyFill="1" applyBorder="1" applyAlignment="1">
      <alignment horizontal="center" vertical="center"/>
    </xf>
    <xf numFmtId="0" fontId="2" fillId="28" borderId="6" xfId="0" applyFont="1" applyFill="1" applyBorder="1" applyAlignment="1">
      <alignment horizontal="left" vertical="center"/>
    </xf>
    <xf numFmtId="0" fontId="2" fillId="28" borderId="6" xfId="0" applyFont="1" applyFill="1" applyBorder="1" applyAlignment="1">
      <alignment horizontal="center" vertical="center"/>
    </xf>
    <xf numFmtId="0" fontId="2" fillId="28" borderId="6" xfId="0" applyFont="1" applyFill="1" applyBorder="1" applyAlignment="1">
      <alignment horizontal="left" vertical="center" wrapText="1"/>
    </xf>
    <xf numFmtId="14" fontId="2" fillId="28" borderId="6" xfId="0" applyNumberFormat="1" applyFont="1" applyFill="1" applyBorder="1" applyAlignment="1">
      <alignment horizontal="center" vertical="center"/>
    </xf>
    <xf numFmtId="0" fontId="20" fillId="8" borderId="41" xfId="0" applyFont="1" applyFill="1" applyBorder="1" applyAlignment="1">
      <alignment horizontal="center" vertical="center" wrapText="1"/>
    </xf>
    <xf numFmtId="0" fontId="20" fillId="8" borderId="44" xfId="0" applyFont="1" applyFill="1" applyBorder="1" applyAlignment="1">
      <alignment horizontal="center" vertical="center" wrapText="1"/>
    </xf>
    <xf numFmtId="0" fontId="20" fillId="8" borderId="44" xfId="0" applyFont="1" applyFill="1" applyBorder="1" applyAlignment="1">
      <alignment horizontal="center" vertical="center" textRotation="180"/>
    </xf>
    <xf numFmtId="0" fontId="20" fillId="8" borderId="0" xfId="0" applyFont="1" applyFill="1" applyAlignment="1">
      <alignment horizontal="center" vertical="center" textRotation="180"/>
    </xf>
    <xf numFmtId="0" fontId="20" fillId="8" borderId="45" xfId="0" applyFont="1" applyFill="1" applyBorder="1" applyAlignment="1">
      <alignment horizontal="center" vertical="center" textRotation="180"/>
    </xf>
    <xf numFmtId="14" fontId="9" fillId="8" borderId="0" xfId="0" applyNumberFormat="1" applyFont="1" applyFill="1" applyAlignment="1">
      <alignment horizontal="center" vertical="center" wrapText="1"/>
    </xf>
    <xf numFmtId="0" fontId="2" fillId="25" borderId="3" xfId="0" applyFont="1" applyFill="1" applyBorder="1" applyAlignment="1">
      <alignment vertical="center"/>
    </xf>
    <xf numFmtId="0" fontId="2" fillId="25" borderId="4" xfId="0" applyFont="1" applyFill="1" applyBorder="1" applyAlignment="1">
      <alignment horizontal="left" vertical="center"/>
    </xf>
    <xf numFmtId="14" fontId="0" fillId="25" borderId="30" xfId="0" applyNumberFormat="1" applyFill="1" applyBorder="1"/>
    <xf numFmtId="0" fontId="2" fillId="25" borderId="9" xfId="0" applyFont="1" applyFill="1" applyBorder="1" applyAlignment="1">
      <alignment horizontal="center" vertical="center"/>
    </xf>
    <xf numFmtId="0" fontId="2" fillId="25" borderId="3" xfId="0" applyFont="1" applyFill="1" applyBorder="1" applyAlignment="1">
      <alignment horizontal="center" vertical="center"/>
    </xf>
    <xf numFmtId="14" fontId="2" fillId="25" borderId="3" xfId="0" applyNumberFormat="1" applyFont="1" applyFill="1" applyBorder="1" applyAlignment="1">
      <alignment horizontal="center" vertical="center"/>
    </xf>
    <xf numFmtId="0" fontId="12" fillId="2" borderId="0" xfId="0" applyFont="1" applyFill="1" applyAlignment="1">
      <alignment horizontal="center" vertical="center" textRotation="90"/>
    </xf>
    <xf numFmtId="0" fontId="12" fillId="21" borderId="40" xfId="0" applyFont="1" applyFill="1" applyBorder="1" applyAlignment="1">
      <alignment horizontal="center" vertical="center" textRotation="90"/>
    </xf>
    <xf numFmtId="0" fontId="12" fillId="22" borderId="0" xfId="0" applyFont="1" applyFill="1" applyAlignment="1">
      <alignment horizontal="center" vertical="center" textRotation="90"/>
    </xf>
    <xf numFmtId="0" fontId="13" fillId="10" borderId="6" xfId="0" applyFont="1" applyFill="1" applyBorder="1" applyAlignment="1">
      <alignment horizontal="center"/>
    </xf>
    <xf numFmtId="0" fontId="12" fillId="18" borderId="0" xfId="0" applyFont="1" applyFill="1" applyAlignment="1">
      <alignment horizontal="center" vertical="center" textRotation="90"/>
    </xf>
    <xf numFmtId="0" fontId="12" fillId="20" borderId="0" xfId="0" applyFont="1" applyFill="1" applyAlignment="1">
      <alignment horizontal="center" vertical="center" textRotation="90"/>
    </xf>
    <xf numFmtId="0" fontId="20" fillId="8" borderId="41" xfId="0" applyFont="1" applyFill="1" applyBorder="1" applyAlignment="1">
      <alignment horizontal="center" vertical="center" wrapText="1"/>
    </xf>
    <xf numFmtId="0" fontId="20" fillId="8" borderId="42" xfId="0" applyFont="1" applyFill="1" applyBorder="1" applyAlignment="1">
      <alignment horizontal="center" vertical="center" wrapText="1"/>
    </xf>
    <xf numFmtId="0" fontId="20" fillId="8" borderId="43" xfId="0" applyFont="1" applyFill="1" applyBorder="1" applyAlignment="1">
      <alignment horizontal="center" vertical="center" wrapText="1"/>
    </xf>
    <xf numFmtId="0" fontId="20" fillId="8" borderId="44" xfId="0" applyFont="1" applyFill="1" applyBorder="1" applyAlignment="1">
      <alignment horizontal="center" vertical="center" wrapText="1"/>
    </xf>
    <xf numFmtId="0" fontId="20" fillId="8" borderId="0" xfId="0" applyFont="1" applyFill="1" applyAlignment="1">
      <alignment horizontal="center" vertical="center" wrapText="1"/>
    </xf>
    <xf numFmtId="0" fontId="20" fillId="8" borderId="45" xfId="0" applyFont="1" applyFill="1" applyBorder="1" applyAlignment="1">
      <alignment horizontal="center" vertical="center" wrapText="1"/>
    </xf>
    <xf numFmtId="0" fontId="20" fillId="8" borderId="44" xfId="0" applyFont="1" applyFill="1" applyBorder="1" applyAlignment="1">
      <alignment horizontal="center" vertical="center" textRotation="180"/>
    </xf>
    <xf numFmtId="0" fontId="20" fillId="8" borderId="0" xfId="0" applyFont="1" applyFill="1" applyAlignment="1">
      <alignment horizontal="center" vertical="center" textRotation="180"/>
    </xf>
    <xf numFmtId="0" fontId="20" fillId="8" borderId="45" xfId="0" applyFont="1" applyFill="1" applyBorder="1" applyAlignment="1">
      <alignment horizontal="center" vertical="center" textRotation="180"/>
    </xf>
    <xf numFmtId="0" fontId="0" fillId="0" borderId="0" xfId="0" applyAlignment="1">
      <alignment horizontal="center" wrapText="1"/>
    </xf>
    <xf numFmtId="0" fontId="0" fillId="0" borderId="0" xfId="0" applyAlignment="1">
      <alignment horizontal="center"/>
    </xf>
    <xf numFmtId="0" fontId="2" fillId="0" borderId="4" xfId="0" quotePrefix="1" applyFont="1" applyBorder="1" applyAlignment="1">
      <alignment horizontal="center" vertical="center"/>
    </xf>
    <xf numFmtId="0" fontId="2" fillId="0" borderId="1" xfId="0" quotePrefix="1" applyFont="1" applyBorder="1" applyAlignment="1">
      <alignment horizontal="center" vertical="center"/>
    </xf>
    <xf numFmtId="0" fontId="2" fillId="0" borderId="4" xfId="0" applyFont="1" applyBorder="1" applyAlignment="1">
      <alignment horizontal="left" vertical="center"/>
    </xf>
    <xf numFmtId="0" fontId="2" fillId="0" borderId="1" xfId="0" applyFont="1" applyBorder="1" applyAlignment="1">
      <alignment horizontal="left" vertical="center"/>
    </xf>
    <xf numFmtId="0" fontId="20" fillId="8" borderId="55" xfId="0" applyFont="1" applyFill="1" applyBorder="1" applyAlignment="1">
      <alignment horizontal="center" vertical="center" textRotation="180"/>
    </xf>
    <xf numFmtId="0" fontId="20" fillId="8" borderId="52" xfId="0" applyFont="1" applyFill="1" applyBorder="1" applyAlignment="1">
      <alignment horizontal="center" vertical="center" textRotation="180"/>
    </xf>
    <xf numFmtId="0" fontId="20" fillId="8" borderId="56" xfId="0" applyFont="1" applyFill="1" applyBorder="1" applyAlignment="1">
      <alignment horizontal="center" vertical="center" textRotation="180"/>
    </xf>
    <xf numFmtId="0" fontId="2" fillId="7" borderId="2" xfId="0" applyFont="1" applyFill="1" applyBorder="1" applyAlignment="1">
      <alignment horizontal="center" vertical="center"/>
    </xf>
    <xf numFmtId="0" fontId="2" fillId="7" borderId="4" xfId="0" applyFont="1" applyFill="1" applyBorder="1" applyAlignment="1">
      <alignment horizontal="center" vertical="center"/>
    </xf>
    <xf numFmtId="0" fontId="2" fillId="3" borderId="2" xfId="0" applyFont="1" applyFill="1" applyBorder="1" applyAlignment="1">
      <alignment horizontal="center" vertical="center"/>
    </xf>
    <xf numFmtId="0" fontId="2" fillId="3" borderId="4" xfId="0" applyFont="1" applyFill="1" applyBorder="1" applyAlignment="1">
      <alignment horizontal="center" vertical="center"/>
    </xf>
    <xf numFmtId="0" fontId="2" fillId="0" borderId="1" xfId="0" applyFont="1" applyBorder="1" applyAlignment="1">
      <alignment horizontal="center" vertical="center"/>
    </xf>
    <xf numFmtId="0" fontId="2" fillId="3" borderId="1" xfId="0" quotePrefix="1" applyFont="1" applyFill="1" applyBorder="1" applyAlignment="1">
      <alignment horizontal="center" vertical="center"/>
    </xf>
    <xf numFmtId="0" fontId="2" fillId="0" borderId="2" xfId="0" quotePrefix="1" applyFont="1" applyBorder="1" applyAlignment="1">
      <alignment horizontal="center" vertical="center"/>
    </xf>
    <xf numFmtId="0" fontId="2" fillId="0" borderId="3" xfId="0" quotePrefix="1" applyFont="1" applyBorder="1" applyAlignment="1">
      <alignment horizontal="center" vertical="center"/>
    </xf>
    <xf numFmtId="0" fontId="2" fillId="0" borderId="2" xfId="0" applyFont="1" applyBorder="1" applyAlignment="1">
      <alignment horizontal="left" vertical="center"/>
    </xf>
    <xf numFmtId="0" fontId="2" fillId="0" borderId="3" xfId="0" applyFont="1" applyBorder="1" applyAlignment="1">
      <alignment horizontal="left" vertical="center"/>
    </xf>
    <xf numFmtId="0" fontId="2" fillId="3" borderId="2" xfId="0" quotePrefix="1" applyFont="1" applyFill="1" applyBorder="1" applyAlignment="1">
      <alignment horizontal="center" vertical="center"/>
    </xf>
    <xf numFmtId="0" fontId="2" fillId="3" borderId="4" xfId="0" quotePrefix="1" applyFont="1" applyFill="1" applyBorder="1" applyAlignment="1">
      <alignment horizontal="center" vertical="center"/>
    </xf>
    <xf numFmtId="0" fontId="2" fillId="3" borderId="2" xfId="0" applyFont="1" applyFill="1" applyBorder="1" applyAlignment="1">
      <alignment horizontal="left" vertical="center"/>
    </xf>
    <xf numFmtId="0" fontId="2" fillId="3" borderId="4" xfId="0" applyFont="1" applyFill="1" applyBorder="1" applyAlignment="1">
      <alignment horizontal="left" vertical="center"/>
    </xf>
    <xf numFmtId="0" fontId="2" fillId="3" borderId="3" xfId="0" quotePrefix="1" applyFont="1" applyFill="1" applyBorder="1" applyAlignment="1">
      <alignment horizontal="center" vertical="center"/>
    </xf>
    <xf numFmtId="0" fontId="2" fillId="3" borderId="3" xfId="0" applyFont="1" applyFill="1" applyBorder="1" applyAlignment="1">
      <alignment horizontal="left" vertical="center"/>
    </xf>
    <xf numFmtId="0" fontId="2" fillId="3" borderId="9" xfId="0" quotePrefix="1" applyFont="1" applyFill="1" applyBorder="1" applyAlignment="1">
      <alignment horizontal="center" vertical="center"/>
    </xf>
    <xf numFmtId="0" fontId="2" fillId="3" borderId="9" xfId="0" applyFont="1" applyFill="1" applyBorder="1" applyAlignment="1">
      <alignment horizontal="left" vertical="center"/>
    </xf>
    <xf numFmtId="0" fontId="2" fillId="10" borderId="2" xfId="0" applyFont="1" applyFill="1" applyBorder="1" applyAlignment="1">
      <alignment horizontal="center" vertical="center"/>
    </xf>
    <xf numFmtId="0" fontId="2" fillId="10" borderId="3" xfId="0" applyFont="1" applyFill="1" applyBorder="1" applyAlignment="1">
      <alignment horizontal="center" vertical="center"/>
    </xf>
    <xf numFmtId="0" fontId="2" fillId="10" borderId="4" xfId="0" applyFont="1" applyFill="1" applyBorder="1" applyAlignment="1">
      <alignment horizontal="center" vertical="center"/>
    </xf>
    <xf numFmtId="0" fontId="2" fillId="10" borderId="2" xfId="0" quotePrefix="1" applyFont="1" applyFill="1" applyBorder="1" applyAlignment="1">
      <alignment horizontal="center" vertical="center"/>
    </xf>
    <xf numFmtId="0" fontId="2" fillId="10" borderId="3" xfId="0" quotePrefix="1" applyFont="1" applyFill="1" applyBorder="1" applyAlignment="1">
      <alignment horizontal="center" vertical="center"/>
    </xf>
    <xf numFmtId="0" fontId="2" fillId="10" borderId="4" xfId="0" quotePrefix="1" applyFont="1" applyFill="1" applyBorder="1" applyAlignment="1">
      <alignment horizontal="center" vertical="center"/>
    </xf>
    <xf numFmtId="0" fontId="2" fillId="10" borderId="2" xfId="0" applyFont="1" applyFill="1" applyBorder="1" applyAlignment="1">
      <alignment horizontal="left" vertical="center"/>
    </xf>
    <xf numFmtId="0" fontId="2" fillId="10" borderId="3" xfId="0" applyFont="1" applyFill="1" applyBorder="1" applyAlignment="1">
      <alignment horizontal="left" vertical="center"/>
    </xf>
    <xf numFmtId="0" fontId="2" fillId="10" borderId="4" xfId="0" applyFont="1" applyFill="1" applyBorder="1" applyAlignment="1">
      <alignment horizontal="left" vertical="center"/>
    </xf>
    <xf numFmtId="0" fontId="2" fillId="7" borderId="38" xfId="0" quotePrefix="1" applyFont="1" applyFill="1" applyBorder="1" applyAlignment="1">
      <alignment horizontal="center" vertical="center"/>
    </xf>
    <xf numFmtId="0" fontId="2" fillId="7" borderId="30" xfId="0" quotePrefix="1" applyFont="1" applyFill="1" applyBorder="1" applyAlignment="1">
      <alignment horizontal="center" vertical="center"/>
    </xf>
    <xf numFmtId="0" fontId="2" fillId="7" borderId="47" xfId="0" applyFont="1" applyFill="1" applyBorder="1" applyAlignment="1">
      <alignment horizontal="left" vertical="center"/>
    </xf>
    <xf numFmtId="0" fontId="2" fillId="7" borderId="38" xfId="0" applyFont="1" applyFill="1" applyBorder="1" applyAlignment="1">
      <alignment horizontal="left" vertical="center"/>
    </xf>
    <xf numFmtId="0" fontId="2" fillId="7" borderId="30" xfId="0" applyFont="1" applyFill="1" applyBorder="1" applyAlignment="1">
      <alignment horizontal="left" vertical="center"/>
    </xf>
    <xf numFmtId="0" fontId="11" fillId="8" borderId="41" xfId="0" applyFont="1" applyFill="1" applyBorder="1" applyAlignment="1">
      <alignment horizontal="center" vertical="center" wrapText="1"/>
    </xf>
    <xf numFmtId="0" fontId="11" fillId="8" borderId="42" xfId="0" applyFont="1" applyFill="1" applyBorder="1" applyAlignment="1">
      <alignment horizontal="center" vertical="center" wrapText="1"/>
    </xf>
    <xf numFmtId="0" fontId="11" fillId="8" borderId="43" xfId="0" applyFont="1" applyFill="1" applyBorder="1" applyAlignment="1">
      <alignment horizontal="center" vertical="center" wrapText="1"/>
    </xf>
    <xf numFmtId="0" fontId="11" fillId="8" borderId="44" xfId="0" applyFont="1" applyFill="1" applyBorder="1" applyAlignment="1">
      <alignment horizontal="center" vertical="center" wrapText="1"/>
    </xf>
    <xf numFmtId="0" fontId="11" fillId="8" borderId="0" xfId="0" applyFont="1" applyFill="1" applyAlignment="1">
      <alignment horizontal="center" vertical="center" wrapText="1"/>
    </xf>
    <xf numFmtId="0" fontId="11" fillId="8" borderId="45" xfId="0" applyFont="1" applyFill="1" applyBorder="1" applyAlignment="1">
      <alignment horizontal="center" vertical="center" wrapText="1"/>
    </xf>
    <xf numFmtId="0" fontId="10" fillId="8" borderId="44" xfId="0" applyFont="1" applyFill="1" applyBorder="1" applyAlignment="1">
      <alignment horizontal="center" vertical="center" textRotation="180"/>
    </xf>
    <xf numFmtId="0" fontId="10" fillId="8" borderId="0" xfId="0" applyFont="1" applyFill="1" applyAlignment="1">
      <alignment horizontal="center" vertical="center" textRotation="180"/>
    </xf>
    <xf numFmtId="0" fontId="10" fillId="8" borderId="45" xfId="0" applyFont="1" applyFill="1" applyBorder="1" applyAlignment="1">
      <alignment horizontal="center" vertical="center" textRotation="180"/>
    </xf>
    <xf numFmtId="0" fontId="2" fillId="9" borderId="2" xfId="0" applyFont="1" applyFill="1" applyBorder="1" applyAlignment="1">
      <alignment horizontal="center" vertical="center"/>
    </xf>
    <xf numFmtId="0" fontId="2" fillId="9" borderId="3" xfId="0" applyFont="1" applyFill="1" applyBorder="1" applyAlignment="1">
      <alignment horizontal="center" vertical="center"/>
    </xf>
    <xf numFmtId="0" fontId="2" fillId="9" borderId="4" xfId="0" applyFont="1" applyFill="1" applyBorder="1" applyAlignment="1">
      <alignment horizontal="center" vertical="center"/>
    </xf>
    <xf numFmtId="0" fontId="2" fillId="9" borderId="2" xfId="0" quotePrefix="1" applyFont="1" applyFill="1" applyBorder="1" applyAlignment="1">
      <alignment horizontal="center" vertical="center"/>
    </xf>
    <xf numFmtId="0" fontId="2" fillId="9" borderId="3" xfId="0" quotePrefix="1" applyFont="1" applyFill="1" applyBorder="1" applyAlignment="1">
      <alignment horizontal="center" vertical="center"/>
    </xf>
    <xf numFmtId="0" fontId="2" fillId="9" borderId="4" xfId="0" quotePrefix="1" applyFont="1" applyFill="1" applyBorder="1" applyAlignment="1">
      <alignment horizontal="center" vertical="center"/>
    </xf>
    <xf numFmtId="0" fontId="2" fillId="9" borderId="2" xfId="0" applyFont="1" applyFill="1" applyBorder="1" applyAlignment="1">
      <alignment horizontal="left" vertical="center"/>
    </xf>
    <xf numFmtId="0" fontId="2" fillId="9" borderId="3" xfId="0" applyFont="1" applyFill="1" applyBorder="1" applyAlignment="1">
      <alignment horizontal="left" vertical="center"/>
    </xf>
    <xf numFmtId="0" fontId="2" fillId="9" borderId="4" xfId="0" applyFont="1" applyFill="1" applyBorder="1" applyAlignment="1">
      <alignment horizontal="left" vertical="center"/>
    </xf>
    <xf numFmtId="0" fontId="2" fillId="3" borderId="10" xfId="0" quotePrefix="1" applyFont="1" applyFill="1" applyBorder="1" applyAlignment="1">
      <alignment horizontal="center" vertical="center"/>
    </xf>
    <xf numFmtId="0" fontId="2" fillId="3" borderId="10" xfId="0" applyFont="1" applyFill="1" applyBorder="1" applyAlignment="1">
      <alignment horizontal="left" vertical="center"/>
    </xf>
    <xf numFmtId="0" fontId="3" fillId="9" borderId="6" xfId="0" applyFont="1" applyFill="1" applyBorder="1" applyAlignment="1">
      <alignment horizontal="left" vertical="center"/>
    </xf>
    <xf numFmtId="0" fontId="2" fillId="9" borderId="6" xfId="0" applyFont="1" applyFill="1" applyBorder="1" applyAlignment="1">
      <alignment horizontal="center" vertical="center"/>
    </xf>
    <xf numFmtId="0" fontId="2" fillId="9" borderId="14" xfId="0" applyFont="1" applyFill="1" applyBorder="1" applyAlignment="1">
      <alignment horizontal="center" vertical="center"/>
    </xf>
    <xf numFmtId="0" fontId="2" fillId="9" borderId="15" xfId="0" applyFont="1" applyFill="1" applyBorder="1" applyAlignment="1">
      <alignment horizontal="center" vertical="center"/>
    </xf>
    <xf numFmtId="0" fontId="2" fillId="9" borderId="16" xfId="0" applyFont="1" applyFill="1" applyBorder="1" applyAlignment="1">
      <alignment horizontal="center" vertical="center"/>
    </xf>
    <xf numFmtId="0" fontId="2" fillId="9" borderId="6" xfId="0" applyFont="1" applyFill="1" applyBorder="1" applyAlignment="1">
      <alignment horizontal="left" vertical="center"/>
    </xf>
    <xf numFmtId="0" fontId="2" fillId="3" borderId="14" xfId="0" applyFont="1" applyFill="1" applyBorder="1" applyAlignment="1">
      <alignment horizontal="left" vertical="center"/>
    </xf>
    <xf numFmtId="0" fontId="2" fillId="3" borderId="15" xfId="0" applyFont="1" applyFill="1" applyBorder="1" applyAlignment="1">
      <alignment horizontal="left" vertical="center"/>
    </xf>
    <xf numFmtId="0" fontId="2" fillId="3" borderId="16" xfId="0" applyFont="1" applyFill="1" applyBorder="1" applyAlignment="1">
      <alignment horizontal="left" vertical="center"/>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4" borderId="9" xfId="0" quotePrefix="1" applyFont="1" applyFill="1" applyBorder="1" applyAlignment="1">
      <alignment horizontal="center" vertical="center"/>
    </xf>
    <xf numFmtId="0" fontId="2" fillId="4" borderId="3" xfId="0" quotePrefix="1" applyFont="1" applyFill="1" applyBorder="1" applyAlignment="1">
      <alignment horizontal="center" vertical="center"/>
    </xf>
    <xf numFmtId="0" fontId="2" fillId="4" borderId="4" xfId="0" quotePrefix="1" applyFont="1" applyFill="1" applyBorder="1" applyAlignment="1">
      <alignment horizontal="center" vertical="center"/>
    </xf>
    <xf numFmtId="0" fontId="2" fillId="4" borderId="9" xfId="0" applyFont="1" applyFill="1" applyBorder="1" applyAlignment="1">
      <alignment horizontal="left" vertical="center"/>
    </xf>
    <xf numFmtId="0" fontId="2" fillId="4" borderId="3" xfId="0" applyFont="1" applyFill="1" applyBorder="1" applyAlignment="1">
      <alignment horizontal="left" vertical="center"/>
    </xf>
    <xf numFmtId="0" fontId="2" fillId="4" borderId="4" xfId="0" applyFont="1" applyFill="1" applyBorder="1" applyAlignment="1">
      <alignment horizontal="left" vertical="center"/>
    </xf>
    <xf numFmtId="0" fontId="2" fillId="0" borderId="9" xfId="0" quotePrefix="1" applyFont="1" applyBorder="1" applyAlignment="1">
      <alignment horizontal="center" vertical="center"/>
    </xf>
    <xf numFmtId="0" fontId="2" fillId="0" borderId="9" xfId="0" applyFont="1" applyBorder="1" applyAlignment="1">
      <alignment horizontal="left" vertical="center"/>
    </xf>
    <xf numFmtId="0" fontId="2" fillId="11" borderId="2" xfId="0" quotePrefix="1" applyFont="1" applyFill="1" applyBorder="1" applyAlignment="1">
      <alignment horizontal="center" vertical="center"/>
    </xf>
    <xf numFmtId="0" fontId="2" fillId="11" borderId="3" xfId="0" quotePrefix="1" applyFont="1" applyFill="1" applyBorder="1" applyAlignment="1">
      <alignment horizontal="center" vertical="center"/>
    </xf>
    <xf numFmtId="0" fontId="2" fillId="11" borderId="4" xfId="0" quotePrefix="1" applyFont="1" applyFill="1" applyBorder="1" applyAlignment="1">
      <alignment horizontal="center" vertical="center"/>
    </xf>
    <xf numFmtId="0" fontId="2" fillId="11" borderId="2" xfId="0" applyFont="1" applyFill="1" applyBorder="1" applyAlignment="1">
      <alignment horizontal="left" vertical="center"/>
    </xf>
    <xf numFmtId="0" fontId="2" fillId="11" borderId="3" xfId="0" applyFont="1" applyFill="1" applyBorder="1" applyAlignment="1">
      <alignment horizontal="left" vertical="center"/>
    </xf>
    <xf numFmtId="0" fontId="2" fillId="11" borderId="4" xfId="0" applyFont="1" applyFill="1" applyBorder="1" applyAlignment="1">
      <alignment horizontal="left" vertical="center"/>
    </xf>
    <xf numFmtId="0" fontId="2" fillId="4" borderId="2" xfId="0" quotePrefix="1" applyFont="1" applyFill="1" applyBorder="1" applyAlignment="1">
      <alignment horizontal="center" vertical="center"/>
    </xf>
    <xf numFmtId="0" fontId="2" fillId="4" borderId="2" xfId="0" applyFont="1" applyFill="1" applyBorder="1" applyAlignment="1">
      <alignment horizontal="left" vertical="center"/>
    </xf>
    <xf numFmtId="0" fontId="2" fillId="0" borderId="10" xfId="0" quotePrefix="1" applyFont="1" applyBorder="1" applyAlignment="1">
      <alignment horizontal="center" vertical="center"/>
    </xf>
    <xf numFmtId="0" fontId="2" fillId="0" borderId="10" xfId="0" applyFont="1" applyBorder="1" applyAlignment="1">
      <alignment horizontal="left" vertical="center"/>
    </xf>
    <xf numFmtId="0" fontId="2" fillId="4" borderId="10" xfId="0" quotePrefix="1" applyFont="1" applyFill="1" applyBorder="1" applyAlignment="1">
      <alignment horizontal="center" vertical="center"/>
    </xf>
    <xf numFmtId="0" fontId="2" fillId="4" borderId="3" xfId="0" applyFont="1" applyFill="1" applyBorder="1" applyAlignment="1">
      <alignment horizontal="center" vertical="center"/>
    </xf>
    <xf numFmtId="0" fontId="2" fillId="4" borderId="10" xfId="0" applyFont="1" applyFill="1" applyBorder="1" applyAlignment="1">
      <alignment horizontal="center" vertical="center"/>
    </xf>
    <xf numFmtId="0" fontId="2" fillId="5" borderId="9" xfId="0" quotePrefix="1" applyFont="1" applyFill="1" applyBorder="1" applyAlignment="1">
      <alignment horizontal="center" vertical="center"/>
    </xf>
    <xf numFmtId="0" fontId="2" fillId="5" borderId="3" xfId="0" quotePrefix="1" applyFont="1" applyFill="1" applyBorder="1" applyAlignment="1">
      <alignment horizontal="center" vertical="center"/>
    </xf>
    <xf numFmtId="0" fontId="2" fillId="5" borderId="4" xfId="0" quotePrefix="1" applyFont="1" applyFill="1" applyBorder="1" applyAlignment="1">
      <alignment horizontal="center" vertical="center"/>
    </xf>
    <xf numFmtId="0" fontId="2" fillId="5" borderId="9" xfId="0" applyFont="1" applyFill="1" applyBorder="1" applyAlignment="1">
      <alignment horizontal="left" vertical="center"/>
    </xf>
    <xf numFmtId="0" fontId="2" fillId="5" borderId="3" xfId="0" applyFont="1" applyFill="1" applyBorder="1" applyAlignment="1">
      <alignment horizontal="left" vertical="center"/>
    </xf>
    <xf numFmtId="0" fontId="2" fillId="5" borderId="4" xfId="0" applyFont="1" applyFill="1" applyBorder="1" applyAlignment="1">
      <alignment horizontal="left" vertical="center"/>
    </xf>
    <xf numFmtId="0" fontId="2" fillId="0" borderId="15" xfId="0" applyFont="1" applyBorder="1" applyAlignment="1">
      <alignment horizontal="center" vertical="center"/>
    </xf>
    <xf numFmtId="0" fontId="2" fillId="0" borderId="16" xfId="0" applyFont="1" applyBorder="1" applyAlignment="1">
      <alignment horizontal="center" vertical="center"/>
    </xf>
    <xf numFmtId="0" fontId="2" fillId="17" borderId="2" xfId="0" quotePrefix="1" applyFont="1" applyFill="1" applyBorder="1" applyAlignment="1">
      <alignment horizontal="center" vertical="center"/>
    </xf>
    <xf numFmtId="0" fontId="2" fillId="17" borderId="4" xfId="0" quotePrefix="1" applyFont="1" applyFill="1" applyBorder="1" applyAlignment="1">
      <alignment horizontal="center" vertical="center"/>
    </xf>
    <xf numFmtId="0" fontId="2" fillId="17" borderId="2" xfId="0" applyFont="1" applyFill="1" applyBorder="1" applyAlignment="1">
      <alignment horizontal="left" vertical="center"/>
    </xf>
    <xf numFmtId="0" fontId="2" fillId="17" borderId="4" xfId="0" applyFont="1" applyFill="1" applyBorder="1" applyAlignment="1">
      <alignment horizontal="left" vertical="center"/>
    </xf>
    <xf numFmtId="0" fontId="2" fillId="0" borderId="2" xfId="0" applyFont="1" applyBorder="1" applyAlignment="1">
      <alignment horizontal="left" vertical="center" wrapText="1"/>
    </xf>
    <xf numFmtId="0" fontId="2" fillId="0" borderId="3" xfId="0" applyFont="1" applyBorder="1" applyAlignment="1">
      <alignment horizontal="left" vertical="center" wrapText="1"/>
    </xf>
    <xf numFmtId="0" fontId="2" fillId="0" borderId="4" xfId="0" applyFont="1" applyBorder="1" applyAlignment="1">
      <alignment horizontal="left" vertical="center" wrapText="1"/>
    </xf>
    <xf numFmtId="0" fontId="2" fillId="0" borderId="9" xfId="0" quotePrefix="1" applyFont="1" applyBorder="1" applyAlignment="1">
      <alignment horizontal="center" vertical="center" wrapText="1"/>
    </xf>
    <xf numFmtId="0" fontId="2" fillId="0" borderId="9" xfId="0" applyFont="1" applyBorder="1" applyAlignment="1">
      <alignment horizontal="left" vertical="center" wrapText="1"/>
    </xf>
    <xf numFmtId="0" fontId="2" fillId="3" borderId="2" xfId="0" quotePrefix="1" applyFont="1" applyFill="1" applyBorder="1" applyAlignment="1">
      <alignment horizontal="center" vertical="center" wrapText="1"/>
    </xf>
    <xf numFmtId="0" fontId="2" fillId="3" borderId="3" xfId="0" quotePrefix="1" applyFont="1" applyFill="1" applyBorder="1" applyAlignment="1">
      <alignment horizontal="center" vertical="center" wrapText="1"/>
    </xf>
    <xf numFmtId="0" fontId="2" fillId="3" borderId="4" xfId="0" quotePrefix="1" applyFont="1" applyFill="1" applyBorder="1" applyAlignment="1">
      <alignment horizontal="center" vertical="center" wrapText="1"/>
    </xf>
    <xf numFmtId="0" fontId="2" fillId="0" borderId="14" xfId="0" applyFont="1" applyBorder="1" applyAlignment="1">
      <alignment horizontal="left" vertical="center"/>
    </xf>
    <xf numFmtId="0" fontId="2" fillId="0" borderId="15" xfId="0" applyFont="1" applyBorder="1" applyAlignment="1">
      <alignment horizontal="left" vertical="center"/>
    </xf>
    <xf numFmtId="0" fontId="2" fillId="0" borderId="16" xfId="0" applyFont="1" applyBorder="1" applyAlignment="1">
      <alignment horizontal="left" vertical="center"/>
    </xf>
    <xf numFmtId="0" fontId="2" fillId="0" borderId="53" xfId="0" applyFont="1" applyBorder="1" applyAlignment="1">
      <alignment horizontal="left" vertical="center"/>
    </xf>
    <xf numFmtId="0" fontId="2" fillId="3" borderId="14" xfId="0" applyFont="1" applyFill="1" applyBorder="1" applyAlignment="1">
      <alignment horizontal="left" vertical="center" wrapText="1"/>
    </xf>
    <xf numFmtId="0" fontId="2" fillId="3" borderId="15" xfId="0" applyFont="1" applyFill="1" applyBorder="1" applyAlignment="1">
      <alignment horizontal="left" vertical="center" wrapText="1"/>
    </xf>
    <xf numFmtId="0" fontId="2" fillId="3" borderId="16" xfId="0" applyFont="1" applyFill="1" applyBorder="1" applyAlignment="1">
      <alignment horizontal="left" vertical="center" wrapText="1"/>
    </xf>
    <xf numFmtId="0" fontId="2" fillId="0" borderId="14" xfId="0" applyFont="1" applyBorder="1" applyAlignment="1">
      <alignment horizontal="left" vertical="center" wrapText="1"/>
    </xf>
    <xf numFmtId="0" fontId="2" fillId="0" borderId="15" xfId="0" applyFont="1" applyBorder="1" applyAlignment="1">
      <alignment horizontal="left" vertical="center" wrapText="1"/>
    </xf>
    <xf numFmtId="0" fontId="2" fillId="0" borderId="16" xfId="0" applyFont="1" applyBorder="1" applyAlignment="1">
      <alignment horizontal="left" vertical="center" wrapText="1"/>
    </xf>
    <xf numFmtId="0" fontId="0" fillId="0" borderId="52" xfId="0" applyBorder="1" applyAlignment="1">
      <alignment horizontal="center" wrapText="1"/>
    </xf>
  </cellXfs>
  <cellStyles count="1">
    <cellStyle name="Normal" xfId="0" builtinId="0"/>
  </cellStyles>
  <dxfs count="275">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colors>
    <mruColors>
      <color rgb="FF884E99"/>
      <color rgb="FFB8C2E6"/>
      <color rgb="FFCAEBD9"/>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C623-70B7-440C-A7BA-02BE72457507}">
  <sheetPr>
    <pageSetUpPr fitToPage="1"/>
  </sheetPr>
  <dimension ref="A1:G51"/>
  <sheetViews>
    <sheetView workbookViewId="0"/>
  </sheetViews>
  <sheetFormatPr defaultRowHeight="15"/>
  <cols>
    <col min="1" max="1" width="17.28515625" style="468" customWidth="1"/>
    <col min="2" max="2" width="17.28515625" style="441" customWidth="1"/>
    <col min="3" max="3" width="15.5703125" style="468" customWidth="1"/>
    <col min="4" max="4" width="57.28515625" style="468" bestFit="1" customWidth="1"/>
    <col min="5" max="5" width="13.7109375" style="439" customWidth="1"/>
    <col min="6" max="6" width="24.7109375" style="482" customWidth="1"/>
    <col min="7" max="7" width="38.28515625" style="482" customWidth="1"/>
    <col min="8" max="8" width="18.85546875" style="439" customWidth="1"/>
    <col min="9" max="16384" width="9.140625" style="439"/>
  </cols>
  <sheetData>
    <row r="1" spans="1:7">
      <c r="A1" s="437"/>
      <c r="B1" s="438" t="s">
        <v>0</v>
      </c>
      <c r="C1" s="437"/>
      <c r="D1" s="437"/>
      <c r="F1" s="763" t="s">
        <v>1</v>
      </c>
      <c r="G1" s="763"/>
    </row>
    <row r="2" spans="1:7">
      <c r="A2" s="764" t="s">
        <v>2</v>
      </c>
      <c r="C2" s="442" t="s">
        <v>3</v>
      </c>
      <c r="D2" s="443" t="s">
        <v>4</v>
      </c>
      <c r="F2" s="444" t="s">
        <v>5</v>
      </c>
      <c r="G2" s="445" t="s">
        <v>6</v>
      </c>
    </row>
    <row r="3" spans="1:7">
      <c r="A3" s="764"/>
      <c r="C3" s="446" t="s">
        <v>7</v>
      </c>
      <c r="D3" s="443" t="s">
        <v>8</v>
      </c>
      <c r="F3" s="447" t="s">
        <v>9</v>
      </c>
      <c r="G3" s="448" t="s">
        <v>10</v>
      </c>
    </row>
    <row r="4" spans="1:7">
      <c r="A4" s="764"/>
      <c r="C4" s="446" t="s">
        <v>11</v>
      </c>
      <c r="D4" s="443" t="s">
        <v>12</v>
      </c>
      <c r="F4" s="447" t="s">
        <v>13</v>
      </c>
      <c r="G4" s="449" t="s">
        <v>14</v>
      </c>
    </row>
    <row r="5" spans="1:7">
      <c r="A5" s="764"/>
      <c r="C5" s="446" t="s">
        <v>15</v>
      </c>
      <c r="D5" s="443" t="s">
        <v>16</v>
      </c>
      <c r="F5" s="440" t="s">
        <v>17</v>
      </c>
      <c r="G5" s="448" t="s">
        <v>18</v>
      </c>
    </row>
    <row r="6" spans="1:7">
      <c r="A6" s="764"/>
      <c r="C6" s="446" t="s">
        <v>19</v>
      </c>
      <c r="D6" s="443" t="s">
        <v>20</v>
      </c>
      <c r="F6" s="440" t="s">
        <v>21</v>
      </c>
      <c r="G6" s="448" t="s">
        <v>22</v>
      </c>
    </row>
    <row r="7" spans="1:7">
      <c r="A7" s="764"/>
      <c r="B7" s="450" t="s">
        <v>23</v>
      </c>
      <c r="C7" s="446" t="s">
        <v>24</v>
      </c>
      <c r="D7" s="443" t="s">
        <v>25</v>
      </c>
      <c r="F7" s="440" t="s">
        <v>26</v>
      </c>
      <c r="G7" s="448" t="s">
        <v>27</v>
      </c>
    </row>
    <row r="8" spans="1:7">
      <c r="A8" s="764"/>
      <c r="B8" s="450" t="s">
        <v>23</v>
      </c>
      <c r="C8" s="446" t="s">
        <v>28</v>
      </c>
      <c r="D8" s="443" t="s">
        <v>29</v>
      </c>
      <c r="F8" s="451" t="s">
        <v>30</v>
      </c>
      <c r="G8" s="452" t="s">
        <v>31</v>
      </c>
    </row>
    <row r="9" spans="1:7">
      <c r="A9" s="764"/>
      <c r="C9" s="456" t="s">
        <v>32</v>
      </c>
      <c r="D9" s="443" t="s">
        <v>33</v>
      </c>
      <c r="F9" s="453" t="s">
        <v>34</v>
      </c>
      <c r="G9" s="454" t="s">
        <v>35</v>
      </c>
    </row>
    <row r="10" spans="1:7">
      <c r="A10" s="764"/>
      <c r="B10" s="455"/>
      <c r="C10" s="446" t="s">
        <v>36</v>
      </c>
      <c r="D10" s="443" t="s">
        <v>37</v>
      </c>
      <c r="F10" s="488" t="s">
        <v>38</v>
      </c>
      <c r="G10" s="457" t="s">
        <v>39</v>
      </c>
    </row>
    <row r="11" spans="1:7">
      <c r="A11" s="764"/>
      <c r="C11" s="446" t="s">
        <v>40</v>
      </c>
      <c r="D11" s="443" t="s">
        <v>41</v>
      </c>
      <c r="F11" s="453" t="s">
        <v>42</v>
      </c>
      <c r="G11" s="490" t="s">
        <v>43</v>
      </c>
    </row>
    <row r="12" spans="1:7">
      <c r="A12" s="764"/>
      <c r="C12" s="446" t="s">
        <v>44</v>
      </c>
      <c r="D12" s="443" t="s">
        <v>45</v>
      </c>
      <c r="F12" s="489" t="s">
        <v>46</v>
      </c>
      <c r="G12" s="454" t="s">
        <v>47</v>
      </c>
    </row>
    <row r="13" spans="1:7">
      <c r="A13" s="764"/>
      <c r="C13" s="446" t="s">
        <v>48</v>
      </c>
      <c r="D13" s="443" t="s">
        <v>49</v>
      </c>
      <c r="F13" s="458"/>
      <c r="G13" s="449"/>
    </row>
    <row r="14" spans="1:7">
      <c r="A14" s="764"/>
      <c r="C14" s="446" t="s">
        <v>50</v>
      </c>
      <c r="D14" s="459" t="s">
        <v>51</v>
      </c>
      <c r="F14" s="457"/>
      <c r="G14" s="448"/>
    </row>
    <row r="15" spans="1:7">
      <c r="A15" s="764"/>
      <c r="C15" s="446" t="s">
        <v>52</v>
      </c>
      <c r="D15" s="443" t="s">
        <v>53</v>
      </c>
      <c r="F15" s="457"/>
      <c r="G15" s="448"/>
    </row>
    <row r="17" spans="1:4">
      <c r="A17" s="765" t="s">
        <v>54</v>
      </c>
      <c r="B17" s="495" t="s">
        <v>23</v>
      </c>
      <c r="C17" s="443" t="s">
        <v>55</v>
      </c>
      <c r="D17" s="496" t="s">
        <v>56</v>
      </c>
    </row>
    <row r="18" spans="1:4">
      <c r="A18" s="765"/>
      <c r="B18" s="450" t="s">
        <v>23</v>
      </c>
      <c r="C18" s="446" t="s">
        <v>57</v>
      </c>
      <c r="D18" s="443" t="s">
        <v>58</v>
      </c>
    </row>
    <row r="19" spans="1:4">
      <c r="A19" s="765"/>
      <c r="B19" s="455"/>
      <c r="C19" s="446" t="s">
        <v>59</v>
      </c>
      <c r="D19" s="443" t="s">
        <v>60</v>
      </c>
    </row>
    <row r="20" spans="1:4">
      <c r="A20" s="765"/>
      <c r="C20" s="446" t="s">
        <v>42</v>
      </c>
      <c r="D20" s="443" t="s">
        <v>43</v>
      </c>
    </row>
    <row r="21" spans="1:4">
      <c r="A21" s="765"/>
      <c r="C21" s="446" t="s">
        <v>61</v>
      </c>
      <c r="D21" s="443" t="s">
        <v>62</v>
      </c>
    </row>
    <row r="22" spans="1:4">
      <c r="A22" s="765"/>
      <c r="C22" s="446" t="s">
        <v>63</v>
      </c>
      <c r="D22" s="443" t="s">
        <v>64</v>
      </c>
    </row>
    <row r="23" spans="1:4">
      <c r="A23" s="765"/>
      <c r="B23" s="450" t="s">
        <v>23</v>
      </c>
      <c r="C23" s="446" t="s">
        <v>65</v>
      </c>
      <c r="D23" s="443" t="s">
        <v>66</v>
      </c>
    </row>
    <row r="24" spans="1:4">
      <c r="A24" s="461"/>
      <c r="B24" s="462"/>
      <c r="C24" s="463" t="s">
        <v>67</v>
      </c>
      <c r="D24" s="464" t="s">
        <v>68</v>
      </c>
    </row>
    <row r="25" spans="1:4">
      <c r="A25" s="461"/>
      <c r="B25" s="455"/>
      <c r="C25" s="465" t="s">
        <v>69</v>
      </c>
      <c r="D25" s="465" t="s">
        <v>70</v>
      </c>
    </row>
    <row r="26" spans="1:4" ht="14.25" customHeight="1">
      <c r="A26" s="460"/>
      <c r="B26" s="466"/>
      <c r="C26" s="437"/>
      <c r="D26" s="437"/>
    </row>
    <row r="27" spans="1:4" ht="24" customHeight="1">
      <c r="A27" s="761" t="s">
        <v>71</v>
      </c>
      <c r="C27" s="442" t="s">
        <v>72</v>
      </c>
      <c r="D27" s="443" t="s">
        <v>73</v>
      </c>
    </row>
    <row r="28" spans="1:4" ht="25.5" customHeight="1">
      <c r="A28" s="761"/>
      <c r="C28" s="446" t="s">
        <v>74</v>
      </c>
      <c r="D28" s="443" t="s">
        <v>75</v>
      </c>
    </row>
    <row r="29" spans="1:4" ht="30" customHeight="1">
      <c r="A29" s="761"/>
      <c r="C29" s="492" t="s">
        <v>76</v>
      </c>
      <c r="D29" s="493" t="s">
        <v>77</v>
      </c>
    </row>
    <row r="30" spans="1:4" ht="30" customHeight="1">
      <c r="A30" s="761"/>
      <c r="B30" s="474"/>
      <c r="C30" s="491" t="s">
        <v>78</v>
      </c>
      <c r="D30" s="443" t="s">
        <v>79</v>
      </c>
    </row>
    <row r="31" spans="1:4" ht="30" customHeight="1">
      <c r="A31" s="761"/>
      <c r="B31" s="474"/>
      <c r="C31" s="491" t="s">
        <v>80</v>
      </c>
      <c r="D31" s="443" t="s">
        <v>81</v>
      </c>
    </row>
    <row r="33" spans="1:4">
      <c r="A33" s="762" t="s">
        <v>82</v>
      </c>
      <c r="B33" s="450" t="s">
        <v>23</v>
      </c>
      <c r="C33" s="442" t="s">
        <v>83</v>
      </c>
      <c r="D33" s="443" t="s">
        <v>84</v>
      </c>
    </row>
    <row r="34" spans="1:4">
      <c r="A34" s="762"/>
      <c r="C34" s="446" t="s">
        <v>85</v>
      </c>
      <c r="D34" s="443" t="s">
        <v>86</v>
      </c>
    </row>
    <row r="35" spans="1:4">
      <c r="A35" s="762"/>
      <c r="C35" s="446" t="s">
        <v>87</v>
      </c>
      <c r="D35" s="443" t="s">
        <v>88</v>
      </c>
    </row>
    <row r="36" spans="1:4">
      <c r="A36" s="762"/>
      <c r="C36" s="446" t="s">
        <v>89</v>
      </c>
      <c r="D36" s="443" t="s">
        <v>90</v>
      </c>
    </row>
    <row r="37" spans="1:4">
      <c r="A37" s="762"/>
      <c r="C37" s="446" t="s">
        <v>91</v>
      </c>
      <c r="D37" s="443" t="s">
        <v>92</v>
      </c>
    </row>
    <row r="38" spans="1:4">
      <c r="A38" s="762"/>
      <c r="C38" s="446" t="s">
        <v>93</v>
      </c>
      <c r="D38" s="443" t="s">
        <v>94</v>
      </c>
    </row>
    <row r="39" spans="1:4">
      <c r="A39" s="762"/>
      <c r="C39" s="446" t="s">
        <v>95</v>
      </c>
      <c r="D39" s="443" t="s">
        <v>96</v>
      </c>
    </row>
    <row r="40" spans="1:4">
      <c r="A40" s="762"/>
      <c r="C40" s="467" t="s">
        <v>97</v>
      </c>
      <c r="D40" s="443" t="s">
        <v>98</v>
      </c>
    </row>
    <row r="41" spans="1:4">
      <c r="A41" s="762"/>
      <c r="C41" s="492" t="s">
        <v>99</v>
      </c>
      <c r="D41" s="493" t="s">
        <v>100</v>
      </c>
    </row>
    <row r="42" spans="1:4">
      <c r="A42" s="762"/>
      <c r="B42" s="474"/>
      <c r="C42" s="494"/>
      <c r="D42" s="494"/>
    </row>
    <row r="43" spans="1:4">
      <c r="A43"/>
      <c r="B43"/>
      <c r="C43"/>
      <c r="D43"/>
    </row>
    <row r="44" spans="1:4" ht="27.75">
      <c r="A44" s="469" t="s">
        <v>101</v>
      </c>
      <c r="C44" s="470" t="s">
        <v>102</v>
      </c>
      <c r="D44" s="471" t="s">
        <v>103</v>
      </c>
    </row>
    <row r="45" spans="1:4">
      <c r="A45" s="472"/>
      <c r="B45" s="439"/>
      <c r="C45" s="439"/>
      <c r="D45" s="439"/>
    </row>
    <row r="46" spans="1:4" ht="57" hidden="1">
      <c r="A46" s="473" t="s">
        <v>104</v>
      </c>
      <c r="B46" s="474"/>
      <c r="C46" s="475"/>
      <c r="D46" s="476"/>
    </row>
    <row r="47" spans="1:4">
      <c r="A47" s="472"/>
      <c r="B47" s="439"/>
      <c r="C47" s="439"/>
      <c r="D47" s="439"/>
    </row>
    <row r="48" spans="1:4" ht="90.75" customHeight="1">
      <c r="A48" s="760" t="s">
        <v>105</v>
      </c>
      <c r="B48" s="477"/>
      <c r="C48" s="478" t="s">
        <v>106</v>
      </c>
      <c r="D48" s="479" t="s">
        <v>107</v>
      </c>
    </row>
    <row r="49" spans="1:4">
      <c r="A49" s="760"/>
      <c r="C49" s="480" t="s">
        <v>108</v>
      </c>
      <c r="D49" s="481" t="s">
        <v>109</v>
      </c>
    </row>
    <row r="50" spans="1:4">
      <c r="A50" s="439"/>
      <c r="B50" s="439"/>
      <c r="C50" s="439"/>
      <c r="D50" s="439"/>
    </row>
    <row r="51" spans="1:4">
      <c r="A51" s="439"/>
      <c r="B51" s="439"/>
      <c r="C51" s="439"/>
      <c r="D51" s="439" t="s">
        <v>110</v>
      </c>
    </row>
  </sheetData>
  <mergeCells count="6">
    <mergeCell ref="A48:A49"/>
    <mergeCell ref="A27:A31"/>
    <mergeCell ref="A33:A42"/>
    <mergeCell ref="F1:G1"/>
    <mergeCell ref="A2:A15"/>
    <mergeCell ref="A17:A23"/>
  </mergeCells>
  <conditionalFormatting sqref="F3:F4">
    <cfRule type="expression" dxfId="274" priority="13">
      <formula>$Q4="IN PROGRESS"</formula>
    </cfRule>
    <cfRule type="expression" dxfId="273" priority="14">
      <formula>$Q4="N"</formula>
    </cfRule>
    <cfRule type="expression" dxfId="272" priority="15">
      <formula>$Q4="Y"</formula>
    </cfRule>
  </conditionalFormatting>
  <conditionalFormatting sqref="C46">
    <cfRule type="expression" dxfId="271" priority="10">
      <formula>$M47="IN PROGRESS"</formula>
    </cfRule>
    <cfRule type="expression" dxfId="270" priority="11">
      <formula>$M47="N"</formula>
    </cfRule>
    <cfRule type="expression" dxfId="269" priority="12">
      <formula>$M47="Y"</formula>
    </cfRule>
  </conditionalFormatting>
  <conditionalFormatting sqref="C9">
    <cfRule type="expression" dxfId="268" priority="7">
      <formula>$H10="IN PROGRESS"</formula>
    </cfRule>
    <cfRule type="expression" dxfId="267" priority="8">
      <formula>$H10="Rejected"</formula>
    </cfRule>
  </conditionalFormatting>
  <conditionalFormatting sqref="C9">
    <cfRule type="expression" dxfId="266" priority="9">
      <formula>$H10="Accepted"</formula>
    </cfRule>
  </conditionalFormatting>
  <conditionalFormatting sqref="C30">
    <cfRule type="expression" dxfId="265" priority="4">
      <formula>#REF!="IN PROGRESS"</formula>
    </cfRule>
    <cfRule type="expression" dxfId="264" priority="5">
      <formula>#REF!="N"</formula>
    </cfRule>
    <cfRule type="expression" dxfId="263" priority="6">
      <formula>#REF!="Y"</formula>
    </cfRule>
  </conditionalFormatting>
  <conditionalFormatting sqref="C31">
    <cfRule type="expression" dxfId="262" priority="1">
      <formula>#REF!="IN PROGRESS"</formula>
    </cfRule>
    <cfRule type="expression" dxfId="261" priority="2">
      <formula>#REF!="N"</formula>
    </cfRule>
    <cfRule type="expression" dxfId="260" priority="3">
      <formula>#REF!="Y"</formula>
    </cfRule>
  </conditionalFormatting>
  <pageMargins left="0.7" right="0.7" top="0.75" bottom="0.75" header="0.3" footer="0.3"/>
  <pageSetup fitToHeight="0"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58FF7-A696-4DA2-86B6-D71A76F94F04}">
  <dimension ref="A1:P296"/>
  <sheetViews>
    <sheetView zoomScale="70" zoomScaleNormal="70" workbookViewId="0">
      <selection activeCell="I14" sqref="I14"/>
    </sheetView>
  </sheetViews>
  <sheetFormatPr defaultRowHeight="15"/>
  <cols>
    <col min="1" max="1" width="11" bestFit="1" customWidth="1"/>
    <col min="3" max="3" width="22.28515625" bestFit="1" customWidth="1"/>
    <col min="4" max="4" width="22.28515625" customWidth="1"/>
    <col min="5" max="5" width="12.28515625" customWidth="1"/>
    <col min="7" max="7" width="91.5703125" customWidth="1"/>
    <col min="8" max="9" width="15" customWidth="1"/>
    <col min="10" max="10" width="13.5703125" customWidth="1"/>
    <col min="12" max="12" width="2.140625" customWidth="1"/>
    <col min="17" max="17" width="1.85546875" customWidth="1"/>
  </cols>
  <sheetData>
    <row r="1" spans="1:16" ht="32.450000000000003" customHeight="1">
      <c r="A1" s="775" t="s">
        <v>111</v>
      </c>
      <c r="B1" s="776"/>
      <c r="C1" s="776"/>
      <c r="D1" s="776"/>
      <c r="E1" s="776"/>
      <c r="F1" s="776"/>
      <c r="G1" s="776"/>
      <c r="H1" s="155"/>
      <c r="I1" s="155"/>
      <c r="L1" s="318"/>
      <c r="M1" s="315"/>
      <c r="N1" s="316"/>
      <c r="O1" s="316"/>
      <c r="P1" s="317"/>
    </row>
    <row r="2" spans="1:16" ht="40.5">
      <c r="A2" s="283" t="s">
        <v>112</v>
      </c>
      <c r="B2" s="284" t="s">
        <v>113</v>
      </c>
      <c r="C2" s="284" t="s">
        <v>114</v>
      </c>
      <c r="D2" s="284" t="s">
        <v>115</v>
      </c>
      <c r="E2" s="284" t="s">
        <v>116</v>
      </c>
      <c r="F2" s="284" t="s">
        <v>117</v>
      </c>
      <c r="G2" s="284" t="s">
        <v>118</v>
      </c>
      <c r="H2" s="291" t="s">
        <v>119</v>
      </c>
      <c r="I2" s="291" t="s">
        <v>120</v>
      </c>
      <c r="J2" s="291" t="s">
        <v>121</v>
      </c>
      <c r="K2" s="292" t="s">
        <v>122</v>
      </c>
      <c r="L2" s="320"/>
      <c r="M2" s="312" t="s">
        <v>123</v>
      </c>
      <c r="N2" s="294" t="s">
        <v>124</v>
      </c>
      <c r="O2" s="295" t="s">
        <v>125</v>
      </c>
      <c r="P2" s="296" t="s">
        <v>126</v>
      </c>
    </row>
    <row r="3" spans="1:16" ht="15" customHeight="1">
      <c r="A3" s="21"/>
      <c r="B3" s="777" t="s">
        <v>127</v>
      </c>
      <c r="C3" s="779" t="s">
        <v>128</v>
      </c>
      <c r="D3" s="46"/>
      <c r="E3" s="46" t="s">
        <v>129</v>
      </c>
      <c r="F3" s="21" t="s">
        <v>130</v>
      </c>
      <c r="G3" s="46" t="s">
        <v>131</v>
      </c>
      <c r="H3" s="20"/>
      <c r="I3" s="20"/>
      <c r="J3" s="511" t="str" cm="1">
        <f t="array" ref="J3">IF(ISBLANK(I3), IF(ISBLANK(H3), "N/A", _xlfn.IFS(K3="AS", H3+15, K3="NCR", H3+30, K3="submitted", H3+30, TRUE, "N/A")), _xlfn.IFS(K3="AS", I3+15, K3="NCR", I3+30, K3="submitted", I3+30, TRUE, "N/A"))</f>
        <v>N/A</v>
      </c>
      <c r="K3" s="97"/>
      <c r="L3" s="318"/>
      <c r="M3" s="766" t="s">
        <v>132</v>
      </c>
      <c r="N3" s="767"/>
      <c r="O3" s="767"/>
      <c r="P3" s="768"/>
    </row>
    <row r="4" spans="1:16" ht="15" customHeight="1">
      <c r="A4" s="9"/>
      <c r="B4" s="778"/>
      <c r="C4" s="780"/>
      <c r="D4" s="13"/>
      <c r="E4" s="13" t="s">
        <v>129</v>
      </c>
      <c r="F4" s="9" t="s">
        <v>133</v>
      </c>
      <c r="G4" s="13" t="s">
        <v>134</v>
      </c>
      <c r="H4" s="20"/>
      <c r="I4" s="20"/>
      <c r="J4" s="511" t="str" cm="1">
        <f t="array" ref="J4">IF(ISBLANK(I4), IF(ISBLANK(H4), "N/A", _xlfn.IFS(K4="AS", H4+15, K4="NCR", H4+30, K4="submitted", H4+30, TRUE, "N/A")), _xlfn.IFS(K4="AS", I4+15, K4="NCR", I4+30, K4="submitted", I4+30, TRUE, "N/A"))</f>
        <v>N/A</v>
      </c>
      <c r="K4" s="11"/>
      <c r="L4" s="318"/>
      <c r="M4" s="769"/>
      <c r="N4" s="770"/>
      <c r="O4" s="770"/>
      <c r="P4" s="771"/>
    </row>
    <row r="5" spans="1:16" ht="15" customHeight="1">
      <c r="A5" s="9"/>
      <c r="B5" s="778"/>
      <c r="C5" s="780"/>
      <c r="D5" s="13"/>
      <c r="E5" s="13" t="s">
        <v>129</v>
      </c>
      <c r="F5" s="9" t="s">
        <v>135</v>
      </c>
      <c r="G5" s="13" t="s">
        <v>136</v>
      </c>
      <c r="H5" s="20"/>
      <c r="I5" s="20"/>
      <c r="J5" s="511" t="str" cm="1">
        <f t="array" ref="J5">IF(ISBLANK(I5), IF(ISBLANK(H5), "N/A", _xlfn.IFS(K5="AS", H5+15, K5="NCR", H5+30, K5="submitted", H5+30, TRUE, "N/A")), _xlfn.IFS(K5="AS", I5+15, K5="NCR", I5+30, K5="submitted", I5+30, TRUE, "N/A"))</f>
        <v>N/A</v>
      </c>
      <c r="K5" s="11"/>
      <c r="L5" s="318"/>
      <c r="M5" s="769"/>
      <c r="N5" s="770"/>
      <c r="O5" s="770"/>
      <c r="P5" s="771"/>
    </row>
    <row r="6" spans="1:16" ht="15" customHeight="1">
      <c r="A6" s="9"/>
      <c r="B6" s="778"/>
      <c r="C6" s="780"/>
      <c r="D6" s="13"/>
      <c r="E6" s="13" t="s">
        <v>129</v>
      </c>
      <c r="F6" s="8" t="s">
        <v>137</v>
      </c>
      <c r="G6" s="37" t="s">
        <v>138</v>
      </c>
      <c r="H6" s="20"/>
      <c r="I6" s="20"/>
      <c r="J6" s="511" t="str" cm="1">
        <f t="array" ref="J6">IF(ISBLANK(I6), IF(ISBLANK(H6), "N/A", _xlfn.IFS(K6="AS", H6+15, K6="NCR", H6+30, K6="submitted", H6+30, TRUE, "N/A")), _xlfn.IFS(K6="AS", I6+15, K6="NCR", I6+30, K6="submitted", I6+30, TRUE, "N/A"))</f>
        <v>N/A</v>
      </c>
      <c r="K6" s="11"/>
      <c r="L6" s="318"/>
      <c r="M6" s="769"/>
      <c r="N6" s="770"/>
      <c r="O6" s="770"/>
      <c r="P6" s="771"/>
    </row>
    <row r="7" spans="1:16" s="149" customFormat="1" ht="15" customHeight="1">
      <c r="A7" s="147" t="s">
        <v>139</v>
      </c>
      <c r="B7" s="246" t="s">
        <v>140</v>
      </c>
      <c r="C7" s="232" t="s">
        <v>141</v>
      </c>
      <c r="D7" s="177" t="s">
        <v>142</v>
      </c>
      <c r="E7" s="167" t="s">
        <v>143</v>
      </c>
      <c r="F7" s="247" t="s">
        <v>144</v>
      </c>
      <c r="G7" s="168" t="s">
        <v>145</v>
      </c>
      <c r="H7" s="237">
        <v>45762</v>
      </c>
      <c r="I7" s="237">
        <v>45770</v>
      </c>
      <c r="J7" s="511" t="str" cm="1">
        <f t="array" ref="J7">IF(ISBLANK(I7), IF(ISBLANK(H7), "N/A", _xlfn.IFS(K7="AS", H7+15, K7="NCR", H7+30, K7="submitted", H7+30, TRUE, "N/A")), _xlfn.IFS(K7="AS", I7+15, K7="NCR", I7+30, K7="submitted", I7+30, TRUE, "N/A"))</f>
        <v>N/A</v>
      </c>
      <c r="K7" s="212" t="s">
        <v>146</v>
      </c>
      <c r="L7" s="318"/>
      <c r="M7" s="772" t="s">
        <v>147</v>
      </c>
      <c r="N7" s="773"/>
      <c r="O7" s="773"/>
      <c r="P7" s="774"/>
    </row>
    <row r="8" spans="1:16" s="151" customFormat="1" ht="15" customHeight="1">
      <c r="A8" s="152" t="s">
        <v>148</v>
      </c>
      <c r="B8" s="170" t="s">
        <v>140</v>
      </c>
      <c r="C8" s="261" t="s">
        <v>141</v>
      </c>
      <c r="D8" s="390" t="s">
        <v>149</v>
      </c>
      <c r="E8" s="163" t="s">
        <v>143</v>
      </c>
      <c r="F8" s="198" t="s">
        <v>144</v>
      </c>
      <c r="G8" s="159" t="s">
        <v>145</v>
      </c>
      <c r="H8" s="391">
        <v>45790</v>
      </c>
      <c r="I8" s="391">
        <v>45881</v>
      </c>
      <c r="J8" s="511" t="str" cm="1">
        <f t="array" ref="J8">IF(ISBLANK(I8), IF(ISBLANK(H8), "N/A", _xlfn.IFS(K8="AS", H8+15, K8="NCR", H8+30, K8="submitted", H8+30, TRUE, "N/A")), _xlfn.IFS(K8="AS", I8+15, K8="NCR", I8+30, K8="submitted", I8+30, TRUE, "N/A"))</f>
        <v>N/A</v>
      </c>
      <c r="K8" s="172" t="s">
        <v>150</v>
      </c>
      <c r="L8" s="318"/>
      <c r="M8" s="772"/>
      <c r="N8" s="773"/>
      <c r="O8" s="773"/>
      <c r="P8" s="774"/>
    </row>
    <row r="9" spans="1:16" s="149" customFormat="1" ht="15" customHeight="1">
      <c r="A9" s="147" t="s">
        <v>13</v>
      </c>
      <c r="B9" s="246" t="s">
        <v>151</v>
      </c>
      <c r="C9" s="333" t="s">
        <v>141</v>
      </c>
      <c r="D9" s="333"/>
      <c r="E9" s="148" t="s">
        <v>143</v>
      </c>
      <c r="F9" s="241" t="s">
        <v>130</v>
      </c>
      <c r="G9" s="218" t="s">
        <v>152</v>
      </c>
      <c r="H9" s="237">
        <v>45784</v>
      </c>
      <c r="I9" s="237">
        <v>45800</v>
      </c>
      <c r="J9" s="511" t="str" cm="1">
        <f t="array" ref="J9">IF(ISBLANK(I9), IF(ISBLANK(H9), "N/A", _xlfn.IFS(K9="AS", H9+15, K9="NCR", H9+30, K9="submitted", H9+30, TRUE, "N/A")), _xlfn.IFS(K9="AS", I9+15, K9="NCR", I9+30, K9="submitted", I9+30, TRUE, "N/A"))</f>
        <v>N/A</v>
      </c>
      <c r="K9" s="212" t="s">
        <v>146</v>
      </c>
      <c r="L9" s="318"/>
      <c r="M9" s="772"/>
      <c r="N9" s="773"/>
      <c r="O9" s="773"/>
      <c r="P9" s="774"/>
    </row>
    <row r="10" spans="1:16" s="537" customFormat="1" ht="15" customHeight="1">
      <c r="A10" s="618" t="s">
        <v>153</v>
      </c>
      <c r="B10" s="619" t="s">
        <v>151</v>
      </c>
      <c r="C10" s="620" t="s">
        <v>141</v>
      </c>
      <c r="D10" s="620"/>
      <c r="E10" s="621" t="s">
        <v>143</v>
      </c>
      <c r="F10" s="622" t="s">
        <v>130</v>
      </c>
      <c r="G10" s="623" t="s">
        <v>152</v>
      </c>
      <c r="H10" s="624">
        <v>45915</v>
      </c>
      <c r="I10" s="624"/>
      <c r="J10" s="511" cm="1">
        <f t="array" ref="J10">IF(ISBLANK(I10), IF(ISBLANK(H10), "N/A", _xlfn.IFS(K10="AS", H10+15, K10="NCR", H10+30, K10="submitted", H10+30, TRUE, "N/A")), _xlfn.IFS(K10="AS", I10+15, K10="NCR", I10+30, K10="submitted", I10+30, TRUE, "N/A"))</f>
        <v>45945</v>
      </c>
      <c r="K10" s="625" t="s">
        <v>154</v>
      </c>
      <c r="L10" s="318"/>
      <c r="M10" s="772"/>
      <c r="N10" s="773"/>
      <c r="O10" s="773"/>
      <c r="P10" s="774"/>
    </row>
    <row r="11" spans="1:16" ht="15" customHeight="1">
      <c r="A11" s="112"/>
      <c r="B11" s="245" t="s">
        <v>155</v>
      </c>
      <c r="C11" s="244" t="s">
        <v>141</v>
      </c>
      <c r="D11" s="244"/>
      <c r="E11" s="113" t="s">
        <v>143</v>
      </c>
      <c r="F11" s="112" t="s">
        <v>133</v>
      </c>
      <c r="G11" s="113" t="s">
        <v>156</v>
      </c>
      <c r="H11" s="242"/>
      <c r="I11" s="242"/>
      <c r="J11" s="511" t="str" cm="1">
        <f t="array" ref="J11">IF(ISBLANK(I11), IF(ISBLANK(H11), "N/A", _xlfn.IFS(K11="AS", H11+15, K11="NCR", H11+30, K11="submitted", H11+30, TRUE, "N/A")), _xlfn.IFS(K11="AS", I11+15, K11="NCR", I11+30, K11="submitted", I11+30, TRUE, "N/A"))</f>
        <v>N/A</v>
      </c>
      <c r="L11" s="318"/>
      <c r="M11" s="772"/>
      <c r="N11" s="773"/>
      <c r="O11" s="773"/>
      <c r="P11" s="774"/>
    </row>
    <row r="12" spans="1:16" ht="15" customHeight="1">
      <c r="A12" s="112"/>
      <c r="B12" s="245" t="s">
        <v>157</v>
      </c>
      <c r="C12" s="244" t="s">
        <v>141</v>
      </c>
      <c r="D12" s="244"/>
      <c r="E12" s="113" t="s">
        <v>158</v>
      </c>
      <c r="F12" s="112" t="s">
        <v>135</v>
      </c>
      <c r="G12" s="113" t="s">
        <v>159</v>
      </c>
      <c r="H12" s="242"/>
      <c r="I12" s="242"/>
      <c r="J12" s="511" t="str" cm="1">
        <f t="array" ref="J12">IF(ISBLANK(I12), IF(ISBLANK(H12), "N/A", _xlfn.IFS(K12="AS", H12+15, K12="NCR", H12+30, K12="submitted", H12+30, TRUE, "N/A")), _xlfn.IFS(K12="AS", I12+15, K12="NCR", I12+30, K12="submitted", I12+30, TRUE, "N/A"))</f>
        <v>N/A</v>
      </c>
      <c r="L12" s="319"/>
      <c r="M12" s="772"/>
      <c r="N12" s="773"/>
      <c r="O12" s="773"/>
      <c r="P12" s="774"/>
    </row>
    <row r="13" spans="1:16" ht="15" customHeight="1">
      <c r="A13" s="112"/>
      <c r="B13" s="245" t="s">
        <v>160</v>
      </c>
      <c r="C13" s="244" t="s">
        <v>141</v>
      </c>
      <c r="D13" s="244"/>
      <c r="E13" s="113" t="s">
        <v>143</v>
      </c>
      <c r="F13" s="112" t="s">
        <v>137</v>
      </c>
      <c r="G13" s="113" t="s">
        <v>161</v>
      </c>
      <c r="H13" s="242"/>
      <c r="I13" s="242"/>
      <c r="J13" s="511" t="str" cm="1">
        <f t="array" ref="J13">IF(ISBLANK(I13), IF(ISBLANK(H13), "N/A", _xlfn.IFS(K13="AS", H13+15, K13="NCR", H13+30, K13="submitted", H13+30, TRUE, "N/A")), _xlfn.IFS(K13="AS", I13+15, K13="NCR", I13+30, K13="submitted", I13+30, TRUE, "N/A"))</f>
        <v>N/A</v>
      </c>
      <c r="L13" s="318"/>
      <c r="M13" s="772"/>
      <c r="N13" s="773"/>
      <c r="O13" s="773"/>
      <c r="P13" s="774"/>
    </row>
    <row r="14" spans="1:16" ht="15" customHeight="1">
      <c r="A14" s="112"/>
      <c r="B14" s="245" t="s">
        <v>162</v>
      </c>
      <c r="C14" s="244" t="s">
        <v>141</v>
      </c>
      <c r="D14" s="244"/>
      <c r="E14" s="113" t="s">
        <v>143</v>
      </c>
      <c r="F14" s="112" t="s">
        <v>163</v>
      </c>
      <c r="G14" s="113" t="s">
        <v>164</v>
      </c>
      <c r="H14" s="242"/>
      <c r="I14" s="242"/>
      <c r="J14" s="511" t="str" cm="1">
        <f t="array" ref="J14">IF(ISBLANK(I14), IF(ISBLANK(H14), "N/A", _xlfn.IFS(K14="AS", H14+15, K14="NCR", H14+30, K14="submitted", H14+30, TRUE, "N/A")), _xlfn.IFS(K14="AS", I14+15, K14="NCR", I14+30, K14="submitted", I14+30, TRUE, "N/A"))</f>
        <v>N/A</v>
      </c>
      <c r="L14" s="318"/>
      <c r="M14" s="772"/>
      <c r="N14" s="773"/>
      <c r="O14" s="773"/>
      <c r="P14" s="774"/>
    </row>
    <row r="15" spans="1:16" ht="15" customHeight="1">
      <c r="A15" s="112"/>
      <c r="B15" s="245" t="s">
        <v>165</v>
      </c>
      <c r="C15" s="244" t="s">
        <v>141</v>
      </c>
      <c r="D15" s="244"/>
      <c r="E15" s="113" t="s">
        <v>143</v>
      </c>
      <c r="F15" s="112" t="s">
        <v>166</v>
      </c>
      <c r="G15" s="113" t="s">
        <v>167</v>
      </c>
      <c r="H15" s="242"/>
      <c r="I15" s="242"/>
      <c r="J15" s="511" t="str" cm="1">
        <f t="array" ref="J15">IF(ISBLANK(I15), IF(ISBLANK(H15), "N/A", _xlfn.IFS(K15="AS", H15+15, K15="NCR", H15+30, K15="submitted", H15+30, TRUE, "N/A")), _xlfn.IFS(K15="AS", I15+15, K15="NCR", I15+30, K15="submitted", I15+30, TRUE, "N/A"))</f>
        <v>N/A</v>
      </c>
      <c r="L15" s="318"/>
      <c r="M15" s="772"/>
      <c r="N15" s="773"/>
      <c r="O15" s="773"/>
      <c r="P15" s="774"/>
    </row>
    <row r="16" spans="1:16" ht="27" customHeight="1">
      <c r="A16" s="112"/>
      <c r="B16" s="245" t="s">
        <v>168</v>
      </c>
      <c r="C16" s="244" t="s">
        <v>141</v>
      </c>
      <c r="D16" s="244"/>
      <c r="E16" s="113" t="s">
        <v>143</v>
      </c>
      <c r="F16" s="112" t="s">
        <v>169</v>
      </c>
      <c r="G16" s="114" t="s">
        <v>170</v>
      </c>
      <c r="H16" s="243"/>
      <c r="I16" s="243"/>
      <c r="J16" s="511" t="str" cm="1">
        <f t="array" ref="J16">IF(ISBLANK(I16), IF(ISBLANK(H16), "N/A", _xlfn.IFS(K16="AS", H16+15, K16="NCR", H16+30, K16="submitted", H16+30, TRUE, "N/A")), _xlfn.IFS(K16="AS", I16+15, K16="NCR", I16+30, K16="submitted", I16+30, TRUE, "N/A"))</f>
        <v>N/A</v>
      </c>
      <c r="L16" s="318"/>
      <c r="M16" s="772"/>
      <c r="N16" s="773"/>
      <c r="O16" s="773"/>
      <c r="P16" s="774"/>
    </row>
    <row r="17" spans="1:16" ht="40.5" customHeight="1">
      <c r="A17" s="112"/>
      <c r="B17" s="245" t="s">
        <v>171</v>
      </c>
      <c r="C17" s="244" t="s">
        <v>141</v>
      </c>
      <c r="D17" s="244"/>
      <c r="E17" s="113" t="s">
        <v>143</v>
      </c>
      <c r="F17" s="112" t="s">
        <v>172</v>
      </c>
      <c r="G17" s="114" t="s">
        <v>173</v>
      </c>
      <c r="H17" s="243"/>
      <c r="I17" s="243"/>
      <c r="J17" s="511" t="str" cm="1">
        <f t="array" ref="J17">IF(ISBLANK(I17), IF(ISBLANK(H17), "N/A", _xlfn.IFS(K17="AS", H17+15, K17="NCR", H17+30, K17="submitted", H17+30, TRUE, "N/A")), _xlfn.IFS(K17="AS", I17+15, K17="NCR", I17+30, K17="submitted", I17+30, TRUE, "N/A"))</f>
        <v>N/A</v>
      </c>
      <c r="L17" s="318"/>
      <c r="M17" s="772"/>
      <c r="N17" s="773"/>
      <c r="O17" s="773"/>
      <c r="P17" s="774"/>
    </row>
    <row r="18" spans="1:16" ht="15" customHeight="1">
      <c r="A18" s="112"/>
      <c r="B18" s="245" t="s">
        <v>174</v>
      </c>
      <c r="C18" s="244" t="s">
        <v>141</v>
      </c>
      <c r="D18" s="244"/>
      <c r="E18" s="113" t="s">
        <v>143</v>
      </c>
      <c r="F18" s="112" t="s">
        <v>175</v>
      </c>
      <c r="G18" s="113" t="s">
        <v>176</v>
      </c>
      <c r="H18" s="242"/>
      <c r="I18" s="242"/>
      <c r="J18" s="511" t="str" cm="1">
        <f t="array" ref="J18">IF(ISBLANK(I18), IF(ISBLANK(H18), "N/A", _xlfn.IFS(K18="AS", H18+15, K18="NCR", H18+30, K18="submitted", H18+30, TRUE, "N/A")), _xlfn.IFS(K18="AS", I18+15, K18="NCR", I18+30, K18="submitted", I18+30, TRUE, "N/A"))</f>
        <v>N/A</v>
      </c>
      <c r="L18" s="318"/>
      <c r="M18" s="772"/>
      <c r="N18" s="773"/>
      <c r="O18" s="773"/>
      <c r="P18" s="774"/>
    </row>
    <row r="19" spans="1:16" ht="15" customHeight="1">
      <c r="L19" s="318"/>
      <c r="M19" s="772"/>
      <c r="N19" s="773"/>
      <c r="O19" s="773"/>
      <c r="P19" s="774"/>
    </row>
    <row r="20" spans="1:16" ht="15" customHeight="1">
      <c r="L20" s="318"/>
      <c r="M20" s="772"/>
      <c r="N20" s="773"/>
      <c r="O20" s="773"/>
      <c r="P20" s="774"/>
    </row>
    <row r="21" spans="1:16" ht="15" customHeight="1">
      <c r="L21" s="318"/>
      <c r="M21" s="772"/>
      <c r="N21" s="773"/>
      <c r="O21" s="773"/>
      <c r="P21" s="774"/>
    </row>
    <row r="22" spans="1:16" ht="15" customHeight="1">
      <c r="L22" s="318"/>
      <c r="M22" s="772"/>
      <c r="N22" s="773"/>
      <c r="O22" s="773"/>
      <c r="P22" s="774"/>
    </row>
    <row r="23" spans="1:16" ht="15" customHeight="1">
      <c r="L23" s="318"/>
      <c r="M23" s="772"/>
      <c r="N23" s="773"/>
      <c r="O23" s="773"/>
      <c r="P23" s="774"/>
    </row>
    <row r="24" spans="1:16" ht="15" customHeight="1">
      <c r="L24" s="318"/>
      <c r="M24" s="772"/>
      <c r="N24" s="773"/>
      <c r="O24" s="773"/>
      <c r="P24" s="774"/>
    </row>
    <row r="25" spans="1:16" ht="15" customHeight="1">
      <c r="L25" s="318"/>
      <c r="M25" s="772"/>
      <c r="N25" s="773"/>
      <c r="O25" s="773"/>
      <c r="P25" s="774"/>
    </row>
    <row r="26" spans="1:16" ht="15" customHeight="1">
      <c r="L26" s="318"/>
      <c r="M26" s="772"/>
      <c r="N26" s="773"/>
      <c r="O26" s="773"/>
      <c r="P26" s="774"/>
    </row>
    <row r="27" spans="1:16" ht="15" customHeight="1">
      <c r="L27" s="318"/>
      <c r="M27" s="772"/>
      <c r="N27" s="773"/>
      <c r="O27" s="773"/>
      <c r="P27" s="774"/>
    </row>
    <row r="28" spans="1:16" ht="15" customHeight="1">
      <c r="L28" s="318"/>
      <c r="M28" s="772"/>
      <c r="N28" s="773"/>
      <c r="O28" s="773"/>
      <c r="P28" s="774"/>
    </row>
    <row r="29" spans="1:16" ht="15" customHeight="1">
      <c r="L29" s="318"/>
      <c r="M29" s="772"/>
      <c r="N29" s="773"/>
      <c r="O29" s="773"/>
      <c r="P29" s="774"/>
    </row>
    <row r="30" spans="1:16" ht="15" customHeight="1">
      <c r="L30" s="318"/>
      <c r="M30" s="772"/>
      <c r="N30" s="773"/>
      <c r="O30" s="773"/>
      <c r="P30" s="774"/>
    </row>
    <row r="31" spans="1:16" ht="15" customHeight="1">
      <c r="L31" s="318"/>
      <c r="M31" s="772"/>
      <c r="N31" s="773"/>
      <c r="O31" s="773"/>
      <c r="P31" s="774"/>
    </row>
    <row r="32" spans="1:16" ht="15" customHeight="1">
      <c r="L32" s="318"/>
      <c r="M32" s="772"/>
      <c r="N32" s="773"/>
      <c r="O32" s="773"/>
      <c r="P32" s="774"/>
    </row>
    <row r="33" spans="13:16" ht="15" customHeight="1">
      <c r="M33" s="772"/>
      <c r="N33" s="773"/>
      <c r="O33" s="773"/>
      <c r="P33" s="774"/>
    </row>
    <row r="34" spans="13:16" ht="15" customHeight="1">
      <c r="M34" s="772"/>
      <c r="N34" s="773"/>
      <c r="O34" s="773"/>
      <c r="P34" s="774"/>
    </row>
    <row r="35" spans="13:16" ht="15" customHeight="1">
      <c r="M35" s="772"/>
      <c r="N35" s="773"/>
      <c r="O35" s="773"/>
      <c r="P35" s="774"/>
    </row>
    <row r="36" spans="13:16" ht="15" customHeight="1">
      <c r="M36" s="772"/>
      <c r="N36" s="773"/>
      <c r="O36" s="773"/>
      <c r="P36" s="774"/>
    </row>
    <row r="37" spans="13:16" ht="15" customHeight="1">
      <c r="M37" s="772"/>
      <c r="N37" s="773"/>
      <c r="O37" s="773"/>
      <c r="P37" s="774"/>
    </row>
    <row r="38" spans="13:16" ht="15" customHeight="1">
      <c r="M38" s="772"/>
      <c r="N38" s="773"/>
      <c r="O38" s="773"/>
      <c r="P38" s="774"/>
    </row>
    <row r="39" spans="13:16" ht="15" customHeight="1">
      <c r="M39" s="781"/>
      <c r="N39" s="782"/>
      <c r="O39" s="782"/>
      <c r="P39" s="783"/>
    </row>
    <row r="40" spans="13:16" ht="15" customHeight="1">
      <c r="M40" s="766" t="s">
        <v>132</v>
      </c>
      <c r="N40" s="767"/>
      <c r="O40" s="767"/>
      <c r="P40" s="768"/>
    </row>
    <row r="41" spans="13:16" ht="15" customHeight="1">
      <c r="M41" s="769"/>
      <c r="N41" s="770"/>
      <c r="O41" s="770"/>
      <c r="P41" s="771"/>
    </row>
    <row r="42" spans="13:16" ht="15" customHeight="1">
      <c r="M42" s="769"/>
      <c r="N42" s="770"/>
      <c r="O42" s="770"/>
      <c r="P42" s="771"/>
    </row>
    <row r="43" spans="13:16" ht="15" customHeight="1">
      <c r="M43" s="769"/>
      <c r="N43" s="770"/>
      <c r="O43" s="770"/>
      <c r="P43" s="771"/>
    </row>
    <row r="44" spans="13:16" ht="15" customHeight="1">
      <c r="M44" s="769"/>
      <c r="N44" s="770"/>
      <c r="O44" s="770"/>
      <c r="P44" s="771"/>
    </row>
    <row r="45" spans="13:16" ht="15" customHeight="1">
      <c r="M45" s="769"/>
      <c r="N45" s="770"/>
      <c r="O45" s="770"/>
      <c r="P45" s="771"/>
    </row>
    <row r="46" spans="13:16" ht="15" customHeight="1">
      <c r="M46" s="769"/>
      <c r="N46" s="770"/>
      <c r="O46" s="770"/>
      <c r="P46" s="771"/>
    </row>
    <row r="47" spans="13:16" ht="15" customHeight="1">
      <c r="M47" s="769"/>
      <c r="N47" s="770"/>
      <c r="O47" s="770"/>
      <c r="P47" s="771"/>
    </row>
    <row r="48" spans="13:16" ht="15" customHeight="1">
      <c r="M48" s="772" t="s">
        <v>147</v>
      </c>
      <c r="N48" s="773"/>
      <c r="O48" s="773"/>
      <c r="P48" s="774"/>
    </row>
    <row r="49" spans="13:16" ht="15" customHeight="1">
      <c r="M49" s="772"/>
      <c r="N49" s="773"/>
      <c r="O49" s="773"/>
      <c r="P49" s="774"/>
    </row>
    <row r="50" spans="13:16" ht="15" customHeight="1">
      <c r="M50" s="772"/>
      <c r="N50" s="773"/>
      <c r="O50" s="773"/>
      <c r="P50" s="774"/>
    </row>
    <row r="51" spans="13:16" ht="15" customHeight="1">
      <c r="M51" s="772"/>
      <c r="N51" s="773"/>
      <c r="O51" s="773"/>
      <c r="P51" s="774"/>
    </row>
    <row r="52" spans="13:16" ht="15" customHeight="1">
      <c r="M52" s="772"/>
      <c r="N52" s="773"/>
      <c r="O52" s="773"/>
      <c r="P52" s="774"/>
    </row>
    <row r="53" spans="13:16" ht="15" customHeight="1">
      <c r="M53" s="772"/>
      <c r="N53" s="773"/>
      <c r="O53" s="773"/>
      <c r="P53" s="774"/>
    </row>
    <row r="54" spans="13:16" ht="15" customHeight="1">
      <c r="M54" s="772"/>
      <c r="N54" s="773"/>
      <c r="O54" s="773"/>
      <c r="P54" s="774"/>
    </row>
    <row r="55" spans="13:16" ht="15" customHeight="1">
      <c r="M55" s="772"/>
      <c r="N55" s="773"/>
      <c r="O55" s="773"/>
      <c r="P55" s="774"/>
    </row>
    <row r="56" spans="13:16" ht="15" customHeight="1">
      <c r="M56" s="772"/>
      <c r="N56" s="773"/>
      <c r="O56" s="773"/>
      <c r="P56" s="774"/>
    </row>
    <row r="57" spans="13:16" ht="15" customHeight="1">
      <c r="M57" s="772"/>
      <c r="N57" s="773"/>
      <c r="O57" s="773"/>
      <c r="P57" s="774"/>
    </row>
    <row r="58" spans="13:16" ht="15" customHeight="1">
      <c r="M58" s="772"/>
      <c r="N58" s="773"/>
      <c r="O58" s="773"/>
      <c r="P58" s="774"/>
    </row>
    <row r="59" spans="13:16" ht="15" customHeight="1">
      <c r="M59" s="772"/>
      <c r="N59" s="773"/>
      <c r="O59" s="773"/>
      <c r="P59" s="774"/>
    </row>
    <row r="60" spans="13:16" ht="15" customHeight="1">
      <c r="M60" s="772"/>
      <c r="N60" s="773"/>
      <c r="O60" s="773"/>
      <c r="P60" s="774"/>
    </row>
    <row r="61" spans="13:16" ht="15" customHeight="1">
      <c r="M61" s="772"/>
      <c r="N61" s="773"/>
      <c r="O61" s="773"/>
      <c r="P61" s="774"/>
    </row>
    <row r="62" spans="13:16" ht="15" customHeight="1">
      <c r="M62" s="772"/>
      <c r="N62" s="773"/>
      <c r="O62" s="773"/>
      <c r="P62" s="774"/>
    </row>
    <row r="63" spans="13:16" ht="15" customHeight="1">
      <c r="M63" s="772"/>
      <c r="N63" s="773"/>
      <c r="O63" s="773"/>
      <c r="P63" s="774"/>
    </row>
    <row r="64" spans="13:16" ht="15" customHeight="1">
      <c r="M64" s="772"/>
      <c r="N64" s="773"/>
      <c r="O64" s="773"/>
      <c r="P64" s="774"/>
    </row>
    <row r="65" spans="13:16" ht="15" customHeight="1">
      <c r="M65" s="772"/>
      <c r="N65" s="773"/>
      <c r="O65" s="773"/>
      <c r="P65" s="774"/>
    </row>
    <row r="66" spans="13:16" ht="15" customHeight="1">
      <c r="M66" s="772"/>
      <c r="N66" s="773"/>
      <c r="O66" s="773"/>
      <c r="P66" s="774"/>
    </row>
    <row r="67" spans="13:16" ht="15" customHeight="1">
      <c r="M67" s="772"/>
      <c r="N67" s="773"/>
      <c r="O67" s="773"/>
      <c r="P67" s="774"/>
    </row>
    <row r="68" spans="13:16" ht="15" customHeight="1">
      <c r="M68" s="772"/>
      <c r="N68" s="773"/>
      <c r="O68" s="773"/>
      <c r="P68" s="774"/>
    </row>
    <row r="69" spans="13:16" ht="15" customHeight="1">
      <c r="M69" s="772"/>
      <c r="N69" s="773"/>
      <c r="O69" s="773"/>
      <c r="P69" s="774"/>
    </row>
    <row r="70" spans="13:16" ht="15" customHeight="1">
      <c r="M70" s="772"/>
      <c r="N70" s="773"/>
      <c r="O70" s="773"/>
      <c r="P70" s="774"/>
    </row>
    <row r="71" spans="13:16" ht="15" customHeight="1">
      <c r="M71" s="772"/>
      <c r="N71" s="773"/>
      <c r="O71" s="773"/>
      <c r="P71" s="774"/>
    </row>
    <row r="72" spans="13:16" ht="15" customHeight="1">
      <c r="M72" s="772"/>
      <c r="N72" s="773"/>
      <c r="O72" s="773"/>
      <c r="P72" s="774"/>
    </row>
    <row r="73" spans="13:16" ht="15" customHeight="1">
      <c r="M73" s="772"/>
      <c r="N73" s="773"/>
      <c r="O73" s="773"/>
      <c r="P73" s="774"/>
    </row>
    <row r="74" spans="13:16" ht="15" customHeight="1">
      <c r="M74" s="772"/>
      <c r="N74" s="773"/>
      <c r="O74" s="773"/>
      <c r="P74" s="774"/>
    </row>
    <row r="75" spans="13:16" ht="15" customHeight="1">
      <c r="M75" s="772"/>
      <c r="N75" s="773"/>
      <c r="O75" s="773"/>
      <c r="P75" s="774"/>
    </row>
    <row r="76" spans="13:16" ht="15" customHeight="1">
      <c r="M76" s="772"/>
      <c r="N76" s="773"/>
      <c r="O76" s="773"/>
      <c r="P76" s="774"/>
    </row>
    <row r="77" spans="13:16" ht="15" customHeight="1">
      <c r="M77" s="772"/>
      <c r="N77" s="773"/>
      <c r="O77" s="773"/>
      <c r="P77" s="774"/>
    </row>
    <row r="78" spans="13:16" ht="15" customHeight="1">
      <c r="M78" s="772"/>
      <c r="N78" s="773"/>
      <c r="O78" s="773"/>
      <c r="P78" s="774"/>
    </row>
    <row r="79" spans="13:16" ht="15" customHeight="1">
      <c r="M79" s="772"/>
      <c r="N79" s="773"/>
      <c r="O79" s="773"/>
      <c r="P79" s="774"/>
    </row>
    <row r="80" spans="13:16" ht="15" customHeight="1">
      <c r="M80" s="772"/>
      <c r="N80" s="773"/>
      <c r="O80" s="773"/>
      <c r="P80" s="774"/>
    </row>
    <row r="81" spans="13:16" ht="15" customHeight="1">
      <c r="M81" s="772"/>
      <c r="N81" s="773"/>
      <c r="O81" s="773"/>
      <c r="P81" s="774"/>
    </row>
    <row r="82" spans="13:16" ht="15" customHeight="1">
      <c r="M82" s="772"/>
      <c r="N82" s="773"/>
      <c r="O82" s="773"/>
      <c r="P82" s="774"/>
    </row>
    <row r="83" spans="13:16" ht="15" customHeight="1">
      <c r="M83" s="772"/>
      <c r="N83" s="773"/>
      <c r="O83" s="773"/>
      <c r="P83" s="774"/>
    </row>
    <row r="84" spans="13:16">
      <c r="M84" s="772"/>
      <c r="N84" s="773"/>
      <c r="O84" s="773"/>
      <c r="P84" s="774"/>
    </row>
    <row r="85" spans="13:16">
      <c r="M85" s="772"/>
      <c r="N85" s="773"/>
      <c r="O85" s="773"/>
      <c r="P85" s="774"/>
    </row>
    <row r="86" spans="13:16">
      <c r="M86" s="772"/>
      <c r="N86" s="773"/>
      <c r="O86" s="773"/>
      <c r="P86" s="774"/>
    </row>
    <row r="87" spans="13:16">
      <c r="M87" s="772"/>
      <c r="N87" s="773"/>
      <c r="O87" s="773"/>
      <c r="P87" s="774"/>
    </row>
    <row r="88" spans="13:16">
      <c r="M88" s="772"/>
      <c r="N88" s="773"/>
      <c r="O88" s="773"/>
      <c r="P88" s="774"/>
    </row>
    <row r="89" spans="13:16">
      <c r="M89" s="772"/>
      <c r="N89" s="773"/>
      <c r="O89" s="773"/>
      <c r="P89" s="774"/>
    </row>
    <row r="90" spans="13:16">
      <c r="M90" s="772"/>
      <c r="N90" s="773"/>
      <c r="O90" s="773"/>
      <c r="P90" s="774"/>
    </row>
    <row r="91" spans="13:16">
      <c r="M91" s="772"/>
      <c r="N91" s="773"/>
      <c r="O91" s="773"/>
      <c r="P91" s="774"/>
    </row>
    <row r="92" spans="13:16">
      <c r="M92" s="772"/>
      <c r="N92" s="773"/>
      <c r="O92" s="773"/>
      <c r="P92" s="774"/>
    </row>
    <row r="93" spans="13:16">
      <c r="M93" s="772"/>
      <c r="N93" s="773"/>
      <c r="O93" s="773"/>
      <c r="P93" s="774"/>
    </row>
    <row r="94" spans="13:16">
      <c r="M94" s="772"/>
      <c r="N94" s="773"/>
      <c r="O94" s="773"/>
      <c r="P94" s="774"/>
    </row>
    <row r="95" spans="13:16">
      <c r="M95" s="772"/>
      <c r="N95" s="773"/>
      <c r="O95" s="773"/>
      <c r="P95" s="774"/>
    </row>
    <row r="96" spans="13:16">
      <c r="M96" s="772"/>
      <c r="N96" s="773"/>
      <c r="O96" s="773"/>
      <c r="P96" s="774"/>
    </row>
    <row r="97" spans="13:16">
      <c r="M97" s="772"/>
      <c r="N97" s="773"/>
      <c r="O97" s="773"/>
      <c r="P97" s="774"/>
    </row>
    <row r="98" spans="13:16">
      <c r="M98" s="772"/>
      <c r="N98" s="773"/>
      <c r="O98" s="773"/>
      <c r="P98" s="774"/>
    </row>
    <row r="99" spans="13:16">
      <c r="M99" s="772"/>
      <c r="N99" s="773"/>
      <c r="O99" s="773"/>
      <c r="P99" s="774"/>
    </row>
    <row r="100" spans="13:16">
      <c r="M100" s="772"/>
      <c r="N100" s="773"/>
      <c r="O100" s="773"/>
      <c r="P100" s="774"/>
    </row>
    <row r="101" spans="13:16">
      <c r="M101" s="772"/>
      <c r="N101" s="773"/>
      <c r="O101" s="773"/>
      <c r="P101" s="774"/>
    </row>
    <row r="102" spans="13:16">
      <c r="M102" s="772"/>
      <c r="N102" s="773"/>
      <c r="O102" s="773"/>
      <c r="P102" s="774"/>
    </row>
    <row r="103" spans="13:16">
      <c r="M103" s="772"/>
      <c r="N103" s="773"/>
      <c r="O103" s="773"/>
      <c r="P103" s="774"/>
    </row>
    <row r="104" spans="13:16">
      <c r="M104" s="772"/>
      <c r="N104" s="773"/>
      <c r="O104" s="773"/>
      <c r="P104" s="774"/>
    </row>
    <row r="105" spans="13:16">
      <c r="M105" s="772"/>
      <c r="N105" s="773"/>
      <c r="O105" s="773"/>
      <c r="P105" s="774"/>
    </row>
    <row r="106" spans="13:16">
      <c r="M106" s="772"/>
      <c r="N106" s="773"/>
      <c r="O106" s="773"/>
      <c r="P106" s="774"/>
    </row>
    <row r="107" spans="13:16">
      <c r="M107" s="772"/>
      <c r="N107" s="773"/>
      <c r="O107" s="773"/>
      <c r="P107" s="774"/>
    </row>
    <row r="108" spans="13:16">
      <c r="M108" s="772"/>
      <c r="N108" s="773"/>
      <c r="O108" s="773"/>
      <c r="P108" s="774"/>
    </row>
    <row r="109" spans="13:16">
      <c r="M109" s="772"/>
      <c r="N109" s="773"/>
      <c r="O109" s="773"/>
      <c r="P109" s="774"/>
    </row>
    <row r="110" spans="13:16">
      <c r="M110" s="772"/>
      <c r="N110" s="773"/>
      <c r="O110" s="773"/>
      <c r="P110" s="774"/>
    </row>
    <row r="111" spans="13:16">
      <c r="M111" s="772"/>
      <c r="N111" s="773"/>
      <c r="O111" s="773"/>
      <c r="P111" s="774"/>
    </row>
    <row r="112" spans="13:16">
      <c r="M112" s="772"/>
      <c r="N112" s="773"/>
      <c r="O112" s="773"/>
      <c r="P112" s="774"/>
    </row>
    <row r="113" spans="13:16">
      <c r="M113" s="772"/>
      <c r="N113" s="773"/>
      <c r="O113" s="773"/>
      <c r="P113" s="774"/>
    </row>
    <row r="114" spans="13:16">
      <c r="M114" s="772"/>
      <c r="N114" s="773"/>
      <c r="O114" s="773"/>
      <c r="P114" s="774"/>
    </row>
    <row r="115" spans="13:16">
      <c r="M115" s="772"/>
      <c r="N115" s="773"/>
      <c r="O115" s="773"/>
      <c r="P115" s="774"/>
    </row>
    <row r="116" spans="13:16">
      <c r="M116" s="772"/>
      <c r="N116" s="773"/>
      <c r="O116" s="773"/>
      <c r="P116" s="774"/>
    </row>
    <row r="117" spans="13:16">
      <c r="M117" s="772"/>
      <c r="N117" s="773"/>
      <c r="O117" s="773"/>
      <c r="P117" s="774"/>
    </row>
    <row r="118" spans="13:16">
      <c r="M118" s="772"/>
      <c r="N118" s="773"/>
      <c r="O118" s="773"/>
      <c r="P118" s="774"/>
    </row>
    <row r="119" spans="13:16">
      <c r="M119" s="772"/>
      <c r="N119" s="773"/>
      <c r="O119" s="773"/>
      <c r="P119" s="774"/>
    </row>
    <row r="120" spans="13:16">
      <c r="M120" s="766" t="s">
        <v>132</v>
      </c>
      <c r="N120" s="767"/>
      <c r="O120" s="767"/>
      <c r="P120" s="768"/>
    </row>
    <row r="121" spans="13:16">
      <c r="M121" s="769"/>
      <c r="N121" s="770"/>
      <c r="O121" s="770"/>
      <c r="P121" s="771"/>
    </row>
    <row r="122" spans="13:16">
      <c r="M122" s="769"/>
      <c r="N122" s="770"/>
      <c r="O122" s="770"/>
      <c r="P122" s="771"/>
    </row>
    <row r="123" spans="13:16">
      <c r="M123" s="769"/>
      <c r="N123" s="770"/>
      <c r="O123" s="770"/>
      <c r="P123" s="771"/>
    </row>
    <row r="124" spans="13:16">
      <c r="M124" s="769"/>
      <c r="N124" s="770"/>
      <c r="O124" s="770"/>
      <c r="P124" s="771"/>
    </row>
    <row r="125" spans="13:16">
      <c r="M125" s="769"/>
      <c r="N125" s="770"/>
      <c r="O125" s="770"/>
      <c r="P125" s="771"/>
    </row>
    <row r="126" spans="13:16">
      <c r="M126" s="769"/>
      <c r="N126" s="770"/>
      <c r="O126" s="770"/>
      <c r="P126" s="771"/>
    </row>
    <row r="127" spans="13:16">
      <c r="M127" s="769"/>
      <c r="N127" s="770"/>
      <c r="O127" s="770"/>
      <c r="P127" s="771"/>
    </row>
    <row r="128" spans="13:16">
      <c r="M128" s="772" t="s">
        <v>147</v>
      </c>
      <c r="N128" s="773"/>
      <c r="O128" s="773"/>
      <c r="P128" s="774"/>
    </row>
    <row r="129" spans="13:16">
      <c r="M129" s="772"/>
      <c r="N129" s="773"/>
      <c r="O129" s="773"/>
      <c r="P129" s="774"/>
    </row>
    <row r="130" spans="13:16">
      <c r="M130" s="772"/>
      <c r="N130" s="773"/>
      <c r="O130" s="773"/>
      <c r="P130" s="774"/>
    </row>
    <row r="131" spans="13:16">
      <c r="M131" s="772"/>
      <c r="N131" s="773"/>
      <c r="O131" s="773"/>
      <c r="P131" s="774"/>
    </row>
    <row r="132" spans="13:16">
      <c r="M132" s="772"/>
      <c r="N132" s="773"/>
      <c r="O132" s="773"/>
      <c r="P132" s="774"/>
    </row>
    <row r="133" spans="13:16">
      <c r="M133" s="772"/>
      <c r="N133" s="773"/>
      <c r="O133" s="773"/>
      <c r="P133" s="774"/>
    </row>
    <row r="134" spans="13:16">
      <c r="M134" s="772"/>
      <c r="N134" s="773"/>
      <c r="O134" s="773"/>
      <c r="P134" s="774"/>
    </row>
    <row r="135" spans="13:16">
      <c r="M135" s="772"/>
      <c r="N135" s="773"/>
      <c r="O135" s="773"/>
      <c r="P135" s="774"/>
    </row>
    <row r="136" spans="13:16">
      <c r="M136" s="772"/>
      <c r="N136" s="773"/>
      <c r="O136" s="773"/>
      <c r="P136" s="774"/>
    </row>
    <row r="137" spans="13:16">
      <c r="M137" s="772"/>
      <c r="N137" s="773"/>
      <c r="O137" s="773"/>
      <c r="P137" s="774"/>
    </row>
    <row r="138" spans="13:16">
      <c r="M138" s="772"/>
      <c r="N138" s="773"/>
      <c r="O138" s="773"/>
      <c r="P138" s="774"/>
    </row>
    <row r="139" spans="13:16">
      <c r="M139" s="772"/>
      <c r="N139" s="773"/>
      <c r="O139" s="773"/>
      <c r="P139" s="774"/>
    </row>
    <row r="140" spans="13:16">
      <c r="M140" s="772"/>
      <c r="N140" s="773"/>
      <c r="O140" s="773"/>
      <c r="P140" s="774"/>
    </row>
    <row r="141" spans="13:16">
      <c r="M141" s="772"/>
      <c r="N141" s="773"/>
      <c r="O141" s="773"/>
      <c r="P141" s="774"/>
    </row>
    <row r="142" spans="13:16">
      <c r="M142" s="772"/>
      <c r="N142" s="773"/>
      <c r="O142" s="773"/>
      <c r="P142" s="774"/>
    </row>
    <row r="143" spans="13:16">
      <c r="M143" s="772"/>
      <c r="N143" s="773"/>
      <c r="O143" s="773"/>
      <c r="P143" s="774"/>
    </row>
    <row r="144" spans="13:16">
      <c r="M144" s="772"/>
      <c r="N144" s="773"/>
      <c r="O144" s="773"/>
      <c r="P144" s="774"/>
    </row>
    <row r="145" spans="13:16">
      <c r="M145" s="772"/>
      <c r="N145" s="773"/>
      <c r="O145" s="773"/>
      <c r="P145" s="774"/>
    </row>
    <row r="146" spans="13:16">
      <c r="M146" s="772"/>
      <c r="N146" s="773"/>
      <c r="O146" s="773"/>
      <c r="P146" s="774"/>
    </row>
    <row r="147" spans="13:16">
      <c r="M147" s="772"/>
      <c r="N147" s="773"/>
      <c r="O147" s="773"/>
      <c r="P147" s="774"/>
    </row>
    <row r="148" spans="13:16">
      <c r="M148" s="772"/>
      <c r="N148" s="773"/>
      <c r="O148" s="773"/>
      <c r="P148" s="774"/>
    </row>
    <row r="149" spans="13:16">
      <c r="M149" s="772"/>
      <c r="N149" s="773"/>
      <c r="O149" s="773"/>
      <c r="P149" s="774"/>
    </row>
    <row r="150" spans="13:16">
      <c r="M150" s="772"/>
      <c r="N150" s="773"/>
      <c r="O150" s="773"/>
      <c r="P150" s="774"/>
    </row>
    <row r="151" spans="13:16">
      <c r="M151" s="772"/>
      <c r="N151" s="773"/>
      <c r="O151" s="773"/>
      <c r="P151" s="774"/>
    </row>
    <row r="152" spans="13:16">
      <c r="M152" s="772"/>
      <c r="N152" s="773"/>
      <c r="O152" s="773"/>
      <c r="P152" s="774"/>
    </row>
    <row r="153" spans="13:16">
      <c r="M153" s="772"/>
      <c r="N153" s="773"/>
      <c r="O153" s="773"/>
      <c r="P153" s="774"/>
    </row>
    <row r="154" spans="13:16">
      <c r="M154" s="772"/>
      <c r="N154" s="773"/>
      <c r="O154" s="773"/>
      <c r="P154" s="774"/>
    </row>
    <row r="155" spans="13:16">
      <c r="M155" s="772"/>
      <c r="N155" s="773"/>
      <c r="O155" s="773"/>
      <c r="P155" s="774"/>
    </row>
    <row r="156" spans="13:16">
      <c r="M156" s="772"/>
      <c r="N156" s="773"/>
      <c r="O156" s="773"/>
      <c r="P156" s="774"/>
    </row>
    <row r="157" spans="13:16">
      <c r="M157" s="772"/>
      <c r="N157" s="773"/>
      <c r="O157" s="773"/>
      <c r="P157" s="774"/>
    </row>
    <row r="158" spans="13:16">
      <c r="M158" s="772"/>
      <c r="N158" s="773"/>
      <c r="O158" s="773"/>
      <c r="P158" s="774"/>
    </row>
    <row r="159" spans="13:16">
      <c r="M159" s="772"/>
      <c r="N159" s="773"/>
      <c r="O159" s="773"/>
      <c r="P159" s="774"/>
    </row>
    <row r="160" spans="13:16">
      <c r="M160" s="772"/>
      <c r="N160" s="773"/>
      <c r="O160" s="773"/>
      <c r="P160" s="774"/>
    </row>
    <row r="161" spans="13:16">
      <c r="M161" s="772"/>
      <c r="N161" s="773"/>
      <c r="O161" s="773"/>
      <c r="P161" s="774"/>
    </row>
    <row r="162" spans="13:16">
      <c r="M162" s="772"/>
      <c r="N162" s="773"/>
      <c r="O162" s="773"/>
      <c r="P162" s="774"/>
    </row>
    <row r="163" spans="13:16">
      <c r="M163" s="772"/>
      <c r="N163" s="773"/>
      <c r="O163" s="773"/>
      <c r="P163" s="774"/>
    </row>
    <row r="164" spans="13:16">
      <c r="M164" s="772"/>
      <c r="N164" s="773"/>
      <c r="O164" s="773"/>
      <c r="P164" s="774"/>
    </row>
    <row r="165" spans="13:16">
      <c r="M165" s="772"/>
      <c r="N165" s="773"/>
      <c r="O165" s="773"/>
      <c r="P165" s="774"/>
    </row>
    <row r="166" spans="13:16">
      <c r="M166" s="772"/>
      <c r="N166" s="773"/>
      <c r="O166" s="773"/>
      <c r="P166" s="774"/>
    </row>
    <row r="167" spans="13:16">
      <c r="M167" s="772"/>
      <c r="N167" s="773"/>
      <c r="O167" s="773"/>
      <c r="P167" s="774"/>
    </row>
    <row r="168" spans="13:16">
      <c r="M168" s="772"/>
      <c r="N168" s="773"/>
      <c r="O168" s="773"/>
      <c r="P168" s="774"/>
    </row>
    <row r="169" spans="13:16">
      <c r="M169" s="772"/>
      <c r="N169" s="773"/>
      <c r="O169" s="773"/>
      <c r="P169" s="774"/>
    </row>
    <row r="170" spans="13:16">
      <c r="M170" s="772"/>
      <c r="N170" s="773"/>
      <c r="O170" s="773"/>
      <c r="P170" s="774"/>
    </row>
    <row r="171" spans="13:16">
      <c r="M171" s="772"/>
      <c r="N171" s="773"/>
      <c r="O171" s="773"/>
      <c r="P171" s="774"/>
    </row>
    <row r="172" spans="13:16">
      <c r="M172" s="772"/>
      <c r="N172" s="773"/>
      <c r="O172" s="773"/>
      <c r="P172" s="774"/>
    </row>
    <row r="173" spans="13:16">
      <c r="M173" s="772"/>
      <c r="N173" s="773"/>
      <c r="O173" s="773"/>
      <c r="P173" s="774"/>
    </row>
    <row r="174" spans="13:16">
      <c r="M174" s="772"/>
      <c r="N174" s="773"/>
      <c r="O174" s="773"/>
      <c r="P174" s="774"/>
    </row>
    <row r="175" spans="13:16">
      <c r="M175" s="772"/>
      <c r="N175" s="773"/>
      <c r="O175" s="773"/>
      <c r="P175" s="774"/>
    </row>
    <row r="176" spans="13:16">
      <c r="M176" s="772"/>
      <c r="N176" s="773"/>
      <c r="O176" s="773"/>
      <c r="P176" s="774"/>
    </row>
    <row r="177" spans="13:16">
      <c r="M177" s="772"/>
      <c r="N177" s="773"/>
      <c r="O177" s="773"/>
      <c r="P177" s="774"/>
    </row>
    <row r="178" spans="13:16">
      <c r="M178" s="772"/>
      <c r="N178" s="773"/>
      <c r="O178" s="773"/>
      <c r="P178" s="774"/>
    </row>
    <row r="179" spans="13:16">
      <c r="M179" s="772"/>
      <c r="N179" s="773"/>
      <c r="O179" s="773"/>
      <c r="P179" s="774"/>
    </row>
    <row r="180" spans="13:16">
      <c r="M180" s="772"/>
      <c r="N180" s="773"/>
      <c r="O180" s="773"/>
      <c r="P180" s="774"/>
    </row>
    <row r="181" spans="13:16">
      <c r="M181" s="772"/>
      <c r="N181" s="773"/>
      <c r="O181" s="773"/>
      <c r="P181" s="774"/>
    </row>
    <row r="182" spans="13:16">
      <c r="M182" s="772"/>
      <c r="N182" s="773"/>
      <c r="O182" s="773"/>
      <c r="P182" s="774"/>
    </row>
    <row r="183" spans="13:16">
      <c r="M183" s="772"/>
      <c r="N183" s="773"/>
      <c r="O183" s="773"/>
      <c r="P183" s="774"/>
    </row>
    <row r="184" spans="13:16">
      <c r="M184" s="772"/>
      <c r="N184" s="773"/>
      <c r="O184" s="773"/>
      <c r="P184" s="774"/>
    </row>
    <row r="185" spans="13:16">
      <c r="M185" s="772"/>
      <c r="N185" s="773"/>
      <c r="O185" s="773"/>
      <c r="P185" s="774"/>
    </row>
    <row r="186" spans="13:16">
      <c r="M186" s="772"/>
      <c r="N186" s="773"/>
      <c r="O186" s="773"/>
      <c r="P186" s="774"/>
    </row>
    <row r="187" spans="13:16">
      <c r="M187" s="772"/>
      <c r="N187" s="773"/>
      <c r="O187" s="773"/>
      <c r="P187" s="774"/>
    </row>
    <row r="188" spans="13:16">
      <c r="M188" s="772"/>
      <c r="N188" s="773"/>
      <c r="O188" s="773"/>
      <c r="P188" s="774"/>
    </row>
    <row r="189" spans="13:16">
      <c r="M189" s="772"/>
      <c r="N189" s="773"/>
      <c r="O189" s="773"/>
      <c r="P189" s="774"/>
    </row>
    <row r="190" spans="13:16">
      <c r="M190" s="772"/>
      <c r="N190" s="773"/>
      <c r="O190" s="773"/>
      <c r="P190" s="774"/>
    </row>
    <row r="191" spans="13:16">
      <c r="M191" s="772"/>
      <c r="N191" s="773"/>
      <c r="O191" s="773"/>
      <c r="P191" s="774"/>
    </row>
    <row r="192" spans="13:16">
      <c r="M192" s="772"/>
      <c r="N192" s="773"/>
      <c r="O192" s="773"/>
      <c r="P192" s="774"/>
    </row>
    <row r="193" spans="13:16">
      <c r="M193" s="772"/>
      <c r="N193" s="773"/>
      <c r="O193" s="773"/>
      <c r="P193" s="774"/>
    </row>
    <row r="194" spans="13:16">
      <c r="M194" s="772"/>
      <c r="N194" s="773"/>
      <c r="O194" s="773"/>
      <c r="P194" s="774"/>
    </row>
    <row r="195" spans="13:16">
      <c r="M195" s="772"/>
      <c r="N195" s="773"/>
      <c r="O195" s="773"/>
      <c r="P195" s="774"/>
    </row>
    <row r="196" spans="13:16">
      <c r="M196" s="772"/>
      <c r="N196" s="773"/>
      <c r="O196" s="773"/>
      <c r="P196" s="774"/>
    </row>
    <row r="197" spans="13:16">
      <c r="M197" s="772"/>
      <c r="N197" s="773"/>
      <c r="O197" s="773"/>
      <c r="P197" s="774"/>
    </row>
    <row r="198" spans="13:16">
      <c r="M198" s="772"/>
      <c r="N198" s="773"/>
      <c r="O198" s="773"/>
      <c r="P198" s="774"/>
    </row>
    <row r="199" spans="13:16">
      <c r="M199" s="772"/>
      <c r="N199" s="773"/>
      <c r="O199" s="773"/>
      <c r="P199" s="774"/>
    </row>
    <row r="200" spans="13:16">
      <c r="M200" s="772"/>
      <c r="N200" s="773"/>
      <c r="O200" s="773"/>
      <c r="P200" s="774"/>
    </row>
    <row r="201" spans="13:16">
      <c r="M201" s="772"/>
      <c r="N201" s="773"/>
      <c r="O201" s="773"/>
      <c r="P201" s="774"/>
    </row>
    <row r="202" spans="13:16">
      <c r="M202" s="772"/>
      <c r="N202" s="773"/>
      <c r="O202" s="773"/>
      <c r="P202" s="774"/>
    </row>
    <row r="203" spans="13:16">
      <c r="M203" s="766" t="s">
        <v>132</v>
      </c>
      <c r="N203" s="767"/>
      <c r="O203" s="767"/>
      <c r="P203" s="768"/>
    </row>
    <row r="204" spans="13:16">
      <c r="M204" s="769"/>
      <c r="N204" s="770"/>
      <c r="O204" s="770"/>
      <c r="P204" s="771"/>
    </row>
    <row r="205" spans="13:16">
      <c r="M205" s="769"/>
      <c r="N205" s="770"/>
      <c r="O205" s="770"/>
      <c r="P205" s="771"/>
    </row>
    <row r="206" spans="13:16">
      <c r="M206" s="769"/>
      <c r="N206" s="770"/>
      <c r="O206" s="770"/>
      <c r="P206" s="771"/>
    </row>
    <row r="207" spans="13:16">
      <c r="M207" s="769"/>
      <c r="N207" s="770"/>
      <c r="O207" s="770"/>
      <c r="P207" s="771"/>
    </row>
    <row r="208" spans="13:16">
      <c r="M208" s="769"/>
      <c r="N208" s="770"/>
      <c r="O208" s="770"/>
      <c r="P208" s="771"/>
    </row>
    <row r="209" spans="13:16">
      <c r="M209" s="769"/>
      <c r="N209" s="770"/>
      <c r="O209" s="770"/>
      <c r="P209" s="771"/>
    </row>
    <row r="210" spans="13:16">
      <c r="M210" s="769"/>
      <c r="N210" s="770"/>
      <c r="O210" s="770"/>
      <c r="P210" s="771"/>
    </row>
    <row r="211" spans="13:16" ht="409.6">
      <c r="M211" s="750" t="s">
        <v>147</v>
      </c>
      <c r="N211" s="751"/>
      <c r="O211" s="751"/>
      <c r="P211" s="752"/>
    </row>
    <row r="288" spans="13:13" ht="340.5">
      <c r="M288" s="748" t="s">
        <v>132</v>
      </c>
    </row>
    <row r="296" spans="13:13" ht="409.6">
      <c r="M296" s="750" t="s">
        <v>147</v>
      </c>
    </row>
  </sheetData>
  <mergeCells count="10">
    <mergeCell ref="M120:P127"/>
    <mergeCell ref="M128:P202"/>
    <mergeCell ref="M203:P210"/>
    <mergeCell ref="A1:G1"/>
    <mergeCell ref="B3:B6"/>
    <mergeCell ref="C3:C6"/>
    <mergeCell ref="M3:P6"/>
    <mergeCell ref="M7:P39"/>
    <mergeCell ref="M40:P47"/>
    <mergeCell ref="M48:P119"/>
  </mergeCells>
  <conditionalFormatting sqref="K7 A11:A16 B11:B18">
    <cfRule type="expression" dxfId="259" priority="16">
      <formula>$P8="IN PROGRESS"</formula>
    </cfRule>
    <cfRule type="expression" dxfId="258" priority="17">
      <formula>$P8="N"</formula>
    </cfRule>
    <cfRule type="expression" dxfId="257" priority="18">
      <formula>$P8="Y"</formula>
    </cfRule>
  </conditionalFormatting>
  <conditionalFormatting sqref="A17">
    <cfRule type="expression" dxfId="256" priority="25">
      <formula>#REF!="IN PROGRESS"</formula>
    </cfRule>
    <cfRule type="expression" dxfId="255" priority="26">
      <formula>#REF!="N"</formula>
    </cfRule>
    <cfRule type="expression" dxfId="254" priority="27">
      <formula>#REF!="Y"</formula>
    </cfRule>
  </conditionalFormatting>
  <conditionalFormatting sqref="A8:B8">
    <cfRule type="expression" dxfId="253" priority="22">
      <formula>$P9="IN PROGRESS"</formula>
    </cfRule>
    <cfRule type="expression" dxfId="252" priority="23">
      <formula>$P9="N"</formula>
    </cfRule>
    <cfRule type="expression" dxfId="251" priority="24">
      <formula>$P9="Y"</formula>
    </cfRule>
  </conditionalFormatting>
  <conditionalFormatting sqref="A18 E7:E8 E9:I18">
    <cfRule type="expression" dxfId="250" priority="19">
      <formula>$P7="IN PROGRESS"</formula>
    </cfRule>
    <cfRule type="expression" dxfId="249" priority="20">
      <formula>$P7="N"</formula>
    </cfRule>
    <cfRule type="expression" dxfId="248" priority="21">
      <formula>$P7="Y"</formula>
    </cfRule>
  </conditionalFormatting>
  <conditionalFormatting sqref="A7">
    <cfRule type="expression" dxfId="247" priority="13">
      <formula>$P8="IN PROGRESS"</formula>
    </cfRule>
    <cfRule type="expression" dxfId="246" priority="14">
      <formula>$P8="N"</formula>
    </cfRule>
    <cfRule type="expression" dxfId="245" priority="15">
      <formula>$P8="Y"</formula>
    </cfRule>
  </conditionalFormatting>
  <conditionalFormatting sqref="B7">
    <cfRule type="expression" dxfId="244" priority="10">
      <formula>$P8="IN PROGRESS"</formula>
    </cfRule>
    <cfRule type="expression" dxfId="243" priority="11">
      <formula>$P8="N"</formula>
    </cfRule>
    <cfRule type="expression" dxfId="242" priority="12">
      <formula>$P8="Y"</formula>
    </cfRule>
  </conditionalFormatting>
  <conditionalFormatting sqref="K9:K10 A9:B10">
    <cfRule type="expression" dxfId="241" priority="1">
      <formula>$P11="IN PROGRESS"</formula>
    </cfRule>
    <cfRule type="expression" dxfId="240" priority="2">
      <formula>$P11="N"</formula>
    </cfRule>
    <cfRule type="expression" dxfId="239" priority="3">
      <formula>$P11="Y"</formula>
    </cfRule>
  </conditionalFormatting>
  <conditionalFormatting sqref="K8">
    <cfRule type="expression" dxfId="238" priority="4">
      <formula>$P9="IN PROGRESS"</formula>
    </cfRule>
    <cfRule type="expression" dxfId="237" priority="5">
      <formula>$P9="N"</formula>
    </cfRule>
    <cfRule type="expression" dxfId="236" priority="6">
      <formula>$P9="Y"</formula>
    </cfRule>
  </conditionalFormatting>
  <conditionalFormatting sqref="K3:K6 A3:I6">
    <cfRule type="expression" dxfId="235" priority="7">
      <formula>$Q3="IN PROGRESS"</formula>
    </cfRule>
    <cfRule type="expression" dxfId="234" priority="8">
      <formula>$Q3="N"</formula>
    </cfRule>
    <cfRule type="expression" dxfId="233" priority="9">
      <formula>$Q3="Y"</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09C18-8669-4386-9BF3-93D3753C2251}">
  <dimension ref="A1:P296"/>
  <sheetViews>
    <sheetView topLeftCell="E1" zoomScaleNormal="100" workbookViewId="0">
      <selection activeCell="J3" sqref="J3:J37"/>
    </sheetView>
  </sheetViews>
  <sheetFormatPr defaultRowHeight="15"/>
  <cols>
    <col min="1" max="1" width="11" bestFit="1" customWidth="1"/>
    <col min="3" max="3" width="45" bestFit="1" customWidth="1"/>
    <col min="4" max="4" width="44.28515625" customWidth="1"/>
    <col min="7" max="7" width="71.42578125" customWidth="1"/>
    <col min="8" max="9" width="15.85546875" customWidth="1"/>
    <col min="10" max="10" width="12.7109375" customWidth="1"/>
    <col min="12" max="12" width="1.85546875" customWidth="1"/>
    <col min="17" max="17" width="1.42578125" customWidth="1"/>
  </cols>
  <sheetData>
    <row r="1" spans="1:16" ht="32.450000000000003" customHeight="1">
      <c r="A1" s="775" t="s">
        <v>177</v>
      </c>
      <c r="B1" s="776"/>
      <c r="C1" s="776"/>
      <c r="D1" s="776"/>
      <c r="E1" s="776"/>
      <c r="F1" s="776"/>
      <c r="K1" s="155"/>
      <c r="L1" s="318"/>
      <c r="M1" s="315"/>
      <c r="N1" s="316"/>
      <c r="O1" s="316"/>
      <c r="P1" s="317"/>
    </row>
    <row r="2" spans="1:16" ht="40.5">
      <c r="A2" s="283" t="s">
        <v>112</v>
      </c>
      <c r="B2" s="284" t="s">
        <v>113</v>
      </c>
      <c r="C2" s="284" t="s">
        <v>114</v>
      </c>
      <c r="D2" s="284" t="s">
        <v>178</v>
      </c>
      <c r="E2" s="284" t="s">
        <v>116</v>
      </c>
      <c r="F2" s="284" t="s">
        <v>117</v>
      </c>
      <c r="G2" s="284" t="s">
        <v>118</v>
      </c>
      <c r="H2" s="307" t="s">
        <v>119</v>
      </c>
      <c r="I2" s="307" t="s">
        <v>120</v>
      </c>
      <c r="J2" s="307" t="s">
        <v>121</v>
      </c>
      <c r="K2" s="284" t="s">
        <v>122</v>
      </c>
      <c r="L2" s="320"/>
      <c r="M2" s="312" t="s">
        <v>123</v>
      </c>
      <c r="N2" s="294" t="s">
        <v>124</v>
      </c>
      <c r="O2" s="295" t="s">
        <v>125</v>
      </c>
      <c r="P2" s="296" t="s">
        <v>126</v>
      </c>
    </row>
    <row r="3" spans="1:16" ht="27" customHeight="1">
      <c r="A3" s="271" t="s">
        <v>179</v>
      </c>
      <c r="B3" s="271" t="s">
        <v>180</v>
      </c>
      <c r="C3" s="75" t="s">
        <v>181</v>
      </c>
      <c r="D3" s="75" t="s">
        <v>182</v>
      </c>
      <c r="E3" s="75" t="s">
        <v>183</v>
      </c>
      <c r="F3" s="269">
        <v>1.01</v>
      </c>
      <c r="G3" s="304" t="s">
        <v>184</v>
      </c>
      <c r="H3" s="300">
        <v>45754</v>
      </c>
      <c r="I3" s="300">
        <v>45771</v>
      </c>
      <c r="J3" s="253" t="str" cm="1">
        <f t="array" ref="J3">IF(ISBLANK(I3), IF(ISBLANK(H3), "N/A", _xlfn.IFS(K3="AS", H3+15, K3="NCR", H3+30, K3="submitted", H3+30, TRUE, "N/A")), _xlfn.IFS(K3="AS", I3+15, K3="NCR", I3+30, K3="submitted", I3+30, TRUE, "N/A"))</f>
        <v>N/A</v>
      </c>
      <c r="K3" s="271"/>
      <c r="L3" s="318"/>
      <c r="M3" s="766" t="s">
        <v>132</v>
      </c>
      <c r="N3" s="767"/>
      <c r="O3" s="767"/>
      <c r="P3" s="768"/>
    </row>
    <row r="4" spans="1:16" ht="15" customHeight="1">
      <c r="A4" s="9"/>
      <c r="B4" s="778" t="s">
        <v>127</v>
      </c>
      <c r="C4" s="788" t="s">
        <v>128</v>
      </c>
      <c r="D4" s="13"/>
      <c r="E4" s="13"/>
      <c r="F4" s="9" t="s">
        <v>130</v>
      </c>
      <c r="G4" s="162" t="s">
        <v>131</v>
      </c>
      <c r="H4" s="143"/>
      <c r="I4" s="143"/>
      <c r="J4" s="253" t="str" cm="1">
        <f t="array" ref="J4">IF(ISBLANK(I4), IF(ISBLANK(H4), "N/A", _xlfn.IFS(K4="AS", H4+15, K4="NCR", H4+30, K4="submitted", H4+30, TRUE, "N/A")), _xlfn.IFS(K4="AS", I4+15, K4="NCR", I4+30, K4="submitted", I4+30, TRUE, "N/A"))</f>
        <v>N/A</v>
      </c>
      <c r="K4" s="11"/>
      <c r="L4" s="318"/>
      <c r="M4" s="769"/>
      <c r="N4" s="770"/>
      <c r="O4" s="770"/>
      <c r="P4" s="771"/>
    </row>
    <row r="5" spans="1:16" ht="15" customHeight="1">
      <c r="A5" s="9"/>
      <c r="B5" s="778"/>
      <c r="C5" s="788"/>
      <c r="D5" s="13"/>
      <c r="E5" s="13"/>
      <c r="F5" s="9" t="s">
        <v>133</v>
      </c>
      <c r="G5" s="162" t="s">
        <v>134</v>
      </c>
      <c r="H5" s="143"/>
      <c r="I5" s="143"/>
      <c r="J5" s="253" t="str" cm="1">
        <f t="array" ref="J5">IF(ISBLANK(I5), IF(ISBLANK(H5), "N/A", _xlfn.IFS(K5="AS", H5+15, K5="NCR", H5+30, K5="submitted", H5+30, TRUE, "N/A")), _xlfn.IFS(K5="AS", I5+15, K5="NCR", I5+30, K5="submitted", I5+30, TRUE, "N/A"))</f>
        <v>N/A</v>
      </c>
      <c r="K5" s="11"/>
      <c r="L5" s="318"/>
      <c r="M5" s="769"/>
      <c r="N5" s="770"/>
      <c r="O5" s="770"/>
      <c r="P5" s="771"/>
    </row>
    <row r="6" spans="1:16" ht="15" customHeight="1">
      <c r="A6" s="9"/>
      <c r="B6" s="778"/>
      <c r="C6" s="788"/>
      <c r="D6" s="13"/>
      <c r="E6" s="13"/>
      <c r="F6" s="9" t="s">
        <v>135</v>
      </c>
      <c r="G6" s="162" t="s">
        <v>136</v>
      </c>
      <c r="H6" s="143"/>
      <c r="I6" s="143"/>
      <c r="J6" s="253" t="str" cm="1">
        <f t="array" ref="J6">IF(ISBLANK(I6), IF(ISBLANK(H6), "N/A", _xlfn.IFS(K6="AS", H6+15, K6="NCR", H6+30, K6="submitted", H6+30, TRUE, "N/A")), _xlfn.IFS(K6="AS", I6+15, K6="NCR", I6+30, K6="submitted", I6+30, TRUE, "N/A"))</f>
        <v>N/A</v>
      </c>
      <c r="K6" s="11"/>
      <c r="L6" s="318"/>
      <c r="M6" s="769"/>
      <c r="N6" s="770"/>
      <c r="O6" s="770"/>
      <c r="P6" s="771"/>
    </row>
    <row r="7" spans="1:16" ht="15" customHeight="1">
      <c r="A7" s="9"/>
      <c r="B7" s="778"/>
      <c r="C7" s="788"/>
      <c r="D7" s="13"/>
      <c r="E7" s="13"/>
      <c r="F7" s="8" t="s">
        <v>137</v>
      </c>
      <c r="G7" s="162" t="s">
        <v>138</v>
      </c>
      <c r="H7" s="143"/>
      <c r="I7" s="143"/>
      <c r="J7" s="253" t="str" cm="1">
        <f t="array" ref="J7">IF(ISBLANK(I7), IF(ISBLANK(H7), "N/A", _xlfn.IFS(K7="AS", H7+15, K7="NCR", H7+30, K7="submitted", H7+30, TRUE, "N/A")), _xlfn.IFS(K7="AS", I7+15, K7="NCR", I7+30, K7="submitted", I7+30, TRUE, "N/A"))</f>
        <v>N/A</v>
      </c>
      <c r="K7" s="11"/>
      <c r="L7" s="318"/>
      <c r="M7" s="772" t="s">
        <v>147</v>
      </c>
      <c r="N7" s="773"/>
      <c r="O7" s="773"/>
      <c r="P7" s="774"/>
    </row>
    <row r="8" spans="1:16" s="139" customFormat="1" ht="15" customHeight="1">
      <c r="A8" s="173" t="s">
        <v>185</v>
      </c>
      <c r="B8" s="173">
        <v>1150</v>
      </c>
      <c r="C8" s="173" t="s">
        <v>186</v>
      </c>
      <c r="D8" s="153" t="s">
        <v>187</v>
      </c>
      <c r="E8" s="153" t="s">
        <v>188</v>
      </c>
      <c r="F8" s="152" t="s">
        <v>133</v>
      </c>
      <c r="G8" s="163" t="s">
        <v>189</v>
      </c>
      <c r="H8" s="217">
        <v>45805</v>
      </c>
      <c r="I8" s="217">
        <v>45810</v>
      </c>
      <c r="J8" s="253" t="str" cm="1">
        <f t="array" ref="J8">IF(ISBLANK(I8), IF(ISBLANK(H8), "N/A", _xlfn.IFS(K8="AS", H8+15, K8="NCR", H8+30, K8="submitted", H8+30, TRUE, "N/A")), _xlfn.IFS(K8="AS", I8+15, K8="NCR", I8+30, K8="submitted", I8+30, TRUE, "N/A"))</f>
        <v>N/A</v>
      </c>
      <c r="K8" s="173"/>
      <c r="L8" s="318"/>
      <c r="M8" s="772"/>
      <c r="N8" s="773"/>
      <c r="O8" s="773"/>
      <c r="P8" s="774"/>
    </row>
    <row r="9" spans="1:16" s="357" customFormat="1" ht="15" customHeight="1">
      <c r="A9" s="350" t="s">
        <v>190</v>
      </c>
      <c r="B9" s="351" t="s">
        <v>191</v>
      </c>
      <c r="C9" s="663" t="s">
        <v>186</v>
      </c>
      <c r="D9" s="354" t="s">
        <v>187</v>
      </c>
      <c r="E9" s="354" t="s">
        <v>188</v>
      </c>
      <c r="F9" s="350" t="s">
        <v>133</v>
      </c>
      <c r="G9" s="355" t="s">
        <v>189</v>
      </c>
      <c r="H9" s="356">
        <v>45835</v>
      </c>
      <c r="I9" s="356">
        <v>45869</v>
      </c>
      <c r="J9" s="253" t="str" cm="1">
        <f t="array" ref="J9">IF(ISBLANK(I9), IF(ISBLANK(H9), "N/A", _xlfn.IFS(K9="AS", H9+15, K9="NCR", H9+30, K9="submitted", H9+30, TRUE, "N/A")), _xlfn.IFS(K9="AS", I9+15, K9="NCR", I9+30, K9="submitted", I9+30, TRUE, "N/A"))</f>
        <v>N/A</v>
      </c>
      <c r="K9" s="352" t="s">
        <v>150</v>
      </c>
      <c r="L9" s="318"/>
      <c r="M9" s="772"/>
      <c r="N9" s="773"/>
      <c r="O9" s="773"/>
      <c r="P9" s="774"/>
    </row>
    <row r="10" spans="1:16" s="139" customFormat="1" ht="15" customHeight="1">
      <c r="A10" s="152" t="s">
        <v>192</v>
      </c>
      <c r="B10" s="240" t="s">
        <v>191</v>
      </c>
      <c r="C10" s="298" t="s">
        <v>186</v>
      </c>
      <c r="D10" s="153" t="s">
        <v>193</v>
      </c>
      <c r="E10" s="153" t="s">
        <v>194</v>
      </c>
      <c r="F10" s="152" t="s">
        <v>135</v>
      </c>
      <c r="G10" s="163" t="s">
        <v>195</v>
      </c>
      <c r="H10" s="217">
        <v>45772</v>
      </c>
      <c r="I10" s="217">
        <v>45777</v>
      </c>
      <c r="J10" s="253" t="str" cm="1">
        <f t="array" ref="J10">IF(ISBLANK(I10), IF(ISBLANK(H10), "N/A", _xlfn.IFS(K10="AS", H10+15, K10="NCR", H10+30, K10="submitted", H10+30, TRUE, "N/A")), _xlfn.IFS(K10="AS", I10+15, K10="NCR", I10+30, K10="submitted", I10+30, TRUE, "N/A"))</f>
        <v>N/A</v>
      </c>
      <c r="K10" s="173" t="s">
        <v>150</v>
      </c>
      <c r="L10" s="318"/>
      <c r="M10" s="772"/>
      <c r="N10" s="773"/>
      <c r="O10" s="773"/>
      <c r="P10" s="774"/>
    </row>
    <row r="11" spans="1:16" s="139" customFormat="1" ht="15" customHeight="1">
      <c r="A11" s="152" t="s">
        <v>196</v>
      </c>
      <c r="B11" s="240" t="s">
        <v>191</v>
      </c>
      <c r="C11" s="298" t="s">
        <v>186</v>
      </c>
      <c r="D11" s="153" t="s">
        <v>197</v>
      </c>
      <c r="E11" s="153" t="s">
        <v>198</v>
      </c>
      <c r="F11" s="152" t="s">
        <v>144</v>
      </c>
      <c r="G11" s="163" t="s">
        <v>199</v>
      </c>
      <c r="H11" s="217">
        <v>45796</v>
      </c>
      <c r="I11" s="217">
        <v>45796</v>
      </c>
      <c r="J11" s="253" t="str" cm="1">
        <f t="array" ref="J11">IF(ISBLANK(I11), IF(ISBLANK(H11), "N/A", _xlfn.IFS(K11="AS", H11+15, K11="NCR", H11+30, K11="submitted", H11+30, TRUE, "N/A")), _xlfn.IFS(K11="AS", I11+15, K11="NCR", I11+30, K11="submitted", I11+30, TRUE, "N/A"))</f>
        <v>N/A</v>
      </c>
      <c r="K11" s="173" t="s">
        <v>200</v>
      </c>
      <c r="L11" s="318"/>
      <c r="M11" s="772"/>
      <c r="N11" s="773"/>
      <c r="O11" s="773"/>
      <c r="P11" s="774"/>
    </row>
    <row r="12" spans="1:16" s="189" customFormat="1" ht="27" customHeight="1">
      <c r="A12" s="188" t="s">
        <v>9</v>
      </c>
      <c r="B12" s="322" t="s">
        <v>201</v>
      </c>
      <c r="C12" s="192" t="s">
        <v>202</v>
      </c>
      <c r="D12" s="192" t="s">
        <v>203</v>
      </c>
      <c r="E12" s="192" t="s">
        <v>204</v>
      </c>
      <c r="F12" s="188" t="s">
        <v>205</v>
      </c>
      <c r="G12" s="323" t="s">
        <v>206</v>
      </c>
      <c r="H12" s="324">
        <v>45800</v>
      </c>
      <c r="I12" s="324">
        <v>45805</v>
      </c>
      <c r="J12" s="253" cm="1">
        <f t="array" ref="J12">IF(ISBLANK(I12), IF(ISBLANK(H12), "N/A", _xlfn.IFS(K12="AS", H12+15, K12="NCR", H12+30, K12="submitted", H12+30, TRUE, "N/A")), _xlfn.IFS(K12="AS", I12+15, K12="NCR", I12+30, K12="submitted", I12+30, TRUE, "N/A"))</f>
        <v>45835</v>
      </c>
      <c r="K12" s="322" t="s">
        <v>207</v>
      </c>
      <c r="L12" s="319"/>
      <c r="M12" s="772"/>
      <c r="N12" s="773"/>
      <c r="O12" s="773"/>
      <c r="P12" s="774"/>
    </row>
    <row r="13" spans="1:16" ht="28.15" customHeight="1">
      <c r="A13" s="115"/>
      <c r="B13" s="116" t="s">
        <v>208</v>
      </c>
      <c r="C13" s="117" t="s">
        <v>209</v>
      </c>
      <c r="D13" s="117"/>
      <c r="E13" s="117"/>
      <c r="F13" s="118" t="s">
        <v>210</v>
      </c>
      <c r="G13" s="305" t="s">
        <v>211</v>
      </c>
      <c r="H13" s="301"/>
      <c r="I13" s="301"/>
      <c r="J13" s="253" t="str" cm="1">
        <f t="array" ref="J13">IF(ISBLANK(I13), IF(ISBLANK(H13), "N/A", _xlfn.IFS(K13="AS", H13+15, K13="NCR", H13+30, K13="submitted", H13+30, TRUE, "N/A")), _xlfn.IFS(K13="AS", I13+15, K13="NCR", I13+30, K13="submitted", I13+30, TRUE, "N/A"))</f>
        <v>N/A</v>
      </c>
      <c r="K13" s="116"/>
      <c r="L13" s="318"/>
      <c r="M13" s="772"/>
      <c r="N13" s="773"/>
      <c r="O13" s="773"/>
      <c r="P13" s="774"/>
    </row>
    <row r="14" spans="1:16" s="139" customFormat="1" ht="15" customHeight="1">
      <c r="A14" s="152" t="s">
        <v>212</v>
      </c>
      <c r="B14" s="173" t="s">
        <v>174</v>
      </c>
      <c r="C14" s="153" t="s">
        <v>213</v>
      </c>
      <c r="D14" s="153" t="s">
        <v>214</v>
      </c>
      <c r="E14" s="153" t="s">
        <v>215</v>
      </c>
      <c r="F14" s="152" t="s">
        <v>144</v>
      </c>
      <c r="G14" s="163" t="s">
        <v>216</v>
      </c>
      <c r="H14" s="217">
        <v>45804</v>
      </c>
      <c r="I14" s="217">
        <v>45869</v>
      </c>
      <c r="J14" s="253" t="str" cm="1">
        <f t="array" ref="J14">IF(ISBLANK(I14), IF(ISBLANK(H14), "N/A", _xlfn.IFS(K14="AS", H14+15, K14="NCR", H14+30, K14="submitted", H14+30, TRUE, "N/A")), _xlfn.IFS(K14="AS", I14+15, K14="NCR", I14+30, K14="submitted", I14+30, TRUE, "N/A"))</f>
        <v>N/A</v>
      </c>
      <c r="K14" s="173" t="s">
        <v>200</v>
      </c>
      <c r="L14" s="318"/>
      <c r="M14" s="772"/>
      <c r="N14" s="773"/>
      <c r="O14" s="773"/>
      <c r="P14" s="774"/>
    </row>
    <row r="15" spans="1:16" ht="15" customHeight="1">
      <c r="A15" s="4"/>
      <c r="B15" s="789" t="s">
        <v>217</v>
      </c>
      <c r="C15" s="786" t="s">
        <v>218</v>
      </c>
      <c r="D15" s="17"/>
      <c r="E15" s="17" t="s">
        <v>158</v>
      </c>
      <c r="F15" s="4" t="s">
        <v>205</v>
      </c>
      <c r="G15" s="161" t="s">
        <v>219</v>
      </c>
      <c r="H15" s="158"/>
      <c r="I15" s="158"/>
      <c r="J15" s="253" t="str" cm="1">
        <f t="array" ref="J15">IF(ISBLANK(I15), IF(ISBLANK(H15), "N/A", _xlfn.IFS(K15="AS", H15+15, K15="NCR", H15+30, K15="submitted", H15+30, TRUE, "N/A")), _xlfn.IFS(K15="AS", I15+15, K15="NCR", I15+30, K15="submitted", I15+30, TRUE, "N/A"))</f>
        <v>N/A</v>
      </c>
      <c r="K15" s="15"/>
      <c r="L15" s="318"/>
      <c r="M15" s="772"/>
      <c r="N15" s="773"/>
      <c r="O15" s="773"/>
      <c r="P15" s="774"/>
    </row>
    <row r="16" spans="1:16" ht="15" customHeight="1">
      <c r="A16" s="4"/>
      <c r="B16" s="789"/>
      <c r="C16" s="787"/>
      <c r="D16" s="17"/>
      <c r="E16" s="17"/>
      <c r="F16" s="4" t="s">
        <v>220</v>
      </c>
      <c r="G16" s="161" t="s">
        <v>221</v>
      </c>
      <c r="H16" s="158"/>
      <c r="I16" s="158"/>
      <c r="J16" s="253" t="str" cm="1">
        <f t="array" ref="J16">IF(ISBLANK(I16), IF(ISBLANK(H16), "N/A", _xlfn.IFS(K16="AS", H16+15, K16="NCR", H16+30, K16="submitted", H16+30, TRUE, "N/A")), _xlfn.IFS(K16="AS", I16+15, K16="NCR", I16+30, K16="submitted", I16+30, TRUE, "N/A"))</f>
        <v>N/A</v>
      </c>
      <c r="K16" s="15"/>
      <c r="L16" s="318"/>
      <c r="M16" s="772"/>
      <c r="N16" s="773"/>
      <c r="O16" s="773"/>
      <c r="P16" s="774"/>
    </row>
    <row r="17" spans="1:16" ht="15" customHeight="1">
      <c r="A17" s="9"/>
      <c r="B17" s="778" t="s">
        <v>222</v>
      </c>
      <c r="C17" s="788" t="s">
        <v>223</v>
      </c>
      <c r="D17" s="13"/>
      <c r="E17" s="13"/>
      <c r="F17" s="9" t="s">
        <v>224</v>
      </c>
      <c r="G17" s="162" t="s">
        <v>225</v>
      </c>
      <c r="H17" s="143"/>
      <c r="I17" s="143"/>
      <c r="J17" s="253" t="str" cm="1">
        <f t="array" ref="J17">IF(ISBLANK(I17), IF(ISBLANK(H17), "N/A", _xlfn.IFS(K17="AS", H17+15, K17="NCR", H17+30, K17="submitted", H17+30, TRUE, "N/A")), _xlfn.IFS(K17="AS", I17+15, K17="NCR", I17+30, K17="submitted", I17+30, TRUE, "N/A"))</f>
        <v>N/A</v>
      </c>
      <c r="K17" s="11"/>
      <c r="L17" s="318"/>
      <c r="M17" s="772"/>
      <c r="N17" s="773"/>
      <c r="O17" s="773"/>
      <c r="P17" s="774"/>
    </row>
    <row r="18" spans="1:16" ht="15" customHeight="1">
      <c r="A18" s="9"/>
      <c r="B18" s="778"/>
      <c r="C18" s="788"/>
      <c r="D18" s="13"/>
      <c r="E18" s="13"/>
      <c r="F18" s="9" t="s">
        <v>226</v>
      </c>
      <c r="G18" s="162" t="s">
        <v>227</v>
      </c>
      <c r="H18" s="143"/>
      <c r="I18" s="143"/>
      <c r="J18" s="253" t="str" cm="1">
        <f t="array" ref="J18">IF(ISBLANK(I18), IF(ISBLANK(H18), "N/A", _xlfn.IFS(K18="AS", H18+15, K18="NCR", H18+30, K18="submitted", H18+30, TRUE, "N/A")), _xlfn.IFS(K18="AS", I18+15, K18="NCR", I18+30, K18="submitted", I18+30, TRUE, "N/A"))</f>
        <v>N/A</v>
      </c>
      <c r="K18" s="11"/>
      <c r="L18" s="318"/>
      <c r="M18" s="772"/>
      <c r="N18" s="773"/>
      <c r="O18" s="773"/>
      <c r="P18" s="774"/>
    </row>
    <row r="19" spans="1:16" ht="15" customHeight="1">
      <c r="A19" s="9"/>
      <c r="B19" s="778"/>
      <c r="C19" s="788"/>
      <c r="D19" s="13"/>
      <c r="E19" s="13"/>
      <c r="F19" s="9" t="s">
        <v>228</v>
      </c>
      <c r="G19" s="162" t="s">
        <v>229</v>
      </c>
      <c r="H19" s="143"/>
      <c r="I19" s="143"/>
      <c r="J19" s="253" t="str" cm="1">
        <f t="array" ref="J19">IF(ISBLANK(I19), IF(ISBLANK(H19), "N/A", _xlfn.IFS(K19="AS", H19+15, K19="NCR", H19+30, K19="submitted", H19+30, TRUE, "N/A")), _xlfn.IFS(K19="AS", I19+15, K19="NCR", I19+30, K19="submitted", I19+30, TRUE, "N/A"))</f>
        <v>N/A</v>
      </c>
      <c r="K19" s="11"/>
      <c r="L19" s="318"/>
      <c r="M19" s="772"/>
      <c r="N19" s="773"/>
      <c r="O19" s="773"/>
      <c r="P19" s="774"/>
    </row>
    <row r="20" spans="1:16" ht="27" customHeight="1">
      <c r="A20" s="9"/>
      <c r="B20" s="778"/>
      <c r="C20" s="788"/>
      <c r="D20" s="13"/>
      <c r="E20" s="13"/>
      <c r="F20" s="9" t="s">
        <v>230</v>
      </c>
      <c r="G20" s="165" t="s">
        <v>231</v>
      </c>
      <c r="H20" s="160"/>
      <c r="I20" s="160"/>
      <c r="J20" s="253" t="str" cm="1">
        <f t="array" ref="J20">IF(ISBLANK(I20), IF(ISBLANK(H20), "N/A", _xlfn.IFS(K20="AS", H20+15, K20="NCR", H20+30, K20="submitted", H20+30, TRUE, "N/A")), _xlfn.IFS(K20="AS", I20+15, K20="NCR", I20+30, K20="submitted", I20+30, TRUE, "N/A"))</f>
        <v>N/A</v>
      </c>
      <c r="K20" s="11"/>
      <c r="L20" s="318"/>
      <c r="M20" s="772"/>
      <c r="N20" s="773"/>
      <c r="O20" s="773"/>
      <c r="P20" s="774"/>
    </row>
    <row r="21" spans="1:16" ht="15" customHeight="1">
      <c r="A21" s="9"/>
      <c r="B21" s="778"/>
      <c r="C21" s="788"/>
      <c r="D21" s="13"/>
      <c r="E21" s="13"/>
      <c r="F21" s="9" t="s">
        <v>232</v>
      </c>
      <c r="G21" s="162" t="s">
        <v>233</v>
      </c>
      <c r="H21" s="143"/>
      <c r="I21" s="143"/>
      <c r="J21" s="253" t="str" cm="1">
        <f t="array" ref="J21">IF(ISBLANK(I21), IF(ISBLANK(H21), "N/A", _xlfn.IFS(K21="AS", H21+15, K21="NCR", H21+30, K21="submitted", H21+30, TRUE, "N/A")), _xlfn.IFS(K21="AS", I21+15, K21="NCR", I21+30, K21="submitted", I21+30, TRUE, "N/A"))</f>
        <v>N/A</v>
      </c>
      <c r="K21" s="11"/>
      <c r="L21" s="318"/>
      <c r="M21" s="772"/>
      <c r="N21" s="773"/>
      <c r="O21" s="773"/>
      <c r="P21" s="774"/>
    </row>
    <row r="22" spans="1:16" ht="15" customHeight="1">
      <c r="A22" s="9"/>
      <c r="B22" s="778"/>
      <c r="C22" s="788"/>
      <c r="D22" s="13"/>
      <c r="E22" s="13"/>
      <c r="F22" s="9" t="s">
        <v>234</v>
      </c>
      <c r="G22" s="162" t="s">
        <v>235</v>
      </c>
      <c r="H22" s="143"/>
      <c r="I22" s="143"/>
      <c r="J22" s="253" t="str" cm="1">
        <f t="array" ref="J22">IF(ISBLANK(I22), IF(ISBLANK(H22), "N/A", _xlfn.IFS(K22="AS", H22+15, K22="NCR", H22+30, K22="submitted", H22+30, TRUE, "N/A")), _xlfn.IFS(K22="AS", I22+15, K22="NCR", I22+30, K22="submitted", I22+30, TRUE, "N/A"))</f>
        <v>N/A</v>
      </c>
      <c r="K22" s="11"/>
      <c r="L22" s="318"/>
      <c r="M22" s="772"/>
      <c r="N22" s="773"/>
      <c r="O22" s="773"/>
      <c r="P22" s="774"/>
    </row>
    <row r="23" spans="1:16" ht="15" customHeight="1">
      <c r="A23" s="9"/>
      <c r="B23" s="778"/>
      <c r="C23" s="788"/>
      <c r="D23" s="13"/>
      <c r="E23" s="13"/>
      <c r="F23" s="9" t="s">
        <v>236</v>
      </c>
      <c r="G23" s="162" t="s">
        <v>237</v>
      </c>
      <c r="H23" s="143"/>
      <c r="I23" s="143"/>
      <c r="J23" s="253" t="str" cm="1">
        <f t="array" ref="J23">IF(ISBLANK(I23), IF(ISBLANK(H23), "N/A", _xlfn.IFS(K23="AS", H23+15, K23="NCR", H23+30, K23="submitted", H23+30, TRUE, "N/A")), _xlfn.IFS(K23="AS", I23+15, K23="NCR", I23+30, K23="submitted", I23+30, TRUE, "N/A"))</f>
        <v>N/A</v>
      </c>
      <c r="K23" s="11"/>
      <c r="L23" s="318"/>
      <c r="M23" s="772"/>
      <c r="N23" s="773"/>
      <c r="O23" s="773"/>
      <c r="P23" s="774"/>
    </row>
    <row r="24" spans="1:16" ht="30" customHeight="1">
      <c r="A24" s="120" t="s">
        <v>238</v>
      </c>
      <c r="B24" s="32" t="s">
        <v>239</v>
      </c>
      <c r="C24" s="38" t="s">
        <v>240</v>
      </c>
      <c r="D24" s="119" t="s">
        <v>241</v>
      </c>
      <c r="E24" s="119" t="s">
        <v>54</v>
      </c>
      <c r="F24" s="115">
        <v>1.1200000000000001</v>
      </c>
      <c r="G24" s="306" t="s">
        <v>242</v>
      </c>
      <c r="H24" s="302">
        <v>45762</v>
      </c>
      <c r="I24" s="302">
        <v>45763</v>
      </c>
      <c r="J24" s="253" t="str" cm="1">
        <f t="array" ref="J24">IF(ISBLANK(I24), IF(ISBLANK(H24), "N/A", _xlfn.IFS(K24="AS", H24+15, K24="NCR", H24+30, K24="submitted", H24+30, TRUE, "N/A")), _xlfn.IFS(K24="AS", I24+15, K24="NCR", I24+30, K24="submitted", I24+30, TRUE, "N/A"))</f>
        <v>N/A</v>
      </c>
      <c r="K24" s="121" t="s">
        <v>146</v>
      </c>
      <c r="L24" s="318"/>
      <c r="M24" s="772"/>
      <c r="N24" s="773"/>
      <c r="O24" s="773"/>
      <c r="P24" s="774"/>
    </row>
    <row r="25" spans="1:16" ht="30" customHeight="1">
      <c r="A25" s="120" t="s">
        <v>243</v>
      </c>
      <c r="B25" s="325" t="s">
        <v>239</v>
      </c>
      <c r="C25" s="784" t="s">
        <v>240</v>
      </c>
      <c r="D25" s="119" t="s">
        <v>244</v>
      </c>
      <c r="E25" s="119" t="s">
        <v>54</v>
      </c>
      <c r="F25" s="115">
        <v>1.1200000000000001</v>
      </c>
      <c r="G25" s="306" t="s">
        <v>242</v>
      </c>
      <c r="H25" s="302">
        <v>45784</v>
      </c>
      <c r="I25" s="302">
        <v>45790</v>
      </c>
      <c r="J25" s="253" t="str" cm="1">
        <f t="array" ref="J25">IF(ISBLANK(I25), IF(ISBLANK(H25), "N/A", _xlfn.IFS(K25="AS", H25+15, K25="NCR", H25+30, K25="submitted", H25+30, TRUE, "N/A")), _xlfn.IFS(K25="AS", I25+15, K25="NCR", I25+30, K25="submitted", I25+30, TRUE, "N/A"))</f>
        <v>N/A</v>
      </c>
      <c r="K25" s="121" t="s">
        <v>146</v>
      </c>
      <c r="L25" s="318"/>
      <c r="M25" s="772"/>
      <c r="N25" s="773"/>
      <c r="O25" s="773"/>
      <c r="P25" s="774"/>
    </row>
    <row r="26" spans="1:16" s="139" customFormat="1" ht="27" customHeight="1">
      <c r="A26" s="190" t="s">
        <v>245</v>
      </c>
      <c r="B26" s="32" t="s">
        <v>239</v>
      </c>
      <c r="C26" s="785"/>
      <c r="D26" s="172" t="s">
        <v>246</v>
      </c>
      <c r="E26" s="172" t="s">
        <v>54</v>
      </c>
      <c r="F26" s="152" t="s">
        <v>247</v>
      </c>
      <c r="G26" s="157" t="s">
        <v>248</v>
      </c>
      <c r="H26" s="303">
        <v>45821</v>
      </c>
      <c r="I26" s="303">
        <v>45832</v>
      </c>
      <c r="J26" s="253" t="str" cm="1">
        <f t="array" ref="J26">IF(ISBLANK(I26), IF(ISBLANK(H26), "N/A", _xlfn.IFS(K26="AS", H26+15, K26="NCR", H26+30, K26="submitted", H26+30, TRUE, "N/A")), _xlfn.IFS(K26="AS", I26+15, K26="NCR", I26+30, K26="submitted", I26+30, TRUE, "N/A"))</f>
        <v>N/A</v>
      </c>
      <c r="K26" s="152" t="s">
        <v>200</v>
      </c>
      <c r="L26" s="318"/>
      <c r="M26" s="772"/>
      <c r="N26" s="773"/>
      <c r="O26" s="773"/>
      <c r="P26" s="774"/>
    </row>
    <row r="27" spans="1:16" s="149" customFormat="1" ht="27" customHeight="1">
      <c r="A27" s="147" t="s">
        <v>249</v>
      </c>
      <c r="B27" s="334" t="s">
        <v>250</v>
      </c>
      <c r="C27" s="335" t="s">
        <v>251</v>
      </c>
      <c r="D27" s="148" t="s">
        <v>252</v>
      </c>
      <c r="E27" s="212" t="s">
        <v>158</v>
      </c>
      <c r="F27" s="147" t="s">
        <v>253</v>
      </c>
      <c r="G27" s="215" t="s">
        <v>254</v>
      </c>
      <c r="H27" s="339">
        <v>45783</v>
      </c>
      <c r="I27" s="339">
        <v>45783</v>
      </c>
      <c r="J27" s="253" t="str" cm="1">
        <f t="array" ref="J27">IF(ISBLANK(I27), IF(ISBLANK(H27), "N/A", _xlfn.IFS(K27="AS", H27+15, K27="NCR", H27+30, K27="submitted", H27+30, TRUE, "N/A")), _xlfn.IFS(K27="AS", I27+15, K27="NCR", I27+30, K27="submitted", I27+30, TRUE, "N/A"))</f>
        <v>N/A</v>
      </c>
      <c r="K27" s="147" t="s">
        <v>146</v>
      </c>
      <c r="L27" s="318"/>
      <c r="M27" s="772"/>
      <c r="N27" s="773"/>
      <c r="O27" s="773"/>
      <c r="P27" s="774"/>
    </row>
    <row r="28" spans="1:16" s="139" customFormat="1" ht="27" customHeight="1">
      <c r="A28" s="152" t="s">
        <v>255</v>
      </c>
      <c r="B28" s="32" t="s">
        <v>250</v>
      </c>
      <c r="C28" s="38" t="s">
        <v>251</v>
      </c>
      <c r="D28" s="153" t="s">
        <v>256</v>
      </c>
      <c r="E28" s="172" t="s">
        <v>158</v>
      </c>
      <c r="F28" s="152" t="s">
        <v>253</v>
      </c>
      <c r="G28" s="157" t="s">
        <v>254</v>
      </c>
      <c r="H28" s="303">
        <v>45784</v>
      </c>
      <c r="I28" s="303">
        <v>45786</v>
      </c>
      <c r="J28" s="253" t="str" cm="1">
        <f t="array" ref="J28">IF(ISBLANK(I28), IF(ISBLANK(H28), "N/A", _xlfn.IFS(K28="AS", H28+15, K28="NCR", H28+30, K28="submitted", H28+30, TRUE, "N/A")), _xlfn.IFS(K28="AS", I28+15, K28="NCR", I28+30, K28="submitted", I28+30, TRUE, "N/A"))</f>
        <v>N/A</v>
      </c>
      <c r="K28" s="152" t="s">
        <v>200</v>
      </c>
      <c r="L28" s="318"/>
      <c r="M28" s="772"/>
      <c r="N28" s="773"/>
      <c r="O28" s="773"/>
      <c r="P28" s="774"/>
    </row>
    <row r="29" spans="1:16" s="139" customFormat="1" ht="27" customHeight="1">
      <c r="A29" s="152" t="s">
        <v>257</v>
      </c>
      <c r="B29" s="32" t="s">
        <v>250</v>
      </c>
      <c r="C29" s="38" t="s">
        <v>251</v>
      </c>
      <c r="D29" s="153" t="s">
        <v>258</v>
      </c>
      <c r="E29" s="172" t="s">
        <v>158</v>
      </c>
      <c r="F29" s="152" t="s">
        <v>259</v>
      </c>
      <c r="G29" s="157" t="s">
        <v>260</v>
      </c>
      <c r="H29" s="303">
        <v>45786</v>
      </c>
      <c r="I29" s="303">
        <v>45786</v>
      </c>
      <c r="J29" s="253" t="str" cm="1">
        <f t="array" ref="J29">IF(ISBLANK(I29), IF(ISBLANK(H29), "N/A", _xlfn.IFS(K29="AS", H29+15, K29="NCR", H29+30, K29="submitted", H29+30, TRUE, "N/A")), _xlfn.IFS(K29="AS", I29+15, K29="NCR", I29+30, K29="submitted", I29+30, TRUE, "N/A"))</f>
        <v>N/A</v>
      </c>
      <c r="K29" s="152" t="s">
        <v>200</v>
      </c>
      <c r="L29" s="318"/>
      <c r="M29" s="772"/>
      <c r="N29" s="773"/>
      <c r="O29" s="773"/>
      <c r="P29" s="774"/>
    </row>
    <row r="30" spans="1:16" s="151" customFormat="1" ht="27" customHeight="1">
      <c r="A30" s="22"/>
      <c r="B30" s="32" t="s">
        <v>250</v>
      </c>
      <c r="C30" s="38" t="s">
        <v>251</v>
      </c>
      <c r="D30" s="24" t="s">
        <v>261</v>
      </c>
      <c r="E30" s="327" t="s">
        <v>158</v>
      </c>
      <c r="F30" s="22" t="s">
        <v>144</v>
      </c>
      <c r="G30" s="328" t="s">
        <v>262</v>
      </c>
      <c r="H30" s="329">
        <v>45817</v>
      </c>
      <c r="I30" s="330"/>
      <c r="J30" s="253" t="str" cm="1">
        <f t="array" ref="J30">IF(ISBLANK(I30), IF(ISBLANK(H30), "N/A", _xlfn.IFS(K30="AS", H30+15, K30="NCR", H30+30, K30="submitted", H30+30, TRUE, "N/A")), _xlfn.IFS(K30="AS", I30+15, K30="NCR", I30+30, K30="submitted", I30+30, TRUE, "N/A"))</f>
        <v>N/A</v>
      </c>
      <c r="K30" s="326"/>
      <c r="L30" s="318"/>
      <c r="M30" s="772"/>
      <c r="N30" s="773"/>
      <c r="O30" s="773"/>
      <c r="P30" s="774"/>
    </row>
    <row r="31" spans="1:16" s="151" customFormat="1" ht="25.5" customHeight="1">
      <c r="A31" s="22"/>
      <c r="B31" s="32" t="s">
        <v>250</v>
      </c>
      <c r="C31" s="38" t="s">
        <v>251</v>
      </c>
      <c r="D31" s="24" t="s">
        <v>261</v>
      </c>
      <c r="E31" s="327"/>
      <c r="F31" s="26" t="s">
        <v>263</v>
      </c>
      <c r="G31" s="331" t="s">
        <v>264</v>
      </c>
      <c r="H31" s="329">
        <v>45817</v>
      </c>
      <c r="I31" s="330"/>
      <c r="J31" s="253" t="str" cm="1">
        <f t="array" ref="J31">IF(ISBLANK(I31), IF(ISBLANK(H31), "N/A", _xlfn.IFS(K31="AS", H31+15, K31="NCR", H31+30, K31="submitted", H31+30, TRUE, "N/A")), _xlfn.IFS(K31="AS", I31+15, K31="NCR", I31+30, K31="submitted", I31+30, TRUE, "N/A"))</f>
        <v>N/A</v>
      </c>
      <c r="K31" s="326"/>
      <c r="L31" s="318"/>
      <c r="M31" s="772"/>
      <c r="N31" s="773"/>
      <c r="O31" s="773"/>
      <c r="P31" s="774"/>
    </row>
    <row r="32" spans="1:16" s="151" customFormat="1" ht="25.5" customHeight="1">
      <c r="A32" s="22"/>
      <c r="B32" s="32" t="s">
        <v>250</v>
      </c>
      <c r="C32" s="38" t="s">
        <v>251</v>
      </c>
      <c r="D32" s="24" t="s">
        <v>261</v>
      </c>
      <c r="E32" s="28"/>
      <c r="F32" s="22"/>
      <c r="G32" s="332" t="s">
        <v>260</v>
      </c>
      <c r="H32" s="329">
        <v>45817</v>
      </c>
      <c r="I32" s="330"/>
      <c r="J32" s="253" t="str" cm="1">
        <f t="array" ref="J32">IF(ISBLANK(I32), IF(ISBLANK(H32), "N/A", _xlfn.IFS(K32="AS", H32+15, K32="NCR", H32+30, K32="submitted", H32+30, TRUE, "N/A")), _xlfn.IFS(K32="AS", I32+15, K32="NCR", I32+30, K32="submitted", I32+30, TRUE, "N/A"))</f>
        <v>N/A</v>
      </c>
      <c r="K32" s="326"/>
      <c r="L32" s="318"/>
      <c r="M32" s="772"/>
      <c r="N32" s="773"/>
      <c r="O32" s="773"/>
      <c r="P32" s="774"/>
    </row>
    <row r="33" spans="1:16" s="139" customFormat="1" ht="15" customHeight="1">
      <c r="A33" s="152" t="s">
        <v>265</v>
      </c>
      <c r="B33" s="240" t="s">
        <v>266</v>
      </c>
      <c r="C33" s="298" t="s">
        <v>267</v>
      </c>
      <c r="D33" s="171" t="s">
        <v>158</v>
      </c>
      <c r="E33" s="152" t="s">
        <v>158</v>
      </c>
      <c r="F33" s="152" t="s">
        <v>205</v>
      </c>
      <c r="G33" s="163" t="s">
        <v>268</v>
      </c>
      <c r="H33" s="217">
        <v>45782</v>
      </c>
      <c r="I33" s="217">
        <v>45790</v>
      </c>
      <c r="J33" s="253" t="str" cm="1">
        <f t="array" ref="J33">IF(ISBLANK(I33), IF(ISBLANK(H33), "N/A", _xlfn.IFS(K33="AS", H33+15, K33="NCR", H33+30, K33="submitted", H33+30, TRUE, "N/A")), _xlfn.IFS(K33="AS", I33+15, K33="NCR", I33+30, K33="submitted", I33+30, TRUE, "N/A"))</f>
        <v>N/A</v>
      </c>
      <c r="K33" s="2"/>
      <c r="L33" s="318"/>
      <c r="M33" s="772"/>
      <c r="N33" s="773"/>
      <c r="O33" s="773"/>
      <c r="P33" s="774"/>
    </row>
    <row r="34" spans="1:16" s="139" customFormat="1" ht="25.5" customHeight="1">
      <c r="A34" s="152" t="s">
        <v>269</v>
      </c>
      <c r="B34" s="614" t="s">
        <v>266</v>
      </c>
      <c r="C34" s="298" t="s">
        <v>267</v>
      </c>
      <c r="D34" s="171" t="s">
        <v>158</v>
      </c>
      <c r="E34" s="152" t="s">
        <v>158</v>
      </c>
      <c r="F34" s="152" t="s">
        <v>220</v>
      </c>
      <c r="G34" s="157" t="s">
        <v>270</v>
      </c>
      <c r="H34" s="217">
        <v>45782</v>
      </c>
      <c r="I34" s="303">
        <v>45790</v>
      </c>
      <c r="J34" s="253" t="str" cm="1">
        <f t="array" ref="J34">IF(ISBLANK(I34), IF(ISBLANK(H34), "N/A", _xlfn.IFS(K34="AS", H34+15, K34="NCR", H34+30, K34="submitted", H34+30, TRUE, "N/A")), _xlfn.IFS(K34="AS", I34+15, K34="NCR", I34+30, K34="submitted", I34+30, TRUE, "N/A"))</f>
        <v>N/A</v>
      </c>
      <c r="K34" s="2"/>
      <c r="L34" s="318"/>
      <c r="M34" s="772"/>
      <c r="N34" s="773"/>
      <c r="O34" s="773"/>
      <c r="P34" s="774"/>
    </row>
    <row r="35" spans="1:16" ht="27.75" customHeight="1">
      <c r="A35" s="4"/>
      <c r="B35" s="54" t="s">
        <v>271</v>
      </c>
      <c r="C35" s="34"/>
      <c r="D35" s="130"/>
      <c r="E35" s="4" t="s">
        <v>158</v>
      </c>
      <c r="F35" s="4" t="s">
        <v>272</v>
      </c>
      <c r="G35" s="161" t="s">
        <v>273</v>
      </c>
      <c r="H35" s="158"/>
      <c r="I35" s="158"/>
      <c r="J35" s="253" t="str" cm="1">
        <f t="array" ref="J35">IF(ISBLANK(I35), IF(ISBLANK(H35), "N/A", _xlfn.IFS(K35="AS", H35+15, K35="NCR", H35+30, K35="submitted", H35+30, TRUE, "N/A")), _xlfn.IFS(K35="AS", I35+15, K35="NCR", I35+30, K35="submitted", I35+30, TRUE, "N/A"))</f>
        <v>N/A</v>
      </c>
      <c r="K35" s="55"/>
      <c r="L35" s="318"/>
      <c r="M35" s="772"/>
      <c r="N35" s="773"/>
      <c r="O35" s="773"/>
      <c r="P35" s="774"/>
    </row>
    <row r="36" spans="1:16" ht="15" customHeight="1">
      <c r="A36" s="19"/>
      <c r="B36" s="56"/>
      <c r="C36" s="35"/>
      <c r="D36" s="131"/>
      <c r="E36" s="4" t="s">
        <v>158</v>
      </c>
      <c r="F36" s="19" t="s">
        <v>259</v>
      </c>
      <c r="G36" s="130" t="s">
        <v>274</v>
      </c>
      <c r="H36" s="144"/>
      <c r="I36" s="144"/>
      <c r="J36" s="253" t="str" cm="1">
        <f t="array" ref="J36">IF(ISBLANK(I36), IF(ISBLANK(H36), "N/A", _xlfn.IFS(K36="AS", H36+15, K36="NCR", H36+30, K36="submitted", H36+30, TRUE, "N/A")), _xlfn.IFS(K36="AS", I36+15, K36="NCR", I36+30, K36="submitted", I36+30, TRUE, "N/A"))</f>
        <v>N/A</v>
      </c>
      <c r="K36" s="57"/>
      <c r="L36" s="318"/>
      <c r="M36" s="772"/>
      <c r="N36" s="773"/>
      <c r="O36" s="773"/>
      <c r="P36" s="774"/>
    </row>
    <row r="37" spans="1:16" ht="15" customHeight="1">
      <c r="A37" s="19"/>
      <c r="B37" s="58"/>
      <c r="C37" s="35"/>
      <c r="D37" s="131"/>
      <c r="E37" s="4" t="s">
        <v>158</v>
      </c>
      <c r="F37" s="19" t="s">
        <v>275</v>
      </c>
      <c r="G37" s="130" t="s">
        <v>276</v>
      </c>
      <c r="H37" s="144"/>
      <c r="I37" s="144"/>
      <c r="J37" s="253" t="str" cm="1">
        <f t="array" ref="J37">IF(ISBLANK(I37), IF(ISBLANK(H37), "N/A", _xlfn.IFS(K37="AS", H37+15, K37="NCR", H37+30, K37="submitted", H37+30, TRUE, "N/A")), _xlfn.IFS(K37="AS", I37+15, K37="NCR", I37+30, K37="submitted", I37+30, TRUE, "N/A"))</f>
        <v>N/A</v>
      </c>
      <c r="K37" s="31"/>
      <c r="L37" s="318"/>
      <c r="M37" s="772"/>
      <c r="N37" s="773"/>
      <c r="O37" s="773"/>
      <c r="P37" s="774"/>
    </row>
    <row r="38" spans="1:16" ht="15" customHeight="1">
      <c r="L38" s="318"/>
      <c r="M38" s="772"/>
      <c r="N38" s="773"/>
      <c r="O38" s="773"/>
      <c r="P38" s="774"/>
    </row>
    <row r="39" spans="1:16" ht="15" customHeight="1">
      <c r="L39" s="318"/>
      <c r="M39" s="781"/>
      <c r="N39" s="782"/>
      <c r="O39" s="782"/>
      <c r="P39" s="783"/>
    </row>
    <row r="40" spans="1:16" ht="15" customHeight="1">
      <c r="L40" s="318"/>
      <c r="M40" s="766" t="s">
        <v>132</v>
      </c>
      <c r="N40" s="767"/>
      <c r="O40" s="767"/>
      <c r="P40" s="768"/>
    </row>
    <row r="41" spans="1:16" ht="15" customHeight="1">
      <c r="L41" s="318"/>
      <c r="M41" s="769"/>
      <c r="N41" s="770"/>
      <c r="O41" s="770"/>
      <c r="P41" s="771"/>
    </row>
    <row r="42" spans="1:16" ht="15" customHeight="1">
      <c r="L42" s="318"/>
      <c r="M42" s="769"/>
      <c r="N42" s="770"/>
      <c r="O42" s="770"/>
      <c r="P42" s="771"/>
    </row>
    <row r="43" spans="1:16" ht="15" customHeight="1">
      <c r="L43" s="318"/>
      <c r="M43" s="769"/>
      <c r="N43" s="770"/>
      <c r="O43" s="770"/>
      <c r="P43" s="771"/>
    </row>
    <row r="44" spans="1:16" ht="15" customHeight="1">
      <c r="L44" s="318"/>
      <c r="M44" s="769"/>
      <c r="N44" s="770"/>
      <c r="O44" s="770"/>
      <c r="P44" s="771"/>
    </row>
    <row r="45" spans="1:16" ht="15" customHeight="1">
      <c r="L45" s="318"/>
      <c r="M45" s="769"/>
      <c r="N45" s="770"/>
      <c r="O45" s="770"/>
      <c r="P45" s="771"/>
    </row>
    <row r="46" spans="1:16" ht="15" customHeight="1">
      <c r="L46" s="318"/>
      <c r="M46" s="769"/>
      <c r="N46" s="770"/>
      <c r="O46" s="770"/>
      <c r="P46" s="771"/>
    </row>
    <row r="47" spans="1:16" ht="15" customHeight="1">
      <c r="L47" s="318"/>
      <c r="M47" s="769"/>
      <c r="N47" s="770"/>
      <c r="O47" s="770"/>
      <c r="P47" s="771"/>
    </row>
    <row r="48" spans="1:16" ht="15" customHeight="1">
      <c r="L48" s="318"/>
      <c r="M48" s="772" t="s">
        <v>147</v>
      </c>
      <c r="N48" s="773"/>
      <c r="O48" s="773"/>
      <c r="P48" s="774"/>
    </row>
    <row r="49" spans="13:16" ht="15" customHeight="1">
      <c r="M49" s="772"/>
      <c r="N49" s="773"/>
      <c r="O49" s="773"/>
      <c r="P49" s="774"/>
    </row>
    <row r="50" spans="13:16" ht="15" customHeight="1">
      <c r="M50" s="772"/>
      <c r="N50" s="773"/>
      <c r="O50" s="773"/>
      <c r="P50" s="774"/>
    </row>
    <row r="51" spans="13:16" ht="15" customHeight="1">
      <c r="M51" s="772"/>
      <c r="N51" s="773"/>
      <c r="O51" s="773"/>
      <c r="P51" s="774"/>
    </row>
    <row r="52" spans="13:16" ht="15" customHeight="1">
      <c r="M52" s="772"/>
      <c r="N52" s="773"/>
      <c r="O52" s="773"/>
      <c r="P52" s="774"/>
    </row>
    <row r="53" spans="13:16" ht="15" customHeight="1">
      <c r="M53" s="772"/>
      <c r="N53" s="773"/>
      <c r="O53" s="773"/>
      <c r="P53" s="774"/>
    </row>
    <row r="54" spans="13:16" ht="15" customHeight="1">
      <c r="M54" s="772"/>
      <c r="N54" s="773"/>
      <c r="O54" s="773"/>
      <c r="P54" s="774"/>
    </row>
    <row r="55" spans="13:16" ht="15" customHeight="1">
      <c r="M55" s="772"/>
      <c r="N55" s="773"/>
      <c r="O55" s="773"/>
      <c r="P55" s="774"/>
    </row>
    <row r="56" spans="13:16" ht="15" customHeight="1">
      <c r="M56" s="772"/>
      <c r="N56" s="773"/>
      <c r="O56" s="773"/>
      <c r="P56" s="774"/>
    </row>
    <row r="57" spans="13:16" ht="15" customHeight="1">
      <c r="M57" s="772"/>
      <c r="N57" s="773"/>
      <c r="O57" s="773"/>
      <c r="P57" s="774"/>
    </row>
    <row r="58" spans="13:16" ht="15" customHeight="1">
      <c r="M58" s="772"/>
      <c r="N58" s="773"/>
      <c r="O58" s="773"/>
      <c r="P58" s="774"/>
    </row>
    <row r="59" spans="13:16" ht="15" customHeight="1">
      <c r="M59" s="772"/>
      <c r="N59" s="773"/>
      <c r="O59" s="773"/>
      <c r="P59" s="774"/>
    </row>
    <row r="60" spans="13:16" ht="15" customHeight="1">
      <c r="M60" s="772"/>
      <c r="N60" s="773"/>
      <c r="O60" s="773"/>
      <c r="P60" s="774"/>
    </row>
    <row r="61" spans="13:16" ht="15" customHeight="1">
      <c r="M61" s="772"/>
      <c r="N61" s="773"/>
      <c r="O61" s="773"/>
      <c r="P61" s="774"/>
    </row>
    <row r="62" spans="13:16" ht="15" customHeight="1">
      <c r="M62" s="772"/>
      <c r="N62" s="773"/>
      <c r="O62" s="773"/>
      <c r="P62" s="774"/>
    </row>
    <row r="63" spans="13:16" ht="15" customHeight="1">
      <c r="M63" s="772"/>
      <c r="N63" s="773"/>
      <c r="O63" s="773"/>
      <c r="P63" s="774"/>
    </row>
    <row r="64" spans="13:16" ht="15" customHeight="1">
      <c r="M64" s="772"/>
      <c r="N64" s="773"/>
      <c r="O64" s="773"/>
      <c r="P64" s="774"/>
    </row>
    <row r="65" spans="13:16" ht="15" customHeight="1">
      <c r="M65" s="772"/>
      <c r="N65" s="773"/>
      <c r="O65" s="773"/>
      <c r="P65" s="774"/>
    </row>
    <row r="66" spans="13:16" ht="15" customHeight="1">
      <c r="M66" s="772"/>
      <c r="N66" s="773"/>
      <c r="O66" s="773"/>
      <c r="P66" s="774"/>
    </row>
    <row r="67" spans="13:16" ht="15" customHeight="1">
      <c r="M67" s="772"/>
      <c r="N67" s="773"/>
      <c r="O67" s="773"/>
      <c r="P67" s="774"/>
    </row>
    <row r="68" spans="13:16" ht="15" customHeight="1">
      <c r="M68" s="772"/>
      <c r="N68" s="773"/>
      <c r="O68" s="773"/>
      <c r="P68" s="774"/>
    </row>
    <row r="69" spans="13:16" ht="15" customHeight="1">
      <c r="M69" s="772"/>
      <c r="N69" s="773"/>
      <c r="O69" s="773"/>
      <c r="P69" s="774"/>
    </row>
    <row r="70" spans="13:16" ht="15" customHeight="1">
      <c r="M70" s="772"/>
      <c r="N70" s="773"/>
      <c r="O70" s="773"/>
      <c r="P70" s="774"/>
    </row>
    <row r="71" spans="13:16" ht="15" customHeight="1">
      <c r="M71" s="772"/>
      <c r="N71" s="773"/>
      <c r="O71" s="773"/>
      <c r="P71" s="774"/>
    </row>
    <row r="72" spans="13:16" ht="15" customHeight="1">
      <c r="M72" s="772"/>
      <c r="N72" s="773"/>
      <c r="O72" s="773"/>
      <c r="P72" s="774"/>
    </row>
    <row r="73" spans="13:16" ht="15" customHeight="1">
      <c r="M73" s="772"/>
      <c r="N73" s="773"/>
      <c r="O73" s="773"/>
      <c r="P73" s="774"/>
    </row>
    <row r="74" spans="13:16" ht="15" customHeight="1">
      <c r="M74" s="772"/>
      <c r="N74" s="773"/>
      <c r="O74" s="773"/>
      <c r="P74" s="774"/>
    </row>
    <row r="75" spans="13:16" ht="15" customHeight="1">
      <c r="M75" s="772"/>
      <c r="N75" s="773"/>
      <c r="O75" s="773"/>
      <c r="P75" s="774"/>
    </row>
    <row r="76" spans="13:16" ht="15" customHeight="1">
      <c r="M76" s="772"/>
      <c r="N76" s="773"/>
      <c r="O76" s="773"/>
      <c r="P76" s="774"/>
    </row>
    <row r="77" spans="13:16" ht="15" customHeight="1">
      <c r="M77" s="772"/>
      <c r="N77" s="773"/>
      <c r="O77" s="773"/>
      <c r="P77" s="774"/>
    </row>
    <row r="78" spans="13:16" ht="15" customHeight="1">
      <c r="M78" s="772"/>
      <c r="N78" s="773"/>
      <c r="O78" s="773"/>
      <c r="P78" s="774"/>
    </row>
    <row r="79" spans="13:16" ht="15" customHeight="1">
      <c r="M79" s="772"/>
      <c r="N79" s="773"/>
      <c r="O79" s="773"/>
      <c r="P79" s="774"/>
    </row>
    <row r="80" spans="13:16" ht="15" customHeight="1">
      <c r="M80" s="772"/>
      <c r="N80" s="773"/>
      <c r="O80" s="773"/>
      <c r="P80" s="774"/>
    </row>
    <row r="81" spans="13:16" ht="15" customHeight="1">
      <c r="M81" s="772"/>
      <c r="N81" s="773"/>
      <c r="O81" s="773"/>
      <c r="P81" s="774"/>
    </row>
    <row r="82" spans="13:16">
      <c r="M82" s="772"/>
      <c r="N82" s="773"/>
      <c r="O82" s="773"/>
      <c r="P82" s="774"/>
    </row>
    <row r="83" spans="13:16">
      <c r="M83" s="772"/>
      <c r="N83" s="773"/>
      <c r="O83" s="773"/>
      <c r="P83" s="774"/>
    </row>
    <row r="84" spans="13:16">
      <c r="M84" s="772"/>
      <c r="N84" s="773"/>
      <c r="O84" s="773"/>
      <c r="P84" s="774"/>
    </row>
    <row r="85" spans="13:16">
      <c r="M85" s="772"/>
      <c r="N85" s="773"/>
      <c r="O85" s="773"/>
      <c r="P85" s="774"/>
    </row>
    <row r="86" spans="13:16">
      <c r="M86" s="772"/>
      <c r="N86" s="773"/>
      <c r="O86" s="773"/>
      <c r="P86" s="774"/>
    </row>
    <row r="87" spans="13:16">
      <c r="M87" s="772"/>
      <c r="N87" s="773"/>
      <c r="O87" s="773"/>
      <c r="P87" s="774"/>
    </row>
    <row r="88" spans="13:16">
      <c r="M88" s="772"/>
      <c r="N88" s="773"/>
      <c r="O88" s="773"/>
      <c r="P88" s="774"/>
    </row>
    <row r="89" spans="13:16">
      <c r="M89" s="772"/>
      <c r="N89" s="773"/>
      <c r="O89" s="773"/>
      <c r="P89" s="774"/>
    </row>
    <row r="90" spans="13:16">
      <c r="M90" s="772"/>
      <c r="N90" s="773"/>
      <c r="O90" s="773"/>
      <c r="P90" s="774"/>
    </row>
    <row r="91" spans="13:16">
      <c r="M91" s="772"/>
      <c r="N91" s="773"/>
      <c r="O91" s="773"/>
      <c r="P91" s="774"/>
    </row>
    <row r="92" spans="13:16">
      <c r="M92" s="772"/>
      <c r="N92" s="773"/>
      <c r="O92" s="773"/>
      <c r="P92" s="774"/>
    </row>
    <row r="93" spans="13:16">
      <c r="M93" s="772"/>
      <c r="N93" s="773"/>
      <c r="O93" s="773"/>
      <c r="P93" s="774"/>
    </row>
    <row r="94" spans="13:16">
      <c r="M94" s="772"/>
      <c r="N94" s="773"/>
      <c r="O94" s="773"/>
      <c r="P94" s="774"/>
    </row>
    <row r="95" spans="13:16">
      <c r="M95" s="772"/>
      <c r="N95" s="773"/>
      <c r="O95" s="773"/>
      <c r="P95" s="774"/>
    </row>
    <row r="96" spans="13:16">
      <c r="M96" s="772"/>
      <c r="N96" s="773"/>
      <c r="O96" s="773"/>
      <c r="P96" s="774"/>
    </row>
    <row r="97" spans="13:16">
      <c r="M97" s="772"/>
      <c r="N97" s="773"/>
      <c r="O97" s="773"/>
      <c r="P97" s="774"/>
    </row>
    <row r="98" spans="13:16">
      <c r="M98" s="772"/>
      <c r="N98" s="773"/>
      <c r="O98" s="773"/>
      <c r="P98" s="774"/>
    </row>
    <row r="99" spans="13:16">
      <c r="M99" s="772"/>
      <c r="N99" s="773"/>
      <c r="O99" s="773"/>
      <c r="P99" s="774"/>
    </row>
    <row r="100" spans="13:16">
      <c r="M100" s="772"/>
      <c r="N100" s="773"/>
      <c r="O100" s="773"/>
      <c r="P100" s="774"/>
    </row>
    <row r="101" spans="13:16">
      <c r="M101" s="772"/>
      <c r="N101" s="773"/>
      <c r="O101" s="773"/>
      <c r="P101" s="774"/>
    </row>
    <row r="102" spans="13:16">
      <c r="M102" s="772"/>
      <c r="N102" s="773"/>
      <c r="O102" s="773"/>
      <c r="P102" s="774"/>
    </row>
    <row r="103" spans="13:16">
      <c r="M103" s="772"/>
      <c r="N103" s="773"/>
      <c r="O103" s="773"/>
      <c r="P103" s="774"/>
    </row>
    <row r="104" spans="13:16">
      <c r="M104" s="772"/>
      <c r="N104" s="773"/>
      <c r="O104" s="773"/>
      <c r="P104" s="774"/>
    </row>
    <row r="105" spans="13:16">
      <c r="M105" s="772"/>
      <c r="N105" s="773"/>
      <c r="O105" s="773"/>
      <c r="P105" s="774"/>
    </row>
    <row r="106" spans="13:16">
      <c r="M106" s="772"/>
      <c r="N106" s="773"/>
      <c r="O106" s="773"/>
      <c r="P106" s="774"/>
    </row>
    <row r="107" spans="13:16">
      <c r="M107" s="772"/>
      <c r="N107" s="773"/>
      <c r="O107" s="773"/>
      <c r="P107" s="774"/>
    </row>
    <row r="108" spans="13:16">
      <c r="M108" s="772"/>
      <c r="N108" s="773"/>
      <c r="O108" s="773"/>
      <c r="P108" s="774"/>
    </row>
    <row r="109" spans="13:16">
      <c r="M109" s="772"/>
      <c r="N109" s="773"/>
      <c r="O109" s="773"/>
      <c r="P109" s="774"/>
    </row>
    <row r="110" spans="13:16">
      <c r="M110" s="772"/>
      <c r="N110" s="773"/>
      <c r="O110" s="773"/>
      <c r="P110" s="774"/>
    </row>
    <row r="111" spans="13:16">
      <c r="M111" s="772"/>
      <c r="N111" s="773"/>
      <c r="O111" s="773"/>
      <c r="P111" s="774"/>
    </row>
    <row r="112" spans="13:16">
      <c r="M112" s="772"/>
      <c r="N112" s="773"/>
      <c r="O112" s="773"/>
      <c r="P112" s="774"/>
    </row>
    <row r="113" spans="13:16">
      <c r="M113" s="772"/>
      <c r="N113" s="773"/>
      <c r="O113" s="773"/>
      <c r="P113" s="774"/>
    </row>
    <row r="114" spans="13:16">
      <c r="M114" s="772"/>
      <c r="N114" s="773"/>
      <c r="O114" s="773"/>
      <c r="P114" s="774"/>
    </row>
    <row r="115" spans="13:16">
      <c r="M115" s="772"/>
      <c r="N115" s="773"/>
      <c r="O115" s="773"/>
      <c r="P115" s="774"/>
    </row>
    <row r="116" spans="13:16">
      <c r="M116" s="772"/>
      <c r="N116" s="773"/>
      <c r="O116" s="773"/>
      <c r="P116" s="774"/>
    </row>
    <row r="117" spans="13:16">
      <c r="M117" s="772"/>
      <c r="N117" s="773"/>
      <c r="O117" s="773"/>
      <c r="P117" s="774"/>
    </row>
    <row r="118" spans="13:16">
      <c r="M118" s="772"/>
      <c r="N118" s="773"/>
      <c r="O118" s="773"/>
      <c r="P118" s="774"/>
    </row>
    <row r="119" spans="13:16">
      <c r="M119" s="772"/>
      <c r="N119" s="773"/>
      <c r="O119" s="773"/>
      <c r="P119" s="774"/>
    </row>
    <row r="120" spans="13:16">
      <c r="M120" s="766" t="s">
        <v>132</v>
      </c>
      <c r="N120" s="767"/>
      <c r="O120" s="767"/>
      <c r="P120" s="768"/>
    </row>
    <row r="121" spans="13:16">
      <c r="M121" s="769"/>
      <c r="N121" s="770"/>
      <c r="O121" s="770"/>
      <c r="P121" s="771"/>
    </row>
    <row r="122" spans="13:16">
      <c r="M122" s="769"/>
      <c r="N122" s="770"/>
      <c r="O122" s="770"/>
      <c r="P122" s="771"/>
    </row>
    <row r="123" spans="13:16">
      <c r="M123" s="769"/>
      <c r="N123" s="770"/>
      <c r="O123" s="770"/>
      <c r="P123" s="771"/>
    </row>
    <row r="124" spans="13:16">
      <c r="M124" s="769"/>
      <c r="N124" s="770"/>
      <c r="O124" s="770"/>
      <c r="P124" s="771"/>
    </row>
    <row r="125" spans="13:16">
      <c r="M125" s="769"/>
      <c r="N125" s="770"/>
      <c r="O125" s="770"/>
      <c r="P125" s="771"/>
    </row>
    <row r="126" spans="13:16">
      <c r="M126" s="769"/>
      <c r="N126" s="770"/>
      <c r="O126" s="770"/>
      <c r="P126" s="771"/>
    </row>
    <row r="127" spans="13:16">
      <c r="M127" s="769"/>
      <c r="N127" s="770"/>
      <c r="O127" s="770"/>
      <c r="P127" s="771"/>
    </row>
    <row r="128" spans="13:16">
      <c r="M128" s="772" t="s">
        <v>147</v>
      </c>
      <c r="N128" s="773"/>
      <c r="O128" s="773"/>
      <c r="P128" s="774"/>
    </row>
    <row r="129" spans="13:16">
      <c r="M129" s="772"/>
      <c r="N129" s="773"/>
      <c r="O129" s="773"/>
      <c r="P129" s="774"/>
    </row>
    <row r="130" spans="13:16">
      <c r="M130" s="772"/>
      <c r="N130" s="773"/>
      <c r="O130" s="773"/>
      <c r="P130" s="774"/>
    </row>
    <row r="131" spans="13:16">
      <c r="M131" s="772"/>
      <c r="N131" s="773"/>
      <c r="O131" s="773"/>
      <c r="P131" s="774"/>
    </row>
    <row r="132" spans="13:16">
      <c r="M132" s="772"/>
      <c r="N132" s="773"/>
      <c r="O132" s="773"/>
      <c r="P132" s="774"/>
    </row>
    <row r="133" spans="13:16">
      <c r="M133" s="772"/>
      <c r="N133" s="773"/>
      <c r="O133" s="773"/>
      <c r="P133" s="774"/>
    </row>
    <row r="134" spans="13:16">
      <c r="M134" s="772"/>
      <c r="N134" s="773"/>
      <c r="O134" s="773"/>
      <c r="P134" s="774"/>
    </row>
    <row r="135" spans="13:16">
      <c r="M135" s="772"/>
      <c r="N135" s="773"/>
      <c r="O135" s="773"/>
      <c r="P135" s="774"/>
    </row>
    <row r="136" spans="13:16">
      <c r="M136" s="772"/>
      <c r="N136" s="773"/>
      <c r="O136" s="773"/>
      <c r="P136" s="774"/>
    </row>
    <row r="137" spans="13:16">
      <c r="M137" s="772"/>
      <c r="N137" s="773"/>
      <c r="O137" s="773"/>
      <c r="P137" s="774"/>
    </row>
    <row r="138" spans="13:16">
      <c r="M138" s="772"/>
      <c r="N138" s="773"/>
      <c r="O138" s="773"/>
      <c r="P138" s="774"/>
    </row>
    <row r="139" spans="13:16">
      <c r="M139" s="772"/>
      <c r="N139" s="773"/>
      <c r="O139" s="773"/>
      <c r="P139" s="774"/>
    </row>
    <row r="140" spans="13:16">
      <c r="M140" s="772"/>
      <c r="N140" s="773"/>
      <c r="O140" s="773"/>
      <c r="P140" s="774"/>
    </row>
    <row r="141" spans="13:16">
      <c r="M141" s="772"/>
      <c r="N141" s="773"/>
      <c r="O141" s="773"/>
      <c r="P141" s="774"/>
    </row>
    <row r="142" spans="13:16">
      <c r="M142" s="772"/>
      <c r="N142" s="773"/>
      <c r="O142" s="773"/>
      <c r="P142" s="774"/>
    </row>
    <row r="143" spans="13:16">
      <c r="M143" s="772"/>
      <c r="N143" s="773"/>
      <c r="O143" s="773"/>
      <c r="P143" s="774"/>
    </row>
    <row r="144" spans="13:16">
      <c r="M144" s="772"/>
      <c r="N144" s="773"/>
      <c r="O144" s="773"/>
      <c r="P144" s="774"/>
    </row>
    <row r="145" spans="13:16">
      <c r="M145" s="772"/>
      <c r="N145" s="773"/>
      <c r="O145" s="773"/>
      <c r="P145" s="774"/>
    </row>
    <row r="146" spans="13:16">
      <c r="M146" s="772"/>
      <c r="N146" s="773"/>
      <c r="O146" s="773"/>
      <c r="P146" s="774"/>
    </row>
    <row r="147" spans="13:16">
      <c r="M147" s="772"/>
      <c r="N147" s="773"/>
      <c r="O147" s="773"/>
      <c r="P147" s="774"/>
    </row>
    <row r="148" spans="13:16">
      <c r="M148" s="772"/>
      <c r="N148" s="773"/>
      <c r="O148" s="773"/>
      <c r="P148" s="774"/>
    </row>
    <row r="149" spans="13:16">
      <c r="M149" s="772"/>
      <c r="N149" s="773"/>
      <c r="O149" s="773"/>
      <c r="P149" s="774"/>
    </row>
    <row r="150" spans="13:16">
      <c r="M150" s="772"/>
      <c r="N150" s="773"/>
      <c r="O150" s="773"/>
      <c r="P150" s="774"/>
    </row>
    <row r="151" spans="13:16">
      <c r="M151" s="772"/>
      <c r="N151" s="773"/>
      <c r="O151" s="773"/>
      <c r="P151" s="774"/>
    </row>
    <row r="152" spans="13:16">
      <c r="M152" s="772"/>
      <c r="N152" s="773"/>
      <c r="O152" s="773"/>
      <c r="P152" s="774"/>
    </row>
    <row r="153" spans="13:16">
      <c r="M153" s="772"/>
      <c r="N153" s="773"/>
      <c r="O153" s="773"/>
      <c r="P153" s="774"/>
    </row>
    <row r="154" spans="13:16">
      <c r="M154" s="772"/>
      <c r="N154" s="773"/>
      <c r="O154" s="773"/>
      <c r="P154" s="774"/>
    </row>
    <row r="155" spans="13:16">
      <c r="M155" s="772"/>
      <c r="N155" s="773"/>
      <c r="O155" s="773"/>
      <c r="P155" s="774"/>
    </row>
    <row r="156" spans="13:16">
      <c r="M156" s="772"/>
      <c r="N156" s="773"/>
      <c r="O156" s="773"/>
      <c r="P156" s="774"/>
    </row>
    <row r="157" spans="13:16">
      <c r="M157" s="772"/>
      <c r="N157" s="773"/>
      <c r="O157" s="773"/>
      <c r="P157" s="774"/>
    </row>
    <row r="158" spans="13:16">
      <c r="M158" s="772"/>
      <c r="N158" s="773"/>
      <c r="O158" s="773"/>
      <c r="P158" s="774"/>
    </row>
    <row r="159" spans="13:16">
      <c r="M159" s="772"/>
      <c r="N159" s="773"/>
      <c r="O159" s="773"/>
      <c r="P159" s="774"/>
    </row>
    <row r="160" spans="13:16">
      <c r="M160" s="772"/>
      <c r="N160" s="773"/>
      <c r="O160" s="773"/>
      <c r="P160" s="774"/>
    </row>
    <row r="161" spans="13:16">
      <c r="M161" s="772"/>
      <c r="N161" s="773"/>
      <c r="O161" s="773"/>
      <c r="P161" s="774"/>
    </row>
    <row r="162" spans="13:16">
      <c r="M162" s="772"/>
      <c r="N162" s="773"/>
      <c r="O162" s="773"/>
      <c r="P162" s="774"/>
    </row>
    <row r="163" spans="13:16">
      <c r="M163" s="772"/>
      <c r="N163" s="773"/>
      <c r="O163" s="773"/>
      <c r="P163" s="774"/>
    </row>
    <row r="164" spans="13:16">
      <c r="M164" s="772"/>
      <c r="N164" s="773"/>
      <c r="O164" s="773"/>
      <c r="P164" s="774"/>
    </row>
    <row r="165" spans="13:16">
      <c r="M165" s="772"/>
      <c r="N165" s="773"/>
      <c r="O165" s="773"/>
      <c r="P165" s="774"/>
    </row>
    <row r="166" spans="13:16">
      <c r="M166" s="772"/>
      <c r="N166" s="773"/>
      <c r="O166" s="773"/>
      <c r="P166" s="774"/>
    </row>
    <row r="167" spans="13:16">
      <c r="M167" s="772"/>
      <c r="N167" s="773"/>
      <c r="O167" s="773"/>
      <c r="P167" s="774"/>
    </row>
    <row r="168" spans="13:16">
      <c r="M168" s="772"/>
      <c r="N168" s="773"/>
      <c r="O168" s="773"/>
      <c r="P168" s="774"/>
    </row>
    <row r="169" spans="13:16">
      <c r="M169" s="772"/>
      <c r="N169" s="773"/>
      <c r="O169" s="773"/>
      <c r="P169" s="774"/>
    </row>
    <row r="170" spans="13:16">
      <c r="M170" s="772"/>
      <c r="N170" s="773"/>
      <c r="O170" s="773"/>
      <c r="P170" s="774"/>
    </row>
    <row r="171" spans="13:16">
      <c r="M171" s="772"/>
      <c r="N171" s="773"/>
      <c r="O171" s="773"/>
      <c r="P171" s="774"/>
    </row>
    <row r="172" spans="13:16">
      <c r="M172" s="772"/>
      <c r="N172" s="773"/>
      <c r="O172" s="773"/>
      <c r="P172" s="774"/>
    </row>
    <row r="173" spans="13:16">
      <c r="M173" s="772"/>
      <c r="N173" s="773"/>
      <c r="O173" s="773"/>
      <c r="P173" s="774"/>
    </row>
    <row r="174" spans="13:16">
      <c r="M174" s="772"/>
      <c r="N174" s="773"/>
      <c r="O174" s="773"/>
      <c r="P174" s="774"/>
    </row>
    <row r="175" spans="13:16">
      <c r="M175" s="772"/>
      <c r="N175" s="773"/>
      <c r="O175" s="773"/>
      <c r="P175" s="774"/>
    </row>
    <row r="176" spans="13:16">
      <c r="M176" s="772"/>
      <c r="N176" s="773"/>
      <c r="O176" s="773"/>
      <c r="P176" s="774"/>
    </row>
    <row r="177" spans="13:16">
      <c r="M177" s="772"/>
      <c r="N177" s="773"/>
      <c r="O177" s="773"/>
      <c r="P177" s="774"/>
    </row>
    <row r="178" spans="13:16">
      <c r="M178" s="772"/>
      <c r="N178" s="773"/>
      <c r="O178" s="773"/>
      <c r="P178" s="774"/>
    </row>
    <row r="179" spans="13:16">
      <c r="M179" s="772"/>
      <c r="N179" s="773"/>
      <c r="O179" s="773"/>
      <c r="P179" s="774"/>
    </row>
    <row r="180" spans="13:16">
      <c r="M180" s="772"/>
      <c r="N180" s="773"/>
      <c r="O180" s="773"/>
      <c r="P180" s="774"/>
    </row>
    <row r="181" spans="13:16">
      <c r="M181" s="772"/>
      <c r="N181" s="773"/>
      <c r="O181" s="773"/>
      <c r="P181" s="774"/>
    </row>
    <row r="182" spans="13:16">
      <c r="M182" s="772"/>
      <c r="N182" s="773"/>
      <c r="O182" s="773"/>
      <c r="P182" s="774"/>
    </row>
    <row r="183" spans="13:16">
      <c r="M183" s="772"/>
      <c r="N183" s="773"/>
      <c r="O183" s="773"/>
      <c r="P183" s="774"/>
    </row>
    <row r="184" spans="13:16">
      <c r="M184" s="772"/>
      <c r="N184" s="773"/>
      <c r="O184" s="773"/>
      <c r="P184" s="774"/>
    </row>
    <row r="185" spans="13:16">
      <c r="M185" s="772"/>
      <c r="N185" s="773"/>
      <c r="O185" s="773"/>
      <c r="P185" s="774"/>
    </row>
    <row r="186" spans="13:16">
      <c r="M186" s="772"/>
      <c r="N186" s="773"/>
      <c r="O186" s="773"/>
      <c r="P186" s="774"/>
    </row>
    <row r="187" spans="13:16">
      <c r="M187" s="772"/>
      <c r="N187" s="773"/>
      <c r="O187" s="773"/>
      <c r="P187" s="774"/>
    </row>
    <row r="188" spans="13:16">
      <c r="M188" s="772"/>
      <c r="N188" s="773"/>
      <c r="O188" s="773"/>
      <c r="P188" s="774"/>
    </row>
    <row r="189" spans="13:16">
      <c r="M189" s="772"/>
      <c r="N189" s="773"/>
      <c r="O189" s="773"/>
      <c r="P189" s="774"/>
    </row>
    <row r="190" spans="13:16">
      <c r="M190" s="772"/>
      <c r="N190" s="773"/>
      <c r="O190" s="773"/>
      <c r="P190" s="774"/>
    </row>
    <row r="191" spans="13:16">
      <c r="M191" s="772"/>
      <c r="N191" s="773"/>
      <c r="O191" s="773"/>
      <c r="P191" s="774"/>
    </row>
    <row r="192" spans="13:16">
      <c r="M192" s="772"/>
      <c r="N192" s="773"/>
      <c r="O192" s="773"/>
      <c r="P192" s="774"/>
    </row>
    <row r="193" spans="13:16">
      <c r="M193" s="772"/>
      <c r="N193" s="773"/>
      <c r="O193" s="773"/>
      <c r="P193" s="774"/>
    </row>
    <row r="194" spans="13:16">
      <c r="M194" s="772"/>
      <c r="N194" s="773"/>
      <c r="O194" s="773"/>
      <c r="P194" s="774"/>
    </row>
    <row r="195" spans="13:16">
      <c r="M195" s="772"/>
      <c r="N195" s="773"/>
      <c r="O195" s="773"/>
      <c r="P195" s="774"/>
    </row>
    <row r="196" spans="13:16">
      <c r="M196" s="772"/>
      <c r="N196" s="773"/>
      <c r="O196" s="773"/>
      <c r="P196" s="774"/>
    </row>
    <row r="197" spans="13:16">
      <c r="M197" s="772"/>
      <c r="N197" s="773"/>
      <c r="O197" s="773"/>
      <c r="P197" s="774"/>
    </row>
    <row r="198" spans="13:16">
      <c r="M198" s="772"/>
      <c r="N198" s="773"/>
      <c r="O198" s="773"/>
      <c r="P198" s="774"/>
    </row>
    <row r="199" spans="13:16">
      <c r="M199" s="772"/>
      <c r="N199" s="773"/>
      <c r="O199" s="773"/>
      <c r="P199" s="774"/>
    </row>
    <row r="200" spans="13:16">
      <c r="M200" s="772"/>
      <c r="N200" s="773"/>
      <c r="O200" s="773"/>
      <c r="P200" s="774"/>
    </row>
    <row r="201" spans="13:16">
      <c r="M201" s="772"/>
      <c r="N201" s="773"/>
      <c r="O201" s="773"/>
      <c r="P201" s="774"/>
    </row>
    <row r="202" spans="13:16">
      <c r="M202" s="772"/>
      <c r="N202" s="773"/>
      <c r="O202" s="773"/>
      <c r="P202" s="774"/>
    </row>
    <row r="203" spans="13:16">
      <c r="M203" s="766" t="s">
        <v>132</v>
      </c>
      <c r="N203" s="767"/>
      <c r="O203" s="767"/>
      <c r="P203" s="768"/>
    </row>
    <row r="204" spans="13:16">
      <c r="M204" s="769"/>
      <c r="N204" s="770"/>
      <c r="O204" s="770"/>
      <c r="P204" s="771"/>
    </row>
    <row r="205" spans="13:16">
      <c r="M205" s="769"/>
      <c r="N205" s="770"/>
      <c r="O205" s="770"/>
      <c r="P205" s="771"/>
    </row>
    <row r="206" spans="13:16">
      <c r="M206" s="769"/>
      <c r="N206" s="770"/>
      <c r="O206" s="770"/>
      <c r="P206" s="771"/>
    </row>
    <row r="207" spans="13:16">
      <c r="M207" s="769"/>
      <c r="N207" s="770"/>
      <c r="O207" s="770"/>
      <c r="P207" s="771"/>
    </row>
    <row r="208" spans="13:16">
      <c r="M208" s="769"/>
      <c r="N208" s="770"/>
      <c r="O208" s="770"/>
      <c r="P208" s="771"/>
    </row>
    <row r="209" spans="13:16">
      <c r="M209" s="769"/>
      <c r="N209" s="770"/>
      <c r="O209" s="770"/>
      <c r="P209" s="771"/>
    </row>
    <row r="210" spans="13:16">
      <c r="M210" s="769"/>
      <c r="N210" s="770"/>
      <c r="O210" s="770"/>
      <c r="P210" s="771"/>
    </row>
    <row r="211" spans="13:16" ht="409.6">
      <c r="M211" s="750" t="s">
        <v>147</v>
      </c>
      <c r="N211" s="751"/>
      <c r="O211" s="751"/>
      <c r="P211" s="752"/>
    </row>
    <row r="288" spans="13:13" ht="340.5">
      <c r="M288" s="748" t="s">
        <v>132</v>
      </c>
    </row>
    <row r="296" spans="13:13" ht="409.6">
      <c r="M296" s="750" t="s">
        <v>147</v>
      </c>
    </row>
  </sheetData>
  <mergeCells count="15">
    <mergeCell ref="M120:P127"/>
    <mergeCell ref="M128:P202"/>
    <mergeCell ref="M203:P210"/>
    <mergeCell ref="A1:F1"/>
    <mergeCell ref="C25:C26"/>
    <mergeCell ref="C15:C16"/>
    <mergeCell ref="B4:B7"/>
    <mergeCell ref="C4:C7"/>
    <mergeCell ref="B15:B16"/>
    <mergeCell ref="B17:B23"/>
    <mergeCell ref="C17:C23"/>
    <mergeCell ref="M3:P6"/>
    <mergeCell ref="M7:P39"/>
    <mergeCell ref="M40:P47"/>
    <mergeCell ref="M48:P119"/>
  </mergeCells>
  <conditionalFormatting sqref="D29:I29 A24:A25 C27:I28 C29:C32 B24:B26">
    <cfRule type="expression" dxfId="232" priority="61">
      <formula>#REF!="IN PROGRESS"</formula>
    </cfRule>
    <cfRule type="expression" dxfId="231" priority="62">
      <formula>#REF!="N"</formula>
    </cfRule>
    <cfRule type="expression" dxfId="230" priority="63">
      <formula>#REF!="Y"</formula>
    </cfRule>
  </conditionalFormatting>
  <conditionalFormatting sqref="F33:I37 A35:D37 A33:C34">
    <cfRule type="expression" dxfId="229" priority="31">
      <formula>$P33="IN PROGRESS"</formula>
    </cfRule>
    <cfRule type="expression" dxfId="228" priority="32">
      <formula>$P33="N"</formula>
    </cfRule>
    <cfRule type="expression" dxfId="227" priority="33">
      <formula>$P33="Y"</formula>
    </cfRule>
  </conditionalFormatting>
  <conditionalFormatting sqref="A10:A11 A12:B16 D16:I16 A17:I23 F30:I30 D30:E31 A30:A32 D32:I32 A3:B9 C3:I15 K3:K23">
    <cfRule type="expression" dxfId="226" priority="40">
      <formula>$Q3="IN PROGRESS"</formula>
    </cfRule>
    <cfRule type="expression" dxfId="225" priority="41">
      <formula>$Q3="N"</formula>
    </cfRule>
    <cfRule type="expression" dxfId="224" priority="42">
      <formula>$Q3="Y"</formula>
    </cfRule>
  </conditionalFormatting>
  <conditionalFormatting sqref="C24:C25">
    <cfRule type="expression" dxfId="223" priority="76">
      <formula>#REF!="IN PROGRESS"</formula>
    </cfRule>
    <cfRule type="expression" dxfId="222" priority="77">
      <formula>#REF!="N"</formula>
    </cfRule>
    <cfRule type="expression" dxfId="221" priority="78">
      <formula>#REF!="Y"</formula>
    </cfRule>
  </conditionalFormatting>
  <conditionalFormatting sqref="B10">
    <cfRule type="expression" dxfId="220" priority="25">
      <formula>$Q10="IN PROGRESS"</formula>
    </cfRule>
    <cfRule type="expression" dxfId="219" priority="26">
      <formula>$Q10="N"</formula>
    </cfRule>
    <cfRule type="expression" dxfId="218" priority="27">
      <formula>$Q10="Y"</formula>
    </cfRule>
  </conditionalFormatting>
  <conditionalFormatting sqref="B11">
    <cfRule type="expression" dxfId="217" priority="22">
      <formula>$Q11="IN PROGRESS"</formula>
    </cfRule>
    <cfRule type="expression" dxfId="216" priority="23">
      <formula>$Q11="N"</formula>
    </cfRule>
    <cfRule type="expression" dxfId="215" priority="24">
      <formula>$Q11="Y"</formula>
    </cfRule>
  </conditionalFormatting>
  <conditionalFormatting sqref="H31">
    <cfRule type="expression" dxfId="214" priority="19">
      <formula>$Q31="IN PROGRESS"</formula>
    </cfRule>
    <cfRule type="expression" dxfId="213" priority="20">
      <formula>$Q31="N"</formula>
    </cfRule>
    <cfRule type="expression" dxfId="212" priority="21">
      <formula>$Q31="Y"</formula>
    </cfRule>
  </conditionalFormatting>
  <conditionalFormatting sqref="K24:K29">
    <cfRule type="expression" dxfId="211" priority="7">
      <formula>#REF!="IN PROGRESS"</formula>
    </cfRule>
    <cfRule type="expression" dxfId="210" priority="8">
      <formula>#REF!="N"</formula>
    </cfRule>
    <cfRule type="expression" dxfId="209" priority="9">
      <formula>#REF!="Y"</formula>
    </cfRule>
  </conditionalFormatting>
  <conditionalFormatting sqref="K33:K37">
    <cfRule type="expression" dxfId="208" priority="1">
      <formula>$P33="IN PROGRESS"</formula>
    </cfRule>
    <cfRule type="expression" dxfId="207" priority="2">
      <formula>$P33="N"</formula>
    </cfRule>
    <cfRule type="expression" dxfId="206" priority="3">
      <formula>$P33="Y"</formula>
    </cfRule>
  </conditionalFormatting>
  <conditionalFormatting sqref="K30:K32">
    <cfRule type="expression" dxfId="205" priority="4">
      <formula>$Q30="IN PROGRESS"</formula>
    </cfRule>
    <cfRule type="expression" dxfId="204" priority="5">
      <formula>$Q30="N"</formula>
    </cfRule>
    <cfRule type="expression" dxfId="203" priority="6">
      <formula>$Q30="Y"</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77AC4-326C-4F46-A322-5A3CE0B8F983}">
  <dimension ref="A1:Q348"/>
  <sheetViews>
    <sheetView zoomScale="90" zoomScaleNormal="90" workbookViewId="0">
      <pane ySplit="2" topLeftCell="A308" activePane="bottomLeft" state="frozen"/>
      <selection pane="bottomLeft" activeCell="I229" sqref="I229"/>
    </sheetView>
  </sheetViews>
  <sheetFormatPr defaultRowHeight="15"/>
  <cols>
    <col min="1" max="1" width="27" customWidth="1"/>
    <col min="2" max="2" width="18.140625" style="155" customWidth="1"/>
    <col min="3" max="3" width="47.7109375" style="375" bestFit="1" customWidth="1"/>
    <col min="4" max="4" width="34.42578125" customWidth="1"/>
    <col min="5" max="5" width="19.140625" customWidth="1"/>
    <col min="6" max="6" width="11" customWidth="1"/>
    <col min="7" max="7" width="88" customWidth="1"/>
    <col min="8" max="8" width="11.42578125" customWidth="1"/>
    <col min="9" max="9" width="9.5703125" bestFit="1" customWidth="1"/>
    <col min="10" max="10" width="12.140625" customWidth="1"/>
    <col min="12" max="12" width="1.85546875" style="318" customWidth="1"/>
    <col min="17" max="17" width="1.7109375" style="318" customWidth="1"/>
  </cols>
  <sheetData>
    <row r="1" spans="1:16" ht="47.45" customHeight="1">
      <c r="A1" s="775" t="s">
        <v>277</v>
      </c>
      <c r="B1" s="776"/>
      <c r="C1" s="776"/>
      <c r="D1" s="776"/>
      <c r="E1" s="776"/>
      <c r="F1" s="776"/>
      <c r="G1" s="776"/>
      <c r="M1" s="315"/>
      <c r="N1" s="316"/>
      <c r="O1" s="316"/>
      <c r="P1" s="317"/>
    </row>
    <row r="2" spans="1:16" ht="30.75">
      <c r="A2" s="293" t="s">
        <v>112</v>
      </c>
      <c r="B2" s="286" t="s">
        <v>113</v>
      </c>
      <c r="C2" s="286" t="s">
        <v>114</v>
      </c>
      <c r="D2" s="286" t="s">
        <v>115</v>
      </c>
      <c r="E2" s="286" t="s">
        <v>116</v>
      </c>
      <c r="F2" s="286" t="s">
        <v>117</v>
      </c>
      <c r="G2" s="286" t="s">
        <v>118</v>
      </c>
      <c r="H2" s="291" t="s">
        <v>119</v>
      </c>
      <c r="I2" s="291" t="s">
        <v>120</v>
      </c>
      <c r="J2" s="291" t="s">
        <v>121</v>
      </c>
      <c r="K2" s="292" t="s">
        <v>122</v>
      </c>
      <c r="L2" s="320"/>
      <c r="M2" s="312" t="s">
        <v>123</v>
      </c>
      <c r="N2" s="294" t="s">
        <v>124</v>
      </c>
      <c r="O2" s="295" t="s">
        <v>125</v>
      </c>
      <c r="P2" s="296" t="s">
        <v>126</v>
      </c>
    </row>
    <row r="3" spans="1:16" s="1" customFormat="1" ht="108" customHeight="1">
      <c r="A3" s="21"/>
      <c r="B3" s="97" t="s">
        <v>278</v>
      </c>
      <c r="C3" s="46" t="s">
        <v>279</v>
      </c>
      <c r="D3" s="10"/>
      <c r="E3" s="10" t="s">
        <v>280</v>
      </c>
      <c r="F3" s="21" t="s">
        <v>205</v>
      </c>
      <c r="G3" s="52" t="s">
        <v>281</v>
      </c>
      <c r="H3" s="74"/>
      <c r="I3" s="74"/>
      <c r="J3" s="560" t="str" cm="1">
        <f t="array" ref="J3">IF(ISBLANK(I3), IF(ISBLANK(H3), "N/A", _xlfn.IFS(K3="AS", H3+15, K3="NCR", H3+30, K3="submitted", H3+30, TRUE, "N/A")), _xlfn.IFS(K3="AS", I3+15, K3="NCR", I3+30, K3="submitted", I3+30, TRUE, "N/A"))</f>
        <v>N/A</v>
      </c>
      <c r="K3"/>
      <c r="L3" s="318"/>
      <c r="M3" s="766" t="s">
        <v>132</v>
      </c>
      <c r="N3" s="767"/>
      <c r="O3" s="767"/>
      <c r="P3" s="768"/>
    </row>
    <row r="4" spans="1:16" s="5" customFormat="1">
      <c r="A4" s="4"/>
      <c r="B4" s="794" t="s">
        <v>282</v>
      </c>
      <c r="C4" s="796" t="s">
        <v>283</v>
      </c>
      <c r="D4" s="34"/>
      <c r="E4" s="34"/>
      <c r="F4" s="4" t="s">
        <v>284</v>
      </c>
      <c r="G4" s="3" t="s">
        <v>285</v>
      </c>
      <c r="H4" s="18"/>
      <c r="I4" s="18"/>
      <c r="J4" s="560" t="str" cm="1">
        <f t="array" ref="J4">IF(ISBLANK(I4), IF(ISBLANK(H4), "N/A", _xlfn.IFS(K4="AS", H4+15, K4="NCR", H4+30, K4="submitted", H4+30, TRUE, "N/A")), _xlfn.IFS(K4="AS", I4+15, K4="NCR", I4+30, K4="submitted", I4+30, TRUE, "N/A"))</f>
        <v>N/A</v>
      </c>
      <c r="K4"/>
      <c r="L4" s="318"/>
      <c r="M4" s="769"/>
      <c r="N4" s="770"/>
      <c r="O4" s="770"/>
      <c r="P4" s="771"/>
    </row>
    <row r="5" spans="1:16" s="1" customFormat="1">
      <c r="A5" s="4"/>
      <c r="B5" s="798"/>
      <c r="C5" s="799"/>
      <c r="D5" s="35"/>
      <c r="E5" s="35"/>
      <c r="F5" s="4" t="s">
        <v>286</v>
      </c>
      <c r="G5" s="17" t="s">
        <v>287</v>
      </c>
      <c r="H5" s="18"/>
      <c r="I5" s="18"/>
      <c r="J5" s="560" t="str" cm="1">
        <f t="array" ref="J5">IF(ISBLANK(I5), IF(ISBLANK(H5), "N/A", _xlfn.IFS(K5="AS", H5+15, K5="NCR", H5+30, K5="submitted", H5+30, TRUE, "N/A")), _xlfn.IFS(K5="AS", I5+15, K5="NCR", I5+30, K5="submitted", I5+30, TRUE, "N/A"))</f>
        <v>N/A</v>
      </c>
      <c r="K5"/>
      <c r="L5" s="318"/>
      <c r="M5" s="769"/>
      <c r="N5" s="770"/>
      <c r="O5" s="770"/>
      <c r="P5" s="771"/>
    </row>
    <row r="6" spans="1:16" s="1" customFormat="1">
      <c r="A6" s="4"/>
      <c r="B6" s="795"/>
      <c r="C6" s="797"/>
      <c r="D6" s="36"/>
      <c r="E6" s="36"/>
      <c r="F6" s="4" t="s">
        <v>133</v>
      </c>
      <c r="G6" s="3" t="s">
        <v>288</v>
      </c>
      <c r="H6" s="18"/>
      <c r="I6" s="18"/>
      <c r="J6" s="560" t="str" cm="1">
        <f t="array" ref="J6">IF(ISBLANK(I6), IF(ISBLANK(H6), "N/A", _xlfn.IFS(K6="AS", H6+15, K6="NCR", H6+30, K6="submitted", H6+30, TRUE, "N/A")), _xlfn.IFS(K6="AS", I6+15, K6="NCR", I6+30, K6="submitted", I6+30, TRUE, "N/A"))</f>
        <v>N/A</v>
      </c>
      <c r="K6"/>
      <c r="L6" s="318"/>
      <c r="M6" s="769"/>
      <c r="N6" s="770"/>
      <c r="O6" s="770"/>
      <c r="P6" s="771"/>
    </row>
    <row r="7" spans="1:16" s="26" customFormat="1" ht="27" customHeight="1">
      <c r="A7" s="22" t="s">
        <v>83</v>
      </c>
      <c r="B7" s="191" t="s">
        <v>289</v>
      </c>
      <c r="C7" s="24" t="s">
        <v>290</v>
      </c>
      <c r="D7" s="24" t="s">
        <v>291</v>
      </c>
      <c r="E7" s="24" t="s">
        <v>292</v>
      </c>
      <c r="F7" s="22" t="s">
        <v>210</v>
      </c>
      <c r="G7" s="28" t="s">
        <v>293</v>
      </c>
      <c r="H7" s="25">
        <v>45873</v>
      </c>
      <c r="I7" s="25"/>
      <c r="J7" s="560" cm="1">
        <f t="array" ref="J7">IF(ISBLANK(I7), IF(ISBLANK(H7), "N/A", _xlfn.IFS(K7="AS", H7+15, K7="NCR", H7+30, K7="submitted", H7+30, TRUE, "N/A")), _xlfn.IFS(K7="AS", I7+15, K7="NCR", I7+30, K7="submitted", I7+30, TRUE, "N/A"))</f>
        <v>45903</v>
      </c>
      <c r="K7" s="151" t="s">
        <v>154</v>
      </c>
      <c r="L7" s="318"/>
      <c r="M7" s="772" t="s">
        <v>147</v>
      </c>
      <c r="N7" s="773"/>
      <c r="O7" s="773"/>
      <c r="P7" s="774"/>
    </row>
    <row r="8" spans="1:16" s="150" customFormat="1" ht="27" customHeight="1">
      <c r="A8" s="802" t="s">
        <v>294</v>
      </c>
      <c r="B8" s="805" t="s">
        <v>295</v>
      </c>
      <c r="C8" s="808" t="s">
        <v>296</v>
      </c>
      <c r="D8" s="148" t="s">
        <v>296</v>
      </c>
      <c r="E8" s="232" t="s">
        <v>297</v>
      </c>
      <c r="F8" s="147" t="s">
        <v>133</v>
      </c>
      <c r="G8" s="194" t="s">
        <v>298</v>
      </c>
      <c r="H8" s="234">
        <v>45768</v>
      </c>
      <c r="I8" s="433">
        <v>45768</v>
      </c>
      <c r="J8" s="560" t="str" cm="1">
        <f t="array" ref="J8">IF(ISBLANK(I8), IF(ISBLANK(H8), "N/A", _xlfn.IFS(K8="AS", H8+15, K8="NCR", H8+30, K8="submitted", H8+30, TRUE, "N/A")), _xlfn.IFS(K8="AS", I8+15, K8="NCR", I8+30, K8="submitted", I8+30, TRUE, "N/A"))</f>
        <v>N/A</v>
      </c>
      <c r="K8" s="272"/>
      <c r="L8" s="318"/>
      <c r="M8" s="772"/>
      <c r="N8" s="773"/>
      <c r="O8" s="773"/>
      <c r="P8" s="774"/>
    </row>
    <row r="9" spans="1:16" s="150" customFormat="1" ht="25.5" customHeight="1">
      <c r="A9" s="803"/>
      <c r="B9" s="806"/>
      <c r="C9" s="809"/>
      <c r="D9" s="148" t="s">
        <v>296</v>
      </c>
      <c r="E9" s="232" t="s">
        <v>297</v>
      </c>
      <c r="F9" s="147" t="s">
        <v>135</v>
      </c>
      <c r="G9" s="194" t="s">
        <v>299</v>
      </c>
      <c r="H9" s="234">
        <v>45768</v>
      </c>
      <c r="I9" s="433">
        <v>45768</v>
      </c>
      <c r="J9" s="560" t="str" cm="1">
        <f t="array" ref="J9">IF(ISBLANK(I9), IF(ISBLANK(H9), "N/A", _xlfn.IFS(K9="AS", H9+15, K9="NCR", H9+30, K9="submitted", H9+30, TRUE, "N/A")), _xlfn.IFS(K9="AS", I9+15, K9="NCR", I9+30, K9="submitted", I9+30, TRUE, "N/A"))</f>
        <v>N/A</v>
      </c>
      <c r="K9" s="272"/>
      <c r="L9" s="318"/>
      <c r="M9" s="772"/>
      <c r="N9" s="773"/>
      <c r="O9" s="773"/>
      <c r="P9" s="774"/>
    </row>
    <row r="10" spans="1:16" s="150" customFormat="1" ht="25.5" customHeight="1">
      <c r="A10" s="803"/>
      <c r="B10" s="806"/>
      <c r="C10" s="809"/>
      <c r="D10" s="148" t="s">
        <v>296</v>
      </c>
      <c r="E10" s="232" t="s">
        <v>297</v>
      </c>
      <c r="F10" s="147" t="s">
        <v>137</v>
      </c>
      <c r="G10" s="194" t="s">
        <v>300</v>
      </c>
      <c r="H10" s="234">
        <v>45768</v>
      </c>
      <c r="I10" s="433">
        <v>45768</v>
      </c>
      <c r="J10" s="560" t="str" cm="1">
        <f t="array" ref="J10">IF(ISBLANK(I10), IF(ISBLANK(H10), "N/A", _xlfn.IFS(K10="AS", H10+15, K10="NCR", H10+30, K10="submitted", H10+30, TRUE, "N/A")), _xlfn.IFS(K10="AS", I10+15, K10="NCR", I10+30, K10="submitted", I10+30, TRUE, "N/A"))</f>
        <v>N/A</v>
      </c>
      <c r="K10" s="272"/>
      <c r="L10" s="318"/>
      <c r="M10" s="772"/>
      <c r="N10" s="773"/>
      <c r="O10" s="773"/>
      <c r="P10" s="774"/>
    </row>
    <row r="11" spans="1:16" s="150" customFormat="1" ht="25.5" customHeight="1">
      <c r="A11" s="803"/>
      <c r="B11" s="806"/>
      <c r="C11" s="809"/>
      <c r="D11" s="148" t="s">
        <v>296</v>
      </c>
      <c r="E11" s="232" t="s">
        <v>297</v>
      </c>
      <c r="F11" s="147" t="s">
        <v>163</v>
      </c>
      <c r="G11" s="194" t="s">
        <v>301</v>
      </c>
      <c r="H11" s="234">
        <v>45768</v>
      </c>
      <c r="I11" s="433">
        <v>45768</v>
      </c>
      <c r="J11" s="560" t="str" cm="1">
        <f t="array" ref="J11">IF(ISBLANK(I11), IF(ISBLANK(H11), "N/A", _xlfn.IFS(K11="AS", H11+15, K11="NCR", H11+30, K11="submitted", H11+30, TRUE, "N/A")), _xlfn.IFS(K11="AS", I11+15, K11="NCR", I11+30, K11="submitted", I11+30, TRUE, "N/A"))</f>
        <v>N/A</v>
      </c>
      <c r="K11" s="272"/>
      <c r="L11" s="318"/>
      <c r="M11" s="772"/>
      <c r="N11" s="773"/>
      <c r="O11" s="773"/>
      <c r="P11" s="774"/>
    </row>
    <row r="12" spans="1:16" s="150" customFormat="1" ht="15" customHeight="1">
      <c r="A12" s="803"/>
      <c r="B12" s="806"/>
      <c r="C12" s="809"/>
      <c r="D12" s="148" t="s">
        <v>296</v>
      </c>
      <c r="E12" s="232" t="s">
        <v>297</v>
      </c>
      <c r="F12" s="147" t="s">
        <v>166</v>
      </c>
      <c r="G12" s="148" t="s">
        <v>302</v>
      </c>
      <c r="H12" s="234">
        <v>45768</v>
      </c>
      <c r="I12" s="433">
        <v>45768</v>
      </c>
      <c r="J12" s="560" t="str" cm="1">
        <f t="array" ref="J12">IF(ISBLANK(I12), IF(ISBLANK(H12), "N/A", _xlfn.IFS(K12="AS", H12+15, K12="NCR", H12+30, K12="submitted", H12+30, TRUE, "N/A")), _xlfn.IFS(K12="AS", I12+15, K12="NCR", I12+30, K12="submitted", I12+30, TRUE, "N/A"))</f>
        <v>N/A</v>
      </c>
      <c r="K12" s="272"/>
      <c r="L12" s="319"/>
      <c r="M12" s="772"/>
      <c r="N12" s="773"/>
      <c r="O12" s="773"/>
      <c r="P12" s="774"/>
    </row>
    <row r="13" spans="1:16" s="150" customFormat="1" ht="25.5" customHeight="1">
      <c r="A13" s="803"/>
      <c r="B13" s="806"/>
      <c r="C13" s="809"/>
      <c r="D13" s="148" t="s">
        <v>296</v>
      </c>
      <c r="E13" s="232" t="s">
        <v>297</v>
      </c>
      <c r="F13" s="147" t="s">
        <v>303</v>
      </c>
      <c r="G13" s="194" t="s">
        <v>304</v>
      </c>
      <c r="H13" s="234">
        <v>45768</v>
      </c>
      <c r="I13" s="433">
        <v>45768</v>
      </c>
      <c r="J13" s="560" t="str" cm="1">
        <f t="array" ref="J13">IF(ISBLANK(I13), IF(ISBLANK(H13), "N/A", _xlfn.IFS(K13="AS", H13+15, K13="NCR", H13+30, K13="submitted", H13+30, TRUE, "N/A")), _xlfn.IFS(K13="AS", I13+15, K13="NCR", I13+30, K13="submitted", I13+30, TRUE, "N/A"))</f>
        <v>N/A</v>
      </c>
      <c r="K13" s="272"/>
      <c r="L13" s="318"/>
      <c r="M13" s="772"/>
      <c r="N13" s="773"/>
      <c r="O13" s="773"/>
      <c r="P13" s="774"/>
    </row>
    <row r="14" spans="1:16" s="150" customFormat="1" ht="25.5" customHeight="1">
      <c r="A14" s="803"/>
      <c r="B14" s="806"/>
      <c r="C14" s="809"/>
      <c r="D14" s="148" t="s">
        <v>296</v>
      </c>
      <c r="E14" s="232" t="s">
        <v>297</v>
      </c>
      <c r="F14" s="147" t="s">
        <v>305</v>
      </c>
      <c r="G14" s="194" t="s">
        <v>306</v>
      </c>
      <c r="H14" s="234">
        <v>45768</v>
      </c>
      <c r="I14" s="433">
        <v>45768</v>
      </c>
      <c r="J14" s="560" t="str" cm="1">
        <f t="array" ref="J14">IF(ISBLANK(I14), IF(ISBLANK(H14), "N/A", _xlfn.IFS(K14="AS", H14+15, K14="NCR", H14+30, K14="submitted", H14+30, TRUE, "N/A")), _xlfn.IFS(K14="AS", I14+15, K14="NCR", I14+30, K14="submitted", I14+30, TRUE, "N/A"))</f>
        <v>N/A</v>
      </c>
      <c r="K14" s="272"/>
      <c r="L14" s="318"/>
      <c r="M14" s="772"/>
      <c r="N14" s="773"/>
      <c r="O14" s="773"/>
      <c r="P14" s="774"/>
    </row>
    <row r="15" spans="1:16" s="150" customFormat="1" ht="25.5" customHeight="1">
      <c r="A15" s="804"/>
      <c r="B15" s="807"/>
      <c r="C15" s="810"/>
      <c r="D15" s="148" t="s">
        <v>296</v>
      </c>
      <c r="E15" s="232" t="s">
        <v>297</v>
      </c>
      <c r="F15" s="147" t="s">
        <v>307</v>
      </c>
      <c r="G15" s="194" t="s">
        <v>308</v>
      </c>
      <c r="H15" s="234">
        <v>45768</v>
      </c>
      <c r="I15" s="433">
        <v>45768</v>
      </c>
      <c r="J15" s="560" t="str" cm="1">
        <f t="array" ref="J15">IF(ISBLANK(I15), IF(ISBLANK(H15), "N/A", _xlfn.IFS(K15="AS", H15+15, K15="NCR", H15+30, K15="submitted", H15+30, TRUE, "N/A")), _xlfn.IFS(K15="AS", I15+15, K15="NCR", I15+30, K15="submitted", I15+30, TRUE, "N/A"))</f>
        <v>N/A</v>
      </c>
      <c r="K15" s="272"/>
      <c r="L15" s="318"/>
      <c r="M15" s="772"/>
      <c r="N15" s="773"/>
      <c r="O15" s="773"/>
      <c r="P15" s="774"/>
    </row>
    <row r="16" spans="1:16" s="150" customFormat="1" ht="27" customHeight="1">
      <c r="A16" s="802" t="s">
        <v>85</v>
      </c>
      <c r="B16" s="805" t="s">
        <v>295</v>
      </c>
      <c r="C16" s="808" t="s">
        <v>296</v>
      </c>
      <c r="D16" s="148" t="s">
        <v>296</v>
      </c>
      <c r="E16" s="232" t="s">
        <v>297</v>
      </c>
      <c r="F16" s="147" t="s">
        <v>133</v>
      </c>
      <c r="G16" s="194" t="s">
        <v>298</v>
      </c>
      <c r="H16" s="234">
        <v>45821</v>
      </c>
      <c r="I16" s="433">
        <v>45903</v>
      </c>
      <c r="J16" s="560" t="str" cm="1">
        <f t="array" ref="J16">IF(ISBLANK(I16), IF(ISBLANK(H16), "N/A", _xlfn.IFS(K16="AS", H16+15, K16="NCR", H16+30, K16="submitted", H16+30, TRUE, "N/A")), _xlfn.IFS(K16="AS", I16+15, K16="NCR", I16+30, K16="submitted", I16+30, TRUE, "N/A"))</f>
        <v>N/A</v>
      </c>
      <c r="K16" s="272" t="s">
        <v>309</v>
      </c>
      <c r="L16" s="318"/>
      <c r="M16" s="772"/>
      <c r="N16" s="773"/>
      <c r="O16" s="773"/>
      <c r="P16" s="774"/>
    </row>
    <row r="17" spans="1:16" s="150" customFormat="1" ht="25.5" customHeight="1">
      <c r="A17" s="803"/>
      <c r="B17" s="806"/>
      <c r="C17" s="809"/>
      <c r="D17" s="148" t="s">
        <v>296</v>
      </c>
      <c r="E17" s="232" t="s">
        <v>297</v>
      </c>
      <c r="F17" s="147" t="s">
        <v>135</v>
      </c>
      <c r="G17" s="194" t="s">
        <v>299</v>
      </c>
      <c r="H17" s="234">
        <v>45821</v>
      </c>
      <c r="I17" s="433">
        <v>45903</v>
      </c>
      <c r="J17" s="560" t="str" cm="1">
        <f t="array" ref="J17">IF(ISBLANK(I17), IF(ISBLANK(H17), "N/A", _xlfn.IFS(K17="AS", H17+15, K17="NCR", H17+30, K17="submitted", H17+30, TRUE, "N/A")), _xlfn.IFS(K17="AS", I17+15, K17="NCR", I17+30, K17="submitted", I17+30, TRUE, "N/A"))</f>
        <v>N/A</v>
      </c>
      <c r="K17" s="272" t="s">
        <v>309</v>
      </c>
      <c r="L17" s="318"/>
      <c r="M17" s="772"/>
      <c r="N17" s="773"/>
      <c r="O17" s="773"/>
      <c r="P17" s="774"/>
    </row>
    <row r="18" spans="1:16" s="150" customFormat="1" ht="25.5" customHeight="1">
      <c r="A18" s="803"/>
      <c r="B18" s="806"/>
      <c r="C18" s="809"/>
      <c r="D18" s="148" t="s">
        <v>296</v>
      </c>
      <c r="E18" s="232" t="s">
        <v>297</v>
      </c>
      <c r="F18" s="147" t="s">
        <v>137</v>
      </c>
      <c r="G18" s="194" t="s">
        <v>300</v>
      </c>
      <c r="H18" s="234">
        <v>45821</v>
      </c>
      <c r="I18" s="433">
        <v>45903</v>
      </c>
      <c r="J18" s="560" t="str" cm="1">
        <f t="array" ref="J18">IF(ISBLANK(I18), IF(ISBLANK(H18), "N/A", _xlfn.IFS(K18="AS", H18+15, K18="NCR", H18+30, K18="submitted", H18+30, TRUE, "N/A")), _xlfn.IFS(K18="AS", I18+15, K18="NCR", I18+30, K18="submitted", I18+30, TRUE, "N/A"))</f>
        <v>N/A</v>
      </c>
      <c r="K18" s="272" t="s">
        <v>309</v>
      </c>
      <c r="L18" s="318"/>
      <c r="M18" s="772"/>
      <c r="N18" s="773"/>
      <c r="O18" s="773"/>
      <c r="P18" s="774"/>
    </row>
    <row r="19" spans="1:16" s="150" customFormat="1" ht="25.5" customHeight="1">
      <c r="A19" s="803"/>
      <c r="B19" s="806"/>
      <c r="C19" s="809"/>
      <c r="D19" s="148" t="s">
        <v>296</v>
      </c>
      <c r="E19" s="232" t="s">
        <v>297</v>
      </c>
      <c r="F19" s="147" t="s">
        <v>163</v>
      </c>
      <c r="G19" s="194" t="s">
        <v>301</v>
      </c>
      <c r="H19" s="234">
        <v>45821</v>
      </c>
      <c r="I19" s="433">
        <v>45903</v>
      </c>
      <c r="J19" s="560" t="str" cm="1">
        <f t="array" ref="J19">IF(ISBLANK(I19), IF(ISBLANK(H19), "N/A", _xlfn.IFS(K19="AS", H19+15, K19="NCR", H19+30, K19="submitted", H19+30, TRUE, "N/A")), _xlfn.IFS(K19="AS", I19+15, K19="NCR", I19+30, K19="submitted", I19+30, TRUE, "N/A"))</f>
        <v>N/A</v>
      </c>
      <c r="K19" s="272" t="s">
        <v>309</v>
      </c>
      <c r="L19" s="318"/>
      <c r="M19" s="772"/>
      <c r="N19" s="773"/>
      <c r="O19" s="773"/>
      <c r="P19" s="774"/>
    </row>
    <row r="20" spans="1:16" s="150" customFormat="1" ht="15" customHeight="1">
      <c r="A20" s="803"/>
      <c r="B20" s="806"/>
      <c r="C20" s="809"/>
      <c r="D20" s="148" t="s">
        <v>296</v>
      </c>
      <c r="E20" s="232" t="s">
        <v>297</v>
      </c>
      <c r="F20" s="147" t="s">
        <v>166</v>
      </c>
      <c r="G20" s="148" t="s">
        <v>302</v>
      </c>
      <c r="H20" s="234">
        <v>45821</v>
      </c>
      <c r="I20" s="433">
        <v>45903</v>
      </c>
      <c r="J20" s="560" t="str" cm="1">
        <f t="array" ref="J20">IF(ISBLANK(I20), IF(ISBLANK(H20), "N/A", _xlfn.IFS(K20="AS", H20+15, K20="NCR", H20+30, K20="submitted", H20+30, TRUE, "N/A")), _xlfn.IFS(K20="AS", I20+15, K20="NCR", I20+30, K20="submitted", I20+30, TRUE, "N/A"))</f>
        <v>N/A</v>
      </c>
      <c r="K20" s="272" t="s">
        <v>309</v>
      </c>
      <c r="L20" s="318"/>
      <c r="M20" s="772"/>
      <c r="N20" s="773"/>
      <c r="O20" s="773"/>
      <c r="P20" s="774"/>
    </row>
    <row r="21" spans="1:16" s="150" customFormat="1" ht="25.5" customHeight="1">
      <c r="A21" s="803"/>
      <c r="B21" s="806"/>
      <c r="C21" s="809"/>
      <c r="D21" s="148" t="s">
        <v>296</v>
      </c>
      <c r="E21" s="232" t="s">
        <v>297</v>
      </c>
      <c r="F21" s="147" t="s">
        <v>303</v>
      </c>
      <c r="G21" s="194" t="s">
        <v>304</v>
      </c>
      <c r="H21" s="234">
        <v>45821</v>
      </c>
      <c r="I21" s="433">
        <v>45903</v>
      </c>
      <c r="J21" s="560" t="str" cm="1">
        <f t="array" ref="J21">IF(ISBLANK(I21), IF(ISBLANK(H21), "N/A", _xlfn.IFS(K21="AS", H21+15, K21="NCR", H21+30, K21="submitted", H21+30, TRUE, "N/A")), _xlfn.IFS(K21="AS", I21+15, K21="NCR", I21+30, K21="submitted", I21+30, TRUE, "N/A"))</f>
        <v>N/A</v>
      </c>
      <c r="K21" s="272" t="s">
        <v>309</v>
      </c>
      <c r="L21" s="318"/>
      <c r="M21" s="772"/>
      <c r="N21" s="773"/>
      <c r="O21" s="773"/>
      <c r="P21" s="774"/>
    </row>
    <row r="22" spans="1:16" s="150" customFormat="1" ht="25.5" customHeight="1">
      <c r="A22" s="803"/>
      <c r="B22" s="806"/>
      <c r="C22" s="809"/>
      <c r="D22" s="148" t="s">
        <v>296</v>
      </c>
      <c r="E22" s="232" t="s">
        <v>297</v>
      </c>
      <c r="F22" s="147" t="s">
        <v>305</v>
      </c>
      <c r="G22" s="194" t="s">
        <v>306</v>
      </c>
      <c r="H22" s="234">
        <v>45821</v>
      </c>
      <c r="I22" s="433">
        <v>45903</v>
      </c>
      <c r="J22" s="560" t="str" cm="1">
        <f t="array" ref="J22">IF(ISBLANK(I22), IF(ISBLANK(H22), "N/A", _xlfn.IFS(K22="AS", H22+15, K22="NCR", H22+30, K22="submitted", H22+30, TRUE, "N/A")), _xlfn.IFS(K22="AS", I22+15, K22="NCR", I22+30, K22="submitted", I22+30, TRUE, "N/A"))</f>
        <v>N/A</v>
      </c>
      <c r="K22" s="272" t="s">
        <v>309</v>
      </c>
      <c r="L22" s="318"/>
      <c r="M22" s="772"/>
      <c r="N22" s="773"/>
      <c r="O22" s="773"/>
      <c r="P22" s="774"/>
    </row>
    <row r="23" spans="1:16" s="150" customFormat="1" ht="25.5" customHeight="1">
      <c r="A23" s="804"/>
      <c r="B23" s="807"/>
      <c r="C23" s="810"/>
      <c r="D23" s="148" t="s">
        <v>296</v>
      </c>
      <c r="E23" s="232" t="s">
        <v>297</v>
      </c>
      <c r="F23" s="147" t="s">
        <v>307</v>
      </c>
      <c r="G23" s="194" t="s">
        <v>308</v>
      </c>
      <c r="H23" s="234">
        <v>45821</v>
      </c>
      <c r="I23" s="433">
        <v>45903</v>
      </c>
      <c r="J23" s="560" t="str" cm="1">
        <f t="array" ref="J23">IF(ISBLANK(I23), IF(ISBLANK(H23), "N/A", _xlfn.IFS(K23="AS", H23+15, K23="NCR", H23+30, K23="submitted", H23+30, TRUE, "N/A")), _xlfn.IFS(K23="AS", I23+15, K23="NCR", I23+30, K23="submitted", I23+30, TRUE, "N/A"))</f>
        <v>N/A</v>
      </c>
      <c r="K23" s="272" t="s">
        <v>309</v>
      </c>
      <c r="L23" s="318"/>
      <c r="M23" s="772"/>
      <c r="N23" s="773"/>
      <c r="O23" s="773"/>
      <c r="P23" s="774"/>
    </row>
    <row r="24" spans="1:16" s="150" customFormat="1" ht="27" customHeight="1">
      <c r="A24" s="802" t="s">
        <v>310</v>
      </c>
      <c r="B24" s="805" t="s">
        <v>295</v>
      </c>
      <c r="C24" s="808" t="s">
        <v>296</v>
      </c>
      <c r="D24" s="148" t="s">
        <v>296</v>
      </c>
      <c r="E24" s="232" t="s">
        <v>297</v>
      </c>
      <c r="F24" s="147" t="s">
        <v>133</v>
      </c>
      <c r="G24" s="194" t="s">
        <v>298</v>
      </c>
      <c r="H24" s="234">
        <v>45910</v>
      </c>
      <c r="I24" s="433"/>
      <c r="J24" s="560" cm="1">
        <f t="array" ref="J24">IF(ISBLANK(I24), IF(ISBLANK(H24), "N/A", _xlfn.IFS(K24="AS", H24+15, K24="NCR", H24+30, K24="submitted", H24+30, TRUE, "N/A")), _xlfn.IFS(K24="AS", I24+15, K24="NCR", I24+30, K24="submitted", I24+30, TRUE, "N/A"))</f>
        <v>45940</v>
      </c>
      <c r="K24" s="273" t="s">
        <v>311</v>
      </c>
      <c r="L24" s="318"/>
      <c r="M24" s="772"/>
      <c r="N24" s="773"/>
      <c r="O24" s="773"/>
      <c r="P24" s="774"/>
    </row>
    <row r="25" spans="1:16" s="150" customFormat="1" ht="25.5" customHeight="1">
      <c r="A25" s="803"/>
      <c r="B25" s="806"/>
      <c r="C25" s="809"/>
      <c r="D25" s="148" t="s">
        <v>296</v>
      </c>
      <c r="E25" s="232" t="s">
        <v>297</v>
      </c>
      <c r="F25" s="147" t="s">
        <v>135</v>
      </c>
      <c r="G25" s="194" t="s">
        <v>299</v>
      </c>
      <c r="H25" s="234">
        <v>45910</v>
      </c>
      <c r="I25" s="433"/>
      <c r="J25" s="560" cm="1">
        <f t="array" ref="J25">IF(ISBLANK(I25), IF(ISBLANK(H25), "N/A", _xlfn.IFS(K25="AS", H25+15, K25="NCR", H25+30, K25="submitted", H25+30, TRUE, "N/A")), _xlfn.IFS(K25="AS", I25+15, K25="NCR", I25+30, K25="submitted", I25+30, TRUE, "N/A"))</f>
        <v>45940</v>
      </c>
      <c r="K25" s="273" t="s">
        <v>311</v>
      </c>
      <c r="L25" s="318"/>
      <c r="M25" s="772"/>
      <c r="N25" s="773"/>
      <c r="O25" s="773"/>
      <c r="P25" s="774"/>
    </row>
    <row r="26" spans="1:16" s="150" customFormat="1" ht="25.5" customHeight="1">
      <c r="A26" s="803"/>
      <c r="B26" s="806"/>
      <c r="C26" s="809"/>
      <c r="D26" s="148" t="s">
        <v>296</v>
      </c>
      <c r="E26" s="232" t="s">
        <v>297</v>
      </c>
      <c r="F26" s="147" t="s">
        <v>137</v>
      </c>
      <c r="G26" s="194" t="s">
        <v>300</v>
      </c>
      <c r="H26" s="234">
        <v>45910</v>
      </c>
      <c r="I26" s="433"/>
      <c r="J26" s="560" cm="1">
        <f t="array" ref="J26">IF(ISBLANK(I26), IF(ISBLANK(H26), "N/A", _xlfn.IFS(K26="AS", H26+15, K26="NCR", H26+30, K26="submitted", H26+30, TRUE, "N/A")), _xlfn.IFS(K26="AS", I26+15, K26="NCR", I26+30, K26="submitted", I26+30, TRUE, "N/A"))</f>
        <v>45940</v>
      </c>
      <c r="K26" s="273" t="s">
        <v>311</v>
      </c>
      <c r="L26" s="318"/>
      <c r="M26" s="772"/>
      <c r="N26" s="773"/>
      <c r="O26" s="773"/>
      <c r="P26" s="774"/>
    </row>
    <row r="27" spans="1:16" s="150" customFormat="1" ht="25.5" customHeight="1">
      <c r="A27" s="803"/>
      <c r="B27" s="806"/>
      <c r="C27" s="809"/>
      <c r="D27" s="148" t="s">
        <v>296</v>
      </c>
      <c r="E27" s="232" t="s">
        <v>297</v>
      </c>
      <c r="F27" s="147" t="s">
        <v>163</v>
      </c>
      <c r="G27" s="194" t="s">
        <v>301</v>
      </c>
      <c r="H27" s="234">
        <v>45910</v>
      </c>
      <c r="I27" s="433"/>
      <c r="J27" s="560" cm="1">
        <f t="array" ref="J27">IF(ISBLANK(I27), IF(ISBLANK(H27), "N/A", _xlfn.IFS(K27="AS", H27+15, K27="NCR", H27+30, K27="submitted", H27+30, TRUE, "N/A")), _xlfn.IFS(K27="AS", I27+15, K27="NCR", I27+30, K27="submitted", I27+30, TRUE, "N/A"))</f>
        <v>45940</v>
      </c>
      <c r="K27" s="273" t="s">
        <v>311</v>
      </c>
      <c r="L27" s="318"/>
      <c r="M27" s="772"/>
      <c r="N27" s="773"/>
      <c r="O27" s="773"/>
      <c r="P27" s="774"/>
    </row>
    <row r="28" spans="1:16" s="150" customFormat="1" ht="15" customHeight="1">
      <c r="A28" s="803"/>
      <c r="B28" s="806"/>
      <c r="C28" s="809"/>
      <c r="D28" s="148" t="s">
        <v>296</v>
      </c>
      <c r="E28" s="232" t="s">
        <v>297</v>
      </c>
      <c r="F28" s="147" t="s">
        <v>166</v>
      </c>
      <c r="G28" s="148" t="s">
        <v>302</v>
      </c>
      <c r="H28" s="234">
        <v>45910</v>
      </c>
      <c r="I28" s="433"/>
      <c r="J28" s="560" cm="1">
        <f t="array" ref="J28">IF(ISBLANK(I28), IF(ISBLANK(H28), "N/A", _xlfn.IFS(K28="AS", H28+15, K28="NCR", H28+30, K28="submitted", H28+30, TRUE, "N/A")), _xlfn.IFS(K28="AS", I28+15, K28="NCR", I28+30, K28="submitted", I28+30, TRUE, "N/A"))</f>
        <v>45940</v>
      </c>
      <c r="K28" s="273" t="s">
        <v>311</v>
      </c>
      <c r="L28" s="318"/>
      <c r="M28" s="772"/>
      <c r="N28" s="773"/>
      <c r="O28" s="773"/>
      <c r="P28" s="774"/>
    </row>
    <row r="29" spans="1:16" s="150" customFormat="1" ht="25.5" customHeight="1">
      <c r="A29" s="803"/>
      <c r="B29" s="806"/>
      <c r="C29" s="809"/>
      <c r="D29" s="148" t="s">
        <v>296</v>
      </c>
      <c r="E29" s="232" t="s">
        <v>297</v>
      </c>
      <c r="F29" s="147" t="s">
        <v>303</v>
      </c>
      <c r="G29" s="194" t="s">
        <v>304</v>
      </c>
      <c r="H29" s="234">
        <v>45910</v>
      </c>
      <c r="I29" s="433"/>
      <c r="J29" s="560" cm="1">
        <f t="array" ref="J29">IF(ISBLANK(I29), IF(ISBLANK(H29), "N/A", _xlfn.IFS(K29="AS", H29+15, K29="NCR", H29+30, K29="submitted", H29+30, TRUE, "N/A")), _xlfn.IFS(K29="AS", I29+15, K29="NCR", I29+30, K29="submitted", I29+30, TRUE, "N/A"))</f>
        <v>45940</v>
      </c>
      <c r="K29" s="273" t="s">
        <v>311</v>
      </c>
      <c r="L29" s="318"/>
      <c r="M29" s="772"/>
      <c r="N29" s="773"/>
      <c r="O29" s="773"/>
      <c r="P29" s="774"/>
    </row>
    <row r="30" spans="1:16" s="150" customFormat="1" ht="25.5" customHeight="1">
      <c r="A30" s="803"/>
      <c r="B30" s="806"/>
      <c r="C30" s="809"/>
      <c r="D30" s="148" t="s">
        <v>296</v>
      </c>
      <c r="E30" s="232" t="s">
        <v>297</v>
      </c>
      <c r="F30" s="147" t="s">
        <v>305</v>
      </c>
      <c r="G30" s="194" t="s">
        <v>306</v>
      </c>
      <c r="H30" s="234">
        <v>45910</v>
      </c>
      <c r="I30" s="433"/>
      <c r="J30" s="560" cm="1">
        <f t="array" ref="J30">IF(ISBLANK(I30), IF(ISBLANK(H30), "N/A", _xlfn.IFS(K30="AS", H30+15, K30="NCR", H30+30, K30="submitted", H30+30, TRUE, "N/A")), _xlfn.IFS(K30="AS", I30+15, K30="NCR", I30+30, K30="submitted", I30+30, TRUE, "N/A"))</f>
        <v>45940</v>
      </c>
      <c r="K30" s="273" t="s">
        <v>311</v>
      </c>
      <c r="L30" s="318"/>
      <c r="M30" s="772"/>
      <c r="N30" s="773"/>
      <c r="O30" s="773"/>
      <c r="P30" s="774"/>
    </row>
    <row r="31" spans="1:16" s="150" customFormat="1" ht="25.5" customHeight="1">
      <c r="A31" s="804"/>
      <c r="B31" s="807"/>
      <c r="C31" s="810"/>
      <c r="D31" s="148" t="s">
        <v>296</v>
      </c>
      <c r="E31" s="232" t="s">
        <v>297</v>
      </c>
      <c r="F31" s="147" t="s">
        <v>307</v>
      </c>
      <c r="G31" s="194" t="s">
        <v>308</v>
      </c>
      <c r="H31" s="234">
        <v>45910</v>
      </c>
      <c r="I31" s="433"/>
      <c r="J31" s="560" cm="1">
        <f t="array" ref="J31">IF(ISBLANK(I31), IF(ISBLANK(H31), "N/A", _xlfn.IFS(K31="AS", H31+15, K31="NCR", H31+30, K31="submitted", H31+30, TRUE, "N/A")), _xlfn.IFS(K31="AS", I31+15, K31="NCR", I31+30, K31="submitted", I31+30, TRUE, "N/A"))</f>
        <v>45940</v>
      </c>
      <c r="K31" s="273" t="s">
        <v>311</v>
      </c>
      <c r="L31" s="318"/>
      <c r="M31" s="772"/>
      <c r="N31" s="773"/>
      <c r="O31" s="773"/>
      <c r="P31" s="774"/>
    </row>
    <row r="32" spans="1:16" s="267" customFormat="1" ht="15.75" customHeight="1">
      <c r="A32" s="688" t="s">
        <v>78</v>
      </c>
      <c r="B32" s="525" t="s">
        <v>312</v>
      </c>
      <c r="C32" s="689" t="s">
        <v>313</v>
      </c>
      <c r="D32" s="264" t="s">
        <v>79</v>
      </c>
      <c r="E32" s="264" t="s">
        <v>314</v>
      </c>
      <c r="F32" s="688" t="s">
        <v>133</v>
      </c>
      <c r="G32" s="264" t="s">
        <v>229</v>
      </c>
      <c r="H32" s="690">
        <v>45813</v>
      </c>
      <c r="I32" s="690">
        <v>45903</v>
      </c>
      <c r="J32" s="560" cm="1">
        <f t="array" ref="J32">IF(ISBLANK(I32), IF(ISBLANK(H32), "N/A", _xlfn.IFS(K32="AS", H32+15, K32="NCR", H32+30, K32="submitted", H32+30, TRUE, "N/A")), _xlfn.IFS(K32="AS", I32+15, K32="NCR", I32+30, K32="submitted", I32+30, TRUE, "N/A"))</f>
        <v>45933</v>
      </c>
      <c r="K32" s="691" t="s">
        <v>207</v>
      </c>
      <c r="L32" s="318"/>
      <c r="M32" s="772"/>
      <c r="N32" s="773"/>
      <c r="O32" s="773"/>
      <c r="P32" s="774"/>
    </row>
    <row r="33" spans="1:16" s="22" customFormat="1" ht="15.75" customHeight="1">
      <c r="A33" s="78" t="s">
        <v>80</v>
      </c>
      <c r="B33" s="376" t="s">
        <v>312</v>
      </c>
      <c r="C33" s="386" t="s">
        <v>313</v>
      </c>
      <c r="D33" s="238" t="s">
        <v>81</v>
      </c>
      <c r="E33" s="27" t="s">
        <v>314</v>
      </c>
      <c r="F33" s="22" t="s">
        <v>135</v>
      </c>
      <c r="G33" s="24" t="s">
        <v>276</v>
      </c>
      <c r="H33" s="25">
        <v>45824</v>
      </c>
      <c r="I33" s="336"/>
      <c r="J33" s="560" cm="1">
        <f t="array" ref="J33">IF(ISBLANK(I33), IF(ISBLANK(H33), "N/A", _xlfn.IFS(K33="AS", H33+15, K33="NCR", H33+30, K33="submitted", H33+30, TRUE, "N/A")), _xlfn.IFS(K33="AS", I33+15, K33="NCR", I33+30, K33="submitted", I33+30, TRUE, "N/A"))</f>
        <v>45854</v>
      </c>
      <c r="K33" s="273" t="s">
        <v>154</v>
      </c>
      <c r="L33" s="318"/>
      <c r="M33" s="772"/>
      <c r="N33" s="773"/>
      <c r="O33" s="773"/>
      <c r="P33" s="774"/>
    </row>
    <row r="34" spans="1:16" s="9" customFormat="1" ht="15.75" customHeight="1">
      <c r="B34" s="376" t="s">
        <v>312</v>
      </c>
      <c r="C34" s="386" t="s">
        <v>313</v>
      </c>
      <c r="D34" s="39"/>
      <c r="E34" s="39"/>
      <c r="F34" s="9" t="s">
        <v>137</v>
      </c>
      <c r="G34" s="13" t="s">
        <v>315</v>
      </c>
      <c r="J34" s="560" t="str" cm="1">
        <f t="array" ref="J34">IF(ISBLANK(I34), IF(ISBLANK(H34), "N/A", _xlfn.IFS(K34="AS", H34+15, K34="NCR", H34+30, K34="submitted", H34+30, TRUE, "N/A")), _xlfn.IFS(K34="AS", I34+15, K34="NCR", I34+30, K34="submitted", I34+30, TRUE, "N/A"))</f>
        <v>N/A</v>
      </c>
      <c r="K34" s="21"/>
      <c r="L34" s="318"/>
      <c r="M34" s="772"/>
      <c r="N34" s="773"/>
      <c r="O34" s="773"/>
      <c r="P34" s="774"/>
    </row>
    <row r="35" spans="1:16" s="9" customFormat="1" ht="15.75" customHeight="1">
      <c r="B35" s="376" t="s">
        <v>312</v>
      </c>
      <c r="C35" s="386" t="s">
        <v>313</v>
      </c>
      <c r="D35" s="39"/>
      <c r="E35" s="39"/>
      <c r="F35" s="9" t="s">
        <v>163</v>
      </c>
      <c r="G35" s="13" t="s">
        <v>316</v>
      </c>
      <c r="J35" s="560" t="str" cm="1">
        <f t="array" ref="J35">IF(ISBLANK(I35), IF(ISBLANK(H35), "N/A", _xlfn.IFS(K35="AS", H35+15, K35="NCR", H35+30, K35="submitted", H35+30, TRUE, "N/A")), _xlfn.IFS(K35="AS", I35+15, K35="NCR", I35+30, K35="submitted", I35+30, TRUE, "N/A"))</f>
        <v>N/A</v>
      </c>
      <c r="L35" s="318"/>
      <c r="M35" s="772"/>
      <c r="N35" s="773"/>
      <c r="O35" s="773"/>
      <c r="P35" s="774"/>
    </row>
    <row r="36" spans="1:16" s="185" customFormat="1" ht="15.75" customHeight="1">
      <c r="B36" s="376" t="s">
        <v>312</v>
      </c>
      <c r="C36" s="386" t="s">
        <v>313</v>
      </c>
      <c r="D36" s="186"/>
      <c r="E36" s="186"/>
      <c r="F36" s="185" t="s">
        <v>166</v>
      </c>
      <c r="G36" s="187" t="s">
        <v>317</v>
      </c>
      <c r="J36" s="560" t="str" cm="1">
        <f t="array" ref="J36">IF(ISBLANK(I36), IF(ISBLANK(H36), "N/A", _xlfn.IFS(K36="AS", H36+15, K36="NCR", H36+30, K36="submitted", H36+30, TRUE, "N/A")), _xlfn.IFS(K36="AS", I36+15, K36="NCR", I36+30, K36="submitted", I36+30, TRUE, "N/A"))</f>
        <v>N/A</v>
      </c>
      <c r="L36" s="318"/>
      <c r="M36" s="772"/>
      <c r="N36" s="773"/>
      <c r="O36" s="773"/>
      <c r="P36" s="774"/>
    </row>
    <row r="37" spans="1:16" s="73" customFormat="1" ht="26.25" customHeight="1">
      <c r="B37" s="111" t="s">
        <v>318</v>
      </c>
      <c r="C37" s="59" t="s">
        <v>319</v>
      </c>
      <c r="D37" s="59"/>
      <c r="F37" s="73" t="s">
        <v>275</v>
      </c>
      <c r="G37" s="36" t="s">
        <v>320</v>
      </c>
      <c r="J37" s="560" t="str" cm="1">
        <f t="array" ref="J37">IF(ISBLANK(I37), IF(ISBLANK(H37), "N/A", _xlfn.IFS(K37="AS", H37+15, K37="NCR", H37+30, K37="submitted", H37+30, TRUE, "N/A")), _xlfn.IFS(K37="AS", I37+15, K37="NCR", I37+30, K37="submitted", I37+30, TRUE, "N/A"))</f>
        <v>N/A</v>
      </c>
      <c r="K37" s="74"/>
      <c r="L37" s="318"/>
      <c r="M37" s="772"/>
      <c r="N37" s="773"/>
      <c r="O37" s="773"/>
      <c r="P37" s="774"/>
    </row>
    <row r="38" spans="1:16" s="5" customFormat="1" ht="15" customHeight="1">
      <c r="A38" s="73"/>
      <c r="B38" s="95"/>
      <c r="C38" s="75"/>
      <c r="D38" s="75"/>
      <c r="F38" s="73" t="s">
        <v>321</v>
      </c>
      <c r="G38" s="36" t="s">
        <v>322</v>
      </c>
      <c r="H38" s="73"/>
      <c r="I38" s="73"/>
      <c r="J38" s="560" t="str" cm="1">
        <f t="array" ref="J38">IF(ISBLANK(I38), IF(ISBLANK(H38), "N/A", _xlfn.IFS(K38="AS", H38+15, K38="NCR", H38+30, K38="submitted", H38+30, TRUE, "N/A")), _xlfn.IFS(K38="AS", I38+15, K38="NCR", I38+30, K38="submitted", I38+30, TRUE, "N/A"))</f>
        <v>N/A</v>
      </c>
      <c r="K38" s="74"/>
      <c r="L38" s="318"/>
      <c r="M38" s="772"/>
      <c r="N38" s="773"/>
      <c r="O38" s="773"/>
      <c r="P38" s="774"/>
    </row>
    <row r="39" spans="1:16" s="150" customFormat="1" ht="15" customHeight="1">
      <c r="A39" s="147" t="s">
        <v>323</v>
      </c>
      <c r="B39" s="427" t="s">
        <v>324</v>
      </c>
      <c r="C39" s="232" t="s">
        <v>325</v>
      </c>
      <c r="D39" s="232" t="s">
        <v>326</v>
      </c>
      <c r="E39" s="150" t="s">
        <v>327</v>
      </c>
      <c r="F39" s="147" t="s">
        <v>328</v>
      </c>
      <c r="G39" s="148" t="s">
        <v>229</v>
      </c>
      <c r="H39" s="234">
        <v>45898</v>
      </c>
      <c r="I39" s="234">
        <v>45908</v>
      </c>
      <c r="J39" s="560" cm="1">
        <f t="array" ref="J39">IF(ISBLANK(I39), IF(ISBLANK(H39), "N/A", _xlfn.IFS(K39="AS", H39+15, K39="NCR", H39+30, K39="submitted", H39+30, TRUE, "N/A")), _xlfn.IFS(K39="AS", I39+15, K39="NCR", I39+30, K39="submitted", I39+30, TRUE, "N/A"))</f>
        <v>45938</v>
      </c>
      <c r="K39" s="147" t="s">
        <v>207</v>
      </c>
      <c r="L39" s="318"/>
      <c r="M39" s="781"/>
      <c r="N39" s="782"/>
      <c r="O39" s="782"/>
      <c r="P39" s="783"/>
    </row>
    <row r="40" spans="1:16" s="150" customFormat="1">
      <c r="A40" s="147" t="s">
        <v>323</v>
      </c>
      <c r="B40" s="427" t="s">
        <v>324</v>
      </c>
      <c r="C40" s="232" t="s">
        <v>325</v>
      </c>
      <c r="D40" s="232" t="s">
        <v>326</v>
      </c>
      <c r="E40" s="150" t="s">
        <v>327</v>
      </c>
      <c r="F40" s="147" t="s">
        <v>329</v>
      </c>
      <c r="G40" s="148" t="s">
        <v>320</v>
      </c>
      <c r="H40" s="234">
        <v>45898</v>
      </c>
      <c r="I40" s="234">
        <v>45908</v>
      </c>
      <c r="J40" s="560" cm="1">
        <f t="array" ref="J40">IF(ISBLANK(I40), IF(ISBLANK(H40), "N/A", _xlfn.IFS(K40="AS", H40+15, K40="NCR", H40+30, K40="submitted", H40+30, TRUE, "N/A")), _xlfn.IFS(K40="AS", I40+15, K40="NCR", I40+30, K40="submitted", I40+30, TRUE, "N/A"))</f>
        <v>45938</v>
      </c>
      <c r="K40" s="147" t="s">
        <v>207</v>
      </c>
      <c r="L40" s="318"/>
      <c r="M40" s="766" t="s">
        <v>132</v>
      </c>
      <c r="N40" s="767"/>
      <c r="O40" s="767"/>
      <c r="P40" s="768"/>
    </row>
    <row r="41" spans="1:16" s="1" customFormat="1" ht="27">
      <c r="A41" s="9"/>
      <c r="B41" s="32" t="s">
        <v>324</v>
      </c>
      <c r="C41" s="37" t="s">
        <v>325</v>
      </c>
      <c r="D41" s="39"/>
      <c r="F41" s="9" t="s">
        <v>330</v>
      </c>
      <c r="G41" s="7" t="s">
        <v>331</v>
      </c>
      <c r="H41" s="9"/>
      <c r="I41" s="9"/>
      <c r="J41" s="560" t="str" cm="1">
        <f t="array" ref="J41">IF(ISBLANK(I41), IF(ISBLANK(H41), "N/A", _xlfn.IFS(K41="AS", H41+15, K41="NCR", H41+30, K41="submitted", H41+30, TRUE, "N/A")), _xlfn.IFS(K41="AS", I41+15, K41="NCR", I41+30, K41="submitted", I41+30, TRUE, "N/A"))</f>
        <v>N/A</v>
      </c>
      <c r="K41" s="14"/>
      <c r="L41" s="318"/>
      <c r="M41" s="769"/>
      <c r="N41" s="770"/>
      <c r="O41" s="770"/>
      <c r="P41" s="771"/>
    </row>
    <row r="42" spans="1:16" s="1" customFormat="1">
      <c r="A42" s="9"/>
      <c r="B42" s="32" t="s">
        <v>324</v>
      </c>
      <c r="C42" s="37" t="s">
        <v>325</v>
      </c>
      <c r="D42" s="39"/>
      <c r="F42" s="9" t="s">
        <v>332</v>
      </c>
      <c r="G42" s="13" t="s">
        <v>333</v>
      </c>
      <c r="H42" s="9"/>
      <c r="I42" s="9"/>
      <c r="J42" s="560" t="str" cm="1">
        <f t="array" ref="J42">IF(ISBLANK(I42), IF(ISBLANK(H42), "N/A", _xlfn.IFS(K42="AS", H42+15, K42="NCR", H42+30, K42="submitted", H42+30, TRUE, "N/A")), _xlfn.IFS(K42="AS", I42+15, K42="NCR", I42+30, K42="submitted", I42+30, TRUE, "N/A"))</f>
        <v>N/A</v>
      </c>
      <c r="K42" s="14"/>
      <c r="L42" s="318"/>
      <c r="M42" s="769"/>
      <c r="N42" s="770"/>
      <c r="O42" s="770"/>
      <c r="P42" s="771"/>
    </row>
    <row r="43" spans="1:16" s="1" customFormat="1">
      <c r="A43" s="9"/>
      <c r="B43" s="32" t="s">
        <v>324</v>
      </c>
      <c r="C43" s="37" t="s">
        <v>325</v>
      </c>
      <c r="D43" s="39"/>
      <c r="F43" s="9" t="s">
        <v>334</v>
      </c>
      <c r="G43" s="13" t="s">
        <v>335</v>
      </c>
      <c r="H43" s="9"/>
      <c r="I43" s="9"/>
      <c r="J43" s="560" t="str" cm="1">
        <f t="array" ref="J43">IF(ISBLANK(I43), IF(ISBLANK(H43), "N/A", _xlfn.IFS(K43="AS", H43+15, K43="NCR", H43+30, K43="submitted", H43+30, TRUE, "N/A")), _xlfn.IFS(K43="AS", I43+15, K43="NCR", I43+30, K43="submitted", I43+30, TRUE, "N/A"))</f>
        <v>N/A</v>
      </c>
      <c r="K43" s="14"/>
      <c r="L43" s="318"/>
      <c r="M43" s="769"/>
      <c r="N43" s="770"/>
      <c r="O43" s="770"/>
      <c r="P43" s="771"/>
    </row>
    <row r="44" spans="1:16" s="1" customFormat="1">
      <c r="A44" s="9"/>
      <c r="B44" s="32" t="s">
        <v>324</v>
      </c>
      <c r="C44" s="37" t="s">
        <v>325</v>
      </c>
      <c r="D44" s="39"/>
      <c r="F44" s="9" t="s">
        <v>336</v>
      </c>
      <c r="G44" s="7" t="s">
        <v>337</v>
      </c>
      <c r="H44" s="9"/>
      <c r="I44" s="9"/>
      <c r="J44" s="560" t="str" cm="1">
        <f t="array" ref="J44">IF(ISBLANK(I44), IF(ISBLANK(H44), "N/A", _xlfn.IFS(K44="AS", H44+15, K44="NCR", H44+30, K44="submitted", H44+30, TRUE, "N/A")), _xlfn.IFS(K44="AS", I44+15, K44="NCR", I44+30, K44="submitted", I44+30, TRUE, "N/A"))</f>
        <v>N/A</v>
      </c>
      <c r="K44" s="14"/>
      <c r="L44" s="318"/>
      <c r="M44" s="769"/>
      <c r="N44" s="770"/>
      <c r="O44" s="770"/>
      <c r="P44" s="771"/>
    </row>
    <row r="45" spans="1:16" s="1" customFormat="1" ht="27">
      <c r="A45" s="9"/>
      <c r="B45" s="32" t="s">
        <v>324</v>
      </c>
      <c r="C45" s="37" t="s">
        <v>325</v>
      </c>
      <c r="D45" s="46"/>
      <c r="F45" s="9" t="s">
        <v>338</v>
      </c>
      <c r="G45" s="7" t="s">
        <v>339</v>
      </c>
      <c r="H45" s="9"/>
      <c r="I45" s="9"/>
      <c r="J45" s="560" t="str" cm="1">
        <f t="array" ref="J45">IF(ISBLANK(I45), IF(ISBLANK(H45), "N/A", _xlfn.IFS(K45="AS", H45+15, K45="NCR", H45+30, K45="submitted", H45+30, TRUE, "N/A")), _xlfn.IFS(K45="AS", I45+15, K45="NCR", I45+30, K45="submitted", I45+30, TRUE, "N/A"))</f>
        <v>N/A</v>
      </c>
      <c r="K45" s="14"/>
      <c r="L45" s="318"/>
      <c r="M45" s="769"/>
      <c r="N45" s="770"/>
      <c r="O45" s="770"/>
      <c r="P45" s="771"/>
    </row>
    <row r="46" spans="1:16" s="5" customFormat="1" ht="27">
      <c r="A46" s="4"/>
      <c r="B46" s="86" t="s">
        <v>340</v>
      </c>
      <c r="C46" s="34" t="s">
        <v>341</v>
      </c>
      <c r="D46" s="34"/>
      <c r="F46" s="4" t="s">
        <v>275</v>
      </c>
      <c r="G46" s="3" t="s">
        <v>342</v>
      </c>
      <c r="H46" s="4"/>
      <c r="I46" s="4"/>
      <c r="J46" s="560" t="str" cm="1">
        <f t="array" ref="J46">IF(ISBLANK(I46), IF(ISBLANK(H46), "N/A", _xlfn.IFS(K46="AS", H46+15, K46="NCR", H46+30, K46="submitted", H46+30, TRUE, "N/A")), _xlfn.IFS(K46="AS", I46+15, K46="NCR", I46+30, K46="submitted", I46+30, TRUE, "N/A"))</f>
        <v>N/A</v>
      </c>
      <c r="K46" s="18"/>
      <c r="L46" s="318"/>
      <c r="M46" s="769"/>
      <c r="N46" s="770"/>
      <c r="O46" s="770"/>
      <c r="P46" s="771"/>
    </row>
    <row r="47" spans="1:16" s="5" customFormat="1">
      <c r="A47" s="4"/>
      <c r="B47" s="86" t="s">
        <v>340</v>
      </c>
      <c r="C47" s="34" t="s">
        <v>341</v>
      </c>
      <c r="D47" s="35"/>
      <c r="F47" s="4" t="s">
        <v>263</v>
      </c>
      <c r="G47" s="17" t="s">
        <v>343</v>
      </c>
      <c r="H47" s="4"/>
      <c r="I47" s="4"/>
      <c r="J47" s="560" t="str" cm="1">
        <f t="array" ref="J47">IF(ISBLANK(I47), IF(ISBLANK(H47), "N/A", _xlfn.IFS(K47="AS", H47+15, K47="NCR", H47+30, K47="submitted", H47+30, TRUE, "N/A")), _xlfn.IFS(K47="AS", I47+15, K47="NCR", I47+30, K47="submitted", I47+30, TRUE, "N/A"))</f>
        <v>N/A</v>
      </c>
      <c r="K47" s="18"/>
      <c r="L47" s="318"/>
      <c r="M47" s="769"/>
      <c r="N47" s="770"/>
      <c r="O47" s="770"/>
      <c r="P47" s="771"/>
    </row>
    <row r="48" spans="1:16" s="5" customFormat="1">
      <c r="A48" s="4"/>
      <c r="B48" s="86" t="s">
        <v>340</v>
      </c>
      <c r="C48" s="34" t="s">
        <v>341</v>
      </c>
      <c r="D48" s="35"/>
      <c r="F48" s="4" t="s">
        <v>253</v>
      </c>
      <c r="G48" s="17" t="s">
        <v>276</v>
      </c>
      <c r="H48" s="4"/>
      <c r="I48" s="4"/>
      <c r="J48" s="560" t="str" cm="1">
        <f t="array" ref="J48">IF(ISBLANK(I48), IF(ISBLANK(H48), "N/A", _xlfn.IFS(K48="AS", H48+15, K48="NCR", H48+30, K48="submitted", H48+30, TRUE, "N/A")), _xlfn.IFS(K48="AS", I48+15, K48="NCR", I48+30, K48="submitted", I48+30, TRUE, "N/A"))</f>
        <v>N/A</v>
      </c>
      <c r="K48" s="18"/>
      <c r="L48" s="318"/>
      <c r="M48" s="772" t="s">
        <v>147</v>
      </c>
      <c r="N48" s="773"/>
      <c r="O48" s="773"/>
      <c r="P48" s="774"/>
    </row>
    <row r="49" spans="1:16" s="5" customFormat="1">
      <c r="A49" s="4"/>
      <c r="B49" s="86" t="s">
        <v>340</v>
      </c>
      <c r="C49" s="34" t="s">
        <v>341</v>
      </c>
      <c r="D49" s="35"/>
      <c r="F49" s="4" t="s">
        <v>344</v>
      </c>
      <c r="G49" s="17" t="s">
        <v>345</v>
      </c>
      <c r="H49" s="4"/>
      <c r="I49" s="4"/>
      <c r="J49" s="560" t="str" cm="1">
        <f t="array" ref="J49">IF(ISBLANK(I49), IF(ISBLANK(H49), "N/A", _xlfn.IFS(K49="AS", H49+15, K49="NCR", H49+30, K49="submitted", H49+30, TRUE, "N/A")), _xlfn.IFS(K49="AS", I49+15, K49="NCR", I49+30, K49="submitted", I49+30, TRUE, "N/A"))</f>
        <v>N/A</v>
      </c>
      <c r="K49" s="18"/>
      <c r="L49" s="318"/>
      <c r="M49" s="772"/>
      <c r="N49" s="773"/>
      <c r="O49" s="773"/>
      <c r="P49" s="774"/>
    </row>
    <row r="50" spans="1:16" s="5" customFormat="1">
      <c r="A50" s="4"/>
      <c r="B50" s="86" t="s">
        <v>340</v>
      </c>
      <c r="C50" s="34" t="s">
        <v>341</v>
      </c>
      <c r="D50" s="35"/>
      <c r="F50" s="4" t="s">
        <v>346</v>
      </c>
      <c r="G50" s="17" t="s">
        <v>347</v>
      </c>
      <c r="H50" s="4"/>
      <c r="I50" s="4"/>
      <c r="J50" s="560" t="str" cm="1">
        <f t="array" ref="J50">IF(ISBLANK(I50), IF(ISBLANK(H50), "N/A", _xlfn.IFS(K50="AS", H50+15, K50="NCR", H50+30, K50="submitted", H50+30, TRUE, "N/A")), _xlfn.IFS(K50="AS", I50+15, K50="NCR", I50+30, K50="submitted", I50+30, TRUE, "N/A"))</f>
        <v>N/A</v>
      </c>
      <c r="K50" s="18"/>
      <c r="L50" s="318"/>
      <c r="M50" s="772"/>
      <c r="N50" s="773"/>
      <c r="O50" s="773"/>
      <c r="P50" s="774"/>
    </row>
    <row r="51" spans="1:16" s="5" customFormat="1">
      <c r="A51" s="4"/>
      <c r="B51" s="86" t="s">
        <v>340</v>
      </c>
      <c r="C51" s="34" t="s">
        <v>341</v>
      </c>
      <c r="D51" s="35"/>
      <c r="F51" s="4" t="s">
        <v>348</v>
      </c>
      <c r="G51" s="17" t="s">
        <v>349</v>
      </c>
      <c r="H51" s="4"/>
      <c r="I51" s="4"/>
      <c r="J51" s="560" t="str" cm="1">
        <f t="array" ref="J51">IF(ISBLANK(I51), IF(ISBLANK(H51), "N/A", _xlfn.IFS(K51="AS", H51+15, K51="NCR", H51+30, K51="submitted", H51+30, TRUE, "N/A")), _xlfn.IFS(K51="AS", I51+15, K51="NCR", I51+30, K51="submitted", I51+30, TRUE, "N/A"))</f>
        <v>N/A</v>
      </c>
      <c r="K51" s="18"/>
      <c r="L51" s="318"/>
      <c r="M51" s="772"/>
      <c r="N51" s="773"/>
      <c r="O51" s="773"/>
      <c r="P51" s="774"/>
    </row>
    <row r="52" spans="1:16" s="5" customFormat="1" ht="27">
      <c r="A52" s="4"/>
      <c r="B52" s="86" t="s">
        <v>340</v>
      </c>
      <c r="C52" s="34" t="s">
        <v>341</v>
      </c>
      <c r="D52" s="35"/>
      <c r="F52" s="4" t="s">
        <v>350</v>
      </c>
      <c r="G52" s="3" t="s">
        <v>351</v>
      </c>
      <c r="H52" s="4"/>
      <c r="I52" s="4"/>
      <c r="J52" s="560" t="str" cm="1">
        <f t="array" ref="J52">IF(ISBLANK(I52), IF(ISBLANK(H52), "N/A", _xlfn.IFS(K52="AS", H52+15, K52="NCR", H52+30, K52="submitted", H52+30, TRUE, "N/A")), _xlfn.IFS(K52="AS", I52+15, K52="NCR", I52+30, K52="submitted", I52+30, TRUE, "N/A"))</f>
        <v>N/A</v>
      </c>
      <c r="K52" s="18"/>
      <c r="L52" s="318"/>
      <c r="M52" s="772"/>
      <c r="N52" s="773"/>
      <c r="O52" s="773"/>
      <c r="P52" s="774"/>
    </row>
    <row r="53" spans="1:16" s="5" customFormat="1">
      <c r="A53" s="4"/>
      <c r="B53" s="86" t="s">
        <v>340</v>
      </c>
      <c r="C53" s="34" t="s">
        <v>341</v>
      </c>
      <c r="D53" s="35"/>
      <c r="F53" s="4" t="s">
        <v>352</v>
      </c>
      <c r="G53" s="17" t="s">
        <v>353</v>
      </c>
      <c r="H53" s="4"/>
      <c r="I53" s="4"/>
      <c r="J53" s="560" t="str" cm="1">
        <f t="array" ref="J53">IF(ISBLANK(I53), IF(ISBLANK(H53), "N/A", _xlfn.IFS(K53="AS", H53+15, K53="NCR", H53+30, K53="submitted", H53+30, TRUE, "N/A")), _xlfn.IFS(K53="AS", I53+15, K53="NCR", I53+30, K53="submitted", I53+30, TRUE, "N/A"))</f>
        <v>N/A</v>
      </c>
      <c r="K53" s="18"/>
      <c r="L53" s="319"/>
      <c r="M53" s="772"/>
      <c r="N53" s="773"/>
      <c r="O53" s="773"/>
      <c r="P53" s="774"/>
    </row>
    <row r="54" spans="1:16" s="5" customFormat="1" ht="27">
      <c r="A54" s="4"/>
      <c r="B54" s="86" t="s">
        <v>340</v>
      </c>
      <c r="C54" s="34" t="s">
        <v>341</v>
      </c>
      <c r="D54" s="35"/>
      <c r="F54" s="4" t="s">
        <v>354</v>
      </c>
      <c r="G54" s="3" t="s">
        <v>355</v>
      </c>
      <c r="H54" s="4"/>
      <c r="I54" s="4"/>
      <c r="J54" s="560" t="str" cm="1">
        <f t="array" ref="J54">IF(ISBLANK(I54), IF(ISBLANK(H54), "N/A", _xlfn.IFS(K54="AS", H54+15, K54="NCR", H54+30, K54="submitted", H54+30, TRUE, "N/A")), _xlfn.IFS(K54="AS", I54+15, K54="NCR", I54+30, K54="submitted", I54+30, TRUE, "N/A"))</f>
        <v>N/A</v>
      </c>
      <c r="K54" s="18"/>
      <c r="L54" s="318"/>
      <c r="M54" s="772"/>
      <c r="N54" s="773"/>
      <c r="O54" s="773"/>
      <c r="P54" s="774"/>
    </row>
    <row r="55" spans="1:16" s="5" customFormat="1">
      <c r="A55" s="4"/>
      <c r="B55" s="86" t="s">
        <v>340</v>
      </c>
      <c r="C55" s="34" t="s">
        <v>341</v>
      </c>
      <c r="D55" s="35"/>
      <c r="F55" s="4" t="s">
        <v>356</v>
      </c>
      <c r="G55" s="17" t="s">
        <v>357</v>
      </c>
      <c r="H55" s="4"/>
      <c r="I55" s="4"/>
      <c r="J55" s="560" t="str" cm="1">
        <f t="array" ref="J55">IF(ISBLANK(I55), IF(ISBLANK(H55), "N/A", _xlfn.IFS(K55="AS", H55+15, K55="NCR", H55+30, K55="submitted", H55+30, TRUE, "N/A")), _xlfn.IFS(K55="AS", I55+15, K55="NCR", I55+30, K55="submitted", I55+30, TRUE, "N/A"))</f>
        <v>N/A</v>
      </c>
      <c r="K55" s="18"/>
      <c r="L55" s="318"/>
      <c r="M55" s="772"/>
      <c r="N55" s="773"/>
      <c r="O55" s="773"/>
      <c r="P55" s="774"/>
    </row>
    <row r="56" spans="1:16" s="5" customFormat="1">
      <c r="A56" s="4"/>
      <c r="B56" s="86" t="s">
        <v>340</v>
      </c>
      <c r="C56" s="34" t="s">
        <v>341</v>
      </c>
      <c r="D56" s="36"/>
      <c r="F56" s="4" t="s">
        <v>358</v>
      </c>
      <c r="G56" s="17" t="s">
        <v>359</v>
      </c>
      <c r="H56" s="4"/>
      <c r="I56" s="4"/>
      <c r="J56" s="560" t="str" cm="1">
        <f t="array" ref="J56">IF(ISBLANK(I56), IF(ISBLANK(H56), "N/A", _xlfn.IFS(K56="AS", H56+15, K56="NCR", H56+30, K56="submitted", H56+30, TRUE, "N/A")), _xlfn.IFS(K56="AS", I56+15, K56="NCR", I56+30, K56="submitted", I56+30, TRUE, "N/A"))</f>
        <v>N/A</v>
      </c>
      <c r="K56" s="18"/>
      <c r="L56" s="318"/>
      <c r="M56" s="772"/>
      <c r="N56" s="773"/>
      <c r="O56" s="773"/>
      <c r="P56" s="774"/>
    </row>
    <row r="57" spans="1:16" s="26" customFormat="1" ht="27">
      <c r="A57" s="22"/>
      <c r="B57" s="311" t="s">
        <v>360</v>
      </c>
      <c r="C57" s="23" t="s">
        <v>361</v>
      </c>
      <c r="D57" s="28"/>
      <c r="E57" s="26" t="s">
        <v>362</v>
      </c>
      <c r="F57" s="22" t="s">
        <v>205</v>
      </c>
      <c r="G57" s="28" t="s">
        <v>363</v>
      </c>
      <c r="H57" s="22"/>
      <c r="I57" s="22"/>
      <c r="J57" s="560" t="str" cm="1">
        <f t="array" ref="J57">IF(ISBLANK(I57), IF(ISBLANK(H57), "N/A", _xlfn.IFS(K57="AS", H57+15, K57="NCR", H57+30, K57="submitted", H57+30, TRUE, "N/A")), _xlfn.IFS(K57="AS", I57+15, K57="NCR", I57+30, K57="submitted", I57+30, TRUE, "N/A"))</f>
        <v>N/A</v>
      </c>
      <c r="K57" s="25"/>
      <c r="L57" s="318"/>
      <c r="M57" s="772"/>
      <c r="N57" s="773"/>
      <c r="O57" s="773"/>
      <c r="P57" s="774"/>
    </row>
    <row r="58" spans="1:16" s="26" customFormat="1" ht="27">
      <c r="A58" s="22"/>
      <c r="B58" s="311" t="s">
        <v>360</v>
      </c>
      <c r="C58" s="23" t="s">
        <v>361</v>
      </c>
      <c r="D58" s="28"/>
      <c r="F58" s="22" t="s">
        <v>275</v>
      </c>
      <c r="G58" s="24" t="s">
        <v>276</v>
      </c>
      <c r="H58" s="22"/>
      <c r="I58" s="22"/>
      <c r="J58" s="560" t="str" cm="1">
        <f t="array" ref="J58">IF(ISBLANK(I58), IF(ISBLANK(H58), "N/A", _xlfn.IFS(K58="AS", H58+15, K58="NCR", H58+30, K58="submitted", H58+30, TRUE, "N/A")), _xlfn.IFS(K58="AS", I58+15, K58="NCR", I58+30, K58="submitted", I58+30, TRUE, "N/A"))</f>
        <v>N/A</v>
      </c>
      <c r="K58" s="25"/>
      <c r="L58" s="318"/>
      <c r="M58" s="772"/>
      <c r="N58" s="773"/>
      <c r="O58" s="773"/>
      <c r="P58" s="774"/>
    </row>
    <row r="59" spans="1:16" s="26" customFormat="1" ht="27">
      <c r="A59" s="22"/>
      <c r="B59" s="311" t="s">
        <v>360</v>
      </c>
      <c r="C59" s="23" t="s">
        <v>361</v>
      </c>
      <c r="D59" s="28"/>
      <c r="F59" s="22" t="s">
        <v>263</v>
      </c>
      <c r="G59" s="24" t="s">
        <v>345</v>
      </c>
      <c r="H59" s="22"/>
      <c r="I59" s="22"/>
      <c r="J59" s="560" t="str" cm="1">
        <f t="array" ref="J59">IF(ISBLANK(I59), IF(ISBLANK(H59), "N/A", _xlfn.IFS(K59="AS", H59+15, K59="NCR", H59+30, K59="submitted", H59+30, TRUE, "N/A")), _xlfn.IFS(K59="AS", I59+15, K59="NCR", I59+30, K59="submitted", I59+30, TRUE, "N/A"))</f>
        <v>N/A</v>
      </c>
      <c r="K59" s="25"/>
      <c r="L59" s="318"/>
      <c r="M59" s="772"/>
      <c r="N59" s="773"/>
      <c r="O59" s="773"/>
      <c r="P59" s="774"/>
    </row>
    <row r="60" spans="1:16" s="26" customFormat="1" ht="27">
      <c r="A60" s="22"/>
      <c r="B60" s="311" t="s">
        <v>360</v>
      </c>
      <c r="C60" s="23" t="s">
        <v>361</v>
      </c>
      <c r="D60" s="28" t="s">
        <v>158</v>
      </c>
      <c r="F60" s="22" t="s">
        <v>364</v>
      </c>
      <c r="G60" s="24" t="s">
        <v>365</v>
      </c>
      <c r="H60" s="22"/>
      <c r="I60" s="22"/>
      <c r="J60" s="560" t="str" cm="1">
        <f t="array" ref="J60">IF(ISBLANK(I60), IF(ISBLANK(H60), "N/A", _xlfn.IFS(K60="AS", H60+15, K60="NCR", H60+30, K60="submitted", H60+30, TRUE, "N/A")), _xlfn.IFS(K60="AS", I60+15, K60="NCR", I60+30, K60="submitted", I60+30, TRUE, "N/A"))</f>
        <v>N/A</v>
      </c>
      <c r="K60" s="25"/>
      <c r="L60" s="318"/>
      <c r="M60" s="772"/>
      <c r="N60" s="773"/>
      <c r="O60" s="773"/>
      <c r="P60" s="774"/>
    </row>
    <row r="61" spans="1:16" s="26" customFormat="1" ht="27">
      <c r="A61" s="22"/>
      <c r="B61" s="311" t="s">
        <v>360</v>
      </c>
      <c r="C61" s="23" t="s">
        <v>361</v>
      </c>
      <c r="D61" s="28" t="s">
        <v>158</v>
      </c>
      <c r="F61" s="22" t="s">
        <v>366</v>
      </c>
      <c r="G61" s="24" t="s">
        <v>367</v>
      </c>
      <c r="H61" s="22"/>
      <c r="I61" s="22"/>
      <c r="J61" s="560" t="str" cm="1">
        <f t="array" ref="J61">IF(ISBLANK(I61), IF(ISBLANK(H61), "N/A", _xlfn.IFS(K61="AS", H61+15, K61="NCR", H61+30, K61="submitted", H61+30, TRUE, "N/A")), _xlfn.IFS(K61="AS", I61+15, K61="NCR", I61+30, K61="submitted", I61+30, TRUE, "N/A"))</f>
        <v>N/A</v>
      </c>
      <c r="K61" s="25"/>
      <c r="L61" s="318"/>
      <c r="M61" s="772"/>
      <c r="N61" s="773"/>
      <c r="O61" s="773"/>
      <c r="P61" s="774"/>
    </row>
    <row r="62" spans="1:16" s="26" customFormat="1" ht="27">
      <c r="A62" s="22"/>
      <c r="B62" s="311" t="s">
        <v>360</v>
      </c>
      <c r="C62" s="23" t="s">
        <v>361</v>
      </c>
      <c r="D62" s="28" t="s">
        <v>158</v>
      </c>
      <c r="F62" s="22" t="s">
        <v>368</v>
      </c>
      <c r="G62" s="28" t="s">
        <v>369</v>
      </c>
      <c r="H62" s="22"/>
      <c r="I62" s="22"/>
      <c r="J62" s="560" t="str" cm="1">
        <f t="array" ref="J62">IF(ISBLANK(I62), IF(ISBLANK(H62), "N/A", _xlfn.IFS(K62="AS", H62+15, K62="NCR", H62+30, K62="submitted", H62+30, TRUE, "N/A")), _xlfn.IFS(K62="AS", I62+15, K62="NCR", I62+30, K62="submitted", I62+30, TRUE, "N/A"))</f>
        <v>N/A</v>
      </c>
      <c r="K62" s="25"/>
      <c r="L62" s="318"/>
      <c r="M62" s="772"/>
      <c r="N62" s="773"/>
      <c r="O62" s="773"/>
      <c r="P62" s="774"/>
    </row>
    <row r="63" spans="1:16" s="26" customFormat="1" ht="27">
      <c r="A63" s="22"/>
      <c r="B63" s="311" t="s">
        <v>360</v>
      </c>
      <c r="C63" s="23" t="s">
        <v>361</v>
      </c>
      <c r="D63" s="28" t="s">
        <v>158</v>
      </c>
      <c r="F63" s="22" t="s">
        <v>370</v>
      </c>
      <c r="G63" s="28" t="s">
        <v>371</v>
      </c>
      <c r="H63" s="22"/>
      <c r="I63" s="22"/>
      <c r="J63" s="560" t="str" cm="1">
        <f t="array" ref="J63">IF(ISBLANK(I63), IF(ISBLANK(H63), "N/A", _xlfn.IFS(K63="AS", H63+15, K63="NCR", H63+30, K63="submitted", H63+30, TRUE, "N/A")), _xlfn.IFS(K63="AS", I63+15, K63="NCR", I63+30, K63="submitted", I63+30, TRUE, "N/A"))</f>
        <v>N/A</v>
      </c>
      <c r="K63" s="25"/>
      <c r="L63" s="318"/>
      <c r="M63" s="772"/>
      <c r="N63" s="773"/>
      <c r="O63" s="773"/>
      <c r="P63" s="774"/>
    </row>
    <row r="64" spans="1:16" s="26" customFormat="1" ht="27">
      <c r="A64" s="22"/>
      <c r="B64" s="311" t="s">
        <v>360</v>
      </c>
      <c r="C64" s="23" t="s">
        <v>361</v>
      </c>
      <c r="D64" s="28"/>
      <c r="F64" s="22" t="s">
        <v>344</v>
      </c>
      <c r="G64" s="24" t="s">
        <v>372</v>
      </c>
      <c r="H64" s="22"/>
      <c r="I64" s="22"/>
      <c r="J64" s="560" t="str" cm="1">
        <f t="array" ref="J64">IF(ISBLANK(I64), IF(ISBLANK(H64), "N/A", _xlfn.IFS(K64="AS", H64+15, K64="NCR", H64+30, K64="submitted", H64+30, TRUE, "N/A")), _xlfn.IFS(K64="AS", I64+15, K64="NCR", I64+30, K64="submitted", I64+30, TRUE, "N/A"))</f>
        <v>N/A</v>
      </c>
      <c r="K64" s="25"/>
      <c r="L64" s="318"/>
      <c r="M64" s="772"/>
      <c r="N64" s="773"/>
      <c r="O64" s="773"/>
      <c r="P64" s="774"/>
    </row>
    <row r="65" spans="1:16" s="26" customFormat="1" ht="27">
      <c r="A65" s="22"/>
      <c r="B65" s="311" t="s">
        <v>360</v>
      </c>
      <c r="C65" s="23" t="s">
        <v>361</v>
      </c>
      <c r="D65" s="28" t="s">
        <v>373</v>
      </c>
      <c r="F65" s="22" t="s">
        <v>374</v>
      </c>
      <c r="G65" s="28" t="s">
        <v>375</v>
      </c>
      <c r="H65" s="22"/>
      <c r="I65" s="22"/>
      <c r="J65" s="560" t="str" cm="1">
        <f t="array" ref="J65">IF(ISBLANK(I65), IF(ISBLANK(H65), "N/A", _xlfn.IFS(K65="AS", H65+15, K65="NCR", H65+30, K65="submitted", H65+30, TRUE, "N/A")), _xlfn.IFS(K65="AS", I65+15, K65="NCR", I65+30, K65="submitted", I65+30, TRUE, "N/A"))</f>
        <v>N/A</v>
      </c>
      <c r="K65" s="25"/>
      <c r="L65" s="318"/>
      <c r="M65" s="772"/>
      <c r="N65" s="773"/>
      <c r="O65" s="773"/>
      <c r="P65" s="774"/>
    </row>
    <row r="66" spans="1:16" s="26" customFormat="1" ht="27">
      <c r="A66" s="22"/>
      <c r="B66" s="311" t="s">
        <v>360</v>
      </c>
      <c r="C66" s="23" t="s">
        <v>361</v>
      </c>
      <c r="D66" s="28" t="s">
        <v>373</v>
      </c>
      <c r="F66" s="22" t="s">
        <v>376</v>
      </c>
      <c r="G66" s="28" t="s">
        <v>377</v>
      </c>
      <c r="H66" s="22"/>
      <c r="I66" s="22"/>
      <c r="J66" s="560" t="str" cm="1">
        <f t="array" ref="J66">IF(ISBLANK(I66), IF(ISBLANK(H66), "N/A", _xlfn.IFS(K66="AS", H66+15, K66="NCR", H66+30, K66="submitted", H66+30, TRUE, "N/A")), _xlfn.IFS(K66="AS", I66+15, K66="NCR", I66+30, K66="submitted", I66+30, TRUE, "N/A"))</f>
        <v>N/A</v>
      </c>
      <c r="K66" s="25"/>
      <c r="L66" s="318"/>
      <c r="M66" s="772"/>
      <c r="N66" s="773"/>
      <c r="O66" s="773"/>
      <c r="P66" s="774"/>
    </row>
    <row r="67" spans="1:16" s="26" customFormat="1" ht="27">
      <c r="A67" s="22"/>
      <c r="B67" s="311" t="s">
        <v>360</v>
      </c>
      <c r="C67" s="23" t="s">
        <v>361</v>
      </c>
      <c r="D67" s="28"/>
      <c r="F67" s="22" t="s">
        <v>348</v>
      </c>
      <c r="G67" s="24" t="s">
        <v>333</v>
      </c>
      <c r="H67" s="22"/>
      <c r="I67" s="22"/>
      <c r="J67" s="560" t="str" cm="1">
        <f t="array" ref="J67">IF(ISBLANK(I67), IF(ISBLANK(H67), "N/A", _xlfn.IFS(K67="AS", H67+15, K67="NCR", H67+30, K67="submitted", H67+30, TRUE, "N/A")), _xlfn.IFS(K67="AS", I67+15, K67="NCR", I67+30, K67="submitted", I67+30, TRUE, "N/A"))</f>
        <v>N/A</v>
      </c>
      <c r="K67" s="25"/>
      <c r="L67" s="318"/>
      <c r="M67" s="772"/>
      <c r="N67" s="773"/>
      <c r="O67" s="773"/>
      <c r="P67" s="774"/>
    </row>
    <row r="68" spans="1:16" s="26" customFormat="1" ht="27">
      <c r="A68" s="22"/>
      <c r="B68" s="311" t="s">
        <v>360</v>
      </c>
      <c r="C68" s="23" t="s">
        <v>361</v>
      </c>
      <c r="D68" s="28"/>
      <c r="F68" s="22" t="s">
        <v>350</v>
      </c>
      <c r="G68" s="28" t="s">
        <v>378</v>
      </c>
      <c r="H68" s="22"/>
      <c r="I68" s="22"/>
      <c r="J68" s="560" t="str" cm="1">
        <f t="array" ref="J68">IF(ISBLANK(I68), IF(ISBLANK(H68), "N/A", _xlfn.IFS(K68="AS", H68+15, K68="NCR", H68+30, K68="submitted", H68+30, TRUE, "N/A")), _xlfn.IFS(K68="AS", I68+15, K68="NCR", I68+30, K68="submitted", I68+30, TRUE, "N/A"))</f>
        <v>N/A</v>
      </c>
      <c r="K68" s="25"/>
      <c r="L68" s="318"/>
      <c r="M68" s="772"/>
      <c r="N68" s="773"/>
      <c r="O68" s="773"/>
      <c r="P68" s="774"/>
    </row>
    <row r="69" spans="1:16" s="26" customFormat="1" ht="27">
      <c r="A69" s="22"/>
      <c r="B69" s="311" t="s">
        <v>379</v>
      </c>
      <c r="C69" s="76" t="s">
        <v>380</v>
      </c>
      <c r="D69" s="76"/>
      <c r="E69" s="26" t="s">
        <v>362</v>
      </c>
      <c r="F69" s="22" t="s">
        <v>205</v>
      </c>
      <c r="G69" s="28" t="s">
        <v>363</v>
      </c>
      <c r="H69" s="22"/>
      <c r="I69" s="22"/>
      <c r="J69" s="560" t="str" cm="1">
        <f t="array" ref="J69">IF(ISBLANK(I69), IF(ISBLANK(H69), "N/A", _xlfn.IFS(K69="AS", H69+15, K69="NCR", H69+30, K69="submitted", H69+30, TRUE, "N/A")), _xlfn.IFS(K69="AS", I69+15, K69="NCR", I69+30, K69="submitted", I69+30, TRUE, "N/A"))</f>
        <v>N/A</v>
      </c>
      <c r="K69" s="25"/>
      <c r="L69" s="318"/>
      <c r="M69" s="772"/>
      <c r="N69" s="773"/>
      <c r="O69" s="773"/>
      <c r="P69" s="774"/>
    </row>
    <row r="70" spans="1:16" s="26" customFormat="1">
      <c r="A70" s="22"/>
      <c r="B70" s="96"/>
      <c r="C70" s="27"/>
      <c r="D70" s="27"/>
      <c r="F70" s="22" t="s">
        <v>275</v>
      </c>
      <c r="G70" s="28" t="s">
        <v>229</v>
      </c>
      <c r="H70" s="22"/>
      <c r="I70" s="22"/>
      <c r="J70" s="560" t="str" cm="1">
        <f t="array" ref="J70">IF(ISBLANK(I70), IF(ISBLANK(H70), "N/A", _xlfn.IFS(K70="AS", H70+15, K70="NCR", H70+30, K70="submitted", H70+30, TRUE, "N/A")), _xlfn.IFS(K70="AS", I70+15, K70="NCR", I70+30, K70="submitted", I70+30, TRUE, "N/A"))</f>
        <v>N/A</v>
      </c>
      <c r="K70" s="25"/>
      <c r="L70" s="318"/>
      <c r="M70" s="772"/>
      <c r="N70" s="773"/>
      <c r="O70" s="773"/>
      <c r="P70" s="774"/>
    </row>
    <row r="71" spans="1:16" s="26" customFormat="1">
      <c r="A71" s="22"/>
      <c r="B71" s="370"/>
      <c r="C71" s="29"/>
      <c r="D71" s="29"/>
      <c r="F71" s="22" t="s">
        <v>263</v>
      </c>
      <c r="G71" s="28" t="s">
        <v>276</v>
      </c>
      <c r="H71" s="22"/>
      <c r="I71" s="22"/>
      <c r="J71" s="560" t="str" cm="1">
        <f t="array" ref="J71">IF(ISBLANK(I71), IF(ISBLANK(H71), "N/A", _xlfn.IFS(K71="AS", H71+15, K71="NCR", H71+30, K71="submitted", H71+30, TRUE, "N/A")), _xlfn.IFS(K71="AS", I71+15, K71="NCR", I71+30, K71="submitted", I71+30, TRUE, "N/A"))</f>
        <v>N/A</v>
      </c>
      <c r="K71" s="25"/>
      <c r="L71" s="318"/>
      <c r="M71" s="772"/>
      <c r="N71" s="773"/>
      <c r="O71" s="773"/>
      <c r="P71" s="774"/>
    </row>
    <row r="72" spans="1:16" s="1" customFormat="1">
      <c r="A72" s="9"/>
      <c r="B72" s="32" t="s">
        <v>381</v>
      </c>
      <c r="C72" s="37" t="s">
        <v>382</v>
      </c>
      <c r="D72" s="37"/>
      <c r="F72" s="9" t="s">
        <v>383</v>
      </c>
      <c r="G72" s="13" t="s">
        <v>384</v>
      </c>
      <c r="H72" s="9"/>
      <c r="I72" s="9"/>
      <c r="J72" s="560" t="str" cm="1">
        <f t="array" ref="J72">IF(ISBLANK(I72), IF(ISBLANK(H72), "N/A", _xlfn.IFS(K72="AS", H72+15, K72="NCR", H72+30, K72="submitted", H72+30, TRUE, "N/A")), _xlfn.IFS(K72="AS", I72+15, K72="NCR", I72+30, K72="submitted", I72+30, TRUE, "N/A"))</f>
        <v>N/A</v>
      </c>
      <c r="K72" s="14"/>
      <c r="L72" s="318"/>
      <c r="M72" s="772"/>
      <c r="N72" s="773"/>
      <c r="O72" s="773"/>
      <c r="P72" s="774"/>
    </row>
    <row r="73" spans="1:16" s="1" customFormat="1">
      <c r="A73" s="9"/>
      <c r="B73" s="97"/>
      <c r="C73" s="46"/>
      <c r="D73" s="46"/>
      <c r="F73" s="9" t="s">
        <v>385</v>
      </c>
      <c r="G73" s="13" t="s">
        <v>386</v>
      </c>
      <c r="H73" s="9"/>
      <c r="I73" s="9"/>
      <c r="J73" s="560" t="str" cm="1">
        <f t="array" ref="J73">IF(ISBLANK(I73), IF(ISBLANK(H73), "N/A", _xlfn.IFS(K73="AS", H73+15, K73="NCR", H73+30, K73="submitted", H73+30, TRUE, "N/A")), _xlfn.IFS(K73="AS", I73+15, K73="NCR", I73+30, K73="submitted", I73+30, TRUE, "N/A"))</f>
        <v>N/A</v>
      </c>
      <c r="K73" s="14"/>
      <c r="L73" s="318"/>
      <c r="M73" s="772"/>
      <c r="N73" s="773"/>
      <c r="O73" s="773"/>
      <c r="P73" s="774"/>
    </row>
    <row r="74" spans="1:16" s="5" customFormat="1" ht="40.5">
      <c r="A74" s="4"/>
      <c r="B74" s="86" t="s">
        <v>387</v>
      </c>
      <c r="C74" s="34" t="s">
        <v>388</v>
      </c>
      <c r="D74" s="34"/>
      <c r="F74" s="4" t="s">
        <v>205</v>
      </c>
      <c r="G74" s="3" t="s">
        <v>389</v>
      </c>
      <c r="H74" s="4"/>
      <c r="I74" s="4"/>
      <c r="J74" s="560" t="str" cm="1">
        <f t="array" ref="J74">IF(ISBLANK(I74), IF(ISBLANK(H74), "N/A", _xlfn.IFS(K74="AS", H74+15, K74="NCR", H74+30, K74="submitted", H74+30, TRUE, "N/A")), _xlfn.IFS(K74="AS", I74+15, K74="NCR", I74+30, K74="submitted", I74+30, TRUE, "N/A"))</f>
        <v>N/A</v>
      </c>
      <c r="K74" s="18"/>
      <c r="L74" s="318"/>
      <c r="M74" s="772"/>
      <c r="N74" s="773"/>
      <c r="O74" s="773"/>
      <c r="P74" s="774"/>
    </row>
    <row r="75" spans="1:16" s="5" customFormat="1" ht="27">
      <c r="A75" s="4"/>
      <c r="B75" s="95"/>
      <c r="C75" s="36"/>
      <c r="D75" s="36"/>
      <c r="F75" s="4" t="s">
        <v>275</v>
      </c>
      <c r="G75" s="3" t="s">
        <v>390</v>
      </c>
      <c r="H75" s="4"/>
      <c r="I75" s="4"/>
      <c r="J75" s="560" t="str" cm="1">
        <f t="array" ref="J75">IF(ISBLANK(I75), IF(ISBLANK(H75), "N/A", _xlfn.IFS(K75="AS", H75+15, K75="NCR", H75+30, K75="submitted", H75+30, TRUE, "N/A")), _xlfn.IFS(K75="AS", I75+15, K75="NCR", I75+30, K75="submitted", I75+30, TRUE, "N/A"))</f>
        <v>N/A</v>
      </c>
      <c r="K75" s="18"/>
      <c r="L75" s="318"/>
      <c r="M75" s="772"/>
      <c r="N75" s="773"/>
      <c r="O75" s="773"/>
      <c r="P75" s="774"/>
    </row>
    <row r="76" spans="1:16" s="1" customFormat="1">
      <c r="A76" s="9"/>
      <c r="B76" s="11" t="s">
        <v>391</v>
      </c>
      <c r="C76" s="13" t="s">
        <v>392</v>
      </c>
      <c r="D76" s="13"/>
      <c r="F76" s="9" t="s">
        <v>205</v>
      </c>
      <c r="G76" s="13" t="s">
        <v>276</v>
      </c>
      <c r="H76" s="9"/>
      <c r="I76" s="9"/>
      <c r="J76" s="560" t="str" cm="1">
        <f t="array" ref="J76">IF(ISBLANK(I76), IF(ISBLANK(H76), "N/A", _xlfn.IFS(K76="AS", H76+15, K76="NCR", H76+30, K76="submitted", H76+30, TRUE, "N/A")), _xlfn.IFS(K76="AS", I76+15, K76="NCR", I76+30, K76="submitted", I76+30, TRUE, "N/A"))</f>
        <v>N/A</v>
      </c>
      <c r="K76" s="14"/>
      <c r="L76" s="318"/>
      <c r="M76" s="772"/>
      <c r="N76" s="773"/>
      <c r="O76" s="773"/>
      <c r="P76" s="774"/>
    </row>
    <row r="77" spans="1:16" s="5" customFormat="1" ht="27">
      <c r="A77" s="4"/>
      <c r="B77" s="86" t="s">
        <v>393</v>
      </c>
      <c r="C77" s="34" t="s">
        <v>394</v>
      </c>
      <c r="D77" s="34"/>
      <c r="F77" s="4" t="s">
        <v>328</v>
      </c>
      <c r="G77" s="3" t="s">
        <v>395</v>
      </c>
      <c r="H77" s="4"/>
      <c r="I77" s="4"/>
      <c r="J77" s="560" t="str" cm="1">
        <f t="array" ref="J77">IF(ISBLANK(I77), IF(ISBLANK(H77), "N/A", _xlfn.IFS(K77="AS", H77+15, K77="NCR", H77+30, K77="submitted", H77+30, TRUE, "N/A")), _xlfn.IFS(K77="AS", I77+15, K77="NCR", I77+30, K77="submitted", I77+30, TRUE, "N/A"))</f>
        <v>N/A</v>
      </c>
      <c r="K77" s="18"/>
      <c r="L77" s="318"/>
      <c r="M77" s="772"/>
      <c r="N77" s="773"/>
      <c r="O77" s="773"/>
      <c r="P77" s="774"/>
    </row>
    <row r="78" spans="1:16" s="5" customFormat="1">
      <c r="A78" s="19"/>
      <c r="B78" s="111"/>
      <c r="C78" s="35"/>
      <c r="D78" s="35"/>
      <c r="F78" s="19" t="s">
        <v>329</v>
      </c>
      <c r="G78" s="34" t="s">
        <v>229</v>
      </c>
      <c r="H78" s="19"/>
      <c r="I78" s="19"/>
      <c r="J78" s="560" t="str" cm="1">
        <f t="array" ref="J78">IF(ISBLANK(I78), IF(ISBLANK(H78), "N/A", _xlfn.IFS(K78="AS", H78+15, K78="NCR", H78+30, K78="submitted", H78+30, TRUE, "N/A")), _xlfn.IFS(K78="AS", I78+15, K78="NCR", I78+30, K78="submitted", I78+30, TRUE, "N/A"))</f>
        <v>N/A</v>
      </c>
      <c r="K78" s="30"/>
      <c r="L78" s="318"/>
      <c r="M78" s="772"/>
      <c r="N78" s="773"/>
      <c r="O78" s="773"/>
      <c r="P78" s="774"/>
    </row>
    <row r="79" spans="1:16" s="5" customFormat="1">
      <c r="A79" s="19"/>
      <c r="B79" s="111"/>
      <c r="C79" s="35"/>
      <c r="D79" s="35"/>
      <c r="F79" s="19" t="s">
        <v>396</v>
      </c>
      <c r="G79" s="34" t="s">
        <v>276</v>
      </c>
      <c r="H79" s="19"/>
      <c r="I79" s="19"/>
      <c r="J79" s="560" t="str" cm="1">
        <f t="array" ref="J79">IF(ISBLANK(I79), IF(ISBLANK(H79), "N/A", _xlfn.IFS(K79="AS", H79+15, K79="NCR", H79+30, K79="submitted", H79+30, TRUE, "N/A")), _xlfn.IFS(K79="AS", I79+15, K79="NCR", I79+30, K79="submitted", I79+30, TRUE, "N/A"))</f>
        <v>N/A</v>
      </c>
      <c r="K79" s="30"/>
      <c r="L79" s="318"/>
      <c r="M79" s="772"/>
      <c r="N79" s="773"/>
      <c r="O79" s="773"/>
      <c r="P79" s="774"/>
    </row>
    <row r="80" spans="1:16" s="5" customFormat="1">
      <c r="A80" s="19"/>
      <c r="B80" s="111"/>
      <c r="C80" s="35"/>
      <c r="D80" s="35"/>
      <c r="F80" s="19" t="s">
        <v>397</v>
      </c>
      <c r="G80" s="34" t="s">
        <v>345</v>
      </c>
      <c r="H80" s="19"/>
      <c r="I80" s="19"/>
      <c r="J80" s="560" t="str" cm="1">
        <f t="array" ref="J80">IF(ISBLANK(I80), IF(ISBLANK(H80), "N/A", _xlfn.IFS(K80="AS", H80+15, K80="NCR", H80+30, K80="submitted", H80+30, TRUE, "N/A")), _xlfn.IFS(K80="AS", I80+15, K80="NCR", I80+30, K80="submitted", I80+30, TRUE, "N/A"))</f>
        <v>N/A</v>
      </c>
      <c r="K80" s="30"/>
      <c r="L80" s="318"/>
      <c r="M80" s="772"/>
      <c r="N80" s="773"/>
      <c r="O80" s="773"/>
      <c r="P80" s="774"/>
    </row>
    <row r="81" spans="1:16" s="5" customFormat="1" ht="40.5">
      <c r="A81" s="19"/>
      <c r="B81" s="111"/>
      <c r="C81" s="35"/>
      <c r="D81" s="35"/>
      <c r="F81" s="19" t="s">
        <v>398</v>
      </c>
      <c r="G81" s="53" t="s">
        <v>399</v>
      </c>
      <c r="H81" s="19"/>
      <c r="I81" s="19"/>
      <c r="J81" s="560" t="str" cm="1">
        <f t="array" ref="J81">IF(ISBLANK(I81), IF(ISBLANK(H81), "N/A", _xlfn.IFS(K81="AS", H81+15, K81="NCR", H81+30, K81="submitted", H81+30, TRUE, "N/A")), _xlfn.IFS(K81="AS", I81+15, K81="NCR", I81+30, K81="submitted", I81+30, TRUE, "N/A"))</f>
        <v>N/A</v>
      </c>
      <c r="K81" s="30"/>
      <c r="L81" s="318"/>
      <c r="M81" s="772"/>
      <c r="N81" s="773"/>
      <c r="O81" s="773"/>
      <c r="P81" s="774"/>
    </row>
    <row r="82" spans="1:16" s="5" customFormat="1" ht="27">
      <c r="A82" s="19"/>
      <c r="B82" s="111"/>
      <c r="C82" s="35"/>
      <c r="D82" s="35"/>
      <c r="F82" s="19" t="s">
        <v>400</v>
      </c>
      <c r="G82" s="53" t="s">
        <v>401</v>
      </c>
      <c r="H82" s="19"/>
      <c r="I82" s="19"/>
      <c r="J82" s="560" t="str" cm="1">
        <f t="array" ref="J82">IF(ISBLANK(I82), IF(ISBLANK(H82), "N/A", _xlfn.IFS(K82="AS", H82+15, K82="NCR", H82+30, K82="submitted", H82+30, TRUE, "N/A")), _xlfn.IFS(K82="AS", I82+15, K82="NCR", I82+30, K82="submitted", I82+30, TRUE, "N/A"))</f>
        <v>N/A</v>
      </c>
      <c r="K82" s="30"/>
      <c r="L82" s="318"/>
      <c r="M82" s="772"/>
      <c r="N82" s="773"/>
      <c r="O82" s="773"/>
      <c r="P82" s="774"/>
    </row>
    <row r="83" spans="1:16" s="5" customFormat="1" ht="27">
      <c r="A83" s="19"/>
      <c r="B83" s="111"/>
      <c r="C83" s="35"/>
      <c r="D83" s="35"/>
      <c r="F83" s="19" t="s">
        <v>402</v>
      </c>
      <c r="G83" s="53" t="s">
        <v>403</v>
      </c>
      <c r="H83" s="19"/>
      <c r="I83" s="19"/>
      <c r="J83" s="560" t="str" cm="1">
        <f t="array" ref="J83">IF(ISBLANK(I83), IF(ISBLANK(H83), "N/A", _xlfn.IFS(K83="AS", H83+15, K83="NCR", H83+30, K83="submitted", H83+30, TRUE, "N/A")), _xlfn.IFS(K83="AS", I83+15, K83="NCR", I83+30, K83="submitted", I83+30, TRUE, "N/A"))</f>
        <v>N/A</v>
      </c>
      <c r="K83" s="30"/>
      <c r="L83" s="318"/>
      <c r="M83" s="772"/>
      <c r="N83" s="773"/>
      <c r="O83" s="773"/>
      <c r="P83" s="774"/>
    </row>
    <row r="84" spans="1:16" s="5" customFormat="1" ht="27">
      <c r="A84" s="19"/>
      <c r="B84" s="111"/>
      <c r="C84" s="35"/>
      <c r="D84" s="35"/>
      <c r="F84" s="19" t="s">
        <v>404</v>
      </c>
      <c r="G84" s="53" t="s">
        <v>405</v>
      </c>
      <c r="H84" s="19"/>
      <c r="I84" s="19"/>
      <c r="J84" s="560" t="str" cm="1">
        <f t="array" ref="J84">IF(ISBLANK(I84), IF(ISBLANK(H84), "N/A", _xlfn.IFS(K84="AS", H84+15, K84="NCR", H84+30, K84="submitted", H84+30, TRUE, "N/A")), _xlfn.IFS(K84="AS", I84+15, K84="NCR", I84+30, K84="submitted", I84+30, TRUE, "N/A"))</f>
        <v>N/A</v>
      </c>
      <c r="K84" s="30"/>
      <c r="L84" s="318"/>
      <c r="M84" s="772"/>
      <c r="N84" s="773"/>
      <c r="O84" s="773"/>
      <c r="P84" s="774"/>
    </row>
    <row r="85" spans="1:16" s="5" customFormat="1" ht="27">
      <c r="A85" s="19"/>
      <c r="B85" s="95"/>
      <c r="C85" s="36"/>
      <c r="D85" s="35"/>
      <c r="F85" s="19" t="s">
        <v>406</v>
      </c>
      <c r="G85" s="53" t="s">
        <v>407</v>
      </c>
      <c r="H85" s="19"/>
      <c r="I85" s="19"/>
      <c r="J85" s="560" t="str" cm="1">
        <f t="array" ref="J85">IF(ISBLANK(I85), IF(ISBLANK(H85), "N/A", _xlfn.IFS(K85="AS", H85+15, K85="NCR", H85+30, K85="submitted", H85+30, TRUE, "N/A")), _xlfn.IFS(K85="AS", I85+15, K85="NCR", I85+30, K85="submitted", I85+30, TRUE, "N/A"))</f>
        <v>N/A</v>
      </c>
      <c r="K85" s="30"/>
      <c r="L85" s="318"/>
      <c r="M85" s="772"/>
      <c r="N85" s="773"/>
      <c r="O85" s="773"/>
      <c r="P85" s="774"/>
    </row>
    <row r="86" spans="1:16" s="1" customFormat="1">
      <c r="A86" s="38"/>
      <c r="B86" s="32" t="s">
        <v>408</v>
      </c>
      <c r="C86" s="37" t="s">
        <v>409</v>
      </c>
      <c r="D86" s="37"/>
      <c r="F86" s="38" t="s">
        <v>328</v>
      </c>
      <c r="G86" s="40" t="s">
        <v>229</v>
      </c>
      <c r="H86" s="38"/>
      <c r="I86" s="38"/>
      <c r="J86" s="560" t="str" cm="1">
        <f t="array" ref="J86">IF(ISBLANK(I86), IF(ISBLANK(H86), "N/A", _xlfn.IFS(K86="AS", H86+15, K86="NCR", H86+30, K86="submitted", H86+30, TRUE, "N/A")), _xlfn.IFS(K86="AS", I86+15, K86="NCR", I86+30, K86="submitted", I86+30, TRUE, "N/A"))</f>
        <v>N/A</v>
      </c>
      <c r="K86" s="41"/>
      <c r="L86" s="318"/>
      <c r="M86" s="772"/>
      <c r="N86" s="773"/>
      <c r="O86" s="773"/>
      <c r="P86" s="774"/>
    </row>
    <row r="87" spans="1:16" s="1" customFormat="1" ht="15.75" customHeight="1">
      <c r="A87" s="38"/>
      <c r="B87" s="33"/>
      <c r="C87" s="39"/>
      <c r="D87" s="39"/>
      <c r="F87" s="38" t="s">
        <v>234</v>
      </c>
      <c r="G87" s="40" t="s">
        <v>410</v>
      </c>
      <c r="H87" s="38"/>
      <c r="I87" s="38"/>
      <c r="J87" s="560" t="str" cm="1">
        <f t="array" ref="J87">IF(ISBLANK(I87), IF(ISBLANK(H87), "N/A", _xlfn.IFS(K87="AS", H87+15, K87="NCR", H87+30, K87="submitted", H87+30, TRUE, "N/A")), _xlfn.IFS(K87="AS", I87+15, K87="NCR", I87+30, K87="submitted", I87+30, TRUE, "N/A"))</f>
        <v>N/A</v>
      </c>
      <c r="K87" s="41"/>
      <c r="L87" s="318"/>
      <c r="M87" s="772"/>
      <c r="N87" s="773"/>
      <c r="O87" s="773"/>
      <c r="P87" s="774"/>
    </row>
    <row r="88" spans="1:16" s="1" customFormat="1" ht="15" customHeight="1">
      <c r="A88" s="38"/>
      <c r="B88" s="33"/>
      <c r="C88" s="39"/>
      <c r="D88" s="39"/>
      <c r="F88" s="38" t="s">
        <v>236</v>
      </c>
      <c r="G88" s="40" t="s">
        <v>411</v>
      </c>
      <c r="H88" s="38"/>
      <c r="I88" s="38"/>
      <c r="J88" s="560" t="str" cm="1">
        <f t="array" ref="J88">IF(ISBLANK(I88), IF(ISBLANK(H88), "N/A", _xlfn.IFS(K88="AS", H88+15, K88="NCR", H88+30, K88="submitted", H88+30, TRUE, "N/A")), _xlfn.IFS(K88="AS", I88+15, K88="NCR", I88+30, K88="submitted", I88+30, TRUE, "N/A"))</f>
        <v>N/A</v>
      </c>
      <c r="K88" s="41"/>
      <c r="L88" s="318"/>
      <c r="M88" s="772"/>
      <c r="N88" s="773"/>
      <c r="O88" s="773"/>
      <c r="P88" s="774"/>
    </row>
    <row r="89" spans="1:16" s="1" customFormat="1" ht="15" customHeight="1">
      <c r="A89" s="38"/>
      <c r="B89" s="33"/>
      <c r="C89" s="39"/>
      <c r="D89" s="39"/>
      <c r="F89" s="38" t="s">
        <v>396</v>
      </c>
      <c r="G89" s="40" t="s">
        <v>412</v>
      </c>
      <c r="H89" s="38"/>
      <c r="I89" s="38"/>
      <c r="J89" s="560" t="str" cm="1">
        <f t="array" ref="J89">IF(ISBLANK(I89), IF(ISBLANK(H89), "N/A", _xlfn.IFS(K89="AS", H89+15, K89="NCR", H89+30, K89="submitted", H89+30, TRUE, "N/A")), _xlfn.IFS(K89="AS", I89+15, K89="NCR", I89+30, K89="submitted", I89+30, TRUE, "N/A"))</f>
        <v>N/A</v>
      </c>
      <c r="K89" s="41"/>
      <c r="L89" s="318"/>
      <c r="M89" s="772"/>
      <c r="N89" s="773"/>
      <c r="O89" s="773"/>
      <c r="P89" s="774"/>
    </row>
    <row r="90" spans="1:16" s="1" customFormat="1" ht="15" customHeight="1">
      <c r="A90" s="38"/>
      <c r="B90" s="33"/>
      <c r="C90" s="39"/>
      <c r="D90" s="39"/>
      <c r="F90" s="38" t="s">
        <v>413</v>
      </c>
      <c r="G90" s="40" t="s">
        <v>414</v>
      </c>
      <c r="H90" s="38"/>
      <c r="I90" s="38"/>
      <c r="J90" s="560" t="str" cm="1">
        <f t="array" ref="J90">IF(ISBLANK(I90), IF(ISBLANK(H90), "N/A", _xlfn.IFS(K90="AS", H90+15, K90="NCR", H90+30, K90="submitted", H90+30, TRUE, "N/A")), _xlfn.IFS(K90="AS", I90+15, K90="NCR", I90+30, K90="submitted", I90+30, TRUE, "N/A"))</f>
        <v>N/A</v>
      </c>
      <c r="K90" s="41"/>
      <c r="L90" s="318"/>
      <c r="M90" s="772"/>
      <c r="N90" s="773"/>
      <c r="O90" s="773"/>
      <c r="P90" s="774"/>
    </row>
    <row r="91" spans="1:16" s="1" customFormat="1" ht="15" customHeight="1">
      <c r="A91" s="38"/>
      <c r="B91" s="33"/>
      <c r="C91" s="39"/>
      <c r="D91" s="39"/>
      <c r="F91" s="38" t="s">
        <v>415</v>
      </c>
      <c r="G91" s="40" t="s">
        <v>416</v>
      </c>
      <c r="H91" s="38"/>
      <c r="I91" s="38"/>
      <c r="J91" s="560" t="str" cm="1">
        <f t="array" ref="J91">IF(ISBLANK(I91), IF(ISBLANK(H91), "N/A", _xlfn.IFS(K91="AS", H91+15, K91="NCR", H91+30, K91="submitted", H91+30, TRUE, "N/A")), _xlfn.IFS(K91="AS", I91+15, K91="NCR", I91+30, K91="submitted", I91+30, TRUE, "N/A"))</f>
        <v>N/A</v>
      </c>
      <c r="K91" s="41"/>
      <c r="L91" s="318"/>
      <c r="M91" s="772"/>
      <c r="N91" s="773"/>
      <c r="O91" s="773"/>
      <c r="P91" s="774"/>
    </row>
    <row r="92" spans="1:16" s="1" customFormat="1" ht="15" customHeight="1">
      <c r="A92" s="38"/>
      <c r="B92" s="33"/>
      <c r="C92" s="39"/>
      <c r="D92" s="39"/>
      <c r="F92" s="38" t="s">
        <v>417</v>
      </c>
      <c r="G92" s="40" t="s">
        <v>418</v>
      </c>
      <c r="H92" s="38"/>
      <c r="I92" s="38"/>
      <c r="J92" s="560" t="str" cm="1">
        <f t="array" ref="J92">IF(ISBLANK(I92), IF(ISBLANK(H92), "N/A", _xlfn.IFS(K92="AS", H92+15, K92="NCR", H92+30, K92="submitted", H92+30, TRUE, "N/A")), _xlfn.IFS(K92="AS", I92+15, K92="NCR", I92+30, K92="submitted", I92+30, TRUE, "N/A"))</f>
        <v>N/A</v>
      </c>
      <c r="K92" s="41"/>
      <c r="L92" s="318"/>
      <c r="M92" s="772"/>
      <c r="N92" s="773"/>
      <c r="O92" s="773"/>
      <c r="P92" s="774"/>
    </row>
    <row r="93" spans="1:16" s="1" customFormat="1" ht="15" customHeight="1">
      <c r="A93" s="38"/>
      <c r="B93" s="33"/>
      <c r="C93" s="39"/>
      <c r="D93" s="39"/>
      <c r="F93" s="38" t="s">
        <v>419</v>
      </c>
      <c r="G93" s="40" t="s">
        <v>420</v>
      </c>
      <c r="H93" s="38"/>
      <c r="I93" s="38"/>
      <c r="J93" s="560" t="str" cm="1">
        <f t="array" ref="J93">IF(ISBLANK(I93), IF(ISBLANK(H93), "N/A", _xlfn.IFS(K93="AS", H93+15, K93="NCR", H93+30, K93="submitted", H93+30, TRUE, "N/A")), _xlfn.IFS(K93="AS", I93+15, K93="NCR", I93+30, K93="submitted", I93+30, TRUE, "N/A"))</f>
        <v>N/A</v>
      </c>
      <c r="K93" s="41"/>
      <c r="L93" s="318"/>
      <c r="M93" s="772"/>
      <c r="N93" s="773"/>
      <c r="O93" s="773"/>
      <c r="P93" s="774"/>
    </row>
    <row r="94" spans="1:16" s="1" customFormat="1" ht="15" customHeight="1">
      <c r="A94" s="38"/>
      <c r="B94" s="33"/>
      <c r="C94" s="39"/>
      <c r="D94" s="39"/>
      <c r="F94" s="38" t="s">
        <v>421</v>
      </c>
      <c r="G94" s="40" t="s">
        <v>422</v>
      </c>
      <c r="H94" s="38"/>
      <c r="I94" s="38"/>
      <c r="J94" s="560" t="str" cm="1">
        <f t="array" ref="J94">IF(ISBLANK(I94), IF(ISBLANK(H94), "N/A", _xlfn.IFS(K94="AS", H94+15, K94="NCR", H94+30, K94="submitted", H94+30, TRUE, "N/A")), _xlfn.IFS(K94="AS", I94+15, K94="NCR", I94+30, K94="submitted", I94+30, TRUE, "N/A"))</f>
        <v>N/A</v>
      </c>
      <c r="K94" s="41"/>
      <c r="L94" s="318"/>
      <c r="M94" s="772"/>
      <c r="N94" s="773"/>
      <c r="O94" s="773"/>
      <c r="P94" s="774"/>
    </row>
    <row r="95" spans="1:16" s="1" customFormat="1" ht="15" customHeight="1">
      <c r="A95" s="38"/>
      <c r="B95" s="33"/>
      <c r="C95" s="39"/>
      <c r="D95" s="39"/>
      <c r="F95" s="38" t="s">
        <v>423</v>
      </c>
      <c r="G95" s="40" t="s">
        <v>424</v>
      </c>
      <c r="H95" s="38"/>
      <c r="I95" s="38"/>
      <c r="J95" s="560" t="str" cm="1">
        <f t="array" ref="J95">IF(ISBLANK(I95), IF(ISBLANK(H95), "N/A", _xlfn.IFS(K95="AS", H95+15, K95="NCR", H95+30, K95="submitted", H95+30, TRUE, "N/A")), _xlfn.IFS(K95="AS", I95+15, K95="NCR", I95+30, K95="submitted", I95+30, TRUE, "N/A"))</f>
        <v>N/A</v>
      </c>
      <c r="K95" s="41"/>
      <c r="L95" s="318"/>
      <c r="M95" s="772"/>
      <c r="N95" s="773"/>
      <c r="O95" s="773"/>
      <c r="P95" s="774"/>
    </row>
    <row r="96" spans="1:16" s="94" customFormat="1" ht="27">
      <c r="A96" s="90"/>
      <c r="B96" s="373"/>
      <c r="C96" s="91"/>
      <c r="D96" s="39"/>
      <c r="F96" s="90" t="s">
        <v>338</v>
      </c>
      <c r="G96" s="92" t="s">
        <v>425</v>
      </c>
      <c r="H96" s="90"/>
      <c r="I96" s="90"/>
      <c r="J96" s="560" t="str" cm="1">
        <f t="array" ref="J96">IF(ISBLANK(I96), IF(ISBLANK(H96), "N/A", _xlfn.IFS(K96="AS", H96+15, K96="NCR", H96+30, K96="submitted", H96+30, TRUE, "N/A")), _xlfn.IFS(K96="AS", I96+15, K96="NCR", I96+30, K96="submitted", I96+30, TRUE, "N/A"))</f>
        <v>N/A</v>
      </c>
      <c r="K96" s="93"/>
      <c r="L96" s="318"/>
      <c r="M96" s="772"/>
      <c r="N96" s="773"/>
      <c r="O96" s="773"/>
      <c r="P96" s="774"/>
    </row>
    <row r="97" spans="1:16" s="5" customFormat="1">
      <c r="A97" s="73"/>
      <c r="B97" s="371" t="s">
        <v>426</v>
      </c>
      <c r="C97" s="372" t="s">
        <v>427</v>
      </c>
      <c r="D97" s="17"/>
      <c r="F97" s="73" t="s">
        <v>328</v>
      </c>
      <c r="G97" s="36" t="s">
        <v>428</v>
      </c>
      <c r="H97" s="73"/>
      <c r="I97" s="73"/>
      <c r="J97" s="560" t="str" cm="1">
        <f t="array" ref="J97">IF(ISBLANK(I97), IF(ISBLANK(H97), "N/A", _xlfn.IFS(K97="AS", H97+15, K97="NCR", H97+30, K97="submitted", H97+30, TRUE, "N/A")), _xlfn.IFS(K97="AS", I97+15, K97="NCR", I97+30, K97="submitted", I97+30, TRUE, "N/A"))</f>
        <v>N/A</v>
      </c>
      <c r="K97" s="74"/>
      <c r="L97" s="318"/>
      <c r="M97" s="772"/>
      <c r="N97" s="773"/>
      <c r="O97" s="773"/>
      <c r="P97" s="774"/>
    </row>
    <row r="98" spans="1:16" s="5" customFormat="1">
      <c r="A98" s="73"/>
      <c r="B98" s="111"/>
      <c r="C98" s="35"/>
      <c r="D98" s="17"/>
      <c r="F98" s="73" t="s">
        <v>329</v>
      </c>
      <c r="G98" s="36" t="s">
        <v>429</v>
      </c>
      <c r="H98" s="73"/>
      <c r="I98" s="73"/>
      <c r="J98" s="560" t="str" cm="1">
        <f t="array" ref="J98">IF(ISBLANK(I98), IF(ISBLANK(H98), "N/A", _xlfn.IFS(K98="AS", H98+15, K98="NCR", H98+30, K98="submitted", H98+30, TRUE, "N/A")), _xlfn.IFS(K98="AS", I98+15, K98="NCR", I98+30, K98="submitted", I98+30, TRUE, "N/A"))</f>
        <v>N/A</v>
      </c>
      <c r="K98" s="74"/>
      <c r="L98" s="318"/>
      <c r="M98" s="772"/>
      <c r="N98" s="773"/>
      <c r="O98" s="773"/>
      <c r="P98" s="774"/>
    </row>
    <row r="99" spans="1:16" s="5" customFormat="1">
      <c r="A99" s="73"/>
      <c r="B99" s="111"/>
      <c r="C99" s="35"/>
      <c r="D99" s="17"/>
      <c r="F99" s="73" t="s">
        <v>396</v>
      </c>
      <c r="G99" s="36" t="s">
        <v>320</v>
      </c>
      <c r="H99" s="73"/>
      <c r="I99" s="73"/>
      <c r="J99" s="560" t="str" cm="1">
        <f t="array" ref="J99">IF(ISBLANK(I99), IF(ISBLANK(H99), "N/A", _xlfn.IFS(K99="AS", H99+15, K99="NCR", H99+30, K99="submitted", H99+30, TRUE, "N/A")), _xlfn.IFS(K99="AS", I99+15, K99="NCR", I99+30, K99="submitted", I99+30, TRUE, "N/A"))</f>
        <v>N/A</v>
      </c>
      <c r="K99" s="74"/>
      <c r="L99" s="318"/>
      <c r="M99" s="772"/>
      <c r="N99" s="773"/>
      <c r="O99" s="773"/>
      <c r="P99" s="774"/>
    </row>
    <row r="100" spans="1:16" s="5" customFormat="1">
      <c r="A100" s="73"/>
      <c r="B100" s="111"/>
      <c r="C100" s="35"/>
      <c r="D100" s="17"/>
      <c r="F100" s="73" t="s">
        <v>397</v>
      </c>
      <c r="G100" s="36" t="s">
        <v>430</v>
      </c>
      <c r="H100" s="73"/>
      <c r="I100" s="73"/>
      <c r="J100" s="560" t="str" cm="1">
        <f t="array" ref="J100">IF(ISBLANK(I100), IF(ISBLANK(H100), "N/A", _xlfn.IFS(K100="AS", H100+15, K100="NCR", H100+30, K100="submitted", H100+30, TRUE, "N/A")), _xlfn.IFS(K100="AS", I100+15, K100="NCR", I100+30, K100="submitted", I100+30, TRUE, "N/A"))</f>
        <v>N/A</v>
      </c>
      <c r="K100" s="74"/>
      <c r="L100" s="318"/>
      <c r="M100" s="772"/>
      <c r="N100" s="773"/>
      <c r="O100" s="773"/>
      <c r="P100" s="774"/>
    </row>
    <row r="101" spans="1:16" s="5" customFormat="1">
      <c r="A101" s="73"/>
      <c r="B101" s="111"/>
      <c r="C101" s="35"/>
      <c r="D101" s="17"/>
      <c r="F101" s="73" t="s">
        <v>398</v>
      </c>
      <c r="G101" s="36" t="s">
        <v>431</v>
      </c>
      <c r="H101" s="73"/>
      <c r="I101" s="73"/>
      <c r="J101" s="560" t="str" cm="1">
        <f t="array" ref="J101">IF(ISBLANK(I101), IF(ISBLANK(H101), "N/A", _xlfn.IFS(K101="AS", H101+15, K101="NCR", H101+30, K101="submitted", H101+30, TRUE, "N/A")), _xlfn.IFS(K101="AS", I101+15, K101="NCR", I101+30, K101="submitted", I101+30, TRUE, "N/A"))</f>
        <v>N/A</v>
      </c>
      <c r="K101" s="74"/>
      <c r="L101" s="318"/>
      <c r="M101" s="772"/>
      <c r="N101" s="773"/>
      <c r="O101" s="773"/>
      <c r="P101" s="774"/>
    </row>
    <row r="102" spans="1:16" s="5" customFormat="1">
      <c r="A102" s="73"/>
      <c r="B102" s="111"/>
      <c r="C102" s="35"/>
      <c r="D102" s="17"/>
      <c r="F102" s="73" t="s">
        <v>400</v>
      </c>
      <c r="G102" s="36" t="s">
        <v>432</v>
      </c>
      <c r="H102" s="73"/>
      <c r="I102" s="73"/>
      <c r="J102" s="560" t="str" cm="1">
        <f t="array" ref="J102">IF(ISBLANK(I102), IF(ISBLANK(H102), "N/A", _xlfn.IFS(K102="AS", H102+15, K102="NCR", H102+30, K102="submitted", H102+30, TRUE, "N/A")), _xlfn.IFS(K102="AS", I102+15, K102="NCR", I102+30, K102="submitted", I102+30, TRUE, "N/A"))</f>
        <v>N/A</v>
      </c>
      <c r="K102" s="74"/>
      <c r="L102" s="318"/>
      <c r="M102" s="772"/>
      <c r="N102" s="773"/>
      <c r="O102" s="773"/>
      <c r="P102" s="774"/>
    </row>
    <row r="103" spans="1:16" s="5" customFormat="1" ht="27">
      <c r="A103" s="73"/>
      <c r="B103" s="111"/>
      <c r="C103" s="35"/>
      <c r="D103" s="17"/>
      <c r="F103" s="73" t="s">
        <v>433</v>
      </c>
      <c r="G103" s="75" t="s">
        <v>434</v>
      </c>
      <c r="H103" s="73"/>
      <c r="I103" s="73"/>
      <c r="J103" s="560" t="str" cm="1">
        <f t="array" ref="J103">IF(ISBLANK(I103), IF(ISBLANK(H103), "N/A", _xlfn.IFS(K103="AS", H103+15, K103="NCR", H103+30, K103="submitted", H103+30, TRUE, "N/A")), _xlfn.IFS(K103="AS", I103+15, K103="NCR", I103+30, K103="submitted", I103+30, TRUE, "N/A"))</f>
        <v>N/A</v>
      </c>
      <c r="K103" s="74"/>
      <c r="L103" s="318"/>
      <c r="M103" s="772"/>
      <c r="N103" s="773"/>
      <c r="O103" s="773"/>
      <c r="P103" s="774"/>
    </row>
    <row r="104" spans="1:16" s="5" customFormat="1">
      <c r="A104" s="73"/>
      <c r="B104" s="111"/>
      <c r="C104" s="35"/>
      <c r="D104" s="17"/>
      <c r="F104" s="73" t="s">
        <v>435</v>
      </c>
      <c r="G104" s="36" t="s">
        <v>436</v>
      </c>
      <c r="H104" s="73"/>
      <c r="I104" s="73"/>
      <c r="J104" s="560" t="str" cm="1">
        <f t="array" ref="J104">IF(ISBLANK(I104), IF(ISBLANK(H104), "N/A", _xlfn.IFS(K104="AS", H104+15, K104="NCR", H104+30, K104="submitted", H104+30, TRUE, "N/A")), _xlfn.IFS(K104="AS", I104+15, K104="NCR", I104+30, K104="submitted", I104+30, TRUE, "N/A"))</f>
        <v>N/A</v>
      </c>
      <c r="K104" s="74"/>
      <c r="L104" s="318"/>
      <c r="M104" s="772"/>
      <c r="N104" s="773"/>
      <c r="O104" s="773"/>
      <c r="P104" s="774"/>
    </row>
    <row r="105" spans="1:16" s="5" customFormat="1">
      <c r="A105" s="73"/>
      <c r="B105" s="111"/>
      <c r="C105" s="35"/>
      <c r="D105" s="17"/>
      <c r="F105" s="73" t="s">
        <v>437</v>
      </c>
      <c r="G105" s="36" t="s">
        <v>438</v>
      </c>
      <c r="H105" s="73"/>
      <c r="I105" s="73"/>
      <c r="J105" s="560" t="str" cm="1">
        <f t="array" ref="J105">IF(ISBLANK(I105), IF(ISBLANK(H105), "N/A", _xlfn.IFS(K105="AS", H105+15, K105="NCR", H105+30, K105="submitted", H105+30, TRUE, "N/A")), _xlfn.IFS(K105="AS", I105+15, K105="NCR", I105+30, K105="submitted", I105+30, TRUE, "N/A"))</f>
        <v>N/A</v>
      </c>
      <c r="K105" s="74"/>
      <c r="L105" s="318"/>
      <c r="M105" s="772"/>
      <c r="N105" s="773"/>
      <c r="O105" s="773"/>
      <c r="P105" s="774"/>
    </row>
    <row r="106" spans="1:16" s="5" customFormat="1">
      <c r="A106" s="73"/>
      <c r="B106" s="111"/>
      <c r="C106" s="35"/>
      <c r="D106" s="17" t="s">
        <v>158</v>
      </c>
      <c r="F106" s="73" t="s">
        <v>439</v>
      </c>
      <c r="G106" s="75" t="s">
        <v>440</v>
      </c>
      <c r="H106" s="73"/>
      <c r="I106" s="73"/>
      <c r="J106" s="560" t="str" cm="1">
        <f t="array" ref="J106">IF(ISBLANK(I106), IF(ISBLANK(H106), "N/A", _xlfn.IFS(K106="AS", H106+15, K106="NCR", H106+30, K106="submitted", H106+30, TRUE, "N/A")), _xlfn.IFS(K106="AS", I106+15, K106="NCR", I106+30, K106="submitted", I106+30, TRUE, "N/A"))</f>
        <v>N/A</v>
      </c>
      <c r="K106" s="74"/>
      <c r="L106" s="318"/>
      <c r="M106" s="772"/>
      <c r="N106" s="773"/>
      <c r="O106" s="773"/>
      <c r="P106" s="774"/>
    </row>
    <row r="107" spans="1:16" s="5" customFormat="1">
      <c r="A107" s="73"/>
      <c r="B107" s="111"/>
      <c r="C107" s="35"/>
      <c r="D107" s="17" t="s">
        <v>158</v>
      </c>
      <c r="F107" s="73" t="s">
        <v>441</v>
      </c>
      <c r="G107" s="75" t="s">
        <v>442</v>
      </c>
      <c r="H107" s="73"/>
      <c r="I107" s="73"/>
      <c r="J107" s="560" t="str" cm="1">
        <f t="array" ref="J107">IF(ISBLANK(I107), IF(ISBLANK(H107), "N/A", _xlfn.IFS(K107="AS", H107+15, K107="NCR", H107+30, K107="submitted", H107+30, TRUE, "N/A")), _xlfn.IFS(K107="AS", I107+15, K107="NCR", I107+30, K107="submitted", I107+30, TRUE, "N/A"))</f>
        <v>N/A</v>
      </c>
      <c r="K107" s="74"/>
      <c r="L107" s="318"/>
      <c r="M107" s="772"/>
      <c r="N107" s="773"/>
      <c r="O107" s="773"/>
      <c r="P107" s="774"/>
    </row>
    <row r="108" spans="1:16" s="5" customFormat="1" ht="27">
      <c r="A108" s="73"/>
      <c r="B108" s="111"/>
      <c r="C108" s="35"/>
      <c r="D108" s="17" t="s">
        <v>158</v>
      </c>
      <c r="F108" s="73" t="s">
        <v>443</v>
      </c>
      <c r="G108" s="75" t="s">
        <v>444</v>
      </c>
      <c r="H108" s="73"/>
      <c r="I108" s="73"/>
      <c r="J108" s="560" t="str" cm="1">
        <f t="array" ref="J108">IF(ISBLANK(I108), IF(ISBLANK(H108), "N/A", _xlfn.IFS(K108="AS", H108+15, K108="NCR", H108+30, K108="submitted", H108+30, TRUE, "N/A")), _xlfn.IFS(K108="AS", I108+15, K108="NCR", I108+30, K108="submitted", I108+30, TRUE, "N/A"))</f>
        <v>N/A</v>
      </c>
      <c r="K108" s="74"/>
      <c r="L108" s="318"/>
      <c r="M108" s="772"/>
      <c r="N108" s="773"/>
      <c r="O108" s="773"/>
      <c r="P108" s="774"/>
    </row>
    <row r="109" spans="1:16" s="5" customFormat="1" ht="27">
      <c r="A109" s="73"/>
      <c r="B109" s="111"/>
      <c r="C109" s="35"/>
      <c r="D109" s="17" t="s">
        <v>158</v>
      </c>
      <c r="F109" s="73" t="s">
        <v>445</v>
      </c>
      <c r="G109" s="75" t="s">
        <v>446</v>
      </c>
      <c r="H109" s="73"/>
      <c r="I109" s="73"/>
      <c r="J109" s="560" t="str" cm="1">
        <f t="array" ref="J109">IF(ISBLANK(I109), IF(ISBLANK(H109), "N/A", _xlfn.IFS(K109="AS", H109+15, K109="NCR", H109+30, K109="submitted", H109+30, TRUE, "N/A")), _xlfn.IFS(K109="AS", I109+15, K109="NCR", I109+30, K109="submitted", I109+30, TRUE, "N/A"))</f>
        <v>N/A</v>
      </c>
      <c r="K109" s="74"/>
      <c r="L109" s="318"/>
      <c r="M109" s="772"/>
      <c r="N109" s="773"/>
      <c r="O109" s="773"/>
      <c r="P109" s="774"/>
    </row>
    <row r="110" spans="1:16" s="5" customFormat="1">
      <c r="A110" s="73"/>
      <c r="B110" s="111"/>
      <c r="C110" s="35"/>
      <c r="D110" s="17"/>
      <c r="F110" s="73" t="s">
        <v>447</v>
      </c>
      <c r="G110" s="75" t="s">
        <v>448</v>
      </c>
      <c r="H110" s="73"/>
      <c r="I110" s="73"/>
      <c r="J110" s="560" t="str" cm="1">
        <f t="array" ref="J110">IF(ISBLANK(I110), IF(ISBLANK(H110), "N/A", _xlfn.IFS(K110="AS", H110+15, K110="NCR", H110+30, K110="submitted", H110+30, TRUE, "N/A")), _xlfn.IFS(K110="AS", I110+15, K110="NCR", I110+30, K110="submitted", I110+30, TRUE, "N/A"))</f>
        <v>N/A</v>
      </c>
      <c r="K110" s="74"/>
      <c r="L110" s="318"/>
      <c r="M110" s="772"/>
      <c r="N110" s="773"/>
      <c r="O110" s="773"/>
      <c r="P110" s="774"/>
    </row>
    <row r="111" spans="1:16" s="5" customFormat="1">
      <c r="A111" s="73"/>
      <c r="B111" s="111"/>
      <c r="C111" s="35"/>
      <c r="D111" s="17"/>
      <c r="F111" s="73" t="s">
        <v>449</v>
      </c>
      <c r="G111" s="36" t="s">
        <v>450</v>
      </c>
      <c r="H111" s="73"/>
      <c r="I111" s="73"/>
      <c r="J111" s="560" t="str" cm="1">
        <f t="array" ref="J111">IF(ISBLANK(I111), IF(ISBLANK(H111), "N/A", _xlfn.IFS(K111="AS", H111+15, K111="NCR", H111+30, K111="submitted", H111+30, TRUE, "N/A")), _xlfn.IFS(K111="AS", I111+15, K111="NCR", I111+30, K111="submitted", I111+30, TRUE, "N/A"))</f>
        <v>N/A</v>
      </c>
      <c r="K111" s="74"/>
      <c r="L111" s="318"/>
      <c r="M111" s="772"/>
      <c r="N111" s="773"/>
      <c r="O111" s="773"/>
      <c r="P111" s="774"/>
    </row>
    <row r="112" spans="1:16" s="5" customFormat="1">
      <c r="A112" s="73"/>
      <c r="B112" s="111"/>
      <c r="C112" s="35"/>
      <c r="D112" s="17"/>
      <c r="F112" s="73" t="s">
        <v>451</v>
      </c>
      <c r="G112" s="36" t="s">
        <v>452</v>
      </c>
      <c r="H112" s="73"/>
      <c r="I112" s="73"/>
      <c r="J112" s="560" t="str" cm="1">
        <f t="array" ref="J112">IF(ISBLANK(I112), IF(ISBLANK(H112), "N/A", _xlfn.IFS(K112="AS", H112+15, K112="NCR", H112+30, K112="submitted", H112+30, TRUE, "N/A")), _xlfn.IFS(K112="AS", I112+15, K112="NCR", I112+30, K112="submitted", I112+30, TRUE, "N/A"))</f>
        <v>N/A</v>
      </c>
      <c r="K112" s="74"/>
      <c r="L112" s="318"/>
      <c r="M112" s="772"/>
      <c r="N112" s="773"/>
      <c r="O112" s="773"/>
      <c r="P112" s="774"/>
    </row>
    <row r="113" spans="1:16" s="5" customFormat="1" ht="27">
      <c r="A113" s="73"/>
      <c r="B113" s="95"/>
      <c r="C113" s="36"/>
      <c r="D113" s="17"/>
      <c r="F113" s="73" t="s">
        <v>453</v>
      </c>
      <c r="G113" s="75" t="s">
        <v>454</v>
      </c>
      <c r="H113" s="73"/>
      <c r="I113" s="73"/>
      <c r="J113" s="560" t="str" cm="1">
        <f t="array" ref="J113">IF(ISBLANK(I113), IF(ISBLANK(H113), "N/A", _xlfn.IFS(K113="AS", H113+15, K113="NCR", H113+30, K113="submitted", H113+30, TRUE, "N/A")), _xlfn.IFS(K113="AS", I113+15, K113="NCR", I113+30, K113="submitted", I113+30, TRUE, "N/A"))</f>
        <v>N/A</v>
      </c>
      <c r="K113" s="74"/>
      <c r="L113" s="318"/>
      <c r="M113" s="772"/>
      <c r="N113" s="773"/>
      <c r="O113" s="773"/>
      <c r="P113" s="774"/>
    </row>
    <row r="114" spans="1:16" s="1" customFormat="1" ht="27">
      <c r="A114" s="9"/>
      <c r="B114" s="32" t="s">
        <v>455</v>
      </c>
      <c r="C114" s="37" t="s">
        <v>456</v>
      </c>
      <c r="D114" s="37"/>
      <c r="F114" s="9" t="s">
        <v>328</v>
      </c>
      <c r="G114" s="7" t="s">
        <v>457</v>
      </c>
      <c r="H114" s="9"/>
      <c r="I114" s="9"/>
      <c r="J114" s="560" t="str" cm="1">
        <f t="array" ref="J114">IF(ISBLANK(I114), IF(ISBLANK(H114), "N/A", _xlfn.IFS(K114="AS", H114+15, K114="NCR", H114+30, K114="submitted", H114+30, TRUE, "N/A")), _xlfn.IFS(K114="AS", I114+15, K114="NCR", I114+30, K114="submitted", I114+30, TRUE, "N/A"))</f>
        <v>N/A</v>
      </c>
      <c r="K114" s="14"/>
      <c r="L114" s="318"/>
      <c r="M114" s="772"/>
      <c r="N114" s="773"/>
      <c r="O114" s="773"/>
      <c r="P114" s="774"/>
    </row>
    <row r="115" spans="1:16" s="1" customFormat="1">
      <c r="A115" s="9"/>
      <c r="B115" s="33"/>
      <c r="C115" s="39"/>
      <c r="D115" s="39"/>
      <c r="F115" s="9" t="s">
        <v>329</v>
      </c>
      <c r="G115" s="13" t="s">
        <v>428</v>
      </c>
      <c r="H115" s="9"/>
      <c r="I115" s="9"/>
      <c r="J115" s="560" t="str" cm="1">
        <f t="array" ref="J115">IF(ISBLANK(I115), IF(ISBLANK(H115), "N/A", _xlfn.IFS(K115="AS", H115+15, K115="NCR", H115+30, K115="submitted", H115+30, TRUE, "N/A")), _xlfn.IFS(K115="AS", I115+15, K115="NCR", I115+30, K115="submitted", I115+30, TRUE, "N/A"))</f>
        <v>N/A</v>
      </c>
      <c r="K115" s="14"/>
      <c r="L115" s="318"/>
      <c r="M115" s="772"/>
      <c r="N115" s="773"/>
      <c r="O115" s="773"/>
      <c r="P115" s="774"/>
    </row>
    <row r="116" spans="1:16" s="1" customFormat="1">
      <c r="A116" s="9"/>
      <c r="B116" s="33"/>
      <c r="C116" s="39"/>
      <c r="D116" s="39"/>
      <c r="F116" s="9" t="s">
        <v>396</v>
      </c>
      <c r="G116" s="13" t="s">
        <v>320</v>
      </c>
      <c r="H116" s="9"/>
      <c r="I116" s="9"/>
      <c r="J116" s="560" t="str" cm="1">
        <f t="array" ref="J116">IF(ISBLANK(I116), IF(ISBLANK(H116), "N/A", _xlfn.IFS(K116="AS", H116+15, K116="NCR", H116+30, K116="submitted", H116+30, TRUE, "N/A")), _xlfn.IFS(K116="AS", I116+15, K116="NCR", I116+30, K116="submitted", I116+30, TRUE, "N/A"))</f>
        <v>N/A</v>
      </c>
      <c r="K116" s="14"/>
      <c r="L116" s="318"/>
      <c r="M116" s="772"/>
      <c r="N116" s="773"/>
      <c r="O116" s="773"/>
      <c r="P116" s="774"/>
    </row>
    <row r="117" spans="1:16" s="1" customFormat="1">
      <c r="A117" s="9"/>
      <c r="B117" s="33"/>
      <c r="C117" s="39"/>
      <c r="D117" s="39"/>
      <c r="F117" s="9" t="s">
        <v>397</v>
      </c>
      <c r="G117" s="13" t="s">
        <v>430</v>
      </c>
      <c r="H117" s="9"/>
      <c r="I117" s="9"/>
      <c r="J117" s="560" t="str" cm="1">
        <f t="array" ref="J117">IF(ISBLANK(I117), IF(ISBLANK(H117), "N/A", _xlfn.IFS(K117="AS", H117+15, K117="NCR", H117+30, K117="submitted", H117+30, TRUE, "N/A")), _xlfn.IFS(K117="AS", I117+15, K117="NCR", I117+30, K117="submitted", I117+30, TRUE, "N/A"))</f>
        <v>N/A</v>
      </c>
      <c r="K117" s="14"/>
      <c r="L117" s="318"/>
      <c r="M117" s="772"/>
      <c r="N117" s="773"/>
      <c r="O117" s="773"/>
      <c r="P117" s="774"/>
    </row>
    <row r="118" spans="1:16" s="1" customFormat="1">
      <c r="A118" s="9"/>
      <c r="B118" s="33"/>
      <c r="C118" s="39"/>
      <c r="D118" s="39"/>
      <c r="F118" s="9" t="s">
        <v>398</v>
      </c>
      <c r="G118" s="13" t="s">
        <v>458</v>
      </c>
      <c r="H118" s="9"/>
      <c r="I118" s="9"/>
      <c r="J118" s="560" t="str" cm="1">
        <f t="array" ref="J118">IF(ISBLANK(I118), IF(ISBLANK(H118), "N/A", _xlfn.IFS(K118="AS", H118+15, K118="NCR", H118+30, K118="submitted", H118+30, TRUE, "N/A")), _xlfn.IFS(K118="AS", I118+15, K118="NCR", I118+30, K118="submitted", I118+30, TRUE, "N/A"))</f>
        <v>N/A</v>
      </c>
      <c r="K118" s="14"/>
      <c r="L118" s="318"/>
      <c r="M118" s="772"/>
      <c r="N118" s="773"/>
      <c r="O118" s="773"/>
      <c r="P118" s="774"/>
    </row>
    <row r="119" spans="1:16" s="1" customFormat="1">
      <c r="A119" s="9"/>
      <c r="B119" s="33"/>
      <c r="C119" s="39"/>
      <c r="D119" s="39"/>
      <c r="F119" s="9" t="s">
        <v>400</v>
      </c>
      <c r="G119" s="13" t="s">
        <v>459</v>
      </c>
      <c r="H119" s="9"/>
      <c r="I119" s="9"/>
      <c r="J119" s="560" t="str" cm="1">
        <f t="array" ref="J119">IF(ISBLANK(I119), IF(ISBLANK(H119), "N/A", _xlfn.IFS(K119="AS", H119+15, K119="NCR", H119+30, K119="submitted", H119+30, TRUE, "N/A")), _xlfn.IFS(K119="AS", I119+15, K119="NCR", I119+30, K119="submitted", I119+30, TRUE, "N/A"))</f>
        <v>N/A</v>
      </c>
      <c r="K119" s="14"/>
      <c r="L119" s="318"/>
      <c r="M119" s="772"/>
      <c r="N119" s="773"/>
      <c r="O119" s="773"/>
      <c r="P119" s="774"/>
    </row>
    <row r="120" spans="1:16" s="1" customFormat="1" ht="27">
      <c r="A120" s="9"/>
      <c r="B120" s="33"/>
      <c r="C120" s="39"/>
      <c r="D120" s="39"/>
      <c r="F120" s="9" t="s">
        <v>433</v>
      </c>
      <c r="G120" s="7" t="s">
        <v>460</v>
      </c>
      <c r="H120" s="9"/>
      <c r="I120" s="9"/>
      <c r="J120" s="560" t="str" cm="1">
        <f t="array" ref="J120">IF(ISBLANK(I120), IF(ISBLANK(H120), "N/A", _xlfn.IFS(K120="AS", H120+15, K120="NCR", H120+30, K120="submitted", H120+30, TRUE, "N/A")), _xlfn.IFS(K120="AS", I120+15, K120="NCR", I120+30, K120="submitted", I120+30, TRUE, "N/A"))</f>
        <v>N/A</v>
      </c>
      <c r="K120" s="14"/>
      <c r="L120" s="318"/>
      <c r="M120" s="766" t="s">
        <v>132</v>
      </c>
      <c r="N120" s="767"/>
      <c r="O120" s="767"/>
      <c r="P120" s="768"/>
    </row>
    <row r="121" spans="1:16" s="1" customFormat="1" ht="40.5" customHeight="1">
      <c r="A121" s="9"/>
      <c r="B121" s="33"/>
      <c r="C121" s="39"/>
      <c r="D121" s="39" t="s">
        <v>158</v>
      </c>
      <c r="F121" s="9" t="s">
        <v>435</v>
      </c>
      <c r="G121" s="7" t="s">
        <v>461</v>
      </c>
      <c r="H121" s="9"/>
      <c r="I121" s="9"/>
      <c r="J121" s="560" t="str" cm="1">
        <f t="array" ref="J121">IF(ISBLANK(I121), IF(ISBLANK(H121), "N/A", _xlfn.IFS(K121="AS", H121+15, K121="NCR", H121+30, K121="submitted", H121+30, TRUE, "N/A")), _xlfn.IFS(K121="AS", I121+15, K121="NCR", I121+30, K121="submitted", I121+30, TRUE, "N/A"))</f>
        <v>N/A</v>
      </c>
      <c r="K121" s="14"/>
      <c r="L121" s="318"/>
      <c r="M121" s="769"/>
      <c r="N121" s="770"/>
      <c r="O121" s="770"/>
      <c r="P121" s="771"/>
    </row>
    <row r="122" spans="1:16" s="1" customFormat="1">
      <c r="A122" s="9"/>
      <c r="B122" s="33"/>
      <c r="C122" s="39"/>
      <c r="D122" s="39"/>
      <c r="F122" s="9" t="s">
        <v>437</v>
      </c>
      <c r="G122" s="13" t="s">
        <v>333</v>
      </c>
      <c r="H122" s="9"/>
      <c r="I122" s="9"/>
      <c r="J122" s="560" t="str" cm="1">
        <f t="array" ref="J122">IF(ISBLANK(I122), IF(ISBLANK(H122), "N/A", _xlfn.IFS(K122="AS", H122+15, K122="NCR", H122+30, K122="submitted", H122+30, TRUE, "N/A")), _xlfn.IFS(K122="AS", I122+15, K122="NCR", I122+30, K122="submitted", I122+30, TRUE, "N/A"))</f>
        <v>N/A</v>
      </c>
      <c r="K122" s="14"/>
      <c r="L122" s="318"/>
      <c r="M122" s="769"/>
      <c r="N122" s="770"/>
      <c r="O122" s="770"/>
      <c r="P122" s="771"/>
    </row>
    <row r="123" spans="1:16" s="1" customFormat="1" ht="111.75" customHeight="1">
      <c r="A123" s="9"/>
      <c r="B123" s="97"/>
      <c r="C123" s="46"/>
      <c r="D123" s="46"/>
      <c r="F123" s="9" t="s">
        <v>462</v>
      </c>
      <c r="G123" s="7" t="s">
        <v>463</v>
      </c>
      <c r="H123" s="9"/>
      <c r="I123" s="9"/>
      <c r="J123" s="560" t="str" cm="1">
        <f t="array" ref="J123">IF(ISBLANK(I123), IF(ISBLANK(H123), "N/A", _xlfn.IFS(K123="AS", H123+15, K123="NCR", H123+30, K123="submitted", H123+30, TRUE, "N/A")), _xlfn.IFS(K123="AS", I123+15, K123="NCR", I123+30, K123="submitted", I123+30, TRUE, "N/A"))</f>
        <v>N/A</v>
      </c>
      <c r="K123" s="14"/>
      <c r="L123" s="318"/>
      <c r="M123" s="769"/>
      <c r="N123" s="770"/>
      <c r="O123" s="770"/>
      <c r="P123" s="771"/>
    </row>
    <row r="124" spans="1:16" s="5" customFormat="1" ht="27">
      <c r="A124" s="4"/>
      <c r="B124" s="15" t="s">
        <v>464</v>
      </c>
      <c r="C124" s="17" t="s">
        <v>465</v>
      </c>
      <c r="D124" s="17"/>
      <c r="F124" s="4" t="s">
        <v>328</v>
      </c>
      <c r="G124" s="3" t="s">
        <v>466</v>
      </c>
      <c r="H124" s="4"/>
      <c r="I124" s="4"/>
      <c r="J124" s="560" t="str" cm="1">
        <f t="array" ref="J124">IF(ISBLANK(I124), IF(ISBLANK(H124), "N/A", _xlfn.IFS(K124="AS", H124+15, K124="NCR", H124+30, K124="submitted", H124+30, TRUE, "N/A")), _xlfn.IFS(K124="AS", I124+15, K124="NCR", I124+30, K124="submitted", I124+30, TRUE, "N/A"))</f>
        <v>N/A</v>
      </c>
      <c r="K124" s="18"/>
      <c r="L124" s="318"/>
      <c r="M124" s="769"/>
      <c r="N124" s="770"/>
      <c r="O124" s="770"/>
      <c r="P124" s="771"/>
    </row>
    <row r="125" spans="1:16" s="1" customFormat="1">
      <c r="A125" s="9"/>
      <c r="B125" s="32" t="s">
        <v>467</v>
      </c>
      <c r="C125" s="37" t="s">
        <v>468</v>
      </c>
      <c r="D125" s="37"/>
      <c r="F125" s="9" t="s">
        <v>133</v>
      </c>
      <c r="G125" s="13" t="s">
        <v>229</v>
      </c>
      <c r="H125" s="9"/>
      <c r="I125" s="9"/>
      <c r="J125" s="560" t="str" cm="1">
        <f t="array" ref="J125">IF(ISBLANK(I125), IF(ISBLANK(H125), "N/A", _xlfn.IFS(K125="AS", H125+15, K125="NCR", H125+30, K125="submitted", H125+30, TRUE, "N/A")), _xlfn.IFS(K125="AS", I125+15, K125="NCR", I125+30, K125="submitted", I125+30, TRUE, "N/A"))</f>
        <v>N/A</v>
      </c>
      <c r="K125" s="14"/>
      <c r="L125" s="318"/>
      <c r="M125" s="769"/>
      <c r="N125" s="770"/>
      <c r="O125" s="770"/>
      <c r="P125" s="771"/>
    </row>
    <row r="126" spans="1:16" s="1" customFormat="1">
      <c r="A126" s="9"/>
      <c r="B126" s="33"/>
      <c r="C126" s="39"/>
      <c r="D126" s="39"/>
      <c r="F126" s="9" t="s">
        <v>135</v>
      </c>
      <c r="G126" s="13" t="s">
        <v>469</v>
      </c>
      <c r="H126" s="9"/>
      <c r="I126" s="9"/>
      <c r="J126" s="560" t="str" cm="1">
        <f t="array" ref="J126">IF(ISBLANK(I126), IF(ISBLANK(H126), "N/A", _xlfn.IFS(K126="AS", H126+15, K126="NCR", H126+30, K126="submitted", H126+30, TRUE, "N/A")), _xlfn.IFS(K126="AS", I126+15, K126="NCR", I126+30, K126="submitted", I126+30, TRUE, "N/A"))</f>
        <v>N/A</v>
      </c>
      <c r="K126" s="14"/>
      <c r="L126" s="318"/>
      <c r="M126" s="769"/>
      <c r="N126" s="770"/>
      <c r="O126" s="770"/>
      <c r="P126" s="771"/>
    </row>
    <row r="127" spans="1:16" s="1" customFormat="1" ht="27">
      <c r="A127" s="9"/>
      <c r="B127" s="33"/>
      <c r="C127" s="39"/>
      <c r="D127" s="39"/>
      <c r="F127" s="9" t="s">
        <v>470</v>
      </c>
      <c r="G127" s="7" t="s">
        <v>377</v>
      </c>
      <c r="H127" s="9"/>
      <c r="I127" s="9"/>
      <c r="J127" s="560" t="str" cm="1">
        <f t="array" ref="J127">IF(ISBLANK(I127), IF(ISBLANK(H127), "N/A", _xlfn.IFS(K127="AS", H127+15, K127="NCR", H127+30, K127="submitted", H127+30, TRUE, "N/A")), _xlfn.IFS(K127="AS", I127+15, K127="NCR", I127+30, K127="submitted", I127+30, TRUE, "N/A"))</f>
        <v>N/A</v>
      </c>
      <c r="K127" s="14"/>
      <c r="L127" s="318"/>
      <c r="M127" s="769"/>
      <c r="N127" s="770"/>
      <c r="O127" s="770"/>
      <c r="P127" s="771"/>
    </row>
    <row r="128" spans="1:16" s="1" customFormat="1" ht="27">
      <c r="A128" s="9"/>
      <c r="B128" s="97"/>
      <c r="C128" s="46"/>
      <c r="D128" s="46"/>
      <c r="F128" s="9" t="s">
        <v>471</v>
      </c>
      <c r="G128" s="7" t="s">
        <v>472</v>
      </c>
      <c r="H128" s="9"/>
      <c r="I128" s="9"/>
      <c r="J128" s="560" t="str" cm="1">
        <f t="array" ref="J128">IF(ISBLANK(I128), IF(ISBLANK(H128), "N/A", _xlfn.IFS(K128="AS", H128+15, K128="NCR", H128+30, K128="submitted", H128+30, TRUE, "N/A")), _xlfn.IFS(K128="AS", I128+15, K128="NCR", I128+30, K128="submitted", I128+30, TRUE, "N/A"))</f>
        <v>N/A</v>
      </c>
      <c r="K128" s="14"/>
      <c r="L128" s="318"/>
      <c r="M128" s="772" t="s">
        <v>147</v>
      </c>
      <c r="N128" s="773"/>
      <c r="O128" s="773"/>
      <c r="P128" s="774"/>
    </row>
    <row r="129" spans="1:16" s="5" customFormat="1">
      <c r="A129" s="4"/>
      <c r="B129" s="86" t="s">
        <v>473</v>
      </c>
      <c r="C129" s="34" t="s">
        <v>474</v>
      </c>
      <c r="D129" s="34"/>
      <c r="F129" s="4" t="s">
        <v>475</v>
      </c>
      <c r="G129" s="17" t="s">
        <v>476</v>
      </c>
      <c r="H129" s="4"/>
      <c r="I129" s="4"/>
      <c r="J129" s="560" t="str" cm="1">
        <f t="array" ref="J129">IF(ISBLANK(I129), IF(ISBLANK(H129), "N/A", _xlfn.IFS(K129="AS", H129+15, K129="NCR", H129+30, K129="submitted", H129+30, TRUE, "N/A")), _xlfn.IFS(K129="AS", I129+15, K129="NCR", I129+30, K129="submitted", I129+30, TRUE, "N/A"))</f>
        <v>N/A</v>
      </c>
      <c r="K129" s="18"/>
      <c r="L129" s="318"/>
      <c r="M129" s="772"/>
      <c r="N129" s="773"/>
      <c r="O129" s="773"/>
      <c r="P129" s="774"/>
    </row>
    <row r="130" spans="1:16" s="5" customFormat="1">
      <c r="A130" s="4"/>
      <c r="B130" s="111"/>
      <c r="C130" s="35"/>
      <c r="D130" s="35"/>
      <c r="F130" s="4" t="s">
        <v>477</v>
      </c>
      <c r="G130" s="17" t="s">
        <v>276</v>
      </c>
      <c r="H130" s="4"/>
      <c r="I130" s="4"/>
      <c r="J130" s="560" t="str" cm="1">
        <f t="array" ref="J130">IF(ISBLANK(I130), IF(ISBLANK(H130), "N/A", _xlfn.IFS(K130="AS", H130+15, K130="NCR", H130+30, K130="submitted", H130+30, TRUE, "N/A")), _xlfn.IFS(K130="AS", I130+15, K130="NCR", I130+30, K130="submitted", I130+30, TRUE, "N/A"))</f>
        <v>N/A</v>
      </c>
      <c r="K130" s="18"/>
      <c r="L130" s="318"/>
      <c r="M130" s="772"/>
      <c r="N130" s="773"/>
      <c r="O130" s="773"/>
      <c r="P130" s="774"/>
    </row>
    <row r="131" spans="1:16" s="5" customFormat="1">
      <c r="A131" s="4"/>
      <c r="B131" s="111"/>
      <c r="C131" s="35"/>
      <c r="D131" s="35"/>
      <c r="F131" s="4" t="s">
        <v>478</v>
      </c>
      <c r="G131" s="17" t="s">
        <v>345</v>
      </c>
      <c r="H131" s="4"/>
      <c r="I131" s="4"/>
      <c r="J131" s="560" t="str" cm="1">
        <f t="array" ref="J131">IF(ISBLANK(I131), IF(ISBLANK(H131), "N/A", _xlfn.IFS(K131="AS", H131+15, K131="NCR", H131+30, K131="submitted", H131+30, TRUE, "N/A")), _xlfn.IFS(K131="AS", I131+15, K131="NCR", I131+30, K131="submitted", I131+30, TRUE, "N/A"))</f>
        <v>N/A</v>
      </c>
      <c r="K131" s="18"/>
      <c r="L131" s="318"/>
      <c r="M131" s="772"/>
      <c r="N131" s="773"/>
      <c r="O131" s="773"/>
      <c r="P131" s="774"/>
    </row>
    <row r="132" spans="1:16" s="5" customFormat="1" ht="27">
      <c r="A132" s="4"/>
      <c r="B132" s="111"/>
      <c r="C132" s="35"/>
      <c r="D132" s="35"/>
      <c r="F132" s="4" t="s">
        <v>479</v>
      </c>
      <c r="G132" s="3" t="s">
        <v>377</v>
      </c>
      <c r="H132" s="4"/>
      <c r="I132" s="4"/>
      <c r="J132" s="560" t="str" cm="1">
        <f t="array" ref="J132">IF(ISBLANK(I132), IF(ISBLANK(H132), "N/A", _xlfn.IFS(K132="AS", H132+15, K132="NCR", H132+30, K132="submitted", H132+30, TRUE, "N/A")), _xlfn.IFS(K132="AS", I132+15, K132="NCR", I132+30, K132="submitted", I132+30, TRUE, "N/A"))</f>
        <v>N/A</v>
      </c>
      <c r="K132" s="18"/>
      <c r="L132" s="318"/>
      <c r="M132" s="772"/>
      <c r="N132" s="773"/>
      <c r="O132" s="773"/>
      <c r="P132" s="774"/>
    </row>
    <row r="133" spans="1:16" s="5" customFormat="1" ht="27">
      <c r="A133" s="4"/>
      <c r="B133" s="111"/>
      <c r="C133" s="35"/>
      <c r="D133" s="35"/>
      <c r="F133" s="4" t="s">
        <v>480</v>
      </c>
      <c r="G133" s="3" t="s">
        <v>472</v>
      </c>
      <c r="H133" s="4"/>
      <c r="I133" s="4"/>
      <c r="J133" s="560" t="str" cm="1">
        <f t="array" ref="J133">IF(ISBLANK(I133), IF(ISBLANK(H133), "N/A", _xlfn.IFS(K133="AS", H133+15, K133="NCR", H133+30, K133="submitted", H133+30, TRUE, "N/A")), _xlfn.IFS(K133="AS", I133+15, K133="NCR", I133+30, K133="submitted", I133+30, TRUE, "N/A"))</f>
        <v>N/A</v>
      </c>
      <c r="K133" s="18"/>
      <c r="L133" s="319"/>
      <c r="M133" s="772"/>
      <c r="N133" s="773"/>
      <c r="O133" s="773"/>
      <c r="P133" s="774"/>
    </row>
    <row r="134" spans="1:16" s="5" customFormat="1">
      <c r="A134" s="4"/>
      <c r="B134" s="95"/>
      <c r="C134" s="36"/>
      <c r="D134" s="36"/>
      <c r="F134" s="4" t="s">
        <v>481</v>
      </c>
      <c r="G134" s="17" t="s">
        <v>482</v>
      </c>
      <c r="H134" s="4"/>
      <c r="I134" s="4"/>
      <c r="J134" s="560" t="str" cm="1">
        <f t="array" ref="J134">IF(ISBLANK(I134), IF(ISBLANK(H134), "N/A", _xlfn.IFS(K134="AS", H134+15, K134="NCR", H134+30, K134="submitted", H134+30, TRUE, "N/A")), _xlfn.IFS(K134="AS", I134+15, K134="NCR", I134+30, K134="submitted", I134+30, TRUE, "N/A"))</f>
        <v>N/A</v>
      </c>
      <c r="K134" s="18"/>
      <c r="L134" s="318"/>
      <c r="M134" s="772"/>
      <c r="N134" s="773"/>
      <c r="O134" s="773"/>
      <c r="P134" s="774"/>
    </row>
    <row r="135" spans="1:16" s="1" customFormat="1">
      <c r="A135" s="9"/>
      <c r="B135" s="32" t="s">
        <v>483</v>
      </c>
      <c r="C135" s="37" t="s">
        <v>484</v>
      </c>
      <c r="D135" s="37"/>
      <c r="F135" s="9" t="s">
        <v>475</v>
      </c>
      <c r="G135" s="13" t="s">
        <v>229</v>
      </c>
      <c r="H135" s="9"/>
      <c r="I135" s="9"/>
      <c r="J135" s="560" t="str" cm="1">
        <f t="array" ref="J135">IF(ISBLANK(I135), IF(ISBLANK(H135), "N/A", _xlfn.IFS(K135="AS", H135+15, K135="NCR", H135+30, K135="submitted", H135+30, TRUE, "N/A")), _xlfn.IFS(K135="AS", I135+15, K135="NCR", I135+30, K135="submitted", I135+30, TRUE, "N/A"))</f>
        <v>N/A</v>
      </c>
      <c r="K135" s="14"/>
      <c r="L135" s="318"/>
      <c r="M135" s="772"/>
      <c r="N135" s="773"/>
      <c r="O135" s="773"/>
      <c r="P135" s="774"/>
    </row>
    <row r="136" spans="1:16" s="1" customFormat="1">
      <c r="A136" s="9"/>
      <c r="B136" s="33"/>
      <c r="C136" s="39"/>
      <c r="D136" s="39"/>
      <c r="F136" s="9" t="s">
        <v>477</v>
      </c>
      <c r="G136" s="13" t="s">
        <v>345</v>
      </c>
      <c r="H136" s="9"/>
      <c r="I136" s="9"/>
      <c r="J136" s="560" t="str" cm="1">
        <f t="array" ref="J136">IF(ISBLANK(I136), IF(ISBLANK(H136), "N/A", _xlfn.IFS(K136="AS", H136+15, K136="NCR", H136+30, K136="submitted", H136+30, TRUE, "N/A")), _xlfn.IFS(K136="AS", I136+15, K136="NCR", I136+30, K136="submitted", I136+30, TRUE, "N/A"))</f>
        <v>N/A</v>
      </c>
      <c r="K136" s="14"/>
      <c r="L136" s="318"/>
      <c r="M136" s="772"/>
      <c r="N136" s="773"/>
      <c r="O136" s="773"/>
      <c r="P136" s="774"/>
    </row>
    <row r="137" spans="1:16" s="1" customFormat="1">
      <c r="A137" s="9"/>
      <c r="B137" s="33"/>
      <c r="C137" s="39"/>
      <c r="D137" s="39"/>
      <c r="F137" s="9" t="s">
        <v>478</v>
      </c>
      <c r="G137" s="13" t="s">
        <v>276</v>
      </c>
      <c r="H137" s="9"/>
      <c r="I137" s="9"/>
      <c r="J137" s="560" t="str" cm="1">
        <f t="array" ref="J137">IF(ISBLANK(I137), IF(ISBLANK(H137), "N/A", _xlfn.IFS(K137="AS", H137+15, K137="NCR", H137+30, K137="submitted", H137+30, TRUE, "N/A")), _xlfn.IFS(K137="AS", I137+15, K137="NCR", I137+30, K137="submitted", I137+30, TRUE, "N/A"))</f>
        <v>N/A</v>
      </c>
      <c r="K137" s="14"/>
      <c r="L137" s="318"/>
      <c r="M137" s="772"/>
      <c r="N137" s="773"/>
      <c r="O137" s="773"/>
      <c r="P137" s="774"/>
    </row>
    <row r="138" spans="1:16" s="1" customFormat="1" ht="27">
      <c r="A138" s="9"/>
      <c r="B138" s="33"/>
      <c r="C138" s="39"/>
      <c r="D138" s="39"/>
      <c r="F138" s="9" t="s">
        <v>479</v>
      </c>
      <c r="G138" s="7" t="s">
        <v>485</v>
      </c>
      <c r="H138" s="9"/>
      <c r="I138" s="9"/>
      <c r="J138" s="560" t="str" cm="1">
        <f t="array" ref="J138">IF(ISBLANK(I138), IF(ISBLANK(H138), "N/A", _xlfn.IFS(K138="AS", H138+15, K138="NCR", H138+30, K138="submitted", H138+30, TRUE, "N/A")), _xlfn.IFS(K138="AS", I138+15, K138="NCR", I138+30, K138="submitted", I138+30, TRUE, "N/A"))</f>
        <v>N/A</v>
      </c>
      <c r="K138" s="14"/>
      <c r="L138" s="318"/>
      <c r="M138" s="772"/>
      <c r="N138" s="773"/>
      <c r="O138" s="773"/>
      <c r="P138" s="774"/>
    </row>
    <row r="139" spans="1:16" s="1" customFormat="1">
      <c r="A139" s="9"/>
      <c r="B139" s="33"/>
      <c r="C139" s="39"/>
      <c r="D139" s="39"/>
      <c r="F139" s="9" t="s">
        <v>486</v>
      </c>
      <c r="G139" s="7" t="s">
        <v>487</v>
      </c>
      <c r="H139" s="9"/>
      <c r="I139" s="9"/>
      <c r="J139" s="560" t="str" cm="1">
        <f t="array" ref="J139">IF(ISBLANK(I139), IF(ISBLANK(H139), "N/A", _xlfn.IFS(K139="AS", H139+15, K139="NCR", H139+30, K139="submitted", H139+30, TRUE, "N/A")), _xlfn.IFS(K139="AS", I139+15, K139="NCR", I139+30, K139="submitted", I139+30, TRUE, "N/A"))</f>
        <v>N/A</v>
      </c>
      <c r="K139" s="14"/>
      <c r="L139" s="318"/>
      <c r="M139" s="772"/>
      <c r="N139" s="773"/>
      <c r="O139" s="773"/>
      <c r="P139" s="774"/>
    </row>
    <row r="140" spans="1:16" s="1" customFormat="1" ht="27">
      <c r="A140" s="9"/>
      <c r="B140" s="33"/>
      <c r="C140" s="39"/>
      <c r="D140" s="39"/>
      <c r="F140" s="9" t="s">
        <v>488</v>
      </c>
      <c r="G140" s="7" t="s">
        <v>377</v>
      </c>
      <c r="H140" s="9"/>
      <c r="I140" s="9"/>
      <c r="J140" s="560" t="str" cm="1">
        <f t="array" ref="J140">IF(ISBLANK(I140), IF(ISBLANK(H140), "N/A", _xlfn.IFS(K140="AS", H140+15, K140="NCR", H140+30, K140="submitted", H140+30, TRUE, "N/A")), _xlfn.IFS(K140="AS", I140+15, K140="NCR", I140+30, K140="submitted", I140+30, TRUE, "N/A"))</f>
        <v>N/A</v>
      </c>
      <c r="K140" s="14"/>
      <c r="L140" s="318"/>
      <c r="M140" s="772"/>
      <c r="N140" s="773"/>
      <c r="O140" s="773"/>
      <c r="P140" s="774"/>
    </row>
    <row r="141" spans="1:16" s="1" customFormat="1">
      <c r="A141" s="9"/>
      <c r="B141" s="33"/>
      <c r="C141" s="39"/>
      <c r="D141" s="39"/>
      <c r="F141" s="9" t="s">
        <v>489</v>
      </c>
      <c r="G141" s="13" t="s">
        <v>490</v>
      </c>
      <c r="H141" s="9"/>
      <c r="I141" s="9"/>
      <c r="J141" s="560" t="str" cm="1">
        <f t="array" ref="J141">IF(ISBLANK(I141), IF(ISBLANK(H141), "N/A", _xlfn.IFS(K141="AS", H141+15, K141="NCR", H141+30, K141="submitted", H141+30, TRUE, "N/A")), _xlfn.IFS(K141="AS", I141+15, K141="NCR", I141+30, K141="submitted", I141+30, TRUE, "N/A"))</f>
        <v>N/A</v>
      </c>
      <c r="K141" s="14"/>
      <c r="L141" s="318"/>
      <c r="M141" s="772"/>
      <c r="N141" s="773"/>
      <c r="O141" s="773"/>
      <c r="P141" s="774"/>
    </row>
    <row r="142" spans="1:16" s="1" customFormat="1">
      <c r="A142" s="9"/>
      <c r="B142" s="33"/>
      <c r="C142" s="39"/>
      <c r="D142" s="39"/>
      <c r="F142" s="9" t="s">
        <v>481</v>
      </c>
      <c r="G142" s="13" t="s">
        <v>482</v>
      </c>
      <c r="H142" s="9"/>
      <c r="I142" s="9"/>
      <c r="J142" s="560" t="str" cm="1">
        <f t="array" ref="J142">IF(ISBLANK(I142), IF(ISBLANK(H142), "N/A", _xlfn.IFS(K142="AS", H142+15, K142="NCR", H142+30, K142="submitted", H142+30, TRUE, "N/A")), _xlfn.IFS(K142="AS", I142+15, K142="NCR", I142+30, K142="submitted", I142+30, TRUE, "N/A"))</f>
        <v>N/A</v>
      </c>
      <c r="K142" s="14"/>
      <c r="L142" s="318"/>
      <c r="M142" s="772"/>
      <c r="N142" s="773"/>
      <c r="O142" s="773"/>
      <c r="P142" s="774"/>
    </row>
    <row r="143" spans="1:16" s="1" customFormat="1" ht="27">
      <c r="A143" s="9"/>
      <c r="B143" s="97"/>
      <c r="C143" s="46"/>
      <c r="D143" s="46"/>
      <c r="F143" s="9" t="s">
        <v>491</v>
      </c>
      <c r="G143" s="7" t="s">
        <v>492</v>
      </c>
      <c r="H143" s="9"/>
      <c r="I143" s="9"/>
      <c r="J143" s="560" t="str" cm="1">
        <f t="array" ref="J143">IF(ISBLANK(I143), IF(ISBLANK(H143), "N/A", _xlfn.IFS(K143="AS", H143+15, K143="NCR", H143+30, K143="submitted", H143+30, TRUE, "N/A")), _xlfn.IFS(K143="AS", I143+15, K143="NCR", I143+30, K143="submitted", I143+30, TRUE, "N/A"))</f>
        <v>N/A</v>
      </c>
      <c r="K143" s="14"/>
      <c r="L143" s="318"/>
      <c r="M143" s="772"/>
      <c r="N143" s="773"/>
      <c r="O143" s="773"/>
      <c r="P143" s="774"/>
    </row>
    <row r="144" spans="1:16" s="5" customFormat="1">
      <c r="A144" s="4"/>
      <c r="B144" s="86" t="s">
        <v>493</v>
      </c>
      <c r="C144" s="34" t="s">
        <v>494</v>
      </c>
      <c r="D144" s="34"/>
      <c r="F144" s="4" t="s">
        <v>275</v>
      </c>
      <c r="G144" s="17" t="s">
        <v>229</v>
      </c>
      <c r="H144" s="4"/>
      <c r="I144" s="4"/>
      <c r="J144" s="560" t="str" cm="1">
        <f t="array" ref="J144">IF(ISBLANK(I144), IF(ISBLANK(H144), "N/A", _xlfn.IFS(K144="AS", H144+15, K144="NCR", H144+30, K144="submitted", H144+30, TRUE, "N/A")), _xlfn.IFS(K144="AS", I144+15, K144="NCR", I144+30, K144="submitted", I144+30, TRUE, "N/A"))</f>
        <v>N/A</v>
      </c>
      <c r="K144" s="18"/>
      <c r="L144" s="318"/>
      <c r="M144" s="772"/>
      <c r="N144" s="773"/>
      <c r="O144" s="773"/>
      <c r="P144" s="774"/>
    </row>
    <row r="145" spans="1:16" s="5" customFormat="1">
      <c r="A145" s="19"/>
      <c r="B145" s="111"/>
      <c r="C145" s="35"/>
      <c r="D145" s="35"/>
      <c r="F145" s="19" t="s">
        <v>263</v>
      </c>
      <c r="G145" s="34" t="s">
        <v>469</v>
      </c>
      <c r="H145" s="19"/>
      <c r="I145" s="19"/>
      <c r="J145" s="560" t="str" cm="1">
        <f t="array" ref="J145">IF(ISBLANK(I145), IF(ISBLANK(H145), "N/A", _xlfn.IFS(K145="AS", H145+15, K145="NCR", H145+30, K145="submitted", H145+30, TRUE, "N/A")), _xlfn.IFS(K145="AS", I145+15, K145="NCR", I145+30, K145="submitted", I145+30, TRUE, "N/A"))</f>
        <v>N/A</v>
      </c>
      <c r="K145" s="30"/>
      <c r="L145" s="318"/>
      <c r="M145" s="772"/>
      <c r="N145" s="773"/>
      <c r="O145" s="773"/>
      <c r="P145" s="774"/>
    </row>
    <row r="146" spans="1:16" s="5" customFormat="1" ht="27">
      <c r="A146" s="19"/>
      <c r="B146" s="111"/>
      <c r="C146" s="35"/>
      <c r="D146" s="35"/>
      <c r="F146" s="19" t="s">
        <v>364</v>
      </c>
      <c r="G146" s="53" t="s">
        <v>377</v>
      </c>
      <c r="H146" s="19"/>
      <c r="I146" s="19"/>
      <c r="J146" s="560" t="str" cm="1">
        <f t="array" ref="J146">IF(ISBLANK(I146), IF(ISBLANK(H146), "N/A", _xlfn.IFS(K146="AS", H146+15, K146="NCR", H146+30, K146="submitted", H146+30, TRUE, "N/A")), _xlfn.IFS(K146="AS", I146+15, K146="NCR", I146+30, K146="submitted", I146+30, TRUE, "N/A"))</f>
        <v>N/A</v>
      </c>
      <c r="K146" s="30"/>
      <c r="L146" s="318"/>
      <c r="M146" s="772"/>
      <c r="N146" s="773"/>
      <c r="O146" s="773"/>
      <c r="P146" s="774"/>
    </row>
    <row r="147" spans="1:16" s="5" customFormat="1" ht="27">
      <c r="A147" s="19"/>
      <c r="B147" s="95"/>
      <c r="C147" s="36"/>
      <c r="D147" s="35"/>
      <c r="F147" s="19" t="s">
        <v>495</v>
      </c>
      <c r="G147" s="53" t="s">
        <v>472</v>
      </c>
      <c r="H147" s="19"/>
      <c r="I147" s="19"/>
      <c r="J147" s="560" t="str" cm="1">
        <f t="array" ref="J147">IF(ISBLANK(I147), IF(ISBLANK(H147), "N/A", _xlfn.IFS(K147="AS", H147+15, K147="NCR", H147+30, K147="submitted", H147+30, TRUE, "N/A")), _xlfn.IFS(K147="AS", I147+15, K147="NCR", I147+30, K147="submitted", I147+30, TRUE, "N/A"))</f>
        <v>N/A</v>
      </c>
      <c r="K147" s="30"/>
      <c r="L147" s="318"/>
      <c r="M147" s="772"/>
      <c r="N147" s="773"/>
      <c r="O147" s="773"/>
      <c r="P147" s="774"/>
    </row>
    <row r="148" spans="1:16" s="1" customFormat="1">
      <c r="A148" s="38"/>
      <c r="B148" s="32" t="s">
        <v>496</v>
      </c>
      <c r="C148" s="37" t="s">
        <v>497</v>
      </c>
      <c r="D148" s="37"/>
      <c r="F148" s="38" t="s">
        <v>275</v>
      </c>
      <c r="G148" s="40" t="s">
        <v>229</v>
      </c>
      <c r="H148" s="38"/>
      <c r="I148" s="38"/>
      <c r="J148" s="560" t="str" cm="1">
        <f t="array" ref="J148">IF(ISBLANK(I148), IF(ISBLANK(H148), "N/A", _xlfn.IFS(K148="AS", H148+15, K148="NCR", H148+30, K148="submitted", H148+30, TRUE, "N/A")), _xlfn.IFS(K148="AS", I148+15, K148="NCR", I148+30, K148="submitted", I148+30, TRUE, "N/A"))</f>
        <v>N/A</v>
      </c>
      <c r="K148" s="41"/>
      <c r="L148" s="318"/>
      <c r="M148" s="772"/>
      <c r="N148" s="773"/>
      <c r="O148" s="773"/>
      <c r="P148" s="774"/>
    </row>
    <row r="149" spans="1:16" s="1" customFormat="1" ht="15.75" customHeight="1">
      <c r="A149" s="38"/>
      <c r="B149" s="33"/>
      <c r="C149" s="39"/>
      <c r="D149" s="39"/>
      <c r="F149" s="38" t="s">
        <v>263</v>
      </c>
      <c r="G149" s="40" t="s">
        <v>498</v>
      </c>
      <c r="H149" s="38"/>
      <c r="I149" s="38"/>
      <c r="J149" s="560" t="str" cm="1">
        <f t="array" ref="J149">IF(ISBLANK(I149), IF(ISBLANK(H149), "N/A", _xlfn.IFS(K149="AS", H149+15, K149="NCR", H149+30, K149="submitted", H149+30, TRUE, "N/A")), _xlfn.IFS(K149="AS", I149+15, K149="NCR", I149+30, K149="submitted", I149+30, TRUE, "N/A"))</f>
        <v>N/A</v>
      </c>
      <c r="K149" s="41"/>
      <c r="L149" s="318"/>
      <c r="M149" s="772"/>
      <c r="N149" s="773"/>
      <c r="O149" s="773"/>
      <c r="P149" s="774"/>
    </row>
    <row r="150" spans="1:16" s="1" customFormat="1" ht="15" customHeight="1">
      <c r="A150" s="38"/>
      <c r="B150" s="33"/>
      <c r="C150" s="39"/>
      <c r="D150" s="39"/>
      <c r="F150" s="38" t="s">
        <v>253</v>
      </c>
      <c r="G150" s="40" t="s">
        <v>499</v>
      </c>
      <c r="H150" s="38"/>
      <c r="I150" s="38"/>
      <c r="J150" s="560" t="str" cm="1">
        <f t="array" ref="J150">IF(ISBLANK(I150), IF(ISBLANK(H150), "N/A", _xlfn.IFS(K150="AS", H150+15, K150="NCR", H150+30, K150="submitted", H150+30, TRUE, "N/A")), _xlfn.IFS(K150="AS", I150+15, K150="NCR", I150+30, K150="submitted", I150+30, TRUE, "N/A"))</f>
        <v>N/A</v>
      </c>
      <c r="K150" s="41"/>
      <c r="L150" s="318"/>
      <c r="M150" s="772"/>
      <c r="N150" s="773"/>
      <c r="O150" s="773"/>
      <c r="P150" s="774"/>
    </row>
    <row r="151" spans="1:16" s="1" customFormat="1" ht="15" customHeight="1">
      <c r="A151" s="38"/>
      <c r="B151" s="33"/>
      <c r="C151" s="39"/>
      <c r="D151" s="39"/>
      <c r="F151" s="38" t="s">
        <v>344</v>
      </c>
      <c r="G151" s="40" t="s">
        <v>333</v>
      </c>
      <c r="H151" s="38"/>
      <c r="I151" s="38"/>
      <c r="J151" s="560" t="str" cm="1">
        <f t="array" ref="J151">IF(ISBLANK(I151), IF(ISBLANK(H151), "N/A", _xlfn.IFS(K151="AS", H151+15, K151="NCR", H151+30, K151="submitted", H151+30, TRUE, "N/A")), _xlfn.IFS(K151="AS", I151+15, K151="NCR", I151+30, K151="submitted", I151+30, TRUE, "N/A"))</f>
        <v>N/A</v>
      </c>
      <c r="K151" s="41"/>
      <c r="L151" s="318"/>
      <c r="M151" s="772"/>
      <c r="N151" s="773"/>
      <c r="O151" s="773"/>
      <c r="P151" s="774"/>
    </row>
    <row r="152" spans="1:16" s="1" customFormat="1" ht="27">
      <c r="A152" s="38"/>
      <c r="B152" s="33"/>
      <c r="C152" s="39"/>
      <c r="D152" s="39"/>
      <c r="F152" s="38" t="s">
        <v>346</v>
      </c>
      <c r="G152" s="40" t="s">
        <v>500</v>
      </c>
      <c r="H152" s="38"/>
      <c r="I152" s="38"/>
      <c r="J152" s="560" t="str" cm="1">
        <f t="array" ref="J152">IF(ISBLANK(I152), IF(ISBLANK(H152), "N/A", _xlfn.IFS(K152="AS", H152+15, K152="NCR", H152+30, K152="submitted", H152+30, TRUE, "N/A")), _xlfn.IFS(K152="AS", I152+15, K152="NCR", I152+30, K152="submitted", I152+30, TRUE, "N/A"))</f>
        <v>N/A</v>
      </c>
      <c r="K152" s="41"/>
      <c r="L152" s="318"/>
      <c r="M152" s="772"/>
      <c r="N152" s="773"/>
      <c r="O152" s="773"/>
      <c r="P152" s="774"/>
    </row>
    <row r="153" spans="1:16" s="1" customFormat="1" ht="15" customHeight="1">
      <c r="A153" s="38"/>
      <c r="B153" s="33"/>
      <c r="C153" s="39"/>
      <c r="D153" s="39"/>
      <c r="F153" s="38" t="s">
        <v>348</v>
      </c>
      <c r="G153" s="40" t="s">
        <v>276</v>
      </c>
      <c r="H153" s="38"/>
      <c r="I153" s="38"/>
      <c r="J153" s="560" t="str" cm="1">
        <f t="array" ref="J153">IF(ISBLANK(I153), IF(ISBLANK(H153), "N/A", _xlfn.IFS(K153="AS", H153+15, K153="NCR", H153+30, K153="submitted", H153+30, TRUE, "N/A")), _xlfn.IFS(K153="AS", I153+15, K153="NCR", I153+30, K153="submitted", I153+30, TRUE, "N/A"))</f>
        <v>N/A</v>
      </c>
      <c r="K153" s="41"/>
      <c r="L153" s="318"/>
      <c r="M153" s="772"/>
      <c r="N153" s="773"/>
      <c r="O153" s="773"/>
      <c r="P153" s="774"/>
    </row>
    <row r="154" spans="1:16" s="1" customFormat="1" ht="15" customHeight="1">
      <c r="A154" s="38"/>
      <c r="B154" s="33"/>
      <c r="C154" s="39"/>
      <c r="D154" s="39"/>
      <c r="F154" s="38" t="s">
        <v>350</v>
      </c>
      <c r="G154" s="40" t="s">
        <v>476</v>
      </c>
      <c r="H154" s="38"/>
      <c r="I154" s="38"/>
      <c r="J154" s="560" t="str" cm="1">
        <f t="array" ref="J154">IF(ISBLANK(I154), IF(ISBLANK(H154), "N/A", _xlfn.IFS(K154="AS", H154+15, K154="NCR", H154+30, K154="submitted", H154+30, TRUE, "N/A")), _xlfn.IFS(K154="AS", I154+15, K154="NCR", I154+30, K154="submitted", I154+30, TRUE, "N/A"))</f>
        <v>N/A</v>
      </c>
      <c r="K154" s="41"/>
      <c r="L154" s="318"/>
      <c r="M154" s="772"/>
      <c r="N154" s="773"/>
      <c r="O154" s="773"/>
      <c r="P154" s="774"/>
    </row>
    <row r="155" spans="1:16" s="94" customFormat="1" ht="15.75" customHeight="1">
      <c r="A155" s="90"/>
      <c r="B155" s="373"/>
      <c r="C155" s="91"/>
      <c r="D155" s="91"/>
      <c r="F155" s="90" t="s">
        <v>354</v>
      </c>
      <c r="G155" s="98" t="s">
        <v>501</v>
      </c>
      <c r="H155" s="90"/>
      <c r="I155" s="90"/>
      <c r="J155" s="560" t="str" cm="1">
        <f t="array" ref="J155">IF(ISBLANK(I155), IF(ISBLANK(H155), "N/A", _xlfn.IFS(K155="AS", H155+15, K155="NCR", H155+30, K155="submitted", H155+30, TRUE, "N/A")), _xlfn.IFS(K155="AS", I155+15, K155="NCR", I155+30, K155="submitted", I155+30, TRUE, "N/A"))</f>
        <v>N/A</v>
      </c>
      <c r="K155" s="93"/>
      <c r="L155" s="318"/>
      <c r="M155" s="772"/>
      <c r="N155" s="773"/>
      <c r="O155" s="773"/>
      <c r="P155" s="774"/>
    </row>
    <row r="156" spans="1:16" s="5" customFormat="1">
      <c r="A156" s="73"/>
      <c r="B156" s="800" t="s">
        <v>502</v>
      </c>
      <c r="C156" s="801" t="s">
        <v>503</v>
      </c>
      <c r="D156" s="35"/>
      <c r="E156" s="35"/>
      <c r="F156" s="73" t="s">
        <v>504</v>
      </c>
      <c r="G156" s="36" t="s">
        <v>229</v>
      </c>
      <c r="H156" s="18"/>
      <c r="I156" s="18"/>
      <c r="J156" s="560" t="str" cm="1">
        <f t="array" ref="J156">IF(ISBLANK(I156), IF(ISBLANK(H156), "N/A", _xlfn.IFS(K156="AS", H156+15, K156="NCR", H156+30, K156="submitted", H156+30, TRUE, "N/A")), _xlfn.IFS(K156="AS", I156+15, K156="NCR", I156+30, K156="submitted", I156+30, TRUE, "N/A"))</f>
        <v>N/A</v>
      </c>
      <c r="K156"/>
      <c r="L156" s="318"/>
      <c r="M156" s="772"/>
      <c r="N156" s="773"/>
      <c r="O156" s="773"/>
      <c r="P156" s="774"/>
    </row>
    <row r="157" spans="1:16" s="5" customFormat="1">
      <c r="A157" s="73"/>
      <c r="B157" s="798"/>
      <c r="C157" s="799"/>
      <c r="D157" s="35"/>
      <c r="E157" s="35"/>
      <c r="F157" s="73" t="s">
        <v>505</v>
      </c>
      <c r="G157" s="36" t="s">
        <v>276</v>
      </c>
      <c r="H157" s="18"/>
      <c r="I157" s="18"/>
      <c r="J157" s="560" t="str" cm="1">
        <f t="array" ref="J157">IF(ISBLANK(I157), IF(ISBLANK(H157), "N/A", _xlfn.IFS(K157="AS", H157+15, K157="NCR", H157+30, K157="submitted", H157+30, TRUE, "N/A")), _xlfn.IFS(K157="AS", I157+15, K157="NCR", I157+30, K157="submitted", I157+30, TRUE, "N/A"))</f>
        <v>N/A</v>
      </c>
      <c r="K157"/>
      <c r="L157" s="318"/>
      <c r="M157" s="772"/>
      <c r="N157" s="773"/>
      <c r="O157" s="773"/>
      <c r="P157" s="774"/>
    </row>
    <row r="158" spans="1:16" s="5" customFormat="1">
      <c r="A158" s="73"/>
      <c r="B158" s="798"/>
      <c r="C158" s="799"/>
      <c r="D158" s="35"/>
      <c r="E158" s="35"/>
      <c r="F158" s="73" t="s">
        <v>506</v>
      </c>
      <c r="G158" s="36" t="s">
        <v>345</v>
      </c>
      <c r="H158" s="18"/>
      <c r="I158" s="18"/>
      <c r="J158" s="560" t="str" cm="1">
        <f t="array" ref="J158">IF(ISBLANK(I158), IF(ISBLANK(H158), "N/A", _xlfn.IFS(K158="AS", H158+15, K158="NCR", H158+30, K158="submitted", H158+30, TRUE, "N/A")), _xlfn.IFS(K158="AS", I158+15, K158="NCR", I158+30, K158="submitted", I158+30, TRUE, "N/A"))</f>
        <v>N/A</v>
      </c>
      <c r="K158"/>
      <c r="L158" s="318"/>
      <c r="M158" s="772"/>
      <c r="N158" s="773"/>
      <c r="O158" s="773"/>
      <c r="P158" s="774"/>
    </row>
    <row r="159" spans="1:16" s="5" customFormat="1">
      <c r="A159" s="73"/>
      <c r="B159" s="798"/>
      <c r="C159" s="799"/>
      <c r="D159" s="35"/>
      <c r="E159" s="35"/>
      <c r="F159" s="73" t="s">
        <v>507</v>
      </c>
      <c r="G159" s="36" t="s">
        <v>372</v>
      </c>
      <c r="H159" s="18"/>
      <c r="I159" s="18"/>
      <c r="J159" s="560" t="str" cm="1">
        <f t="array" ref="J159">IF(ISBLANK(I159), IF(ISBLANK(H159), "N/A", _xlfn.IFS(K159="AS", H159+15, K159="NCR", H159+30, K159="submitted", H159+30, TRUE, "N/A")), _xlfn.IFS(K159="AS", I159+15, K159="NCR", I159+30, K159="submitted", I159+30, TRUE, "N/A"))</f>
        <v>N/A</v>
      </c>
      <c r="K159"/>
      <c r="L159" s="318"/>
      <c r="M159" s="772"/>
      <c r="N159" s="773"/>
      <c r="O159" s="773"/>
      <c r="P159" s="774"/>
    </row>
    <row r="160" spans="1:16" s="5" customFormat="1">
      <c r="A160" s="73"/>
      <c r="B160" s="798"/>
      <c r="C160" s="799"/>
      <c r="D160" s="35"/>
      <c r="E160" s="35"/>
      <c r="F160" s="73" t="s">
        <v>508</v>
      </c>
      <c r="G160" s="36" t="s">
        <v>509</v>
      </c>
      <c r="H160" s="18"/>
      <c r="I160" s="18"/>
      <c r="J160" s="560" t="str" cm="1">
        <f t="array" ref="J160">IF(ISBLANK(I160), IF(ISBLANK(H160), "N/A", _xlfn.IFS(K160="AS", H160+15, K160="NCR", H160+30, K160="submitted", H160+30, TRUE, "N/A")), _xlfn.IFS(K160="AS", I160+15, K160="NCR", I160+30, K160="submitted", I160+30, TRUE, "N/A"))</f>
        <v>N/A</v>
      </c>
      <c r="K160"/>
      <c r="L160" s="318"/>
      <c r="M160" s="772"/>
      <c r="N160" s="773"/>
      <c r="O160" s="773"/>
      <c r="P160" s="774"/>
    </row>
    <row r="161" spans="1:16" s="5" customFormat="1">
      <c r="A161" s="73"/>
      <c r="B161" s="795"/>
      <c r="C161" s="797"/>
      <c r="D161" s="36"/>
      <c r="E161" s="36"/>
      <c r="F161" s="73" t="s">
        <v>510</v>
      </c>
      <c r="G161" s="36" t="s">
        <v>511</v>
      </c>
      <c r="H161" s="18"/>
      <c r="I161" s="18"/>
      <c r="J161" s="560" t="str" cm="1">
        <f t="array" ref="J161">IF(ISBLANK(I161), IF(ISBLANK(H161), "N/A", _xlfn.IFS(K161="AS", H161+15, K161="NCR", H161+30, K161="submitted", H161+30, TRUE, "N/A")), _xlfn.IFS(K161="AS", I161+15, K161="NCR", I161+30, K161="submitted", I161+30, TRUE, "N/A"))</f>
        <v>N/A</v>
      </c>
      <c r="K161"/>
      <c r="L161" s="318"/>
      <c r="M161" s="772"/>
      <c r="N161" s="773"/>
      <c r="O161" s="773"/>
      <c r="P161" s="774"/>
    </row>
    <row r="162" spans="1:16" s="1" customFormat="1">
      <c r="A162" s="9" t="s">
        <v>512</v>
      </c>
      <c r="B162" s="32" t="s">
        <v>513</v>
      </c>
      <c r="C162" s="2" t="s">
        <v>514</v>
      </c>
      <c r="D162" s="37" t="s">
        <v>515</v>
      </c>
      <c r="E162" s="37" t="s">
        <v>516</v>
      </c>
      <c r="F162" s="9" t="s">
        <v>328</v>
      </c>
      <c r="G162" s="13" t="s">
        <v>229</v>
      </c>
      <c r="H162" s="18">
        <v>45929</v>
      </c>
      <c r="I162" s="18"/>
      <c r="J162" s="560" cm="1">
        <f t="array" ref="J162">IF(ISBLANK(I162), IF(ISBLANK(H162), "N/A", _xlfn.IFS(K162="AS", H162+15, K162="NCR", H162+30, K162="submitted", H162+30, TRUE, "N/A")), _xlfn.IFS(K162="AS", I162+15, K162="NCR", I162+30, K162="submitted", I162+30, TRUE, "N/A"))</f>
        <v>45959</v>
      </c>
      <c r="K162" t="s">
        <v>311</v>
      </c>
      <c r="L162" s="318"/>
      <c r="M162" s="772"/>
      <c r="N162" s="773"/>
      <c r="O162" s="773"/>
      <c r="P162" s="774"/>
    </row>
    <row r="163" spans="1:16" s="528" customFormat="1">
      <c r="A163" s="526" t="s">
        <v>67</v>
      </c>
      <c r="B163" s="540" t="s">
        <v>513</v>
      </c>
      <c r="C163" s="534" t="s">
        <v>514</v>
      </c>
      <c r="D163" s="613" t="s">
        <v>68</v>
      </c>
      <c r="E163" s="613"/>
      <c r="F163" s="526" t="s">
        <v>517</v>
      </c>
      <c r="G163" s="535" t="s">
        <v>518</v>
      </c>
      <c r="H163" s="536">
        <v>45888</v>
      </c>
      <c r="I163" s="536">
        <v>45910</v>
      </c>
      <c r="J163" s="560" t="str" cm="1">
        <f t="array" ref="J163">IF(ISBLANK(I163), IF(ISBLANK(H163), "N/A", _xlfn.IFS(K163="AS", H163+15, K163="NCR", H163+30, K163="submitted", H163+30, TRUE, "N/A")), _xlfn.IFS(K163="AS", I163+15, K163="NCR", I163+30, K163="submitted", I163+30, TRUE, "N/A"))</f>
        <v>N/A</v>
      </c>
      <c r="K163" s="531" t="s">
        <v>146</v>
      </c>
      <c r="L163" s="318"/>
      <c r="M163" s="772"/>
      <c r="N163" s="773"/>
      <c r="O163" s="773"/>
      <c r="P163" s="774"/>
    </row>
    <row r="164" spans="1:16" s="528" customFormat="1">
      <c r="A164" s="526" t="s">
        <v>519</v>
      </c>
      <c r="B164" s="540" t="s">
        <v>513</v>
      </c>
      <c r="C164" s="534" t="s">
        <v>514</v>
      </c>
      <c r="D164" s="613" t="s">
        <v>68</v>
      </c>
      <c r="E164" s="613"/>
      <c r="F164" s="526" t="s">
        <v>517</v>
      </c>
      <c r="G164" s="535" t="s">
        <v>518</v>
      </c>
      <c r="H164" s="536">
        <v>45911</v>
      </c>
      <c r="I164" s="536"/>
      <c r="J164" s="560" cm="1">
        <f t="array" ref="J164">IF(ISBLANK(I164), IF(ISBLANK(H164), "N/A", _xlfn.IFS(K164="AS", H164+15, K164="NCR", H164+30, K164="submitted", H164+30, TRUE, "N/A")), _xlfn.IFS(K164="AS", I164+15, K164="NCR", I164+30, K164="submitted", I164+30, TRUE, "N/A"))</f>
        <v>45941</v>
      </c>
      <c r="K164" s="531" t="s">
        <v>311</v>
      </c>
      <c r="L164" s="318"/>
      <c r="M164" s="772"/>
      <c r="N164" s="773"/>
      <c r="O164" s="773"/>
      <c r="P164" s="774"/>
    </row>
    <row r="165" spans="1:16" s="1" customFormat="1">
      <c r="A165" s="9"/>
      <c r="B165" s="32" t="s">
        <v>513</v>
      </c>
      <c r="C165" s="2" t="s">
        <v>514</v>
      </c>
      <c r="D165" s="46"/>
      <c r="E165" s="46"/>
      <c r="F165" s="9" t="s">
        <v>329</v>
      </c>
      <c r="G165" s="13" t="s">
        <v>345</v>
      </c>
      <c r="H165" s="18"/>
      <c r="I165" s="18"/>
      <c r="J165" s="560" t="str" cm="1">
        <f t="array" ref="J165">IF(ISBLANK(I165), IF(ISBLANK(H165), "N/A", _xlfn.IFS(K165="AS", H165+15, K165="NCR", H165+30, K165="submitted", H165+30, TRUE, "N/A")), _xlfn.IFS(K165="AS", I165+15, K165="NCR", I165+30, K165="submitted", I165+30, TRUE, "N/A"))</f>
        <v>N/A</v>
      </c>
      <c r="K165"/>
      <c r="L165" s="318"/>
      <c r="M165" s="772"/>
      <c r="N165" s="773"/>
      <c r="O165" s="773"/>
      <c r="P165" s="774"/>
    </row>
    <row r="166" spans="1:16" s="5" customFormat="1">
      <c r="A166" s="4"/>
      <c r="B166" s="794" t="s">
        <v>520</v>
      </c>
      <c r="C166" s="796" t="s">
        <v>521</v>
      </c>
      <c r="D166" s="34"/>
      <c r="E166" s="34"/>
      <c r="F166" s="4" t="s">
        <v>205</v>
      </c>
      <c r="G166" s="17" t="s">
        <v>476</v>
      </c>
      <c r="H166" s="18"/>
      <c r="I166" s="18"/>
      <c r="J166" s="560" t="str" cm="1">
        <f t="array" ref="J166">IF(ISBLANK(I166), IF(ISBLANK(H166), "N/A", _xlfn.IFS(K166="AS", H166+15, K166="NCR", H166+30, K166="submitted", H166+30, TRUE, "N/A")), _xlfn.IFS(K166="AS", I166+15, K166="NCR", I166+30, K166="submitted", I166+30, TRUE, "N/A"))</f>
        <v>N/A</v>
      </c>
      <c r="K166"/>
      <c r="L166" s="318"/>
      <c r="M166" s="772"/>
      <c r="N166" s="773"/>
      <c r="O166" s="773"/>
      <c r="P166" s="774"/>
    </row>
    <row r="167" spans="1:16" s="5" customFormat="1">
      <c r="A167" s="4"/>
      <c r="B167" s="798"/>
      <c r="C167" s="799"/>
      <c r="D167" s="35"/>
      <c r="E167" s="35"/>
      <c r="F167" s="4" t="s">
        <v>275</v>
      </c>
      <c r="G167" s="17" t="s">
        <v>522</v>
      </c>
      <c r="H167" s="18"/>
      <c r="I167" s="18"/>
      <c r="J167" s="560" t="str" cm="1">
        <f t="array" ref="J167">IF(ISBLANK(I167), IF(ISBLANK(H167), "N/A", _xlfn.IFS(K167="AS", H167+15, K167="NCR", H167+30, K167="submitted", H167+30, TRUE, "N/A")), _xlfn.IFS(K167="AS", I167+15, K167="NCR", I167+30, K167="submitted", I167+30, TRUE, "N/A"))</f>
        <v>N/A</v>
      </c>
      <c r="K167"/>
      <c r="L167" s="318"/>
      <c r="M167" s="772"/>
      <c r="N167" s="773"/>
      <c r="O167" s="773"/>
      <c r="P167" s="774"/>
    </row>
    <row r="168" spans="1:16" s="5" customFormat="1">
      <c r="A168" s="4"/>
      <c r="B168" s="795"/>
      <c r="C168" s="797"/>
      <c r="D168" s="36"/>
      <c r="E168" s="36"/>
      <c r="F168" s="4" t="s">
        <v>263</v>
      </c>
      <c r="G168" s="17" t="s">
        <v>523</v>
      </c>
      <c r="H168" s="18"/>
      <c r="I168" s="18"/>
      <c r="J168" s="560" t="str" cm="1">
        <f t="array" ref="J168">IF(ISBLANK(I168), IF(ISBLANK(H168), "N/A", _xlfn.IFS(K168="AS", H168+15, K168="NCR", H168+30, K168="submitted", H168+30, TRUE, "N/A")), _xlfn.IFS(K168="AS", I168+15, K168="NCR", I168+30, K168="submitted", I168+30, TRUE, "N/A"))</f>
        <v>N/A</v>
      </c>
      <c r="K168"/>
      <c r="L168" s="318"/>
      <c r="M168" s="772"/>
      <c r="N168" s="773"/>
      <c r="O168" s="773"/>
      <c r="P168" s="774"/>
    </row>
    <row r="169" spans="1:16" s="1" customFormat="1">
      <c r="A169" s="9"/>
      <c r="B169" s="11" t="s">
        <v>524</v>
      </c>
      <c r="C169" s="13" t="s">
        <v>525</v>
      </c>
      <c r="D169" s="13"/>
      <c r="E169" s="13"/>
      <c r="F169" s="9" t="s">
        <v>275</v>
      </c>
      <c r="G169" s="13" t="s">
        <v>476</v>
      </c>
      <c r="H169" s="18"/>
      <c r="I169" s="18"/>
      <c r="J169" s="560" t="str" cm="1">
        <f t="array" ref="J169">IF(ISBLANK(I169), IF(ISBLANK(H169), "N/A", _xlfn.IFS(K169="AS", H169+15, K169="NCR", H169+30, K169="submitted", H169+30, TRUE, "N/A")), _xlfn.IFS(K169="AS", I169+15, K169="NCR", I169+30, K169="submitted", I169+30, TRUE, "N/A"))</f>
        <v>N/A</v>
      </c>
      <c r="K169"/>
      <c r="L169" s="318"/>
      <c r="M169" s="772"/>
      <c r="N169" s="773"/>
      <c r="O169" s="773"/>
      <c r="P169" s="774"/>
    </row>
    <row r="170" spans="1:16" s="5" customFormat="1">
      <c r="A170" s="4"/>
      <c r="B170" s="794" t="s">
        <v>526</v>
      </c>
      <c r="C170" s="796" t="s">
        <v>527</v>
      </c>
      <c r="D170" s="34"/>
      <c r="E170" s="34"/>
      <c r="F170" s="4" t="s">
        <v>275</v>
      </c>
      <c r="G170" s="17" t="s">
        <v>476</v>
      </c>
      <c r="H170" s="18"/>
      <c r="I170" s="18"/>
      <c r="J170" s="560" t="str" cm="1">
        <f t="array" ref="J170">IF(ISBLANK(I170), IF(ISBLANK(H170), "N/A", _xlfn.IFS(K170="AS", H170+15, K170="NCR", H170+30, K170="submitted", H170+30, TRUE, "N/A")), _xlfn.IFS(K170="AS", I170+15, K170="NCR", I170+30, K170="submitted", I170+30, TRUE, "N/A"))</f>
        <v>N/A</v>
      </c>
      <c r="K170"/>
      <c r="L170" s="318"/>
      <c r="M170" s="772"/>
      <c r="N170" s="773"/>
      <c r="O170" s="773"/>
      <c r="P170" s="774"/>
    </row>
    <row r="171" spans="1:16" s="5" customFormat="1">
      <c r="A171" s="4"/>
      <c r="B171" s="798"/>
      <c r="C171" s="799"/>
      <c r="D171" s="35"/>
      <c r="E171" s="35"/>
      <c r="F171" s="19" t="s">
        <v>263</v>
      </c>
      <c r="G171" s="34" t="s">
        <v>345</v>
      </c>
      <c r="H171" s="18"/>
      <c r="I171" s="18"/>
      <c r="J171" s="560" t="str" cm="1">
        <f t="array" ref="J171">IF(ISBLANK(I171), IF(ISBLANK(H171), "N/A", _xlfn.IFS(K171="AS", H171+15, K171="NCR", H171+30, K171="submitted", H171+30, TRUE, "N/A")), _xlfn.IFS(K171="AS", I171+15, K171="NCR", I171+30, K171="submitted", I171+30, TRUE, "N/A"))</f>
        <v>N/A</v>
      </c>
      <c r="K171"/>
      <c r="L171" s="318"/>
      <c r="M171" s="772"/>
      <c r="N171" s="773"/>
      <c r="O171" s="773"/>
      <c r="P171" s="774"/>
    </row>
    <row r="172" spans="1:16" s="5" customFormat="1">
      <c r="A172" s="4"/>
      <c r="B172" s="795"/>
      <c r="C172" s="797"/>
      <c r="D172" s="36"/>
      <c r="E172" s="36"/>
      <c r="F172" s="73"/>
      <c r="G172" s="36"/>
      <c r="H172" s="18"/>
      <c r="I172" s="18"/>
      <c r="J172" s="560" t="str" cm="1">
        <f t="array" ref="J172">IF(ISBLANK(I172), IF(ISBLANK(H172), "N/A", _xlfn.IFS(K172="AS", H172+15, K172="NCR", H172+30, K172="submitted", H172+30, TRUE, "N/A")), _xlfn.IFS(K172="AS", I172+15, K172="NCR", I172+30, K172="submitted", I172+30, TRUE, "N/A"))</f>
        <v>N/A</v>
      </c>
      <c r="K172"/>
      <c r="L172" s="318"/>
      <c r="M172" s="772"/>
      <c r="N172" s="773"/>
      <c r="O172" s="773"/>
      <c r="P172" s="774"/>
    </row>
    <row r="173" spans="1:16" s="1" customFormat="1">
      <c r="A173" s="9"/>
      <c r="B173" s="790" t="s">
        <v>528</v>
      </c>
      <c r="C173" s="792" t="s">
        <v>529</v>
      </c>
      <c r="D173" s="37"/>
      <c r="E173" s="37"/>
      <c r="F173" s="9" t="s">
        <v>275</v>
      </c>
      <c r="G173" s="13" t="s">
        <v>268</v>
      </c>
      <c r="H173" s="18"/>
      <c r="I173" s="18"/>
      <c r="J173" s="560" t="str" cm="1">
        <f t="array" ref="J173">IF(ISBLANK(I173), IF(ISBLANK(H173), "N/A", _xlfn.IFS(K173="AS", H173+15, K173="NCR", H173+30, K173="submitted", H173+30, TRUE, "N/A")), _xlfn.IFS(K173="AS", I173+15, K173="NCR", I173+30, K173="submitted", I173+30, TRUE, "N/A"))</f>
        <v>N/A</v>
      </c>
      <c r="K173"/>
      <c r="L173" s="318"/>
      <c r="M173" s="772"/>
      <c r="N173" s="773"/>
      <c r="O173" s="773"/>
      <c r="P173" s="774"/>
    </row>
    <row r="174" spans="1:16" s="1" customFormat="1">
      <c r="A174" s="9"/>
      <c r="B174" s="777"/>
      <c r="C174" s="779"/>
      <c r="D174" s="46"/>
      <c r="E174" s="46"/>
      <c r="F174" s="9" t="s">
        <v>263</v>
      </c>
      <c r="G174" s="13" t="s">
        <v>345</v>
      </c>
      <c r="H174" s="18"/>
      <c r="I174" s="18"/>
      <c r="J174" s="560" t="str" cm="1">
        <f t="array" ref="J174">IF(ISBLANK(I174), IF(ISBLANK(H174), "N/A", _xlfn.IFS(K174="AS", H174+15, K174="NCR", H174+30, K174="submitted", H174+30, TRUE, "N/A")), _xlfn.IFS(K174="AS", I174+15, K174="NCR", I174+30, K174="submitted", I174+30, TRUE, "N/A"))</f>
        <v>N/A</v>
      </c>
      <c r="K174"/>
      <c r="L174" s="318"/>
      <c r="M174" s="772"/>
      <c r="N174" s="773"/>
      <c r="O174" s="773"/>
      <c r="P174" s="774"/>
    </row>
    <row r="175" spans="1:16" s="26" customFormat="1">
      <c r="A175" s="22" t="s">
        <v>530</v>
      </c>
      <c r="B175" s="128" t="s">
        <v>531</v>
      </c>
      <c r="C175" s="129" t="s">
        <v>532</v>
      </c>
      <c r="D175" s="76" t="s">
        <v>533</v>
      </c>
      <c r="E175" s="76" t="s">
        <v>534</v>
      </c>
      <c r="F175" s="22" t="s">
        <v>220</v>
      </c>
      <c r="G175" s="24" t="s">
        <v>476</v>
      </c>
      <c r="H175" s="25">
        <v>45925</v>
      </c>
      <c r="I175" s="25"/>
      <c r="J175" s="560" cm="1">
        <f t="array" ref="J175">IF(ISBLANK(I175), IF(ISBLANK(H175), "N/A", _xlfn.IFS(K175="AS", H175+15, K175="NCR", H175+30, K175="submitted", H175+30, TRUE, "N/A")), _xlfn.IFS(K175="AS", I175+15, K175="NCR", I175+30, K175="submitted", I175+30, TRUE, "N/A"))</f>
        <v>45955</v>
      </c>
      <c r="K175" s="151" t="s">
        <v>154</v>
      </c>
      <c r="L175" s="318"/>
      <c r="M175" s="772"/>
      <c r="N175" s="773"/>
      <c r="O175" s="773"/>
      <c r="P175" s="774"/>
    </row>
    <row r="176" spans="1:16" s="5" customFormat="1">
      <c r="A176" s="4"/>
      <c r="B176" s="54" t="s">
        <v>531</v>
      </c>
      <c r="C176" s="55" t="s">
        <v>532</v>
      </c>
      <c r="D176" s="35"/>
      <c r="E176" s="35"/>
      <c r="F176" s="4" t="s">
        <v>535</v>
      </c>
      <c r="G176" s="17" t="s">
        <v>536</v>
      </c>
      <c r="H176" s="18"/>
      <c r="I176" s="18"/>
      <c r="J176" s="560" t="str" cm="1">
        <f t="array" ref="J176">IF(ISBLANK(I176), IF(ISBLANK(H176), "N/A", _xlfn.IFS(K176="AS", H176+15, K176="NCR", H176+30, K176="submitted", H176+30, TRUE, "N/A")), _xlfn.IFS(K176="AS", I176+15, K176="NCR", I176+30, K176="submitted", I176+30, TRUE, "N/A"))</f>
        <v>N/A</v>
      </c>
      <c r="K176"/>
      <c r="L176" s="318"/>
      <c r="M176" s="772"/>
      <c r="N176" s="773"/>
      <c r="O176" s="773"/>
      <c r="P176" s="774"/>
    </row>
    <row r="177" spans="1:16" s="5" customFormat="1">
      <c r="A177" s="4"/>
      <c r="B177" s="54" t="s">
        <v>531</v>
      </c>
      <c r="C177" s="55" t="s">
        <v>532</v>
      </c>
      <c r="D177" s="35"/>
      <c r="E177" s="35"/>
      <c r="F177" s="4" t="s">
        <v>537</v>
      </c>
      <c r="G177" s="17" t="s">
        <v>333</v>
      </c>
      <c r="H177" s="18"/>
      <c r="I177" s="18"/>
      <c r="J177" s="560" t="str" cm="1">
        <f t="array" ref="J177">IF(ISBLANK(I177), IF(ISBLANK(H177), "N/A", _xlfn.IFS(K177="AS", H177+15, K177="NCR", H177+30, K177="submitted", H177+30, TRUE, "N/A")), _xlfn.IFS(K177="AS", I177+15, K177="NCR", I177+30, K177="submitted", I177+30, TRUE, "N/A"))</f>
        <v>N/A</v>
      </c>
      <c r="K177"/>
      <c r="L177" s="318"/>
      <c r="M177" s="772"/>
      <c r="N177" s="773"/>
      <c r="O177" s="773"/>
      <c r="P177" s="774"/>
    </row>
    <row r="178" spans="1:16" s="5" customFormat="1">
      <c r="A178" s="4"/>
      <c r="B178" s="54" t="s">
        <v>531</v>
      </c>
      <c r="C178" s="55" t="s">
        <v>532</v>
      </c>
      <c r="D178" s="35"/>
      <c r="E178" s="35"/>
      <c r="F178" s="4" t="s">
        <v>538</v>
      </c>
      <c r="G178" s="17" t="s">
        <v>539</v>
      </c>
      <c r="H178" s="18"/>
      <c r="I178" s="18"/>
      <c r="J178" s="560" t="str" cm="1">
        <f t="array" ref="J178">IF(ISBLANK(I178), IF(ISBLANK(H178), "N/A", _xlfn.IFS(K178="AS", H178+15, K178="NCR", H178+30, K178="submitted", H178+30, TRUE, "N/A")), _xlfn.IFS(K178="AS", I178+15, K178="NCR", I178+30, K178="submitted", I178+30, TRUE, "N/A"))</f>
        <v>N/A</v>
      </c>
      <c r="K178"/>
      <c r="L178" s="318"/>
      <c r="M178" s="772"/>
      <c r="N178" s="773"/>
      <c r="O178" s="773"/>
      <c r="P178" s="774"/>
    </row>
    <row r="179" spans="1:16" s="5" customFormat="1">
      <c r="A179" s="4"/>
      <c r="B179" s="54" t="s">
        <v>531</v>
      </c>
      <c r="C179" s="55" t="s">
        <v>532</v>
      </c>
      <c r="D179" s="36"/>
      <c r="E179" s="36"/>
      <c r="F179" s="4" t="s">
        <v>540</v>
      </c>
      <c r="G179" s="17" t="s">
        <v>498</v>
      </c>
      <c r="H179" s="18"/>
      <c r="I179" s="18"/>
      <c r="J179" s="560" t="str" cm="1">
        <f t="array" ref="J179">IF(ISBLANK(I179), IF(ISBLANK(H179), "N/A", _xlfn.IFS(K179="AS", H179+15, K179="NCR", H179+30, K179="submitted", H179+30, TRUE, "N/A")), _xlfn.IFS(K179="AS", I179+15, K179="NCR", I179+30, K179="submitted", I179+30, TRUE, "N/A"))</f>
        <v>N/A</v>
      </c>
      <c r="K179"/>
      <c r="L179" s="318"/>
      <c r="M179" s="772"/>
      <c r="N179" s="773"/>
      <c r="O179" s="773"/>
      <c r="P179" s="774"/>
    </row>
    <row r="180" spans="1:16" s="1" customFormat="1" ht="27">
      <c r="A180" s="9"/>
      <c r="B180" s="11" t="s">
        <v>541</v>
      </c>
      <c r="C180" s="13" t="s">
        <v>542</v>
      </c>
      <c r="D180" s="13"/>
      <c r="E180" s="13" t="s">
        <v>543</v>
      </c>
      <c r="F180" s="9" t="s">
        <v>328</v>
      </c>
      <c r="G180" s="7" t="s">
        <v>544</v>
      </c>
      <c r="H180" s="18"/>
      <c r="I180" s="18"/>
      <c r="J180" s="560" t="str" cm="1">
        <f t="array" ref="J180">IF(ISBLANK(I180), IF(ISBLANK(H180), "N/A", _xlfn.IFS(K180="AS", H180+15, K180="NCR", H180+30, K180="submitted", H180+30, TRUE, "N/A")), _xlfn.IFS(K180="AS", I180+15, K180="NCR", I180+30, K180="submitted", I180+30, TRUE, "N/A"))</f>
        <v>N/A</v>
      </c>
      <c r="K180"/>
      <c r="L180" s="318"/>
      <c r="M180" s="772"/>
      <c r="N180" s="773"/>
      <c r="O180" s="773"/>
      <c r="P180" s="774"/>
    </row>
    <row r="181" spans="1:16" s="5" customFormat="1" ht="27">
      <c r="A181" s="4"/>
      <c r="B181" s="15" t="s">
        <v>545</v>
      </c>
      <c r="C181" s="17" t="s">
        <v>546</v>
      </c>
      <c r="D181" s="17"/>
      <c r="E181" s="17"/>
      <c r="F181" s="4" t="s">
        <v>275</v>
      </c>
      <c r="G181" s="3" t="s">
        <v>547</v>
      </c>
      <c r="H181" s="18"/>
      <c r="I181" s="18"/>
      <c r="J181" s="560" t="str" cm="1">
        <f t="array" ref="J181">IF(ISBLANK(I181), IF(ISBLANK(H181), "N/A", _xlfn.IFS(K181="AS", H181+15, K181="NCR", H181+30, K181="submitted", H181+30, TRUE, "N/A")), _xlfn.IFS(K181="AS", I181+15, K181="NCR", I181+30, K181="submitted", I181+30, TRUE, "N/A"))</f>
        <v>N/A</v>
      </c>
      <c r="K181"/>
      <c r="L181" s="318"/>
      <c r="M181" s="772"/>
      <c r="N181" s="773"/>
      <c r="O181" s="773"/>
      <c r="P181" s="774"/>
    </row>
    <row r="182" spans="1:16" s="138" customFormat="1">
      <c r="A182" s="152" t="s">
        <v>87</v>
      </c>
      <c r="B182" s="170" t="s">
        <v>548</v>
      </c>
      <c r="C182" s="261" t="s">
        <v>549</v>
      </c>
      <c r="D182" s="169" t="s">
        <v>550</v>
      </c>
      <c r="E182" s="169"/>
      <c r="F182" s="152" t="s">
        <v>275</v>
      </c>
      <c r="G182" s="153" t="s">
        <v>229</v>
      </c>
      <c r="H182" s="262">
        <v>45813</v>
      </c>
      <c r="I182" s="262">
        <v>45904</v>
      </c>
      <c r="J182" s="560" t="str" cm="1">
        <f t="array" ref="J182">IF(ISBLANK(I182), IF(ISBLANK(H182), "N/A", _xlfn.IFS(K182="AS", H182+15, K182="NCR", H182+30, K182="submitted", H182+30, TRUE, "N/A")), _xlfn.IFS(K182="AS", I182+15, K182="NCR", I182+30, K182="submitted", I182+30, TRUE, "N/A"))</f>
        <v>N/A</v>
      </c>
      <c r="K182" s="139" t="s">
        <v>150</v>
      </c>
      <c r="L182" s="318"/>
      <c r="M182" s="772"/>
      <c r="N182" s="773"/>
      <c r="O182" s="773"/>
      <c r="P182" s="774"/>
    </row>
    <row r="183" spans="1:16" s="1" customFormat="1" ht="27">
      <c r="A183" s="9"/>
      <c r="B183" s="47" t="s">
        <v>548</v>
      </c>
      <c r="C183" s="2" t="s">
        <v>549</v>
      </c>
      <c r="D183" s="39"/>
      <c r="E183" s="39"/>
      <c r="F183" s="9" t="s">
        <v>263</v>
      </c>
      <c r="G183" s="7" t="s">
        <v>551</v>
      </c>
      <c r="H183" s="18"/>
      <c r="I183" s="18"/>
      <c r="J183" s="560" t="str" cm="1">
        <f t="array" ref="J183">IF(ISBLANK(I183), IF(ISBLANK(H183), "N/A", _xlfn.IFS(K183="AS", H183+15, K183="NCR", H183+30, K183="submitted", H183+30, TRUE, "N/A")), _xlfn.IFS(K183="AS", I183+15, K183="NCR", I183+30, K183="submitted", I183+30, TRUE, "N/A"))</f>
        <v>N/A</v>
      </c>
      <c r="K183"/>
      <c r="L183" s="318"/>
      <c r="M183" s="772"/>
      <c r="N183" s="773"/>
      <c r="O183" s="773"/>
      <c r="P183" s="774"/>
    </row>
    <row r="184" spans="1:16" s="1" customFormat="1" ht="27">
      <c r="A184" s="9"/>
      <c r="B184" s="47" t="s">
        <v>548</v>
      </c>
      <c r="C184" s="2" t="s">
        <v>549</v>
      </c>
      <c r="D184" s="39"/>
      <c r="E184" s="39"/>
      <c r="F184" s="9" t="s">
        <v>253</v>
      </c>
      <c r="G184" s="7" t="s">
        <v>552</v>
      </c>
      <c r="H184" s="18"/>
      <c r="I184" s="18"/>
      <c r="J184" s="560" t="str" cm="1">
        <f t="array" ref="J184">IF(ISBLANK(I184), IF(ISBLANK(H184), "N/A", _xlfn.IFS(K184="AS", H184+15, K184="NCR", H184+30, K184="submitted", H184+30, TRUE, "N/A")), _xlfn.IFS(K184="AS", I184+15, K184="NCR", I184+30, K184="submitted", I184+30, TRUE, "N/A"))</f>
        <v>N/A</v>
      </c>
      <c r="K184"/>
      <c r="L184" s="318"/>
      <c r="M184" s="772"/>
      <c r="N184" s="773"/>
      <c r="O184" s="773"/>
      <c r="P184" s="774"/>
    </row>
    <row r="185" spans="1:16" s="1" customFormat="1" ht="27.75" customHeight="1">
      <c r="A185" s="9"/>
      <c r="B185" s="47" t="s">
        <v>548</v>
      </c>
      <c r="C185" s="2" t="s">
        <v>549</v>
      </c>
      <c r="D185" s="46"/>
      <c r="E185" s="46"/>
      <c r="F185" s="9" t="s">
        <v>344</v>
      </c>
      <c r="G185" s="7" t="s">
        <v>553</v>
      </c>
      <c r="H185" s="18"/>
      <c r="I185" s="18"/>
      <c r="J185" s="560" t="str" cm="1">
        <f t="array" ref="J185">IF(ISBLANK(I185), IF(ISBLANK(H185), "N/A", _xlfn.IFS(K185="AS", H185+15, K185="NCR", H185+30, K185="submitted", H185+30, TRUE, "N/A")), _xlfn.IFS(K185="AS", I185+15, K185="NCR", I185+30, K185="submitted", I185+30, TRUE, "N/A"))</f>
        <v>N/A</v>
      </c>
      <c r="K185"/>
      <c r="L185" s="318"/>
      <c r="M185" s="772"/>
      <c r="N185" s="773"/>
      <c r="O185" s="773"/>
      <c r="P185" s="774"/>
    </row>
    <row r="186" spans="1:16" s="5" customFormat="1">
      <c r="A186" s="4"/>
      <c r="B186" s="794" t="s">
        <v>554</v>
      </c>
      <c r="C186" s="796" t="s">
        <v>555</v>
      </c>
      <c r="D186" s="34"/>
      <c r="E186" s="34"/>
      <c r="F186" s="4" t="s">
        <v>275</v>
      </c>
      <c r="G186" s="17" t="s">
        <v>556</v>
      </c>
      <c r="H186" s="18"/>
      <c r="I186" s="18"/>
      <c r="J186" s="560" t="str" cm="1">
        <f t="array" ref="J186">IF(ISBLANK(I186), IF(ISBLANK(H186), "N/A", _xlfn.IFS(K186="AS", H186+15, K186="NCR", H186+30, K186="submitted", H186+30, TRUE, "N/A")), _xlfn.IFS(K186="AS", I186+15, K186="NCR", I186+30, K186="submitted", I186+30, TRUE, "N/A"))</f>
        <v>N/A</v>
      </c>
      <c r="K186"/>
      <c r="L186" s="318"/>
      <c r="M186" s="772"/>
      <c r="N186" s="773"/>
      <c r="O186" s="773"/>
      <c r="P186" s="774"/>
    </row>
    <row r="187" spans="1:16" s="5" customFormat="1" ht="40.5">
      <c r="A187" s="4"/>
      <c r="B187" s="798"/>
      <c r="C187" s="799"/>
      <c r="D187" s="35"/>
      <c r="E187" s="35"/>
      <c r="F187" s="4" t="s">
        <v>263</v>
      </c>
      <c r="G187" s="3" t="s">
        <v>557</v>
      </c>
      <c r="H187" s="18"/>
      <c r="I187" s="18"/>
      <c r="J187" s="560" t="str" cm="1">
        <f t="array" ref="J187">IF(ISBLANK(I187), IF(ISBLANK(H187), "N/A", _xlfn.IFS(K187="AS", H187+15, K187="NCR", H187+30, K187="submitted", H187+30, TRUE, "N/A")), _xlfn.IFS(K187="AS", I187+15, K187="NCR", I187+30, K187="submitted", I187+30, TRUE, "N/A"))</f>
        <v>N/A</v>
      </c>
      <c r="K187"/>
      <c r="L187" s="318"/>
      <c r="M187" s="772"/>
      <c r="N187" s="773"/>
      <c r="O187" s="773"/>
      <c r="P187" s="774"/>
    </row>
    <row r="188" spans="1:16" s="5" customFormat="1" ht="27">
      <c r="A188" s="4"/>
      <c r="B188" s="795"/>
      <c r="C188" s="797"/>
      <c r="D188" s="36"/>
      <c r="E188" s="36"/>
      <c r="F188" s="4" t="s">
        <v>364</v>
      </c>
      <c r="G188" s="3" t="s">
        <v>377</v>
      </c>
      <c r="H188" s="18"/>
      <c r="I188" s="18"/>
      <c r="J188" s="560" t="str" cm="1">
        <f t="array" ref="J188">IF(ISBLANK(I188), IF(ISBLANK(H188), "N/A", _xlfn.IFS(K188="AS", H188+15, K188="NCR", H188+30, K188="submitted", H188+30, TRUE, "N/A")), _xlfn.IFS(K188="AS", I188+15, K188="NCR", I188+30, K188="submitted", I188+30, TRUE, "N/A"))</f>
        <v>N/A</v>
      </c>
      <c r="K188"/>
      <c r="L188" s="318"/>
      <c r="M188" s="772"/>
      <c r="N188" s="773"/>
      <c r="O188" s="773"/>
      <c r="P188" s="774"/>
    </row>
    <row r="189" spans="1:16" s="1" customFormat="1">
      <c r="A189" s="9"/>
      <c r="B189" s="790" t="s">
        <v>558</v>
      </c>
      <c r="C189" s="792" t="s">
        <v>559</v>
      </c>
      <c r="D189" s="37"/>
      <c r="E189" s="37"/>
      <c r="F189" s="9" t="s">
        <v>275</v>
      </c>
      <c r="G189" s="13" t="s">
        <v>560</v>
      </c>
      <c r="H189" s="18"/>
      <c r="I189" s="18"/>
      <c r="J189" s="560" t="str" cm="1">
        <f t="array" ref="J189">IF(ISBLANK(I189), IF(ISBLANK(H189), "N/A", _xlfn.IFS(K189="AS", H189+15, K189="NCR", H189+30, K189="submitted", H189+30, TRUE, "N/A")), _xlfn.IFS(K189="AS", I189+15, K189="NCR", I189+30, K189="submitted", I189+30, TRUE, "N/A"))</f>
        <v>N/A</v>
      </c>
      <c r="K189"/>
      <c r="L189" s="318"/>
      <c r="M189" s="772"/>
      <c r="N189" s="773"/>
      <c r="O189" s="773"/>
      <c r="P189" s="774"/>
    </row>
    <row r="190" spans="1:16" s="1" customFormat="1" ht="27">
      <c r="A190" s="9"/>
      <c r="B190" s="777"/>
      <c r="C190" s="779"/>
      <c r="D190" s="46"/>
      <c r="E190" s="46"/>
      <c r="F190" s="9" t="s">
        <v>321</v>
      </c>
      <c r="G190" s="7" t="s">
        <v>377</v>
      </c>
      <c r="H190" s="18"/>
      <c r="I190" s="18"/>
      <c r="J190" s="560" t="str" cm="1">
        <f t="array" ref="J190">IF(ISBLANK(I190), IF(ISBLANK(H190), "N/A", _xlfn.IFS(K190="AS", H190+15, K190="NCR", H190+30, K190="submitted", H190+30, TRUE, "N/A")), _xlfn.IFS(K190="AS", I190+15, K190="NCR", I190+30, K190="submitted", I190+30, TRUE, "N/A"))</f>
        <v>N/A</v>
      </c>
      <c r="K190"/>
      <c r="L190" s="318"/>
      <c r="M190" s="772"/>
      <c r="N190" s="773"/>
      <c r="O190" s="773"/>
      <c r="P190" s="774"/>
    </row>
    <row r="191" spans="1:16" s="5" customFormat="1">
      <c r="A191" s="4"/>
      <c r="B191" s="794" t="s">
        <v>561</v>
      </c>
      <c r="C191" s="796" t="s">
        <v>562</v>
      </c>
      <c r="D191" s="34"/>
      <c r="E191" s="34"/>
      <c r="F191" s="4" t="s">
        <v>275</v>
      </c>
      <c r="G191" s="17" t="s">
        <v>563</v>
      </c>
      <c r="H191" s="18"/>
      <c r="I191" s="18"/>
      <c r="J191" s="560" t="str" cm="1">
        <f t="array" ref="J191">IF(ISBLANK(I191), IF(ISBLANK(H191), "N/A", _xlfn.IFS(K191="AS", H191+15, K191="NCR", H191+30, K191="submitted", H191+30, TRUE, "N/A")), _xlfn.IFS(K191="AS", I191+15, K191="NCR", I191+30, K191="submitted", I191+30, TRUE, "N/A"))</f>
        <v>N/A</v>
      </c>
      <c r="K191"/>
      <c r="L191" s="318"/>
      <c r="M191" s="772"/>
      <c r="N191" s="773"/>
      <c r="O191" s="773"/>
      <c r="P191" s="774"/>
    </row>
    <row r="192" spans="1:16" s="5" customFormat="1" ht="27">
      <c r="A192" s="4"/>
      <c r="B192" s="795"/>
      <c r="C192" s="797"/>
      <c r="D192" s="36"/>
      <c r="E192" s="36"/>
      <c r="F192" s="4" t="s">
        <v>321</v>
      </c>
      <c r="G192" s="3" t="s">
        <v>564</v>
      </c>
      <c r="H192" s="18"/>
      <c r="I192" s="18"/>
      <c r="J192" s="560" t="str" cm="1">
        <f t="array" ref="J192">IF(ISBLANK(I192), IF(ISBLANK(H192), "N/A", _xlfn.IFS(K192="AS", H192+15, K192="NCR", H192+30, K192="submitted", H192+30, TRUE, "N/A")), _xlfn.IFS(K192="AS", I192+15, K192="NCR", I192+30, K192="submitted", I192+30, TRUE, "N/A"))</f>
        <v>N/A</v>
      </c>
      <c r="K192"/>
      <c r="L192" s="318"/>
      <c r="M192" s="772"/>
      <c r="N192" s="773"/>
      <c r="O192" s="773"/>
      <c r="P192" s="774"/>
    </row>
    <row r="193" spans="1:16" s="150" customFormat="1">
      <c r="A193" s="147" t="s">
        <v>565</v>
      </c>
      <c r="B193" s="246" t="s">
        <v>566</v>
      </c>
      <c r="C193" s="333" t="s">
        <v>567</v>
      </c>
      <c r="D193" s="232" t="s">
        <v>568</v>
      </c>
      <c r="E193" s="232" t="s">
        <v>569</v>
      </c>
      <c r="F193" s="147" t="s">
        <v>570</v>
      </c>
      <c r="G193" s="148" t="s">
        <v>571</v>
      </c>
      <c r="H193" s="234">
        <v>45894</v>
      </c>
      <c r="I193" s="234">
        <v>45917</v>
      </c>
      <c r="J193" s="560" t="str" cm="1">
        <f t="array" ref="J193">IF(ISBLANK(I193), IF(ISBLANK(H193), "N/A", _xlfn.IFS(K193="AS", H193+15, K193="NCR", H193+30, K193="submitted", H193+30, TRUE, "N/A")), _xlfn.IFS(K193="AS", I193+15, K193="NCR", I193+30, K193="submitted", I193+30, TRUE, "N/A"))</f>
        <v>N/A</v>
      </c>
      <c r="K193" s="149" t="s">
        <v>146</v>
      </c>
      <c r="L193" s="318"/>
      <c r="M193" s="772"/>
      <c r="N193" s="773"/>
      <c r="O193" s="773"/>
      <c r="P193" s="774"/>
    </row>
    <row r="194" spans="1:16" s="150" customFormat="1">
      <c r="A194" s="147" t="s">
        <v>572</v>
      </c>
      <c r="B194" s="246" t="s">
        <v>566</v>
      </c>
      <c r="C194" s="333" t="s">
        <v>567</v>
      </c>
      <c r="D194" s="232" t="s">
        <v>568</v>
      </c>
      <c r="E194" s="232" t="s">
        <v>569</v>
      </c>
      <c r="F194" s="147" t="s">
        <v>570</v>
      </c>
      <c r="G194" s="148" t="s">
        <v>571</v>
      </c>
      <c r="H194" s="234">
        <v>45926</v>
      </c>
      <c r="I194" s="234">
        <v>45917</v>
      </c>
      <c r="J194" s="560" cm="1">
        <f t="array" ref="J194">IF(ISBLANK(I194), IF(ISBLANK(H194), "N/A", _xlfn.IFS(K194="AS", H194+15, K194="NCR", H194+30, K194="submitted", H194+30, TRUE, "N/A")), _xlfn.IFS(K194="AS", I194+15, K194="NCR", I194+30, K194="submitted", I194+30, TRUE, "N/A"))</f>
        <v>45947</v>
      </c>
      <c r="K194" s="149" t="s">
        <v>154</v>
      </c>
      <c r="L194" s="318"/>
      <c r="M194" s="772"/>
      <c r="N194" s="773"/>
      <c r="O194" s="773"/>
      <c r="P194" s="774"/>
    </row>
    <row r="195" spans="1:16" s="528" customFormat="1">
      <c r="A195" s="526" t="s">
        <v>573</v>
      </c>
      <c r="B195" s="533" t="s">
        <v>566</v>
      </c>
      <c r="C195" s="534" t="s">
        <v>567</v>
      </c>
      <c r="D195" s="527" t="s">
        <v>574</v>
      </c>
      <c r="E195" s="527" t="s">
        <v>575</v>
      </c>
      <c r="F195" s="526" t="s">
        <v>576</v>
      </c>
      <c r="G195" s="535" t="s">
        <v>571</v>
      </c>
      <c r="H195" s="536">
        <v>45917</v>
      </c>
      <c r="I195" s="536">
        <v>45926</v>
      </c>
      <c r="J195" s="560" t="str" cm="1">
        <f t="array" ref="J195">IF(ISBLANK(I195), IF(ISBLANK(H195), "N/A", _xlfn.IFS(K195="AS", H195+15, K195="NCR", H195+30, K195="submitted", H195+30, TRUE, "N/A")), _xlfn.IFS(K195="AS", I195+15, K195="NCR", I195+30, K195="submitted", I195+30, TRUE, "N/A"))</f>
        <v>N/A</v>
      </c>
      <c r="K195" s="531" t="s">
        <v>146</v>
      </c>
      <c r="L195" s="318"/>
      <c r="M195" s="772"/>
      <c r="N195" s="773"/>
      <c r="O195" s="773"/>
      <c r="P195" s="774"/>
    </row>
    <row r="196" spans="1:16" s="1" customFormat="1" ht="40.5">
      <c r="A196" s="9"/>
      <c r="B196" s="47" t="s">
        <v>566</v>
      </c>
      <c r="C196" s="2" t="s">
        <v>567</v>
      </c>
      <c r="D196" s="39"/>
      <c r="E196" s="39"/>
      <c r="F196" s="9" t="s">
        <v>263</v>
      </c>
      <c r="G196" s="7" t="s">
        <v>577</v>
      </c>
      <c r="H196" s="18"/>
      <c r="I196" s="18"/>
      <c r="J196" s="560" t="str" cm="1">
        <f t="array" ref="J196">IF(ISBLANK(I196), IF(ISBLANK(H196), "N/A", _xlfn.IFS(K196="AS", H196+15, K196="NCR", H196+30, K196="submitted", H196+30, TRUE, "N/A")), _xlfn.IFS(K196="AS", I196+15, K196="NCR", I196+30, K196="submitted", I196+30, TRUE, "N/A"))</f>
        <v>N/A</v>
      </c>
      <c r="K196"/>
      <c r="L196" s="318"/>
      <c r="M196" s="772"/>
      <c r="N196" s="773"/>
      <c r="O196" s="773"/>
      <c r="P196" s="774"/>
    </row>
    <row r="197" spans="1:16" s="1" customFormat="1" ht="27">
      <c r="A197" s="9"/>
      <c r="B197" s="47" t="s">
        <v>566</v>
      </c>
      <c r="C197" s="2" t="s">
        <v>567</v>
      </c>
      <c r="D197" s="39"/>
      <c r="E197" s="46"/>
      <c r="F197" s="9" t="s">
        <v>364</v>
      </c>
      <c r="G197" s="7" t="s">
        <v>578</v>
      </c>
      <c r="H197" s="18"/>
      <c r="I197" s="18"/>
      <c r="J197" s="560" t="str" cm="1">
        <f t="array" ref="J197">IF(ISBLANK(I197), IF(ISBLANK(H197), "N/A", _xlfn.IFS(K197="AS", H197+15, K197="NCR", H197+30, K197="submitted", H197+30, TRUE, "N/A")), _xlfn.IFS(K197="AS", I197+15, K197="NCR", I197+30, K197="submitted", I197+30, TRUE, "N/A"))</f>
        <v>N/A</v>
      </c>
      <c r="K197"/>
      <c r="L197" s="318"/>
      <c r="M197" s="772"/>
      <c r="N197" s="773"/>
      <c r="O197" s="773"/>
      <c r="P197" s="774"/>
    </row>
    <row r="198" spans="1:16" s="5" customFormat="1" ht="53.25">
      <c r="A198" s="4"/>
      <c r="B198" s="54" t="s">
        <v>579</v>
      </c>
      <c r="C198" s="347" t="s">
        <v>580</v>
      </c>
      <c r="D198" s="144"/>
      <c r="E198" s="308" t="s">
        <v>569</v>
      </c>
      <c r="F198" s="4" t="s">
        <v>275</v>
      </c>
      <c r="G198" s="3" t="s">
        <v>581</v>
      </c>
      <c r="H198" s="18"/>
      <c r="I198" s="18"/>
      <c r="J198" s="560" t="str" cm="1">
        <f t="array" ref="J198">IF(ISBLANK(I198), IF(ISBLANK(H198), "N/A", _xlfn.IFS(K198="AS", H198+15, K198="NCR", H198+30, K198="submitted", H198+30, TRUE, "N/A")), _xlfn.IFS(K198="AS", I198+15, K198="NCR", I198+30, K198="submitted", I198+30, TRUE, "N/A"))</f>
        <v>N/A</v>
      </c>
      <c r="K198"/>
      <c r="L198" s="318"/>
      <c r="M198" s="772"/>
      <c r="N198" s="773"/>
      <c r="O198" s="773"/>
      <c r="P198" s="774"/>
    </row>
    <row r="199" spans="1:16" s="150" customFormat="1">
      <c r="A199" s="661" t="s">
        <v>582</v>
      </c>
      <c r="B199" s="246" t="s">
        <v>579</v>
      </c>
      <c r="C199" s="645" t="s">
        <v>580</v>
      </c>
      <c r="D199" s="168" t="s">
        <v>583</v>
      </c>
      <c r="E199" s="662"/>
      <c r="F199" s="147" t="s">
        <v>263</v>
      </c>
      <c r="G199" s="148" t="s">
        <v>584</v>
      </c>
      <c r="H199" s="234">
        <v>45902</v>
      </c>
      <c r="I199" s="234">
        <v>45922</v>
      </c>
      <c r="J199" s="560" cm="1">
        <f t="array" ref="J199">IF(ISBLANK(I199), IF(ISBLANK(H199), "N/A", _xlfn.IFS(K199="AS", H199+15, K199="NCR", H199+30, K199="submitted", H199+30, TRUE, "N/A")), _xlfn.IFS(K199="AS", I199+15, K199="NCR", I199+30, K199="submitted", I199+30, TRUE, "N/A"))</f>
        <v>45952</v>
      </c>
      <c r="K199" s="149" t="s">
        <v>207</v>
      </c>
      <c r="L199" s="318"/>
      <c r="M199" s="772"/>
      <c r="N199" s="773"/>
      <c r="O199" s="773"/>
      <c r="P199" s="774"/>
    </row>
    <row r="200" spans="1:16" s="5" customFormat="1">
      <c r="A200" s="4"/>
      <c r="B200" s="54" t="s">
        <v>579</v>
      </c>
      <c r="C200" s="347" t="s">
        <v>580</v>
      </c>
      <c r="D200" s="144"/>
      <c r="E200" s="309"/>
      <c r="F200" s="4" t="s">
        <v>253</v>
      </c>
      <c r="G200" s="17" t="s">
        <v>585</v>
      </c>
      <c r="H200" s="18"/>
      <c r="I200" s="18"/>
      <c r="J200" s="560" t="str" cm="1">
        <f t="array" ref="J200">IF(ISBLANK(I200), IF(ISBLANK(H200), "N/A", _xlfn.IFS(K200="AS", H200+15, K200="NCR", H200+30, K200="submitted", H200+30, TRUE, "N/A")), _xlfn.IFS(K200="AS", I200+15, K200="NCR", I200+30, K200="submitted", I200+30, TRUE, "N/A"))</f>
        <v>N/A</v>
      </c>
      <c r="K200"/>
      <c r="L200" s="318"/>
      <c r="M200" s="772"/>
      <c r="N200" s="773"/>
      <c r="O200" s="773"/>
      <c r="P200" s="774"/>
    </row>
    <row r="201" spans="1:16" s="5" customFormat="1">
      <c r="A201" s="4"/>
      <c r="B201" s="54" t="s">
        <v>579</v>
      </c>
      <c r="C201" s="347" t="s">
        <v>580</v>
      </c>
      <c r="D201" s="144"/>
      <c r="E201" s="309"/>
      <c r="F201" s="4" t="s">
        <v>344</v>
      </c>
      <c r="G201" s="17" t="s">
        <v>345</v>
      </c>
      <c r="H201" s="18"/>
      <c r="I201" s="18"/>
      <c r="J201" s="560" t="str" cm="1">
        <f t="array" ref="J201">IF(ISBLANK(I201), IF(ISBLANK(H201), "N/A", _xlfn.IFS(K201="AS", H201+15, K201="NCR", H201+30, K201="submitted", H201+30, TRUE, "N/A")), _xlfn.IFS(K201="AS", I201+15, K201="NCR", I201+30, K201="submitted", I201+30, TRUE, "N/A"))</f>
        <v>N/A</v>
      </c>
      <c r="K201"/>
      <c r="L201" s="318"/>
      <c r="M201" s="772"/>
      <c r="N201" s="773"/>
      <c r="O201" s="773"/>
      <c r="P201" s="774"/>
    </row>
    <row r="202" spans="1:16" s="150" customFormat="1" ht="27">
      <c r="A202" s="661" t="s">
        <v>582</v>
      </c>
      <c r="B202" s="246" t="s">
        <v>579</v>
      </c>
      <c r="C202" s="645" t="s">
        <v>580</v>
      </c>
      <c r="D202" s="168" t="s">
        <v>583</v>
      </c>
      <c r="E202" s="662"/>
      <c r="F202" s="147" t="s">
        <v>346</v>
      </c>
      <c r="G202" s="194" t="s">
        <v>586</v>
      </c>
      <c r="H202" s="234">
        <v>45902</v>
      </c>
      <c r="I202" s="234">
        <v>45922</v>
      </c>
      <c r="J202" s="560" cm="1">
        <f t="array" ref="J202">IF(ISBLANK(I202), IF(ISBLANK(H202), "N/A", _xlfn.IFS(K202="AS", H202+15, K202="NCR", H202+30, K202="submitted", H202+30, TRUE, "N/A")), _xlfn.IFS(K202="AS", I202+15, K202="NCR", I202+30, K202="submitted", I202+30, TRUE, "N/A"))</f>
        <v>45952</v>
      </c>
      <c r="K202" s="149" t="s">
        <v>207</v>
      </c>
      <c r="L202" s="318"/>
      <c r="M202" s="772"/>
      <c r="N202" s="773"/>
      <c r="O202" s="773"/>
      <c r="P202" s="774"/>
    </row>
    <row r="203" spans="1:16" s="5" customFormat="1" ht="27">
      <c r="A203" s="4"/>
      <c r="B203" s="54" t="s">
        <v>579</v>
      </c>
      <c r="C203" s="347" t="s">
        <v>580</v>
      </c>
      <c r="D203" s="144"/>
      <c r="E203" s="309"/>
      <c r="F203" s="4" t="s">
        <v>587</v>
      </c>
      <c r="G203" s="3" t="s">
        <v>403</v>
      </c>
      <c r="H203" s="18"/>
      <c r="I203" s="18"/>
      <c r="J203" s="560" t="str" cm="1">
        <f t="array" ref="J203">IF(ISBLANK(I203), IF(ISBLANK(H203), "N/A", _xlfn.IFS(K203="AS", H203+15, K203="NCR", H203+30, K203="submitted", H203+30, TRUE, "N/A")), _xlfn.IFS(K203="AS", I203+15, K203="NCR", I203+30, K203="submitted", I203+30, TRUE, "N/A"))</f>
        <v>N/A</v>
      </c>
      <c r="K203"/>
      <c r="L203" s="318"/>
      <c r="M203" s="772"/>
      <c r="N203" s="773"/>
      <c r="O203" s="773"/>
      <c r="P203" s="774"/>
    </row>
    <row r="204" spans="1:16" s="5" customFormat="1" ht="27">
      <c r="A204" s="4"/>
      <c r="B204" s="54" t="s">
        <v>579</v>
      </c>
      <c r="C204" s="347" t="s">
        <v>580</v>
      </c>
      <c r="D204" s="144"/>
      <c r="E204" s="310"/>
      <c r="F204" s="4" t="s">
        <v>588</v>
      </c>
      <c r="G204" s="3" t="s">
        <v>377</v>
      </c>
      <c r="H204" s="18"/>
      <c r="I204" s="18"/>
      <c r="J204" s="560" t="str" cm="1">
        <f t="array" ref="J204">IF(ISBLANK(I204), IF(ISBLANK(H204), "N/A", _xlfn.IFS(K204="AS", H204+15, K204="NCR", H204+30, K204="submitted", H204+30, TRUE, "N/A")), _xlfn.IFS(K204="AS", I204+15, K204="NCR", I204+30, K204="submitted", I204+30, TRUE, "N/A"))</f>
        <v>N/A</v>
      </c>
      <c r="K204"/>
      <c r="L204" s="318"/>
      <c r="M204" s="766" t="s">
        <v>132</v>
      </c>
      <c r="N204" s="767"/>
      <c r="O204" s="767"/>
      <c r="P204" s="768"/>
    </row>
    <row r="205" spans="1:16" s="1" customFormat="1">
      <c r="A205" s="9"/>
      <c r="B205" s="790" t="s">
        <v>589</v>
      </c>
      <c r="C205" s="792" t="s">
        <v>590</v>
      </c>
      <c r="D205" s="39"/>
      <c r="E205" s="37"/>
      <c r="F205" s="9" t="s">
        <v>275</v>
      </c>
      <c r="G205" s="13" t="s">
        <v>571</v>
      </c>
      <c r="H205" s="18"/>
      <c r="I205" s="18"/>
      <c r="J205" s="560" t="str" cm="1">
        <f t="array" ref="J205">IF(ISBLANK(I205), IF(ISBLANK(H205), "N/A", _xlfn.IFS(K205="AS", H205+15, K205="NCR", H205+30, K205="submitted", H205+30, TRUE, "N/A")), _xlfn.IFS(K205="AS", I205+15, K205="NCR", I205+30, K205="submitted", I205+30, TRUE, "N/A"))</f>
        <v>N/A</v>
      </c>
      <c r="K205"/>
      <c r="L205" s="318"/>
      <c r="M205" s="769"/>
      <c r="N205" s="770"/>
      <c r="O205" s="770"/>
      <c r="P205" s="771"/>
    </row>
    <row r="206" spans="1:16" s="1" customFormat="1">
      <c r="A206" s="9"/>
      <c r="B206" s="791"/>
      <c r="C206" s="793"/>
      <c r="D206" s="39"/>
      <c r="E206" s="39"/>
      <c r="F206" s="9" t="s">
        <v>321</v>
      </c>
      <c r="G206" s="13" t="s">
        <v>591</v>
      </c>
      <c r="H206" s="18"/>
      <c r="I206" s="18"/>
      <c r="J206" s="560" t="str" cm="1">
        <f t="array" ref="J206">IF(ISBLANK(I206), IF(ISBLANK(H206), "N/A", _xlfn.IFS(K206="AS", H206+15, K206="NCR", H206+30, K206="submitted", H206+30, TRUE, "N/A")), _xlfn.IFS(K206="AS", I206+15, K206="NCR", I206+30, K206="submitted", I206+30, TRUE, "N/A"))</f>
        <v>N/A</v>
      </c>
      <c r="K206"/>
      <c r="L206" s="318"/>
      <c r="M206" s="769"/>
      <c r="N206" s="770"/>
      <c r="O206" s="770"/>
      <c r="P206" s="771"/>
    </row>
    <row r="207" spans="1:16" s="1" customFormat="1" ht="27">
      <c r="A207" s="9"/>
      <c r="B207" s="777"/>
      <c r="C207" s="779"/>
      <c r="D207" s="46"/>
      <c r="E207" s="46"/>
      <c r="F207" s="9" t="s">
        <v>592</v>
      </c>
      <c r="G207" s="7" t="s">
        <v>377</v>
      </c>
      <c r="H207" s="18"/>
      <c r="I207" s="18"/>
      <c r="J207" s="560" t="str" cm="1">
        <f t="array" ref="J207">IF(ISBLANK(I207), IF(ISBLANK(H207), "N/A", _xlfn.IFS(K207="AS", H207+15, K207="NCR", H207+30, K207="submitted", H207+30, TRUE, "N/A")), _xlfn.IFS(K207="AS", I207+15, K207="NCR", I207+30, K207="submitted", I207+30, TRUE, "N/A"))</f>
        <v>N/A</v>
      </c>
      <c r="K207"/>
      <c r="L207" s="318"/>
      <c r="M207" s="769"/>
      <c r="N207" s="770"/>
      <c r="O207" s="770"/>
      <c r="P207" s="771"/>
    </row>
    <row r="208" spans="1:16" s="5" customFormat="1">
      <c r="A208" s="4"/>
      <c r="B208" s="794" t="s">
        <v>593</v>
      </c>
      <c r="C208" s="796" t="s">
        <v>594</v>
      </c>
      <c r="D208" s="34"/>
      <c r="E208" s="34"/>
      <c r="F208" s="4" t="s">
        <v>133</v>
      </c>
      <c r="G208" s="17" t="s">
        <v>571</v>
      </c>
      <c r="H208" s="18"/>
      <c r="I208" s="18"/>
      <c r="J208" s="560" t="str" cm="1">
        <f t="array" ref="J208">IF(ISBLANK(I208), IF(ISBLANK(H208), "N/A", _xlfn.IFS(K208="AS", H208+15, K208="NCR", H208+30, K208="submitted", H208+30, TRUE, "N/A")), _xlfn.IFS(K208="AS", I208+15, K208="NCR", I208+30, K208="submitted", I208+30, TRUE, "N/A"))</f>
        <v>N/A</v>
      </c>
      <c r="K208"/>
      <c r="L208" s="318"/>
      <c r="M208" s="769"/>
      <c r="N208" s="770"/>
      <c r="O208" s="770"/>
      <c r="P208" s="771"/>
    </row>
    <row r="209" spans="1:16" s="5" customFormat="1" ht="27">
      <c r="A209" s="4"/>
      <c r="B209" s="795"/>
      <c r="C209" s="797"/>
      <c r="D209" s="36"/>
      <c r="E209" s="36"/>
      <c r="F209" s="4" t="s">
        <v>595</v>
      </c>
      <c r="G209" s="3" t="s">
        <v>596</v>
      </c>
      <c r="H209" s="18"/>
      <c r="I209" s="18"/>
      <c r="J209" s="560" t="str" cm="1">
        <f t="array" ref="J209">IF(ISBLANK(I209), IF(ISBLANK(H209), "N/A", _xlfn.IFS(K209="AS", H209+15, K209="NCR", H209+30, K209="submitted", H209+30, TRUE, "N/A")), _xlfn.IFS(K209="AS", I209+15, K209="NCR", I209+30, K209="submitted", I209+30, TRUE, "N/A"))</f>
        <v>N/A</v>
      </c>
      <c r="K209"/>
      <c r="L209" s="318"/>
      <c r="M209" s="769"/>
      <c r="N209" s="770"/>
      <c r="O209" s="770"/>
      <c r="P209" s="771"/>
    </row>
    <row r="210" spans="1:16" s="1" customFormat="1">
      <c r="A210" s="9"/>
      <c r="B210" s="790" t="s">
        <v>597</v>
      </c>
      <c r="C210" s="792" t="s">
        <v>598</v>
      </c>
      <c r="D210" s="37"/>
      <c r="E210" s="37"/>
      <c r="F210" s="9" t="s">
        <v>275</v>
      </c>
      <c r="G210" s="13" t="s">
        <v>571</v>
      </c>
      <c r="H210" s="18"/>
      <c r="I210" s="18"/>
      <c r="J210" s="560" t="str" cm="1">
        <f t="array" ref="J210">IF(ISBLANK(I210), IF(ISBLANK(H210), "N/A", _xlfn.IFS(K210="AS", H210+15, K210="NCR", H210+30, K210="submitted", H210+30, TRUE, "N/A")), _xlfn.IFS(K210="AS", I210+15, K210="NCR", I210+30, K210="submitted", I210+30, TRUE, "N/A"))</f>
        <v>N/A</v>
      </c>
      <c r="K210"/>
      <c r="L210" s="318"/>
      <c r="M210" s="769"/>
      <c r="N210" s="770"/>
      <c r="O210" s="770"/>
      <c r="P210" s="771"/>
    </row>
    <row r="211" spans="1:16" s="1" customFormat="1" ht="27">
      <c r="A211" s="9"/>
      <c r="B211" s="777"/>
      <c r="C211" s="779"/>
      <c r="D211" s="46"/>
      <c r="E211" s="46"/>
      <c r="F211" s="9" t="s">
        <v>321</v>
      </c>
      <c r="G211" s="7" t="s">
        <v>377</v>
      </c>
      <c r="H211" s="18"/>
      <c r="I211" s="18"/>
      <c r="J211" s="560" t="str" cm="1">
        <f t="array" ref="J211">IF(ISBLANK(I211), IF(ISBLANK(H211), "N/A", _xlfn.IFS(K211="AS", H211+15, K211="NCR", H211+30, K211="submitted", H211+30, TRUE, "N/A")), _xlfn.IFS(K211="AS", I211+15, K211="NCR", I211+30, K211="submitted", I211+30, TRUE, "N/A"))</f>
        <v>N/A</v>
      </c>
      <c r="K211"/>
      <c r="L211" s="318"/>
      <c r="M211" s="769"/>
      <c r="N211" s="770"/>
      <c r="O211" s="770"/>
      <c r="P211" s="771"/>
    </row>
    <row r="212" spans="1:16" s="5" customFormat="1" ht="15" customHeight="1">
      <c r="A212" s="4"/>
      <c r="B212" s="86" t="s">
        <v>599</v>
      </c>
      <c r="C212" s="34" t="s">
        <v>600</v>
      </c>
      <c r="D212" s="34"/>
      <c r="E212" s="34"/>
      <c r="F212" s="4" t="s">
        <v>275</v>
      </c>
      <c r="G212" s="17" t="s">
        <v>229</v>
      </c>
      <c r="H212" s="18"/>
      <c r="I212" s="18"/>
      <c r="J212" s="560" t="str" cm="1">
        <f t="array" ref="J212">IF(ISBLANK(I212), IF(ISBLANK(H212), "N/A", _xlfn.IFS(K212="AS", H212+15, K212="NCR", H212+30, K212="submitted", H212+30, TRUE, "N/A")), _xlfn.IFS(K212="AS", I212+15, K212="NCR", I212+30, K212="submitted", I212+30, TRUE, "N/A"))</f>
        <v>N/A</v>
      </c>
      <c r="K212"/>
      <c r="L212" s="318"/>
      <c r="M212" s="750" t="s">
        <v>147</v>
      </c>
      <c r="N212" s="751"/>
      <c r="O212" s="751"/>
      <c r="P212" s="752"/>
    </row>
    <row r="213" spans="1:16" s="5" customFormat="1" ht="15" customHeight="1">
      <c r="A213" s="4"/>
      <c r="B213" s="111"/>
      <c r="C213" s="35"/>
      <c r="D213" s="35"/>
      <c r="E213" s="35"/>
      <c r="F213" s="4" t="s">
        <v>263</v>
      </c>
      <c r="G213" s="17" t="s">
        <v>345</v>
      </c>
      <c r="H213" s="18"/>
      <c r="I213" s="18"/>
      <c r="J213" s="560" t="str" cm="1">
        <f t="array" ref="J213">IF(ISBLANK(I213), IF(ISBLANK(H213), "N/A", _xlfn.IFS(K213="AS", H213+15, K213="NCR", H213+30, K213="submitted", H213+30, TRUE, "N/A")), _xlfn.IFS(K213="AS", I213+15, K213="NCR", I213+30, K213="submitted", I213+30, TRUE, "N/A"))</f>
        <v>N/A</v>
      </c>
      <c r="K213"/>
      <c r="L213" s="318"/>
      <c r="M213" s="750"/>
      <c r="N213" s="751"/>
      <c r="O213" s="751"/>
      <c r="P213" s="752"/>
    </row>
    <row r="214" spans="1:16" s="5" customFormat="1" ht="27" customHeight="1">
      <c r="A214" s="4"/>
      <c r="B214" s="95"/>
      <c r="C214" s="36"/>
      <c r="D214" s="36"/>
      <c r="E214" s="36"/>
      <c r="F214" s="4" t="s">
        <v>253</v>
      </c>
      <c r="G214" s="3" t="s">
        <v>601</v>
      </c>
      <c r="H214" s="18"/>
      <c r="I214" s="18"/>
      <c r="J214" s="560" t="str" cm="1">
        <f t="array" ref="J214">IF(ISBLANK(I214), IF(ISBLANK(H214), "N/A", _xlfn.IFS(K214="AS", H214+15, K214="NCR", H214+30, K214="submitted", H214+30, TRUE, "N/A")), _xlfn.IFS(K214="AS", I214+15, K214="NCR", I214+30, K214="submitted", I214+30, TRUE, "N/A"))</f>
        <v>N/A</v>
      </c>
      <c r="K214"/>
      <c r="L214" s="318"/>
      <c r="M214" s="750"/>
      <c r="N214" s="751"/>
      <c r="O214" s="751"/>
      <c r="P214" s="752"/>
    </row>
    <row r="215" spans="1:16" s="1" customFormat="1" ht="15" customHeight="1">
      <c r="A215" s="9"/>
      <c r="B215" s="32" t="s">
        <v>602</v>
      </c>
      <c r="C215" s="37" t="s">
        <v>603</v>
      </c>
      <c r="D215" s="37"/>
      <c r="E215" s="37"/>
      <c r="F215" s="9" t="s">
        <v>275</v>
      </c>
      <c r="G215" s="13" t="s">
        <v>229</v>
      </c>
      <c r="H215" s="18"/>
      <c r="I215" s="18"/>
      <c r="J215" s="560" t="str" cm="1">
        <f t="array" ref="J215">IF(ISBLANK(I215), IF(ISBLANK(H215), "N/A", _xlfn.IFS(K215="AS", H215+15, K215="NCR", H215+30, K215="submitted", H215+30, TRUE, "N/A")), _xlfn.IFS(K215="AS", I215+15, K215="NCR", I215+30, K215="submitted", I215+30, TRUE, "N/A"))</f>
        <v>N/A</v>
      </c>
      <c r="K215"/>
      <c r="L215" s="318"/>
      <c r="M215" s="750"/>
      <c r="N215" s="751"/>
      <c r="O215" s="751"/>
      <c r="P215" s="752"/>
    </row>
    <row r="216" spans="1:16" s="1" customFormat="1" ht="15" customHeight="1">
      <c r="A216" s="9"/>
      <c r="B216" s="33"/>
      <c r="C216" s="39"/>
      <c r="D216" s="39"/>
      <c r="E216" s="39"/>
      <c r="F216" s="9" t="s">
        <v>321</v>
      </c>
      <c r="G216" s="7" t="s">
        <v>604</v>
      </c>
      <c r="H216" s="18"/>
      <c r="I216" s="18"/>
      <c r="J216" s="560" t="str" cm="1">
        <f t="array" ref="J216">IF(ISBLANK(I216), IF(ISBLANK(H216), "N/A", _xlfn.IFS(K216="AS", H216+15, K216="NCR", H216+30, K216="submitted", H216+30, TRUE, "N/A")), _xlfn.IFS(K216="AS", I216+15, K216="NCR", I216+30, K216="submitted", I216+30, TRUE, "N/A"))</f>
        <v>N/A</v>
      </c>
      <c r="K216"/>
      <c r="L216" s="318"/>
      <c r="M216" s="750"/>
      <c r="N216" s="751"/>
      <c r="O216" s="751"/>
      <c r="P216" s="752"/>
    </row>
    <row r="217" spans="1:16" s="1" customFormat="1" ht="27" customHeight="1">
      <c r="A217" s="9"/>
      <c r="B217" s="97"/>
      <c r="C217" s="46"/>
      <c r="D217" s="46"/>
      <c r="E217" s="46"/>
      <c r="F217" s="9" t="s">
        <v>253</v>
      </c>
      <c r="G217" s="7" t="s">
        <v>605</v>
      </c>
      <c r="H217" s="18"/>
      <c r="I217" s="18"/>
      <c r="J217" s="560" t="str" cm="1">
        <f t="array" ref="J217">IF(ISBLANK(I217), IF(ISBLANK(H217), "N/A", _xlfn.IFS(K217="AS", H217+15, K217="NCR", H217+30, K217="submitted", H217+30, TRUE, "N/A")), _xlfn.IFS(K217="AS", I217+15, K217="NCR", I217+30, K217="submitted", I217+30, TRUE, "N/A"))</f>
        <v>N/A</v>
      </c>
      <c r="K217"/>
      <c r="L217" s="319"/>
      <c r="M217" s="750"/>
      <c r="N217" s="751"/>
      <c r="O217" s="751"/>
      <c r="P217" s="752"/>
    </row>
    <row r="218" spans="1:16" s="5" customFormat="1" ht="15" customHeight="1">
      <c r="A218" s="4"/>
      <c r="B218" s="15" t="s">
        <v>606</v>
      </c>
      <c r="C218" s="17" t="s">
        <v>607</v>
      </c>
      <c r="D218" s="17"/>
      <c r="E218" s="17" t="s">
        <v>158</v>
      </c>
      <c r="F218" s="4" t="s">
        <v>144</v>
      </c>
      <c r="G218" s="17"/>
      <c r="H218" s="18"/>
      <c r="I218" s="18"/>
      <c r="J218" s="560" t="str" cm="1">
        <f t="array" ref="J218">IF(ISBLANK(I218), IF(ISBLANK(H218), "N/A", _xlfn.IFS(K218="AS", H218+15, K218="NCR", H218+30, K218="submitted", H218+30, TRUE, "N/A")), _xlfn.IFS(K218="AS", I218+15, K218="NCR", I218+30, K218="submitted", I218+30, TRUE, "N/A"))</f>
        <v>N/A</v>
      </c>
      <c r="K218"/>
      <c r="L218" s="318"/>
      <c r="M218" s="750"/>
      <c r="N218" s="751"/>
      <c r="O218" s="751"/>
      <c r="P218" s="752"/>
    </row>
    <row r="219" spans="1:16" s="1" customFormat="1" ht="27" customHeight="1">
      <c r="A219" s="9"/>
      <c r="B219" s="11" t="s">
        <v>608</v>
      </c>
      <c r="C219" s="13" t="s">
        <v>609</v>
      </c>
      <c r="D219" s="13"/>
      <c r="E219" s="13"/>
      <c r="F219" s="9" t="s">
        <v>275</v>
      </c>
      <c r="G219" s="7" t="s">
        <v>610</v>
      </c>
      <c r="H219" s="18"/>
      <c r="I219" s="18"/>
      <c r="J219" s="560" t="str" cm="1">
        <f t="array" ref="J219">IF(ISBLANK(I219), IF(ISBLANK(H219), "N/A", _xlfn.IFS(K219="AS", H219+15, K219="NCR", H219+30, K219="submitted", H219+30, TRUE, "N/A")), _xlfn.IFS(K219="AS", I219+15, K219="NCR", I219+30, K219="submitted", I219+30, TRUE, "N/A"))</f>
        <v>N/A</v>
      </c>
      <c r="K219"/>
      <c r="L219" s="318"/>
      <c r="M219" s="750"/>
      <c r="N219" s="751"/>
      <c r="O219" s="751"/>
      <c r="P219" s="752"/>
    </row>
    <row r="220" spans="1:16" s="150" customFormat="1" ht="27" customHeight="1">
      <c r="A220" s="147" t="s">
        <v>89</v>
      </c>
      <c r="B220" s="427" t="s">
        <v>611</v>
      </c>
      <c r="C220" s="232" t="s">
        <v>612</v>
      </c>
      <c r="D220" s="232" t="s">
        <v>90</v>
      </c>
      <c r="E220" s="232" t="s">
        <v>613</v>
      </c>
      <c r="F220" s="147" t="s">
        <v>275</v>
      </c>
      <c r="G220" s="194" t="s">
        <v>610</v>
      </c>
      <c r="H220" s="234">
        <v>45874</v>
      </c>
      <c r="I220" s="234">
        <v>45923</v>
      </c>
      <c r="J220" s="560" cm="1">
        <f t="array" ref="J220">IF(ISBLANK(I220), IF(ISBLANK(H220), "N/A", _xlfn.IFS(K220="AS", H220+15, K220="NCR", H220+30, K220="submitted", H220+30, TRUE, "N/A")), _xlfn.IFS(K220="AS", I220+15, K220="NCR", I220+30, K220="submitted", I220+30, TRUE, "N/A"))</f>
        <v>45953</v>
      </c>
      <c r="K220" s="149" t="s">
        <v>207</v>
      </c>
      <c r="L220" s="318"/>
      <c r="M220" s="750"/>
      <c r="N220" s="751"/>
      <c r="O220" s="751"/>
      <c r="P220" s="752"/>
    </row>
    <row r="221" spans="1:16" s="5" customFormat="1" ht="15" customHeight="1">
      <c r="A221" s="4"/>
      <c r="B221" s="111"/>
      <c r="C221" s="35"/>
      <c r="D221" s="35"/>
      <c r="E221" s="35"/>
      <c r="F221" s="4" t="s">
        <v>263</v>
      </c>
      <c r="G221" s="17" t="s">
        <v>614</v>
      </c>
      <c r="H221" s="18"/>
      <c r="I221" s="18"/>
      <c r="J221" s="560" t="str" cm="1">
        <f t="array" ref="J221">IF(ISBLANK(I221), IF(ISBLANK(H221), "N/A", _xlfn.IFS(K221="AS", H221+15, K221="NCR", H221+30, K221="submitted", H221+30, TRUE, "N/A")), _xlfn.IFS(K221="AS", I221+15, K221="NCR", I221+30, K221="submitted", I221+30, TRUE, "N/A"))</f>
        <v>N/A</v>
      </c>
      <c r="K221"/>
      <c r="L221" s="318"/>
      <c r="M221" s="750"/>
      <c r="N221" s="751"/>
      <c r="O221" s="751"/>
      <c r="P221" s="752"/>
    </row>
    <row r="222" spans="1:16" s="5" customFormat="1" ht="37.5" customHeight="1">
      <c r="A222" s="4"/>
      <c r="B222" s="111"/>
      <c r="C222" s="35"/>
      <c r="D222" s="35"/>
      <c r="E222" s="35"/>
      <c r="F222" s="4" t="s">
        <v>253</v>
      </c>
      <c r="G222" s="17" t="s">
        <v>615</v>
      </c>
      <c r="H222" s="18"/>
      <c r="I222" s="18"/>
      <c r="J222" s="560" t="str" cm="1">
        <f t="array" ref="J222">IF(ISBLANK(I222), IF(ISBLANK(H222), "N/A", _xlfn.IFS(K222="AS", H222+15, K222="NCR", H222+30, K222="submitted", H222+30, TRUE, "N/A")), _xlfn.IFS(K222="AS", I222+15, K222="NCR", I222+30, K222="submitted", I222+30, TRUE, "N/A"))</f>
        <v>N/A</v>
      </c>
      <c r="K222"/>
      <c r="L222" s="318"/>
      <c r="M222" s="750"/>
      <c r="N222" s="751"/>
      <c r="O222" s="751"/>
      <c r="P222" s="752"/>
    </row>
    <row r="223" spans="1:16" s="5" customFormat="1" ht="45.75" customHeight="1">
      <c r="A223" s="4"/>
      <c r="B223" s="111"/>
      <c r="C223" s="35"/>
      <c r="D223" s="35"/>
      <c r="E223" s="35"/>
      <c r="F223" s="4" t="s">
        <v>344</v>
      </c>
      <c r="G223" s="17" t="s">
        <v>276</v>
      </c>
      <c r="H223" s="18"/>
      <c r="I223" s="18"/>
      <c r="J223" s="560" t="str" cm="1">
        <f t="array" ref="J223">IF(ISBLANK(I223), IF(ISBLANK(H223), "N/A", _xlfn.IFS(K223="AS", H223+15, K223="NCR", H223+30, K223="submitted", H223+30, TRUE, "N/A")), _xlfn.IFS(K223="AS", I223+15, K223="NCR", I223+30, K223="submitted", I223+30, TRUE, "N/A"))</f>
        <v>N/A</v>
      </c>
      <c r="K223"/>
      <c r="L223" s="318"/>
      <c r="M223" s="750"/>
      <c r="N223" s="751"/>
      <c r="O223" s="751"/>
      <c r="P223" s="752"/>
    </row>
    <row r="224" spans="1:16" s="5" customFormat="1" ht="44.25" customHeight="1">
      <c r="A224" s="4"/>
      <c r="B224" s="95"/>
      <c r="C224" s="36"/>
      <c r="D224" s="36"/>
      <c r="E224" s="36"/>
      <c r="F224" s="4" t="s">
        <v>346</v>
      </c>
      <c r="G224" s="17" t="s">
        <v>616</v>
      </c>
      <c r="H224" s="18"/>
      <c r="I224" s="18"/>
      <c r="J224" s="560" t="str" cm="1">
        <f t="array" ref="J224">IF(ISBLANK(I224), IF(ISBLANK(H224), "N/A", _xlfn.IFS(K224="AS", H224+15, K224="NCR", H224+30, K224="submitted", H224+30, TRUE, "N/A")), _xlfn.IFS(K224="AS", I224+15, K224="NCR", I224+30, K224="submitted", I224+30, TRUE, "N/A"))</f>
        <v>N/A</v>
      </c>
      <c r="K224"/>
      <c r="L224" s="318"/>
      <c r="M224" s="750"/>
      <c r="N224" s="751"/>
      <c r="O224" s="751"/>
      <c r="P224" s="752"/>
    </row>
    <row r="225" spans="1:11" s="655" customFormat="1" ht="118.5" customHeight="1">
      <c r="A225" s="648" t="s">
        <v>91</v>
      </c>
      <c r="B225" s="649" t="s">
        <v>617</v>
      </c>
      <c r="C225" s="650" t="s">
        <v>618</v>
      </c>
      <c r="D225" s="344" t="s">
        <v>619</v>
      </c>
      <c r="E225" s="650" t="s">
        <v>569</v>
      </c>
      <c r="F225" s="648" t="s">
        <v>620</v>
      </c>
      <c r="G225" s="651" t="s">
        <v>621</v>
      </c>
      <c r="H225" s="652">
        <v>45805</v>
      </c>
      <c r="I225" s="653">
        <v>45903</v>
      </c>
      <c r="J225" s="560" t="str" cm="1">
        <f t="array" ref="J225">IF(ISBLANK(I225), IF(ISBLANK(H225), "N/A", _xlfn.IFS(K225="AS", H225+15, K225="NCR", H225+30, K225="submitted", H225+30, TRUE, "N/A")), _xlfn.IFS(K225="AS", I225+15, K225="NCR", I225+30, K225="submitted", I225+30, TRUE, "N/A"))</f>
        <v>N/A</v>
      </c>
      <c r="K225" s="654" t="s">
        <v>146</v>
      </c>
    </row>
    <row r="226" spans="1:11" s="26" customFormat="1" ht="118.5" customHeight="1">
      <c r="A226" s="337" t="s">
        <v>622</v>
      </c>
      <c r="B226" s="311" t="s">
        <v>617</v>
      </c>
      <c r="C226" s="76" t="s">
        <v>618</v>
      </c>
      <c r="D226" s="23" t="s">
        <v>619</v>
      </c>
      <c r="E226" s="76" t="s">
        <v>569</v>
      </c>
      <c r="F226" s="337" t="s">
        <v>620</v>
      </c>
      <c r="G226" s="28" t="s">
        <v>621</v>
      </c>
      <c r="H226" s="25">
        <v>45912</v>
      </c>
      <c r="I226" s="591">
        <v>45926</v>
      </c>
      <c r="J226" s="560" cm="1">
        <f t="array" ref="J226">IF(ISBLANK(I226), IF(ISBLANK(H226), "N/A", _xlfn.IFS(K226="AS", H226+15, K226="NCR", H226+30, K226="submitted", H226+30, TRUE, "N/A")), _xlfn.IFS(K226="AS", I226+15, K226="NCR", I226+30, K226="submitted", I226+30, TRUE, "N/A"))</f>
        <v>45956</v>
      </c>
      <c r="K226" s="594" t="s">
        <v>207</v>
      </c>
    </row>
    <row r="227" spans="1:11" s="150" customFormat="1" ht="81" customHeight="1">
      <c r="A227" s="546" t="s">
        <v>93</v>
      </c>
      <c r="B227" s="334">
        <v>15230</v>
      </c>
      <c r="C227" s="220" t="s">
        <v>618</v>
      </c>
      <c r="D227" s="607" t="s">
        <v>623</v>
      </c>
      <c r="E227" s="220" t="s">
        <v>569</v>
      </c>
      <c r="F227" s="546" t="s">
        <v>624</v>
      </c>
      <c r="G227" s="194" t="s">
        <v>625</v>
      </c>
      <c r="H227" s="234">
        <v>45807</v>
      </c>
      <c r="I227" s="433">
        <v>45903</v>
      </c>
      <c r="J227" s="560" t="str" cm="1">
        <f t="array" ref="J227">IF(ISBLANK(I227), IF(ISBLANK(H227), "N/A", _xlfn.IFS(K227="AS", H227+15, K227="NCR", H227+30, K227="submitted", H227+30, TRUE, "N/A")), _xlfn.IFS(K227="AS", I227+15, K227="NCR", I227+30, K227="submitted", I227+30, TRUE, "N/A"))</f>
        <v>N/A</v>
      </c>
      <c r="K227" s="593" t="s">
        <v>146</v>
      </c>
    </row>
    <row r="228" spans="1:11" s="26" customFormat="1" ht="81" customHeight="1">
      <c r="A228" s="337" t="s">
        <v>626</v>
      </c>
      <c r="B228" s="96">
        <v>15230</v>
      </c>
      <c r="C228" s="27" t="s">
        <v>618</v>
      </c>
      <c r="D228" s="338" t="s">
        <v>623</v>
      </c>
      <c r="E228" s="27" t="s">
        <v>569</v>
      </c>
      <c r="F228" s="337" t="s">
        <v>624</v>
      </c>
      <c r="G228" s="28" t="s">
        <v>625</v>
      </c>
      <c r="H228" s="25">
        <v>45911</v>
      </c>
      <c r="I228" s="591">
        <v>45926</v>
      </c>
      <c r="J228" s="560" cm="1">
        <f t="array" ref="J228">IF(ISBLANK(I228), IF(ISBLANK(H228), "N/A", _xlfn.IFS(K228="AS", H228+15, K228="NCR", H228+30, K228="submitted", H228+30, TRUE, "N/A")), _xlfn.IFS(K228="AS", I228+15, K228="NCR", I228+30, K228="submitted", I228+30, TRUE, "N/A"))</f>
        <v>45956</v>
      </c>
      <c r="K228" s="594" t="s">
        <v>207</v>
      </c>
    </row>
    <row r="229" spans="1:11" s="1" customFormat="1" ht="27.75" customHeight="1">
      <c r="A229" s="9"/>
      <c r="B229" s="33">
        <v>15230</v>
      </c>
      <c r="C229" s="46"/>
      <c r="D229" s="46"/>
      <c r="E229" s="46"/>
      <c r="F229" s="9" t="s">
        <v>329</v>
      </c>
      <c r="G229" s="13" t="s">
        <v>320</v>
      </c>
      <c r="H229" s="18"/>
      <c r="I229" s="597"/>
      <c r="J229" s="560" t="str" cm="1">
        <f t="array" ref="J229">IF(ISBLANK(I229), IF(ISBLANK(H229), "N/A", _xlfn.IFS(K229="AS", H229+15, K229="NCR", H229+30, K229="submitted", H229+30, TRUE, "N/A")), _xlfn.IFS(K229="AS", I229+15, K229="NCR", I229+30, K229="submitted", I229+30, TRUE, "N/A"))</f>
        <v>N/A</v>
      </c>
      <c r="K229" s="595"/>
    </row>
    <row r="230" spans="1:11" s="150" customFormat="1" ht="27.75" customHeight="1">
      <c r="A230" s="147" t="s">
        <v>95</v>
      </c>
      <c r="B230" s="334">
        <v>15230</v>
      </c>
      <c r="C230" s="220" t="s">
        <v>618</v>
      </c>
      <c r="D230" s="220" t="s">
        <v>627</v>
      </c>
      <c r="E230" s="220" t="s">
        <v>628</v>
      </c>
      <c r="F230" s="147" t="s">
        <v>629</v>
      </c>
      <c r="G230" s="148" t="s">
        <v>630</v>
      </c>
      <c r="H230" s="234">
        <v>45868</v>
      </c>
      <c r="I230" s="433">
        <v>45925</v>
      </c>
      <c r="J230" s="560" t="str" cm="1">
        <f t="array" ref="J230">IF(ISBLANK(I230), IF(ISBLANK(H230), "N/A", _xlfn.IFS(K230="AS", H230+15, K230="NCR", H230+30, K230="submitted", H230+30, TRUE, "N/A")), _xlfn.IFS(K230="AS", I230+15, K230="NCR", I230+30, K230="submitted", I230+30, TRUE, "N/A"))</f>
        <v>N/A</v>
      </c>
      <c r="K230" s="593" t="s">
        <v>146</v>
      </c>
    </row>
    <row r="231" spans="1:11" s="150" customFormat="1" ht="27.75" customHeight="1">
      <c r="A231" s="147" t="s">
        <v>631</v>
      </c>
      <c r="B231" s="334">
        <v>15230</v>
      </c>
      <c r="C231" s="220" t="s">
        <v>618</v>
      </c>
      <c r="D231" s="220" t="s">
        <v>627</v>
      </c>
      <c r="E231" s="220" t="s">
        <v>628</v>
      </c>
      <c r="F231" s="147" t="s">
        <v>629</v>
      </c>
      <c r="G231" s="148" t="s">
        <v>630</v>
      </c>
      <c r="H231" s="234">
        <v>45926</v>
      </c>
      <c r="I231" s="433"/>
      <c r="J231" s="560" cm="1">
        <f t="array" ref="J231">IF(ISBLANK(I231), IF(ISBLANK(H231), "N/A", _xlfn.IFS(K231="AS", H231+15, K231="NCR", H231+30, K231="submitted", H231+30, TRUE, "N/A")), _xlfn.IFS(K231="AS", I231+15, K231="NCR", I231+30, K231="submitted", I231+30, TRUE, "N/A"))</f>
        <v>45956</v>
      </c>
      <c r="K231" s="593" t="s">
        <v>154</v>
      </c>
    </row>
    <row r="232" spans="1:11" s="267" customFormat="1" ht="27.75" customHeight="1">
      <c r="A232" s="263" t="s">
        <v>632</v>
      </c>
      <c r="B232" s="525">
        <v>15230</v>
      </c>
      <c r="C232" s="264" t="s">
        <v>618</v>
      </c>
      <c r="D232" s="264" t="s">
        <v>633</v>
      </c>
      <c r="E232" s="264" t="s">
        <v>634</v>
      </c>
      <c r="F232" s="263" t="s">
        <v>629</v>
      </c>
      <c r="G232" s="265" t="s">
        <v>635</v>
      </c>
      <c r="H232" s="266">
        <v>45889</v>
      </c>
      <c r="I232" s="598">
        <v>45894</v>
      </c>
      <c r="J232" s="560" cm="1">
        <f t="array" ref="J232">IF(ISBLANK(I232), IF(ISBLANK(H232), "N/A", _xlfn.IFS(K232="AS", H232+15, K232="NCR", H232+30, K232="submitted", H232+30, TRUE, "N/A")), _xlfn.IFS(K232="AS", I232+15, K232="NCR", I232+30, K232="submitted", I232+30, TRUE, "N/A"))</f>
        <v>45924</v>
      </c>
      <c r="K232" s="596" t="s">
        <v>207</v>
      </c>
    </row>
    <row r="233" spans="1:11" s="26" customFormat="1" ht="27" customHeight="1">
      <c r="A233" s="22"/>
      <c r="B233" s="311" t="s">
        <v>636</v>
      </c>
      <c r="C233" s="76" t="s">
        <v>637</v>
      </c>
      <c r="D233" s="76"/>
      <c r="E233" s="76"/>
      <c r="F233" s="22" t="s">
        <v>328</v>
      </c>
      <c r="G233" s="28" t="s">
        <v>638</v>
      </c>
      <c r="H233" s="18"/>
      <c r="I233" s="18"/>
      <c r="J233" s="560" t="str" cm="1">
        <f t="array" ref="J233">IF(ISBLANK(I233), IF(ISBLANK(H233), "N/A", _xlfn.IFS(K233="AS", H233+15, K233="NCR", H233+30, K233="submitted", H233+30, TRUE, "N/A")), _xlfn.IFS(K233="AS", I233+15, K233="NCR", I233+30, K233="submitted", I233+30, TRUE, "N/A"))</f>
        <v>N/A</v>
      </c>
      <c r="K233"/>
    </row>
    <row r="234" spans="1:11" s="26" customFormat="1" ht="15" customHeight="1">
      <c r="A234" s="22"/>
      <c r="B234" s="96"/>
      <c r="C234" s="27"/>
      <c r="D234" s="27"/>
      <c r="E234" s="27"/>
      <c r="F234" s="22" t="s">
        <v>329</v>
      </c>
      <c r="G234" s="24" t="s">
        <v>276</v>
      </c>
      <c r="H234" s="18"/>
      <c r="I234" s="18"/>
      <c r="J234" s="560" t="str" cm="1">
        <f t="array" ref="J234">IF(ISBLANK(I234), IF(ISBLANK(H234), "N/A", _xlfn.IFS(K234="AS", H234+15, K234="NCR", H234+30, K234="submitted", H234+30, TRUE, "N/A")), _xlfn.IFS(K234="AS", I234+15, K234="NCR", I234+30, K234="submitted", I234+30, TRUE, "N/A"))</f>
        <v>N/A</v>
      </c>
      <c r="K234"/>
    </row>
    <row r="235" spans="1:11" s="26" customFormat="1" ht="15" customHeight="1">
      <c r="A235" s="22"/>
      <c r="B235" s="96"/>
      <c r="C235" s="27"/>
      <c r="D235" s="29"/>
      <c r="E235" s="29"/>
      <c r="F235" s="22" t="s">
        <v>396</v>
      </c>
      <c r="G235" s="24" t="s">
        <v>345</v>
      </c>
      <c r="H235" s="18"/>
      <c r="I235" s="18"/>
      <c r="J235" s="560" t="str" cm="1">
        <f t="array" ref="J235">IF(ISBLANK(I235), IF(ISBLANK(H235), "N/A", _xlfn.IFS(K235="AS", H235+15, K235="NCR", H235+30, K235="submitted", H235+30, TRUE, "N/A")), _xlfn.IFS(K235="AS", I235+15, K235="NCR", I235+30, K235="submitted", I235+30, TRUE, "N/A"))</f>
        <v>N/A</v>
      </c>
      <c r="K235"/>
    </row>
    <row r="236" spans="1:11" s="251" customFormat="1" ht="42" customHeight="1">
      <c r="A236" s="364"/>
      <c r="B236" s="365">
        <v>15241</v>
      </c>
      <c r="C236" s="274" t="s">
        <v>639</v>
      </c>
      <c r="D236" s="366"/>
      <c r="E236" s="367"/>
      <c r="F236" s="368" t="s">
        <v>328</v>
      </c>
      <c r="G236" s="369" t="s">
        <v>276</v>
      </c>
      <c r="H236" s="249"/>
      <c r="I236" s="249"/>
      <c r="J236" s="560" t="str" cm="1">
        <f t="array" ref="J236">IF(ISBLANK(I236), IF(ISBLANK(H236), "N/A", _xlfn.IFS(K236="AS", H236+15, K236="NCR", H236+30, K236="submitted", H236+30, TRUE, "N/A")), _xlfn.IFS(K236="AS", I236+15, K236="NCR", I236+30, K236="submitted", I236+30, TRUE, "N/A"))</f>
        <v>N/A</v>
      </c>
      <c r="K236" s="250"/>
    </row>
    <row r="237" spans="1:11" s="5" customFormat="1" ht="48.75" customHeight="1">
      <c r="A237" s="195" t="s">
        <v>26</v>
      </c>
      <c r="B237" s="346">
        <v>15241</v>
      </c>
      <c r="C237" s="168" t="s">
        <v>639</v>
      </c>
      <c r="D237" s="497" t="s">
        <v>640</v>
      </c>
      <c r="E237" s="335" t="s">
        <v>569</v>
      </c>
      <c r="F237" s="147" t="s">
        <v>329</v>
      </c>
      <c r="G237" s="194" t="s">
        <v>610</v>
      </c>
      <c r="H237" s="234">
        <v>45817</v>
      </c>
      <c r="I237" s="234">
        <v>45818</v>
      </c>
      <c r="J237" s="560" t="str" cm="1">
        <f t="array" ref="J237">IF(ISBLANK(I237), IF(ISBLANK(H237), "N/A", _xlfn.IFS(K237="AS", H237+15, K237="NCR", H237+30, K237="submitted", H237+30, TRUE, "N/A")), _xlfn.IFS(K237="AS", I237+15, K237="NCR", I237+30, K237="submitted", I237+30, TRUE, "N/A"))</f>
        <v>N/A</v>
      </c>
      <c r="K237" s="149" t="s">
        <v>146</v>
      </c>
    </row>
    <row r="238" spans="1:11" s="5" customFormat="1" ht="56.25" customHeight="1">
      <c r="A238" s="499" t="s">
        <v>26</v>
      </c>
      <c r="B238" s="500">
        <v>15241</v>
      </c>
      <c r="C238" s="168" t="s">
        <v>639</v>
      </c>
      <c r="D238" s="498"/>
      <c r="E238" s="241"/>
      <c r="F238" s="147" t="s">
        <v>396</v>
      </c>
      <c r="G238" s="194" t="s">
        <v>641</v>
      </c>
      <c r="H238" s="234">
        <v>45817</v>
      </c>
      <c r="I238" s="234">
        <v>45818</v>
      </c>
      <c r="J238" s="560" t="str" cm="1">
        <f t="array" ref="J238">IF(ISBLANK(I238), IF(ISBLANK(H238), "N/A", _xlfn.IFS(K238="AS", H238+15, K238="NCR", H238+30, K238="submitted", H238+30, TRUE, "N/A")), _xlfn.IFS(K238="AS", I238+15, K238="NCR", I238+30, K238="submitted", I238+30, TRUE, "N/A"))</f>
        <v>N/A</v>
      </c>
      <c r="K238" s="149" t="s">
        <v>146</v>
      </c>
    </row>
    <row r="239" spans="1:11" s="138" customFormat="1" ht="56.25" customHeight="1">
      <c r="A239" s="198" t="s">
        <v>642</v>
      </c>
      <c r="B239" s="664">
        <v>15241</v>
      </c>
      <c r="C239" s="665" t="s">
        <v>639</v>
      </c>
      <c r="D239" s="666" t="s">
        <v>643</v>
      </c>
      <c r="E239" s="133" t="s">
        <v>569</v>
      </c>
      <c r="F239" s="152"/>
      <c r="G239" s="154" t="s">
        <v>644</v>
      </c>
      <c r="H239" s="262">
        <v>45891</v>
      </c>
      <c r="I239" s="262"/>
      <c r="J239" s="560" t="str" cm="1">
        <f t="array" ref="J239">IF(ISBLANK(I239), IF(ISBLANK(H239), "N/A", _xlfn.IFS(K239="AS", H239+15, K239="NCR", H239+30, K239="submitted", H239+30, TRUE, "N/A")), _xlfn.IFS(K239="AS", I239+15, K239="NCR", I239+30, K239="submitted", I239+30, TRUE, "N/A"))</f>
        <v>N/A</v>
      </c>
      <c r="K239" s="139" t="s">
        <v>645</v>
      </c>
    </row>
    <row r="240" spans="1:11" s="1" customFormat="1" ht="47.25" customHeight="1">
      <c r="A240" s="21"/>
      <c r="B240" s="97" t="s">
        <v>646</v>
      </c>
      <c r="C240" s="46" t="s">
        <v>647</v>
      </c>
      <c r="D240" s="13"/>
      <c r="E240" s="13"/>
      <c r="F240" s="9" t="s">
        <v>275</v>
      </c>
      <c r="G240" s="7" t="s">
        <v>610</v>
      </c>
      <c r="H240" s="18"/>
      <c r="I240" s="18"/>
      <c r="J240" s="560" t="str" cm="1">
        <f t="array" ref="J240">IF(ISBLANK(I240), IF(ISBLANK(H240), "N/A", _xlfn.IFS(K240="AS", H240+15, K240="NCR", H240+30, K240="submitted", H240+30, TRUE, "N/A")), _xlfn.IFS(K240="AS", I240+15, K240="NCR", I240+30, K240="submitted", I240+30, TRUE, "N/A"))</f>
        <v>N/A</v>
      </c>
      <c r="K240"/>
    </row>
    <row r="241" spans="1:11" s="5" customFormat="1" ht="43.5" customHeight="1">
      <c r="A241" s="4"/>
      <c r="B241" s="86" t="s">
        <v>648</v>
      </c>
      <c r="C241" s="34" t="s">
        <v>649</v>
      </c>
      <c r="D241" s="34"/>
      <c r="E241" s="34"/>
      <c r="F241" s="4" t="s">
        <v>275</v>
      </c>
      <c r="G241" s="3" t="s">
        <v>610</v>
      </c>
      <c r="H241" s="18"/>
      <c r="I241" s="18"/>
      <c r="J241" s="560" t="str" cm="1">
        <f t="array" ref="J241">IF(ISBLANK(I241), IF(ISBLANK(H241), "N/A", _xlfn.IFS(K241="AS", H241+15, K241="NCR", H241+30, K241="submitted", H241+30, TRUE, "N/A")), _xlfn.IFS(K241="AS", I241+15, K241="NCR", I241+30, K241="submitted", I241+30, TRUE, "N/A"))</f>
        <v>N/A</v>
      </c>
      <c r="K241"/>
    </row>
    <row r="242" spans="1:11" s="5" customFormat="1" ht="15" customHeight="1">
      <c r="A242" s="4"/>
      <c r="B242" s="111"/>
      <c r="C242" s="35"/>
      <c r="D242" s="35"/>
      <c r="E242" s="35"/>
      <c r="F242" s="4" t="s">
        <v>263</v>
      </c>
      <c r="G242" s="17" t="s">
        <v>614</v>
      </c>
      <c r="H242" s="18"/>
      <c r="I242" s="18"/>
      <c r="J242" s="560" t="str" cm="1">
        <f t="array" ref="J242">IF(ISBLANK(I242), IF(ISBLANK(H242), "N/A", _xlfn.IFS(K242="AS", H242+15, K242="NCR", H242+30, K242="submitted", H242+30, TRUE, "N/A")), _xlfn.IFS(K242="AS", I242+15, K242="NCR", I242+30, K242="submitted", I242+30, TRUE, "N/A"))</f>
        <v>N/A</v>
      </c>
      <c r="K242"/>
    </row>
    <row r="243" spans="1:11" s="5" customFormat="1" ht="15" customHeight="1">
      <c r="A243" s="4"/>
      <c r="B243" s="95"/>
      <c r="C243" s="36"/>
      <c r="D243" s="36"/>
      <c r="E243" s="36"/>
      <c r="F243" s="4" t="s">
        <v>253</v>
      </c>
      <c r="G243" s="17" t="s">
        <v>615</v>
      </c>
      <c r="H243" s="18"/>
      <c r="I243" s="18"/>
      <c r="J243" s="560" t="str" cm="1">
        <f t="array" ref="J243">IF(ISBLANK(I243), IF(ISBLANK(H243), "N/A", _xlfn.IFS(K243="AS", H243+15, K243="NCR", H243+30, K243="submitted", H243+30, TRUE, "N/A")), _xlfn.IFS(K243="AS", I243+15, K243="NCR", I243+30, K243="submitted", I243+30, TRUE, "N/A"))</f>
        <v>N/A</v>
      </c>
      <c r="K243"/>
    </row>
    <row r="244" spans="1:11" s="1" customFormat="1" ht="27" customHeight="1">
      <c r="A244" s="9"/>
      <c r="B244" s="32" t="s">
        <v>650</v>
      </c>
      <c r="C244" s="37" t="s">
        <v>651</v>
      </c>
      <c r="D244" s="37"/>
      <c r="E244" s="37"/>
      <c r="F244" s="9" t="s">
        <v>328</v>
      </c>
      <c r="G244" s="7" t="s">
        <v>652</v>
      </c>
      <c r="H244" s="18"/>
      <c r="I244" s="18"/>
      <c r="J244" s="560" t="str" cm="1">
        <f t="array" ref="J244">IF(ISBLANK(I244), IF(ISBLANK(H244), "N/A", _xlfn.IFS(K244="AS", H244+15, K244="NCR", H244+30, K244="submitted", H244+30, TRUE, "N/A")), _xlfn.IFS(K244="AS", I244+15, K244="NCR", I244+30, K244="submitted", I244+30, TRUE, "N/A"))</f>
        <v>N/A</v>
      </c>
      <c r="K244"/>
    </row>
    <row r="245" spans="1:11" s="1" customFormat="1" ht="15" customHeight="1">
      <c r="A245" s="9"/>
      <c r="B245" s="33"/>
      <c r="C245" s="39"/>
      <c r="D245" s="39"/>
      <c r="E245" s="39"/>
      <c r="F245" s="9" t="s">
        <v>329</v>
      </c>
      <c r="G245" s="13" t="s">
        <v>653</v>
      </c>
      <c r="H245" s="18"/>
      <c r="I245" s="18"/>
      <c r="J245" s="560" t="str" cm="1">
        <f t="array" ref="J245">IF(ISBLANK(I245), IF(ISBLANK(H245), "N/A", _xlfn.IFS(K245="AS", H245+15, K245="NCR", H245+30, K245="submitted", H245+30, TRUE, "N/A")), _xlfn.IFS(K245="AS", I245+15, K245="NCR", I245+30, K245="submitted", I245+30, TRUE, "N/A"))</f>
        <v>N/A</v>
      </c>
      <c r="K245"/>
    </row>
    <row r="246" spans="1:11" s="1" customFormat="1" ht="30.75" customHeight="1">
      <c r="A246" s="9"/>
      <c r="B246" s="33"/>
      <c r="C246" s="39"/>
      <c r="D246" s="39"/>
      <c r="E246" s="39"/>
      <c r="F246" s="9" t="s">
        <v>396</v>
      </c>
      <c r="G246" s="7" t="s">
        <v>654</v>
      </c>
      <c r="H246" s="18"/>
      <c r="I246" s="18"/>
      <c r="J246" s="560" t="str" cm="1">
        <f t="array" ref="J246">IF(ISBLANK(I246), IF(ISBLANK(H246), "N/A", _xlfn.IFS(K246="AS", H246+15, K246="NCR", H246+30, K246="submitted", H246+30, TRUE, "N/A")), _xlfn.IFS(K246="AS", I246+15, K246="NCR", I246+30, K246="submitted", I246+30, TRUE, "N/A"))</f>
        <v>N/A</v>
      </c>
      <c r="K246"/>
    </row>
    <row r="247" spans="1:11" s="1" customFormat="1" ht="27" customHeight="1">
      <c r="A247" s="9"/>
      <c r="B247" s="33"/>
      <c r="C247" s="39"/>
      <c r="D247" s="39"/>
      <c r="E247" s="39"/>
      <c r="F247" s="9" t="s">
        <v>397</v>
      </c>
      <c r="G247" s="7" t="s">
        <v>655</v>
      </c>
      <c r="H247" s="18"/>
      <c r="I247" s="18"/>
      <c r="J247" s="560" t="str" cm="1">
        <f t="array" ref="J247">IF(ISBLANK(I247), IF(ISBLANK(H247), "N/A", _xlfn.IFS(K247="AS", H247+15, K247="NCR", H247+30, K247="submitted", H247+30, TRUE, "N/A")), _xlfn.IFS(K247="AS", I247+15, K247="NCR", I247+30, K247="submitted", I247+30, TRUE, "N/A"))</f>
        <v>N/A</v>
      </c>
      <c r="K247"/>
    </row>
    <row r="248" spans="1:11" s="1" customFormat="1" ht="15" customHeight="1">
      <c r="A248" s="9"/>
      <c r="B248" s="33"/>
      <c r="C248" s="39"/>
      <c r="D248" s="39"/>
      <c r="E248" s="39"/>
      <c r="F248" s="9" t="s">
        <v>398</v>
      </c>
      <c r="G248" s="13" t="s">
        <v>656</v>
      </c>
      <c r="H248" s="18"/>
      <c r="I248" s="18"/>
      <c r="J248" s="560" t="str" cm="1">
        <f t="array" ref="J248">IF(ISBLANK(I248), IF(ISBLANK(H248), "N/A", _xlfn.IFS(K248="AS", H248+15, K248="NCR", H248+30, K248="submitted", H248+30, TRUE, "N/A")), _xlfn.IFS(K248="AS", I248+15, K248="NCR", I248+30, K248="submitted", I248+30, TRUE, "N/A"))</f>
        <v>N/A</v>
      </c>
      <c r="K248"/>
    </row>
    <row r="249" spans="1:11" s="1" customFormat="1" ht="15" customHeight="1">
      <c r="A249" s="9"/>
      <c r="B249" s="97"/>
      <c r="C249" s="46"/>
      <c r="D249" s="46"/>
      <c r="E249" s="46"/>
      <c r="F249" s="9" t="s">
        <v>400</v>
      </c>
      <c r="G249" s="13" t="s">
        <v>657</v>
      </c>
      <c r="H249" s="18"/>
      <c r="I249" s="18"/>
      <c r="J249" s="560" t="str" cm="1">
        <f t="array" ref="J249">IF(ISBLANK(I249), IF(ISBLANK(H249), "N/A", _xlfn.IFS(K249="AS", H249+15, K249="NCR", H249+30, K249="submitted", H249+30, TRUE, "N/A")), _xlfn.IFS(K249="AS", I249+15, K249="NCR", I249+30, K249="submitted", I249+30, TRUE, "N/A"))</f>
        <v>N/A</v>
      </c>
      <c r="K249"/>
    </row>
    <row r="250" spans="1:11" s="5" customFormat="1" ht="48" customHeight="1">
      <c r="A250" s="4"/>
      <c r="B250" s="15" t="s">
        <v>658</v>
      </c>
      <c r="C250" s="17" t="s">
        <v>659</v>
      </c>
      <c r="D250" s="17"/>
      <c r="E250" s="17"/>
      <c r="F250" s="4" t="s">
        <v>275</v>
      </c>
      <c r="G250" s="3" t="s">
        <v>610</v>
      </c>
      <c r="H250" s="18"/>
      <c r="I250" s="18"/>
      <c r="J250" s="560" t="str" cm="1">
        <f t="array" ref="J250">IF(ISBLANK(I250), IF(ISBLANK(H250), "N/A", _xlfn.IFS(K250="AS", H250+15, K250="NCR", H250+30, K250="submitted", H250+30, TRUE, "N/A")), _xlfn.IFS(K250="AS", I250+15, K250="NCR", I250+30, K250="submitted", I250+30, TRUE, "N/A"))</f>
        <v>N/A</v>
      </c>
      <c r="K250"/>
    </row>
    <row r="251" spans="1:11" s="1" customFormat="1" ht="42.75" customHeight="1">
      <c r="A251" s="9"/>
      <c r="B251" s="32" t="s">
        <v>660</v>
      </c>
      <c r="C251" s="37" t="s">
        <v>661</v>
      </c>
      <c r="D251" s="37"/>
      <c r="E251" s="37"/>
      <c r="F251" s="9" t="s">
        <v>328</v>
      </c>
      <c r="G251" s="7" t="s">
        <v>610</v>
      </c>
      <c r="H251" s="18"/>
      <c r="I251" s="18"/>
      <c r="J251" s="560" t="str" cm="1">
        <f t="array" ref="J251">IF(ISBLANK(I251), IF(ISBLANK(H251), "N/A", _xlfn.IFS(K251="AS", H251+15, K251="NCR", H251+30, K251="submitted", H251+30, TRUE, "N/A")), _xlfn.IFS(K251="AS", I251+15, K251="NCR", I251+30, K251="submitted", I251+30, TRUE, "N/A"))</f>
        <v>N/A</v>
      </c>
      <c r="K251"/>
    </row>
    <row r="252" spans="1:11" s="1" customFormat="1" ht="15" customHeight="1">
      <c r="A252" s="9"/>
      <c r="B252" s="33"/>
      <c r="C252" s="39"/>
      <c r="D252" s="39"/>
      <c r="E252" s="39"/>
      <c r="F252" s="9" t="s">
        <v>329</v>
      </c>
      <c r="G252" s="13" t="s">
        <v>276</v>
      </c>
      <c r="H252" s="18"/>
      <c r="I252" s="18"/>
      <c r="J252" s="560" t="str" cm="1">
        <f t="array" ref="J252">IF(ISBLANK(I252), IF(ISBLANK(H252), "N/A", _xlfn.IFS(K252="AS", H252+15, K252="NCR", H252+30, K252="submitted", H252+30, TRUE, "N/A")), _xlfn.IFS(K252="AS", I252+15, K252="NCR", I252+30, K252="submitted", I252+30, TRUE, "N/A"))</f>
        <v>N/A</v>
      </c>
      <c r="K252"/>
    </row>
    <row r="253" spans="1:11" s="1" customFormat="1" ht="15" customHeight="1">
      <c r="A253" s="9"/>
      <c r="B253" s="97"/>
      <c r="C253" s="46"/>
      <c r="D253" s="46"/>
      <c r="E253" s="46"/>
      <c r="F253" s="9" t="s">
        <v>330</v>
      </c>
      <c r="G253" s="7" t="s">
        <v>662</v>
      </c>
      <c r="H253" s="18"/>
      <c r="I253" s="18"/>
      <c r="J253" s="560" t="str" cm="1">
        <f t="array" ref="J253">IF(ISBLANK(I253), IF(ISBLANK(H253), "N/A", _xlfn.IFS(K253="AS", H253+15, K253="NCR", H253+30, K253="submitted", H253+30, TRUE, "N/A")), _xlfn.IFS(K253="AS", I253+15, K253="NCR", I253+30, K253="submitted", I253+30, TRUE, "N/A"))</f>
        <v>N/A</v>
      </c>
      <c r="K253"/>
    </row>
    <row r="254" spans="1:11" s="5" customFormat="1" ht="15" customHeight="1">
      <c r="A254" s="4"/>
      <c r="B254" s="86" t="s">
        <v>663</v>
      </c>
      <c r="C254" s="34" t="s">
        <v>664</v>
      </c>
      <c r="D254" s="34"/>
      <c r="E254" s="34"/>
      <c r="F254" s="4" t="s">
        <v>205</v>
      </c>
      <c r="G254" s="17" t="s">
        <v>476</v>
      </c>
      <c r="H254" s="18"/>
      <c r="I254" s="18"/>
      <c r="J254" s="560" t="str" cm="1">
        <f t="array" ref="J254">IF(ISBLANK(I254), IF(ISBLANK(H254), "N/A", _xlfn.IFS(K254="AS", H254+15, K254="NCR", H254+30, K254="submitted", H254+30, TRUE, "N/A")), _xlfn.IFS(K254="AS", I254+15, K254="NCR", I254+30, K254="submitted", I254+30, TRUE, "N/A"))</f>
        <v>N/A</v>
      </c>
      <c r="K254"/>
    </row>
    <row r="255" spans="1:11" s="5" customFormat="1" ht="15" customHeight="1">
      <c r="A255" s="4"/>
      <c r="B255" s="111"/>
      <c r="C255" s="35"/>
      <c r="D255" s="35"/>
      <c r="E255" s="35"/>
      <c r="F255" s="4" t="s">
        <v>275</v>
      </c>
      <c r="G255" s="17" t="s">
        <v>665</v>
      </c>
      <c r="H255" s="18"/>
      <c r="I255" s="18"/>
      <c r="J255" s="560" t="str" cm="1">
        <f t="array" ref="J255">IF(ISBLANK(I255), IF(ISBLANK(H255), "N/A", _xlfn.IFS(K255="AS", H255+15, K255="NCR", H255+30, K255="submitted", H255+30, TRUE, "N/A")), _xlfn.IFS(K255="AS", I255+15, K255="NCR", I255+30, K255="submitted", I255+30, TRUE, "N/A"))</f>
        <v>N/A</v>
      </c>
      <c r="K255"/>
    </row>
    <row r="256" spans="1:11" s="5" customFormat="1" ht="15" customHeight="1">
      <c r="A256" s="4"/>
      <c r="B256" s="95"/>
      <c r="C256" s="36"/>
      <c r="D256" s="36"/>
      <c r="E256" s="36"/>
      <c r="F256" s="4" t="s">
        <v>263</v>
      </c>
      <c r="G256" s="17" t="s">
        <v>666</v>
      </c>
      <c r="H256" s="18"/>
      <c r="I256" s="18"/>
      <c r="J256" s="560" t="str" cm="1">
        <f t="array" ref="J256">IF(ISBLANK(I256), IF(ISBLANK(H256), "N/A", _xlfn.IFS(K256="AS", H256+15, K256="NCR", H256+30, K256="submitted", H256+30, TRUE, "N/A")), _xlfn.IFS(K256="AS", I256+15, K256="NCR", I256+30, K256="submitted", I256+30, TRUE, "N/A"))</f>
        <v>N/A</v>
      </c>
      <c r="K256"/>
    </row>
    <row r="257" spans="1:11" s="1" customFormat="1" ht="40.5" customHeight="1">
      <c r="A257" s="9"/>
      <c r="B257" s="11" t="s">
        <v>667</v>
      </c>
      <c r="C257" s="13" t="s">
        <v>668</v>
      </c>
      <c r="D257" s="13"/>
      <c r="E257" s="13"/>
      <c r="F257" s="9" t="s">
        <v>475</v>
      </c>
      <c r="G257" s="7" t="s">
        <v>638</v>
      </c>
      <c r="H257" s="18"/>
      <c r="I257" s="18"/>
      <c r="J257" s="560" t="str" cm="1">
        <f t="array" ref="J257">IF(ISBLANK(I257), IF(ISBLANK(H257), "N/A", _xlfn.IFS(K257="AS", H257+15, K257="NCR", H257+30, K257="submitted", H257+30, TRUE, "N/A")), _xlfn.IFS(K257="AS", I257+15, K257="NCR", I257+30, K257="submitted", I257+30, TRUE, "N/A"))</f>
        <v>N/A</v>
      </c>
      <c r="K257"/>
    </row>
    <row r="258" spans="1:11" s="5" customFormat="1" ht="43.5" customHeight="1">
      <c r="A258" s="4"/>
      <c r="B258" s="15" t="s">
        <v>669</v>
      </c>
      <c r="C258" s="17" t="s">
        <v>670</v>
      </c>
      <c r="D258" s="17"/>
      <c r="E258" s="17"/>
      <c r="F258" s="4" t="s">
        <v>210</v>
      </c>
      <c r="G258" s="3" t="s">
        <v>671</v>
      </c>
      <c r="H258" s="18"/>
      <c r="I258" s="18"/>
      <c r="J258" s="560" t="str" cm="1">
        <f t="array" ref="J258">IF(ISBLANK(I258), IF(ISBLANK(H258), "N/A", _xlfn.IFS(K258="AS", H258+15, K258="NCR", H258+30, K258="submitted", H258+30, TRUE, "N/A")), _xlfn.IFS(K258="AS", I258+15, K258="NCR", I258+30, K258="submitted", I258+30, TRUE, "N/A"))</f>
        <v>N/A</v>
      </c>
      <c r="K258"/>
    </row>
    <row r="259" spans="1:11" s="1" customFormat="1" ht="40.5" customHeight="1">
      <c r="A259" s="9"/>
      <c r="B259" s="32" t="s">
        <v>672</v>
      </c>
      <c r="C259" s="37" t="s">
        <v>673</v>
      </c>
      <c r="D259" s="37"/>
      <c r="E259" s="37"/>
      <c r="F259" s="9" t="s">
        <v>210</v>
      </c>
      <c r="G259" s="7" t="s">
        <v>674</v>
      </c>
      <c r="H259" s="18"/>
      <c r="I259" s="18"/>
      <c r="J259" s="560" t="str" cm="1">
        <f t="array" ref="J259">IF(ISBLANK(I259), IF(ISBLANK(H259), "N/A", _xlfn.IFS(K259="AS", H259+15, K259="NCR", H259+30, K259="submitted", H259+30, TRUE, "N/A")), _xlfn.IFS(K259="AS", I259+15, K259="NCR", I259+30, K259="submitted", I259+30, TRUE, "N/A"))</f>
        <v>N/A</v>
      </c>
      <c r="K259"/>
    </row>
    <row r="260" spans="1:11" s="1" customFormat="1" ht="27" customHeight="1">
      <c r="A260" s="9"/>
      <c r="B260" s="33"/>
      <c r="C260" s="39"/>
      <c r="D260" s="39"/>
      <c r="E260" s="39"/>
      <c r="F260" s="9" t="s">
        <v>230</v>
      </c>
      <c r="G260" s="7" t="s">
        <v>675</v>
      </c>
      <c r="H260" s="18"/>
      <c r="I260" s="18"/>
      <c r="J260" s="560" t="str" cm="1">
        <f t="array" ref="J260">IF(ISBLANK(I260), IF(ISBLANK(H260), "N/A", _xlfn.IFS(K260="AS", H260+15, K260="NCR", H260+30, K260="submitted", H260+30, TRUE, "N/A")), _xlfn.IFS(K260="AS", I260+15, K260="NCR", I260+30, K260="submitted", I260+30, TRUE, "N/A"))</f>
        <v>N/A</v>
      </c>
      <c r="K260"/>
    </row>
    <row r="261" spans="1:11" s="1" customFormat="1" ht="27" customHeight="1">
      <c r="A261" s="9"/>
      <c r="B261" s="97"/>
      <c r="C261" s="46"/>
      <c r="D261" s="46"/>
      <c r="E261" s="46"/>
      <c r="F261" s="9" t="s">
        <v>232</v>
      </c>
      <c r="G261" s="102" t="s">
        <v>676</v>
      </c>
      <c r="H261" s="18"/>
      <c r="I261" s="18"/>
      <c r="J261" s="560" t="str" cm="1">
        <f t="array" ref="J261">IF(ISBLANK(I261), IF(ISBLANK(H261), "N/A", _xlfn.IFS(K261="AS", H261+15, K261="NCR", H261+30, K261="submitted", H261+30, TRUE, "N/A")), _xlfn.IFS(K261="AS", I261+15, K261="NCR", I261+30, K261="submitted", I261+30, TRUE, "N/A"))</f>
        <v>N/A</v>
      </c>
      <c r="K261"/>
    </row>
    <row r="262" spans="1:11" s="5" customFormat="1" ht="15" customHeight="1">
      <c r="A262" s="4"/>
      <c r="B262" s="86" t="s">
        <v>677</v>
      </c>
      <c r="C262" s="34" t="s">
        <v>678</v>
      </c>
      <c r="D262" s="34"/>
      <c r="E262" s="34"/>
      <c r="F262" s="4" t="s">
        <v>205</v>
      </c>
      <c r="G262" s="17" t="s">
        <v>276</v>
      </c>
      <c r="H262" s="18"/>
      <c r="I262" s="18"/>
      <c r="J262" s="560" t="str" cm="1">
        <f t="array" ref="J262">IF(ISBLANK(I262), IF(ISBLANK(H262), "N/A", _xlfn.IFS(K262="AS", H262+15, K262="NCR", H262+30, K262="submitted", H262+30, TRUE, "N/A")), _xlfn.IFS(K262="AS", I262+15, K262="NCR", I262+30, K262="submitted", I262+30, TRUE, "N/A"))</f>
        <v>N/A</v>
      </c>
      <c r="K262"/>
    </row>
    <row r="263" spans="1:11" s="5" customFormat="1" ht="15" customHeight="1">
      <c r="A263" s="4"/>
      <c r="B263" s="111"/>
      <c r="C263" s="35"/>
      <c r="D263" s="35"/>
      <c r="E263" s="35"/>
      <c r="F263" s="4" t="s">
        <v>220</v>
      </c>
      <c r="G263" s="17" t="s">
        <v>679</v>
      </c>
      <c r="H263" s="18"/>
      <c r="I263" s="18"/>
      <c r="J263" s="560" t="str" cm="1">
        <f t="array" ref="J263">IF(ISBLANK(I263), IF(ISBLANK(H263), "N/A", _xlfn.IFS(K263="AS", H263+15, K263="NCR", H263+30, K263="submitted", H263+30, TRUE, "N/A")), _xlfn.IFS(K263="AS", I263+15, K263="NCR", I263+30, K263="submitted", I263+30, TRUE, "N/A"))</f>
        <v>N/A</v>
      </c>
      <c r="K263"/>
    </row>
    <row r="264" spans="1:11" s="5" customFormat="1" ht="15" customHeight="1">
      <c r="A264" s="4"/>
      <c r="B264" s="111"/>
      <c r="C264" s="35"/>
      <c r="D264" s="35"/>
      <c r="E264" s="35"/>
      <c r="F264" s="4" t="s">
        <v>535</v>
      </c>
      <c r="G264" s="17" t="s">
        <v>680</v>
      </c>
      <c r="H264" s="18"/>
      <c r="I264" s="18"/>
      <c r="J264" s="560" t="str" cm="1">
        <f t="array" ref="J264">IF(ISBLANK(I264), IF(ISBLANK(H264), "N/A", _xlfn.IFS(K264="AS", H264+15, K264="NCR", H264+30, K264="submitted", H264+30, TRUE, "N/A")), _xlfn.IFS(K264="AS", I264+15, K264="NCR", I264+30, K264="submitted", I264+30, TRUE, "N/A"))</f>
        <v>N/A</v>
      </c>
      <c r="K264"/>
    </row>
    <row r="265" spans="1:11" s="5" customFormat="1" ht="15" customHeight="1">
      <c r="A265" s="4"/>
      <c r="B265" s="111"/>
      <c r="C265" s="35"/>
      <c r="D265" s="103"/>
      <c r="E265" s="103"/>
      <c r="F265" s="5" t="s">
        <v>537</v>
      </c>
      <c r="G265" s="3" t="s">
        <v>681</v>
      </c>
      <c r="H265" s="18"/>
      <c r="I265" s="18"/>
      <c r="J265" s="560" t="str" cm="1">
        <f t="array" ref="J265">IF(ISBLANK(I265), IF(ISBLANK(H265), "N/A", _xlfn.IFS(K265="AS", H265+15, K265="NCR", H265+30, K265="submitted", H265+30, TRUE, "N/A")), _xlfn.IFS(K265="AS", I265+15, K265="NCR", I265+30, K265="submitted", I265+30, TRUE, "N/A"))</f>
        <v>N/A</v>
      </c>
      <c r="K265"/>
    </row>
    <row r="266" spans="1:11" s="5" customFormat="1" ht="15" customHeight="1">
      <c r="A266" s="4"/>
      <c r="B266" s="111"/>
      <c r="C266" s="35"/>
      <c r="D266" s="35"/>
      <c r="E266" s="35"/>
      <c r="F266" s="4" t="s">
        <v>682</v>
      </c>
      <c r="G266" s="3" t="s">
        <v>683</v>
      </c>
      <c r="H266" s="18"/>
      <c r="I266" s="18"/>
      <c r="J266" s="560" t="str" cm="1">
        <f t="array" ref="J266">IF(ISBLANK(I266), IF(ISBLANK(H266), "N/A", _xlfn.IFS(K266="AS", H266+15, K266="NCR", H266+30, K266="submitted", H266+30, TRUE, "N/A")), _xlfn.IFS(K266="AS", I266+15, K266="NCR", I266+30, K266="submitted", I266+30, TRUE, "N/A"))</f>
        <v>N/A</v>
      </c>
      <c r="K266"/>
    </row>
    <row r="267" spans="1:11" s="5" customFormat="1" ht="40.5" customHeight="1">
      <c r="A267" s="4"/>
      <c r="B267" s="111"/>
      <c r="C267" s="35"/>
      <c r="D267" s="35"/>
      <c r="E267" s="35"/>
      <c r="F267" s="4" t="s">
        <v>263</v>
      </c>
      <c r="G267" s="3" t="s">
        <v>684</v>
      </c>
      <c r="H267" s="18"/>
      <c r="I267" s="18"/>
      <c r="J267" s="560" t="str" cm="1">
        <f t="array" ref="J267">IF(ISBLANK(I267), IF(ISBLANK(H267), "N/A", _xlfn.IFS(K267="AS", H267+15, K267="NCR", H267+30, K267="submitted", H267+30, TRUE, "N/A")), _xlfn.IFS(K267="AS", I267+15, K267="NCR", I267+30, K267="submitted", I267+30, TRUE, "N/A"))</f>
        <v>N/A</v>
      </c>
      <c r="K267"/>
    </row>
    <row r="268" spans="1:11" s="5" customFormat="1" ht="15" customHeight="1">
      <c r="A268" s="4"/>
      <c r="B268" s="95"/>
      <c r="C268" s="36"/>
      <c r="D268" s="36"/>
      <c r="E268" s="36"/>
      <c r="F268" s="4" t="s">
        <v>253</v>
      </c>
      <c r="G268" s="17" t="s">
        <v>685</v>
      </c>
      <c r="H268" s="18"/>
      <c r="I268" s="18"/>
      <c r="J268" s="560" t="str" cm="1">
        <f t="array" ref="J268">IF(ISBLANK(I268), IF(ISBLANK(H268), "N/A", _xlfn.IFS(K268="AS", H268+15, K268="NCR", H268+30, K268="submitted", H268+30, TRUE, "N/A")), _xlfn.IFS(K268="AS", I268+15, K268="NCR", I268+30, K268="submitted", I268+30, TRUE, "N/A"))</f>
        <v>N/A</v>
      </c>
      <c r="K268"/>
    </row>
    <row r="269" spans="1:11" s="1" customFormat="1" ht="15" customHeight="1">
      <c r="A269" s="9"/>
      <c r="B269" s="32" t="s">
        <v>686</v>
      </c>
      <c r="C269" s="37" t="s">
        <v>687</v>
      </c>
      <c r="D269" s="37"/>
      <c r="E269" s="37"/>
      <c r="F269" s="9" t="s">
        <v>275</v>
      </c>
      <c r="G269" s="13" t="s">
        <v>229</v>
      </c>
      <c r="H269" s="18"/>
      <c r="I269" s="18"/>
      <c r="J269" s="560" t="str" cm="1">
        <f t="array" ref="J269">IF(ISBLANK(I269), IF(ISBLANK(H269), "N/A", _xlfn.IFS(K269="AS", H269+15, K269="NCR", H269+30, K269="submitted", H269+30, TRUE, "N/A")), _xlfn.IFS(K269="AS", I269+15, K269="NCR", I269+30, K269="submitted", I269+30, TRUE, "N/A"))</f>
        <v>N/A</v>
      </c>
      <c r="K269"/>
    </row>
    <row r="270" spans="1:11" s="1" customFormat="1" ht="15" customHeight="1">
      <c r="A270" s="9"/>
      <c r="B270" s="33"/>
      <c r="C270" s="39"/>
      <c r="D270" s="39"/>
      <c r="E270" s="39"/>
      <c r="F270" s="9" t="s">
        <v>263</v>
      </c>
      <c r="G270" s="13" t="s">
        <v>276</v>
      </c>
      <c r="H270" s="18"/>
      <c r="I270" s="18"/>
      <c r="J270" s="560" t="str" cm="1">
        <f t="array" ref="J270">IF(ISBLANK(I270), IF(ISBLANK(H270), "N/A", _xlfn.IFS(K270="AS", H270+15, K270="NCR", H270+30, K270="submitted", H270+30, TRUE, "N/A")), _xlfn.IFS(K270="AS", I270+15, K270="NCR", I270+30, K270="submitted", I270+30, TRUE, "N/A"))</f>
        <v>N/A</v>
      </c>
      <c r="K270"/>
    </row>
    <row r="271" spans="1:11" s="1" customFormat="1" ht="15" customHeight="1">
      <c r="A271" s="9"/>
      <c r="B271" s="33"/>
      <c r="C271" s="39"/>
      <c r="D271" s="39"/>
      <c r="E271" s="39"/>
      <c r="F271" s="9" t="s">
        <v>253</v>
      </c>
      <c r="G271" s="13" t="s">
        <v>688</v>
      </c>
      <c r="H271" s="18"/>
      <c r="I271" s="18"/>
      <c r="J271" s="560" t="str" cm="1">
        <f t="array" ref="J271">IF(ISBLANK(I271), IF(ISBLANK(H271), "N/A", _xlfn.IFS(K271="AS", H271+15, K271="NCR", H271+30, K271="submitted", H271+30, TRUE, "N/A")), _xlfn.IFS(K271="AS", I271+15, K271="NCR", I271+30, K271="submitted", I271+30, TRUE, "N/A"))</f>
        <v>N/A</v>
      </c>
      <c r="K271"/>
    </row>
    <row r="272" spans="1:11" s="1" customFormat="1" ht="27" customHeight="1">
      <c r="A272" s="9"/>
      <c r="B272" s="33"/>
      <c r="C272" s="39"/>
      <c r="D272" s="39"/>
      <c r="E272" s="39"/>
      <c r="F272" s="9" t="s">
        <v>344</v>
      </c>
      <c r="G272" s="7" t="s">
        <v>689</v>
      </c>
      <c r="H272" s="18"/>
      <c r="I272" s="18"/>
      <c r="J272" s="560" t="str" cm="1">
        <f t="array" ref="J272">IF(ISBLANK(I272), IF(ISBLANK(H272), "N/A", _xlfn.IFS(K272="AS", H272+15, K272="NCR", H272+30, K272="submitted", H272+30, TRUE, "N/A")), _xlfn.IFS(K272="AS", I272+15, K272="NCR", I272+30, K272="submitted", I272+30, TRUE, "N/A"))</f>
        <v>N/A</v>
      </c>
      <c r="K272"/>
    </row>
    <row r="273" spans="1:11" s="1" customFormat="1" ht="53.25">
      <c r="A273" s="9"/>
      <c r="B273" s="33"/>
      <c r="C273" s="39"/>
      <c r="D273" s="39"/>
      <c r="E273" s="39"/>
      <c r="F273" s="9" t="s">
        <v>346</v>
      </c>
      <c r="G273" s="7" t="s">
        <v>690</v>
      </c>
      <c r="H273" s="18"/>
      <c r="I273" s="18"/>
      <c r="J273" s="560" t="str" cm="1">
        <f t="array" ref="J273">IF(ISBLANK(I273), IF(ISBLANK(H273), "N/A", _xlfn.IFS(K273="AS", H273+15, K273="NCR", H273+30, K273="submitted", H273+30, TRUE, "N/A")), _xlfn.IFS(K273="AS", I273+15, K273="NCR", I273+30, K273="submitted", I273+30, TRUE, "N/A"))</f>
        <v>N/A</v>
      </c>
      <c r="K273"/>
    </row>
    <row r="274" spans="1:11" s="1" customFormat="1" ht="53.25">
      <c r="A274" s="9"/>
      <c r="B274" s="33"/>
      <c r="C274" s="39"/>
      <c r="D274" s="39"/>
      <c r="E274" s="39"/>
      <c r="F274" s="9" t="s">
        <v>348</v>
      </c>
      <c r="G274" s="7" t="s">
        <v>691</v>
      </c>
      <c r="H274" s="18"/>
      <c r="I274" s="18"/>
      <c r="J274" s="560" t="str" cm="1">
        <f t="array" ref="J274">IF(ISBLANK(I274), IF(ISBLANK(H274), "N/A", _xlfn.IFS(K274="AS", H274+15, K274="NCR", H274+30, K274="submitted", H274+30, TRUE, "N/A")), _xlfn.IFS(K274="AS", I274+15, K274="NCR", I274+30, K274="submitted", I274+30, TRUE, "N/A"))</f>
        <v>N/A</v>
      </c>
      <c r="K274"/>
    </row>
    <row r="275" spans="1:11" s="1" customFormat="1" ht="40.5" customHeight="1">
      <c r="A275" s="9"/>
      <c r="B275" s="33"/>
      <c r="C275" s="39"/>
      <c r="D275" s="39"/>
      <c r="E275" s="39"/>
      <c r="F275" s="9" t="s">
        <v>350</v>
      </c>
      <c r="G275" s="7" t="s">
        <v>692</v>
      </c>
      <c r="H275" s="18"/>
      <c r="I275" s="18"/>
      <c r="J275" s="560" t="str" cm="1">
        <f t="array" ref="J275">IF(ISBLANK(I275), IF(ISBLANK(H275), "N/A", _xlfn.IFS(K275="AS", H275+15, K275="NCR", H275+30, K275="submitted", H275+30, TRUE, "N/A")), _xlfn.IFS(K275="AS", I275+15, K275="NCR", I275+30, K275="submitted", I275+30, TRUE, "N/A"))</f>
        <v>N/A</v>
      </c>
      <c r="K275"/>
    </row>
    <row r="276" spans="1:11" s="1" customFormat="1" ht="27" customHeight="1">
      <c r="A276" s="9"/>
      <c r="B276" s="33"/>
      <c r="C276" s="39"/>
      <c r="D276" s="39"/>
      <c r="E276" s="39"/>
      <c r="F276" s="9" t="s">
        <v>352</v>
      </c>
      <c r="G276" s="7" t="s">
        <v>693</v>
      </c>
      <c r="H276" s="18"/>
      <c r="I276" s="18"/>
      <c r="J276" s="560" t="str" cm="1">
        <f t="array" ref="J276">IF(ISBLANK(I276), IF(ISBLANK(H276), "N/A", _xlfn.IFS(K276="AS", H276+15, K276="NCR", H276+30, K276="submitted", H276+30, TRUE, "N/A")), _xlfn.IFS(K276="AS", I276+15, K276="NCR", I276+30, K276="submitted", I276+30, TRUE, "N/A"))</f>
        <v>N/A</v>
      </c>
      <c r="K276"/>
    </row>
    <row r="277" spans="1:11" s="1" customFormat="1" ht="27" customHeight="1">
      <c r="A277" s="9"/>
      <c r="B277" s="33"/>
      <c r="C277" s="39"/>
      <c r="D277" s="39"/>
      <c r="E277" s="39"/>
      <c r="F277" s="9" t="s">
        <v>354</v>
      </c>
      <c r="G277" s="7" t="s">
        <v>694</v>
      </c>
      <c r="H277" s="18"/>
      <c r="I277" s="18"/>
      <c r="J277" s="560" t="str" cm="1">
        <f t="array" ref="J277">IF(ISBLANK(I277), IF(ISBLANK(H277), "N/A", _xlfn.IFS(K277="AS", H277+15, K277="NCR", H277+30, K277="submitted", H277+30, TRUE, "N/A")), _xlfn.IFS(K277="AS", I277+15, K277="NCR", I277+30, K277="submitted", I277+30, TRUE, "N/A"))</f>
        <v>N/A</v>
      </c>
      <c r="K277"/>
    </row>
    <row r="278" spans="1:11" s="1" customFormat="1" ht="15" customHeight="1">
      <c r="A278" s="9"/>
      <c r="B278" s="33"/>
      <c r="C278" s="39"/>
      <c r="D278" s="39"/>
      <c r="E278" s="39"/>
      <c r="F278" s="9" t="s">
        <v>356</v>
      </c>
      <c r="G278" s="13" t="s">
        <v>695</v>
      </c>
      <c r="H278" s="18"/>
      <c r="I278" s="18"/>
      <c r="J278" s="560" t="str" cm="1">
        <f t="array" ref="J278">IF(ISBLANK(I278), IF(ISBLANK(H278), "N/A", _xlfn.IFS(K278="AS", H278+15, K278="NCR", H278+30, K278="submitted", H278+30, TRUE, "N/A")), _xlfn.IFS(K278="AS", I278+15, K278="NCR", I278+30, K278="submitted", I278+30, TRUE, "N/A"))</f>
        <v>N/A</v>
      </c>
      <c r="K278"/>
    </row>
    <row r="279" spans="1:11" s="1" customFormat="1" ht="15" customHeight="1">
      <c r="A279" s="9"/>
      <c r="B279" s="33"/>
      <c r="C279" s="39"/>
      <c r="D279" s="39"/>
      <c r="E279" s="39"/>
      <c r="F279" s="9" t="s">
        <v>358</v>
      </c>
      <c r="G279" s="13" t="s">
        <v>696</v>
      </c>
      <c r="H279" s="18"/>
      <c r="I279" s="18"/>
      <c r="J279" s="560" t="str" cm="1">
        <f t="array" ref="J279">IF(ISBLANK(I279), IF(ISBLANK(H279), "N/A", _xlfn.IFS(K279="AS", H279+15, K279="NCR", H279+30, K279="submitted", H279+30, TRUE, "N/A")), _xlfn.IFS(K279="AS", I279+15, K279="NCR", I279+30, K279="submitted", I279+30, TRUE, "N/A"))</f>
        <v>N/A</v>
      </c>
      <c r="K279"/>
    </row>
    <row r="280" spans="1:11" s="1" customFormat="1" ht="27" customHeight="1">
      <c r="A280" s="9"/>
      <c r="B280" s="33"/>
      <c r="C280" s="39"/>
      <c r="D280" s="39"/>
      <c r="E280" s="39"/>
      <c r="F280" s="9" t="s">
        <v>697</v>
      </c>
      <c r="G280" s="7" t="s">
        <v>698</v>
      </c>
      <c r="H280" s="18"/>
      <c r="I280" s="18"/>
      <c r="J280" s="560" t="str" cm="1">
        <f t="array" ref="J280">IF(ISBLANK(I280), IF(ISBLANK(H280), "N/A", _xlfn.IFS(K280="AS", H280+15, K280="NCR", H280+30, K280="submitted", H280+30, TRUE, "N/A")), _xlfn.IFS(K280="AS", I280+15, K280="NCR", I280+30, K280="submitted", I280+30, TRUE, "N/A"))</f>
        <v>N/A</v>
      </c>
      <c r="K280"/>
    </row>
    <row r="281" spans="1:11" s="1" customFormat="1" ht="27" customHeight="1">
      <c r="A281" s="9"/>
      <c r="B281" s="33"/>
      <c r="C281" s="39"/>
      <c r="D281" s="39"/>
      <c r="E281" s="39"/>
      <c r="F281" s="9" t="s">
        <v>699</v>
      </c>
      <c r="G281" s="7" t="s">
        <v>375</v>
      </c>
      <c r="H281" s="18"/>
      <c r="I281" s="18"/>
      <c r="J281" s="560" t="str" cm="1">
        <f t="array" ref="J281">IF(ISBLANK(I281), IF(ISBLANK(H281), "N/A", _xlfn.IFS(K281="AS", H281+15, K281="NCR", H281+30, K281="submitted", H281+30, TRUE, "N/A")), _xlfn.IFS(K281="AS", I281+15, K281="NCR", I281+30, K281="submitted", I281+30, TRUE, "N/A"))</f>
        <v>N/A</v>
      </c>
      <c r="K281"/>
    </row>
    <row r="282" spans="1:11" s="1" customFormat="1" ht="27" customHeight="1">
      <c r="A282" s="9"/>
      <c r="B282" s="33"/>
      <c r="C282" s="39"/>
      <c r="D282" s="39"/>
      <c r="E282" s="39"/>
      <c r="F282" s="9" t="s">
        <v>700</v>
      </c>
      <c r="G282" s="7" t="s">
        <v>377</v>
      </c>
      <c r="H282" s="18"/>
      <c r="I282" s="18"/>
      <c r="J282" s="560" t="str" cm="1">
        <f t="array" ref="J282">IF(ISBLANK(I282), IF(ISBLANK(H282), "N/A", _xlfn.IFS(K282="AS", H282+15, K282="NCR", H282+30, K282="submitted", H282+30, TRUE, "N/A")), _xlfn.IFS(K282="AS", I282+15, K282="NCR", I282+30, K282="submitted", I282+30, TRUE, "N/A"))</f>
        <v>N/A</v>
      </c>
      <c r="K282"/>
    </row>
    <row r="283" spans="1:11" s="1" customFormat="1" ht="27" customHeight="1">
      <c r="A283" s="9"/>
      <c r="B283" s="33"/>
      <c r="C283" s="39"/>
      <c r="D283" s="39"/>
      <c r="E283" s="39"/>
      <c r="F283" s="9" t="s">
        <v>701</v>
      </c>
      <c r="G283" s="7" t="s">
        <v>472</v>
      </c>
      <c r="H283" s="18"/>
      <c r="I283" s="18"/>
      <c r="J283" s="560" t="str" cm="1">
        <f t="array" ref="J283">IF(ISBLANK(I283), IF(ISBLANK(H283), "N/A", _xlfn.IFS(K283="AS", H283+15, K283="NCR", H283+30, K283="submitted", H283+30, TRUE, "N/A")), _xlfn.IFS(K283="AS", I283+15, K283="NCR", I283+30, K283="submitted", I283+30, TRUE, "N/A"))</f>
        <v>N/A</v>
      </c>
      <c r="K283"/>
    </row>
    <row r="284" spans="1:11" s="1" customFormat="1" ht="27" customHeight="1">
      <c r="A284" s="9"/>
      <c r="B284" s="33"/>
      <c r="C284" s="39"/>
      <c r="D284" s="39"/>
      <c r="E284" s="39"/>
      <c r="F284" s="9" t="s">
        <v>702</v>
      </c>
      <c r="G284" s="7" t="s">
        <v>703</v>
      </c>
      <c r="H284" s="18"/>
      <c r="I284" s="18"/>
      <c r="J284" s="560" t="str" cm="1">
        <f t="array" ref="J284">IF(ISBLANK(I284), IF(ISBLANK(H284), "N/A", _xlfn.IFS(K284="AS", H284+15, K284="NCR", H284+30, K284="submitted", H284+30, TRUE, "N/A")), _xlfn.IFS(K284="AS", I284+15, K284="NCR", I284+30, K284="submitted", I284+30, TRUE, "N/A"))</f>
        <v>N/A</v>
      </c>
      <c r="K284"/>
    </row>
    <row r="285" spans="1:11" s="1" customFormat="1" ht="15" customHeight="1">
      <c r="A285" s="9"/>
      <c r="B285" s="33"/>
      <c r="C285" s="39"/>
      <c r="D285" s="39"/>
      <c r="E285" s="39"/>
      <c r="F285" s="9" t="s">
        <v>704</v>
      </c>
      <c r="G285" s="13" t="s">
        <v>705</v>
      </c>
      <c r="H285" s="18"/>
      <c r="I285" s="18"/>
      <c r="J285" s="560" t="str" cm="1">
        <f t="array" ref="J285">IF(ISBLANK(I285), IF(ISBLANK(H285), "N/A", _xlfn.IFS(K285="AS", H285+15, K285="NCR", H285+30, K285="submitted", H285+30, TRUE, "N/A")), _xlfn.IFS(K285="AS", I285+15, K285="NCR", I285+30, K285="submitted", I285+30, TRUE, "N/A"))</f>
        <v>N/A</v>
      </c>
      <c r="K285"/>
    </row>
    <row r="286" spans="1:11" s="1" customFormat="1" ht="15" customHeight="1">
      <c r="A286" s="9"/>
      <c r="B286" s="97"/>
      <c r="C286" s="46"/>
      <c r="D286" s="46"/>
      <c r="E286" s="46"/>
      <c r="F286" s="9" t="s">
        <v>706</v>
      </c>
      <c r="G286" s="13" t="s">
        <v>707</v>
      </c>
      <c r="H286" s="18"/>
      <c r="I286" s="18"/>
      <c r="J286" s="560" t="str" cm="1">
        <f t="array" ref="J286">IF(ISBLANK(I286), IF(ISBLANK(H286), "N/A", _xlfn.IFS(K286="AS", H286+15, K286="NCR", H286+30, K286="submitted", H286+30, TRUE, "N/A")), _xlfn.IFS(K286="AS", I286+15, K286="NCR", I286+30, K286="submitted", I286+30, TRUE, "N/A"))</f>
        <v>N/A</v>
      </c>
      <c r="K286"/>
    </row>
    <row r="287" spans="1:11" s="5" customFormat="1" ht="15" customHeight="1">
      <c r="A287" s="4"/>
      <c r="B287" s="86" t="s">
        <v>708</v>
      </c>
      <c r="C287" s="34" t="s">
        <v>709</v>
      </c>
      <c r="D287" s="34"/>
      <c r="E287" s="34"/>
      <c r="F287" s="4" t="s">
        <v>710</v>
      </c>
      <c r="G287" s="17" t="s">
        <v>711</v>
      </c>
      <c r="H287" s="18"/>
      <c r="I287" s="18"/>
      <c r="J287" s="560" t="str" cm="1">
        <f t="array" ref="J287">IF(ISBLANK(I287), IF(ISBLANK(H287), "N/A", _xlfn.IFS(K287="AS", H287+15, K287="NCR", H287+30, K287="submitted", H287+30, TRUE, "N/A")), _xlfn.IFS(K287="AS", I287+15, K287="NCR", I287+30, K287="submitted", I287+30, TRUE, "N/A"))</f>
        <v>N/A</v>
      </c>
      <c r="K287"/>
    </row>
    <row r="288" spans="1:11" s="5" customFormat="1" ht="15" customHeight="1">
      <c r="A288" s="4"/>
      <c r="B288" s="111"/>
      <c r="C288" s="35"/>
      <c r="D288" s="35"/>
      <c r="E288" s="35"/>
      <c r="F288" s="4" t="s">
        <v>712</v>
      </c>
      <c r="G288" s="17" t="s">
        <v>713</v>
      </c>
      <c r="H288" s="18"/>
      <c r="I288" s="18"/>
      <c r="J288" s="560" t="str" cm="1">
        <f t="array" ref="J288">IF(ISBLANK(I288), IF(ISBLANK(H288), "N/A", _xlfn.IFS(K288="AS", H288+15, K288="NCR", H288+30, K288="submitted", H288+30, TRUE, "N/A")), _xlfn.IFS(K288="AS", I288+15, K288="NCR", I288+30, K288="submitted", I288+30, TRUE, "N/A"))</f>
        <v>N/A</v>
      </c>
      <c r="K288"/>
    </row>
    <row r="289" spans="1:13" s="5" customFormat="1" ht="27" customHeight="1">
      <c r="A289" s="4"/>
      <c r="B289" s="111"/>
      <c r="C289" s="35"/>
      <c r="D289" s="35"/>
      <c r="E289" s="35"/>
      <c r="F289" s="4" t="s">
        <v>714</v>
      </c>
      <c r="G289" s="3" t="s">
        <v>715</v>
      </c>
      <c r="H289" s="18"/>
      <c r="I289" s="18"/>
      <c r="J289" s="560" t="str" cm="1">
        <f t="array" ref="J289">IF(ISBLANK(I289), IF(ISBLANK(H289), "N/A", _xlfn.IFS(K289="AS", H289+15, K289="NCR", H289+30, K289="submitted", H289+30, TRUE, "N/A")), _xlfn.IFS(K289="AS", I289+15, K289="NCR", I289+30, K289="submitted", I289+30, TRUE, "N/A"))</f>
        <v>N/A</v>
      </c>
      <c r="K289"/>
      <c r="L289" s="318"/>
      <c r="M289" s="750"/>
    </row>
    <row r="290" spans="1:13" s="5" customFormat="1" ht="27" customHeight="1">
      <c r="A290" s="4"/>
      <c r="B290" s="111"/>
      <c r="C290" s="35"/>
      <c r="D290" s="35"/>
      <c r="E290" s="35"/>
      <c r="F290" s="4" t="s">
        <v>716</v>
      </c>
      <c r="G290" s="3" t="s">
        <v>717</v>
      </c>
      <c r="H290" s="18"/>
      <c r="I290" s="18"/>
      <c r="J290" s="560" t="str" cm="1">
        <f t="array" ref="J290">IF(ISBLANK(I290), IF(ISBLANK(H290), "N/A", _xlfn.IFS(K290="AS", H290+15, K290="NCR", H290+30, K290="submitted", H290+30, TRUE, "N/A")), _xlfn.IFS(K290="AS", I290+15, K290="NCR", I290+30, K290="submitted", I290+30, TRUE, "N/A"))</f>
        <v>N/A</v>
      </c>
      <c r="K290"/>
      <c r="L290" s="318"/>
      <c r="M290" s="748" t="s">
        <v>132</v>
      </c>
    </row>
    <row r="291" spans="1:13" s="5" customFormat="1" ht="15" customHeight="1">
      <c r="A291" s="4"/>
      <c r="B291" s="111"/>
      <c r="C291" s="35"/>
      <c r="D291" s="35"/>
      <c r="E291" s="35"/>
      <c r="F291" s="4" t="s">
        <v>718</v>
      </c>
      <c r="G291" s="17" t="s">
        <v>719</v>
      </c>
      <c r="H291" s="18"/>
      <c r="I291" s="18"/>
      <c r="J291" s="560" t="str" cm="1">
        <f t="array" ref="J291">IF(ISBLANK(I291), IF(ISBLANK(H291), "N/A", _xlfn.IFS(K291="AS", H291+15, K291="NCR", H291+30, K291="submitted", H291+30, TRUE, "N/A")), _xlfn.IFS(K291="AS", I291+15, K291="NCR", I291+30, K291="submitted", I291+30, TRUE, "N/A"))</f>
        <v>N/A</v>
      </c>
      <c r="K291"/>
      <c r="L291" s="318"/>
      <c r="M291" s="749"/>
    </row>
    <row r="292" spans="1:13" s="5" customFormat="1" ht="15" customHeight="1">
      <c r="A292" s="4"/>
      <c r="B292" s="111"/>
      <c r="C292" s="35"/>
      <c r="D292" s="35"/>
      <c r="E292" s="35"/>
      <c r="F292" s="4" t="s">
        <v>720</v>
      </c>
      <c r="G292" s="17" t="s">
        <v>721</v>
      </c>
      <c r="H292" s="18"/>
      <c r="I292" s="18"/>
      <c r="J292" s="560" t="str" cm="1">
        <f t="array" ref="J292">IF(ISBLANK(I292), IF(ISBLANK(H292), "N/A", _xlfn.IFS(K292="AS", H292+15, K292="NCR", H292+30, K292="submitted", H292+30, TRUE, "N/A")), _xlfn.IFS(K292="AS", I292+15, K292="NCR", I292+30, K292="submitted", I292+30, TRUE, "N/A"))</f>
        <v>N/A</v>
      </c>
      <c r="K292"/>
      <c r="L292" s="318"/>
      <c r="M292" s="749"/>
    </row>
    <row r="293" spans="1:13" s="5" customFormat="1" ht="15" customHeight="1">
      <c r="A293" s="4"/>
      <c r="B293" s="111"/>
      <c r="C293" s="35"/>
      <c r="D293" s="35"/>
      <c r="E293" s="35"/>
      <c r="F293" s="4" t="s">
        <v>722</v>
      </c>
      <c r="G293" s="17" t="s">
        <v>723</v>
      </c>
      <c r="H293" s="18"/>
      <c r="I293" s="18"/>
      <c r="J293" s="560" t="str" cm="1">
        <f t="array" ref="J293">IF(ISBLANK(I293), IF(ISBLANK(H293), "N/A", _xlfn.IFS(K293="AS", H293+15, K293="NCR", H293+30, K293="submitted", H293+30, TRUE, "N/A")), _xlfn.IFS(K293="AS", I293+15, K293="NCR", I293+30, K293="submitted", I293+30, TRUE, "N/A"))</f>
        <v>N/A</v>
      </c>
      <c r="K293"/>
      <c r="L293" s="318"/>
      <c r="M293" s="749"/>
    </row>
    <row r="294" spans="1:13" s="5" customFormat="1" ht="15" customHeight="1">
      <c r="A294" s="4"/>
      <c r="B294" s="111"/>
      <c r="C294" s="35"/>
      <c r="D294" s="35"/>
      <c r="E294" s="35"/>
      <c r="F294" s="4" t="s">
        <v>724</v>
      </c>
      <c r="G294" s="17" t="s">
        <v>725</v>
      </c>
      <c r="H294" s="18"/>
      <c r="I294" s="18"/>
      <c r="J294" s="560" t="str" cm="1">
        <f t="array" ref="J294">IF(ISBLANK(I294), IF(ISBLANK(H294), "N/A", _xlfn.IFS(K294="AS", H294+15, K294="NCR", H294+30, K294="submitted", H294+30, TRUE, "N/A")), _xlfn.IFS(K294="AS", I294+15, K294="NCR", I294+30, K294="submitted", I294+30, TRUE, "N/A"))</f>
        <v>N/A</v>
      </c>
      <c r="K294"/>
      <c r="L294" s="318"/>
      <c r="M294" s="749"/>
    </row>
    <row r="295" spans="1:13" s="5" customFormat="1" ht="15" customHeight="1">
      <c r="A295" s="4"/>
      <c r="B295" s="111"/>
      <c r="C295" s="35"/>
      <c r="D295" s="35"/>
      <c r="E295" s="35"/>
      <c r="F295" s="4" t="s">
        <v>726</v>
      </c>
      <c r="G295" s="17" t="s">
        <v>727</v>
      </c>
      <c r="H295" s="18"/>
      <c r="I295" s="18"/>
      <c r="J295" s="560" t="str" cm="1">
        <f t="array" ref="J295">IF(ISBLANK(I295), IF(ISBLANK(H295), "N/A", _xlfn.IFS(K295="AS", H295+15, K295="NCR", H295+30, K295="submitted", H295+30, TRUE, "N/A")), _xlfn.IFS(K295="AS", I295+15, K295="NCR", I295+30, K295="submitted", I295+30, TRUE, "N/A"))</f>
        <v>N/A</v>
      </c>
      <c r="K295"/>
      <c r="L295" s="318"/>
      <c r="M295" s="749"/>
    </row>
    <row r="296" spans="1:13" s="5" customFormat="1" ht="15" customHeight="1">
      <c r="A296" s="4"/>
      <c r="B296" s="111"/>
      <c r="C296" s="35"/>
      <c r="D296" s="35"/>
      <c r="E296" s="35"/>
      <c r="F296" s="4" t="s">
        <v>728</v>
      </c>
      <c r="G296" s="17" t="s">
        <v>729</v>
      </c>
      <c r="H296" s="18"/>
      <c r="I296" s="18"/>
      <c r="J296" s="560" t="str" cm="1">
        <f t="array" ref="J296">IF(ISBLANK(I296), IF(ISBLANK(H296), "N/A", _xlfn.IFS(K296="AS", H296+15, K296="NCR", H296+30, K296="submitted", H296+30, TRUE, "N/A")), _xlfn.IFS(K296="AS", I296+15, K296="NCR", I296+30, K296="submitted", I296+30, TRUE, "N/A"))</f>
        <v>N/A</v>
      </c>
      <c r="K296"/>
      <c r="L296" s="318"/>
      <c r="M296" s="749"/>
    </row>
    <row r="297" spans="1:13" s="5" customFormat="1" ht="27" customHeight="1">
      <c r="A297" s="4"/>
      <c r="B297" s="95"/>
      <c r="C297" s="36"/>
      <c r="D297" s="36"/>
      <c r="E297" s="36"/>
      <c r="F297" s="4" t="s">
        <v>730</v>
      </c>
      <c r="G297" s="3" t="s">
        <v>731</v>
      </c>
      <c r="H297" s="18"/>
      <c r="I297" s="18"/>
      <c r="J297" s="560" t="str" cm="1">
        <f t="array" ref="J297">IF(ISBLANK(I297), IF(ISBLANK(H297), "N/A", _xlfn.IFS(K297="AS", H297+15, K297="NCR", H297+30, K297="submitted", H297+30, TRUE, "N/A")), _xlfn.IFS(K297="AS", I297+15, K297="NCR", I297+30, K297="submitted", I297+30, TRUE, "N/A"))</f>
        <v>N/A</v>
      </c>
      <c r="K297"/>
      <c r="L297" s="318"/>
      <c r="M297" s="749"/>
    </row>
    <row r="298" spans="1:13" s="1" customFormat="1" ht="15" customHeight="1">
      <c r="A298" s="9"/>
      <c r="B298" s="32" t="s">
        <v>732</v>
      </c>
      <c r="C298" s="37" t="s">
        <v>733</v>
      </c>
      <c r="D298" s="37"/>
      <c r="E298" s="37"/>
      <c r="F298" s="9" t="s">
        <v>328</v>
      </c>
      <c r="G298" s="13" t="s">
        <v>476</v>
      </c>
      <c r="H298" s="18"/>
      <c r="I298" s="18"/>
      <c r="J298" s="560" t="str" cm="1">
        <f t="array" ref="J298">IF(ISBLANK(I298), IF(ISBLANK(H298), "N/A", _xlfn.IFS(K298="AS", H298+15, K298="NCR", H298+30, K298="submitted", H298+30, TRUE, "N/A")), _xlfn.IFS(K298="AS", I298+15, K298="NCR", I298+30, K298="submitted", I298+30, TRUE, "N/A"))</f>
        <v>N/A</v>
      </c>
      <c r="K298"/>
      <c r="L298" s="318"/>
      <c r="M298" s="750" t="s">
        <v>147</v>
      </c>
    </row>
    <row r="299" spans="1:13" s="1" customFormat="1" ht="15" customHeight="1">
      <c r="A299" s="9"/>
      <c r="B299" s="33"/>
      <c r="C299" s="39"/>
      <c r="D299" s="39"/>
      <c r="E299" s="39"/>
      <c r="F299" s="9" t="s">
        <v>329</v>
      </c>
      <c r="G299" s="13" t="s">
        <v>276</v>
      </c>
      <c r="H299" s="18"/>
      <c r="I299" s="18"/>
      <c r="J299" s="560" t="str" cm="1">
        <f t="array" ref="J299">IF(ISBLANK(I299), IF(ISBLANK(H299), "N/A", _xlfn.IFS(K299="AS", H299+15, K299="NCR", H299+30, K299="submitted", H299+30, TRUE, "N/A")), _xlfn.IFS(K299="AS", I299+15, K299="NCR", I299+30, K299="submitted", I299+30, TRUE, "N/A"))</f>
        <v>N/A</v>
      </c>
      <c r="K299"/>
      <c r="L299" s="318"/>
      <c r="M299" s="750"/>
    </row>
    <row r="300" spans="1:13" s="1" customFormat="1" ht="15" customHeight="1">
      <c r="A300" s="9"/>
      <c r="B300" s="33"/>
      <c r="C300" s="39"/>
      <c r="D300" s="39"/>
      <c r="E300" s="39"/>
      <c r="F300" s="9" t="s">
        <v>396</v>
      </c>
      <c r="G300" s="13" t="s">
        <v>345</v>
      </c>
      <c r="H300" s="18"/>
      <c r="I300" s="18"/>
      <c r="J300" s="560" t="str" cm="1">
        <f t="array" ref="J300">IF(ISBLANK(I300), IF(ISBLANK(H300), "N/A", _xlfn.IFS(K300="AS", H300+15, K300="NCR", H300+30, K300="submitted", H300+30, TRUE, "N/A")), _xlfn.IFS(K300="AS", I300+15, K300="NCR", I300+30, K300="submitted", I300+30, TRUE, "N/A"))</f>
        <v>N/A</v>
      </c>
      <c r="K300"/>
      <c r="L300" s="318"/>
      <c r="M300" s="750"/>
    </row>
    <row r="301" spans="1:13" s="1" customFormat="1" ht="15" customHeight="1">
      <c r="A301" s="9"/>
      <c r="B301" s="33"/>
      <c r="C301" s="39"/>
      <c r="D301" s="39"/>
      <c r="E301" s="39"/>
      <c r="F301" s="9" t="s">
        <v>397</v>
      </c>
      <c r="G301" s="13" t="s">
        <v>696</v>
      </c>
      <c r="H301" s="18"/>
      <c r="I301" s="18"/>
      <c r="J301" s="560" t="str" cm="1">
        <f t="array" ref="J301">IF(ISBLANK(I301), IF(ISBLANK(H301), "N/A", _xlfn.IFS(K301="AS", H301+15, K301="NCR", H301+30, K301="submitted", H301+30, TRUE, "N/A")), _xlfn.IFS(K301="AS", I301+15, K301="NCR", I301+30, K301="submitted", I301+30, TRUE, "N/A"))</f>
        <v>N/A</v>
      </c>
      <c r="K301"/>
      <c r="L301" s="318"/>
      <c r="M301" s="750"/>
    </row>
    <row r="302" spans="1:13" s="1" customFormat="1" ht="27" customHeight="1">
      <c r="A302" s="9"/>
      <c r="B302" s="33"/>
      <c r="C302" s="39"/>
      <c r="D302" s="39"/>
      <c r="E302" s="39"/>
      <c r="F302" s="9" t="s">
        <v>338</v>
      </c>
      <c r="G302" s="7" t="s">
        <v>375</v>
      </c>
      <c r="H302" s="18"/>
      <c r="I302" s="18"/>
      <c r="J302" s="560" t="str" cm="1">
        <f t="array" ref="J302">IF(ISBLANK(I302), IF(ISBLANK(H302), "N/A", _xlfn.IFS(K302="AS", H302+15, K302="NCR", H302+30, K302="submitted", H302+30, TRUE, "N/A")), _xlfn.IFS(K302="AS", I302+15, K302="NCR", I302+30, K302="submitted", I302+30, TRUE, "N/A"))</f>
        <v>N/A</v>
      </c>
      <c r="K302"/>
      <c r="L302" s="318"/>
      <c r="M302" s="750"/>
    </row>
    <row r="303" spans="1:13" s="1" customFormat="1" ht="27" customHeight="1">
      <c r="A303" s="9"/>
      <c r="B303" s="33"/>
      <c r="C303" s="39"/>
      <c r="D303" s="39"/>
      <c r="E303" s="39"/>
      <c r="F303" s="9" t="s">
        <v>734</v>
      </c>
      <c r="G303" s="7" t="s">
        <v>377</v>
      </c>
      <c r="H303" s="18"/>
      <c r="I303" s="18"/>
      <c r="J303" s="560" t="str" cm="1">
        <f t="array" ref="J303">IF(ISBLANK(I303), IF(ISBLANK(H303), "N/A", _xlfn.IFS(K303="AS", H303+15, K303="NCR", H303+30, K303="submitted", H303+30, TRUE, "N/A")), _xlfn.IFS(K303="AS", I303+15, K303="NCR", I303+30, K303="submitted", I303+30, TRUE, "N/A"))</f>
        <v>N/A</v>
      </c>
      <c r="K303"/>
      <c r="L303" s="319"/>
      <c r="M303" s="750"/>
    </row>
    <row r="304" spans="1:13" s="1" customFormat="1" ht="27" customHeight="1">
      <c r="A304" s="9"/>
      <c r="B304" s="33"/>
      <c r="C304" s="39"/>
      <c r="D304" s="39"/>
      <c r="E304" s="39"/>
      <c r="F304" s="9" t="s">
        <v>735</v>
      </c>
      <c r="G304" s="7" t="s">
        <v>472</v>
      </c>
      <c r="H304" s="18"/>
      <c r="I304" s="18"/>
      <c r="J304" s="560" t="str" cm="1">
        <f t="array" ref="J304">IF(ISBLANK(I304), IF(ISBLANK(H304), "N/A", _xlfn.IFS(K304="AS", H304+15, K304="NCR", H304+30, K304="submitted", H304+30, TRUE, "N/A")), _xlfn.IFS(K304="AS", I304+15, K304="NCR", I304+30, K304="submitted", I304+30, TRUE, "N/A"))</f>
        <v>N/A</v>
      </c>
      <c r="K304"/>
      <c r="L304" s="318"/>
      <c r="M304" s="750"/>
    </row>
    <row r="305" spans="1:11" s="1" customFormat="1" ht="15" customHeight="1">
      <c r="A305" s="9"/>
      <c r="B305" s="97"/>
      <c r="C305" s="46"/>
      <c r="D305" s="46"/>
      <c r="E305" s="46"/>
      <c r="F305" s="9" t="s">
        <v>433</v>
      </c>
      <c r="G305" s="13" t="s">
        <v>685</v>
      </c>
      <c r="H305" s="18"/>
      <c r="I305" s="18"/>
      <c r="J305" s="560" t="str" cm="1">
        <f t="array" ref="J305">IF(ISBLANK(I305), IF(ISBLANK(H305), "N/A", _xlfn.IFS(K305="AS", H305+15, K305="NCR", H305+30, K305="submitted", H305+30, TRUE, "N/A")), _xlfn.IFS(K305="AS", I305+15, K305="NCR", I305+30, K305="submitted", I305+30, TRUE, "N/A"))</f>
        <v>N/A</v>
      </c>
      <c r="K305"/>
    </row>
    <row r="306" spans="1:11" s="5" customFormat="1" ht="15" customHeight="1">
      <c r="A306" s="4"/>
      <c r="B306" s="86" t="s">
        <v>736</v>
      </c>
      <c r="C306" s="34" t="s">
        <v>737</v>
      </c>
      <c r="D306" s="34"/>
      <c r="E306" s="34"/>
      <c r="F306" s="4" t="s">
        <v>328</v>
      </c>
      <c r="G306" s="17" t="s">
        <v>229</v>
      </c>
      <c r="H306" s="18"/>
      <c r="I306" s="18"/>
      <c r="J306" s="560" t="str" cm="1">
        <f t="array" ref="J306">IF(ISBLANK(I306), IF(ISBLANK(H306), "N/A", _xlfn.IFS(K306="AS", H306+15, K306="NCR", H306+30, K306="submitted", H306+30, TRUE, "N/A")), _xlfn.IFS(K306="AS", I306+15, K306="NCR", I306+30, K306="submitted", I306+30, TRUE, "N/A"))</f>
        <v>N/A</v>
      </c>
      <c r="K306"/>
    </row>
    <row r="307" spans="1:11" s="5" customFormat="1" ht="15" customHeight="1">
      <c r="A307" s="4"/>
      <c r="B307" s="95"/>
      <c r="C307" s="36"/>
      <c r="D307" s="36"/>
      <c r="E307" s="36"/>
      <c r="F307" s="4" t="s">
        <v>329</v>
      </c>
      <c r="G307" s="17" t="s">
        <v>738</v>
      </c>
      <c r="H307" s="18"/>
      <c r="I307" s="18"/>
      <c r="J307" s="560" t="str" cm="1">
        <f t="array" ref="J307">IF(ISBLANK(I307), IF(ISBLANK(H307), "N/A", _xlfn.IFS(K307="AS", H307+15, K307="NCR", H307+30, K307="submitted", H307+30, TRUE, "N/A")), _xlfn.IFS(K307="AS", I307+15, K307="NCR", I307+30, K307="submitted", I307+30, TRUE, "N/A"))</f>
        <v>N/A</v>
      </c>
      <c r="K307"/>
    </row>
    <row r="308" spans="1:11" s="150" customFormat="1" ht="15" customHeight="1">
      <c r="A308" s="147" t="s">
        <v>97</v>
      </c>
      <c r="B308" s="246" t="s">
        <v>739</v>
      </c>
      <c r="C308" s="333" t="s">
        <v>98</v>
      </c>
      <c r="D308" s="232" t="s">
        <v>740</v>
      </c>
      <c r="E308" s="232"/>
      <c r="F308" s="147" t="s">
        <v>275</v>
      </c>
      <c r="G308" s="148" t="s">
        <v>276</v>
      </c>
      <c r="H308" s="234">
        <v>45880</v>
      </c>
      <c r="I308" s="234"/>
      <c r="J308" s="560" cm="1">
        <f t="array" ref="J308">IF(ISBLANK(I308), IF(ISBLANK(H308), "N/A", _xlfn.IFS(K308="AS", H308+15, K308="NCR", H308+30, K308="submitted", H308+30, TRUE, "N/A")), _xlfn.IFS(K308="AS", I308+15, K308="NCR", I308+30, K308="submitted", I308+30, TRUE, "N/A"))</f>
        <v>45895</v>
      </c>
      <c r="K308" s="149" t="s">
        <v>741</v>
      </c>
    </row>
    <row r="309" spans="1:11" s="150" customFormat="1" ht="15" customHeight="1">
      <c r="A309" s="147" t="s">
        <v>97</v>
      </c>
      <c r="B309" s="246" t="s">
        <v>739</v>
      </c>
      <c r="C309" s="333" t="s">
        <v>98</v>
      </c>
      <c r="D309" s="232" t="s">
        <v>740</v>
      </c>
      <c r="E309" s="220"/>
      <c r="F309" s="147" t="s">
        <v>263</v>
      </c>
      <c r="G309" s="148" t="s">
        <v>345</v>
      </c>
      <c r="H309" s="234">
        <v>45880</v>
      </c>
      <c r="I309" s="234"/>
      <c r="J309" s="560" cm="1">
        <f t="array" ref="J309">IF(ISBLANK(I309), IF(ISBLANK(H309), "N/A", _xlfn.IFS(K309="AS", H309+15, K309="NCR", H309+30, K309="submitted", H309+30, TRUE, "N/A")), _xlfn.IFS(K309="AS", I309+15, K309="NCR", I309+30, K309="submitted", I309+30, TRUE, "N/A"))</f>
        <v>45895</v>
      </c>
      <c r="K309" s="149" t="s">
        <v>741</v>
      </c>
    </row>
    <row r="310" spans="1:11" s="699" customFormat="1" ht="15" customHeight="1">
      <c r="A310" s="692" t="s">
        <v>742</v>
      </c>
      <c r="B310" s="693" t="s">
        <v>739</v>
      </c>
      <c r="C310" s="694" t="s">
        <v>98</v>
      </c>
      <c r="D310" s="695"/>
      <c r="E310" s="695"/>
      <c r="F310" s="692" t="s">
        <v>253</v>
      </c>
      <c r="G310" s="696" t="s">
        <v>743</v>
      </c>
      <c r="H310" s="697"/>
      <c r="I310" s="697"/>
      <c r="J310" s="560" t="str" cm="1">
        <f t="array" ref="J310">IF(ISBLANK(I310), IF(ISBLANK(H310), "N/A", _xlfn.IFS(K310="AS", H310+15, K310="NCR", H310+30, K310="submitted", H310+30, TRUE, "N/A")), _xlfn.IFS(K310="AS", I310+15, K310="NCR", I310+30, K310="submitted", I310+30, TRUE, "N/A"))</f>
        <v>N/A</v>
      </c>
      <c r="K310" s="698"/>
    </row>
    <row r="311" spans="1:11" s="150" customFormat="1" ht="15" customHeight="1">
      <c r="A311" s="147" t="s">
        <v>97</v>
      </c>
      <c r="B311" s="246" t="s">
        <v>739</v>
      </c>
      <c r="C311" s="333" t="s">
        <v>98</v>
      </c>
      <c r="D311" s="232" t="s">
        <v>740</v>
      </c>
      <c r="E311" s="220"/>
      <c r="F311" s="147" t="s">
        <v>344</v>
      </c>
      <c r="G311" s="148" t="s">
        <v>333</v>
      </c>
      <c r="H311" s="234">
        <v>45880</v>
      </c>
      <c r="I311" s="234"/>
      <c r="J311" s="560" cm="1">
        <f t="array" ref="J311">IF(ISBLANK(I311), IF(ISBLANK(H311), "N/A", _xlfn.IFS(K311="AS", H311+15, K311="NCR", H311+30, K311="submitted", H311+30, TRUE, "N/A")), _xlfn.IFS(K311="AS", I311+15, K311="NCR", I311+30, K311="submitted", I311+30, TRUE, "N/A"))</f>
        <v>45895</v>
      </c>
      <c r="K311" s="149" t="s">
        <v>741</v>
      </c>
    </row>
    <row r="312" spans="1:11" s="150" customFormat="1" ht="27" customHeight="1">
      <c r="A312" s="147" t="s">
        <v>97</v>
      </c>
      <c r="B312" s="246" t="s">
        <v>739</v>
      </c>
      <c r="C312" s="333" t="s">
        <v>98</v>
      </c>
      <c r="D312" s="232" t="s">
        <v>740</v>
      </c>
      <c r="E312" s="218"/>
      <c r="F312" s="147" t="s">
        <v>346</v>
      </c>
      <c r="G312" s="194" t="s">
        <v>744</v>
      </c>
      <c r="H312" s="234">
        <v>45880</v>
      </c>
      <c r="I312" s="234"/>
      <c r="J312" s="560" cm="1">
        <f t="array" ref="J312">IF(ISBLANK(I312), IF(ISBLANK(H312), "N/A", _xlfn.IFS(K312="AS", H312+15, K312="NCR", H312+30, K312="submitted", H312+30, TRUE, "N/A")), _xlfn.IFS(K312="AS", I312+15, K312="NCR", I312+30, K312="submitted", I312+30, TRUE, "N/A"))</f>
        <v>45895</v>
      </c>
      <c r="K312" s="149" t="s">
        <v>741</v>
      </c>
    </row>
    <row r="313" spans="1:11" s="267" customFormat="1" ht="26.25" customHeight="1">
      <c r="A313" s="265" t="s">
        <v>99</v>
      </c>
      <c r="B313" s="524" t="s">
        <v>745</v>
      </c>
      <c r="C313" s="268" t="s">
        <v>746</v>
      </c>
      <c r="D313" s="268" t="s">
        <v>740</v>
      </c>
      <c r="E313" s="268" t="s">
        <v>314</v>
      </c>
      <c r="F313" s="263" t="s">
        <v>747</v>
      </c>
      <c r="G313" s="426" t="s">
        <v>748</v>
      </c>
      <c r="H313" s="266">
        <v>45827</v>
      </c>
      <c r="I313" s="266">
        <v>45894</v>
      </c>
      <c r="J313" s="560" cm="1">
        <f t="array" ref="J313">IF(ISBLANK(I313), IF(ISBLANK(H313), "N/A", _xlfn.IFS(K313="AS", H313+15, K313="NCR", H313+30, K313="submitted", H313+30, TRUE, "N/A")), _xlfn.IFS(K313="AS", I313+15, K313="NCR", I313+30, K313="submitted", I313+30, TRUE, "N/A"))</f>
        <v>45924</v>
      </c>
      <c r="K313" s="268" t="s">
        <v>207</v>
      </c>
    </row>
    <row r="314" spans="1:11" s="267" customFormat="1" ht="15" customHeight="1">
      <c r="A314" s="265" t="s">
        <v>99</v>
      </c>
      <c r="B314" s="524" t="s">
        <v>745</v>
      </c>
      <c r="C314" s="268" t="s">
        <v>746</v>
      </c>
      <c r="D314" s="268" t="s">
        <v>740</v>
      </c>
      <c r="E314" s="268" t="s">
        <v>314</v>
      </c>
      <c r="F314" s="263" t="s">
        <v>475</v>
      </c>
      <c r="G314" s="265" t="s">
        <v>229</v>
      </c>
      <c r="H314" s="266">
        <v>45827</v>
      </c>
      <c r="I314" s="266">
        <v>45894</v>
      </c>
      <c r="J314" s="560" cm="1">
        <f t="array" ref="J314">IF(ISBLANK(I314), IF(ISBLANK(H314), "N/A", _xlfn.IFS(K314="AS", H314+15, K314="NCR", H314+30, K314="submitted", H314+30, TRUE, "N/A")), _xlfn.IFS(K314="AS", I314+15, K314="NCR", I314+30, K314="submitted", I314+30, TRUE, "N/A"))</f>
        <v>45924</v>
      </c>
      <c r="K314" s="268" t="s">
        <v>207</v>
      </c>
    </row>
    <row r="315" spans="1:11" s="267" customFormat="1" ht="27" customHeight="1">
      <c r="A315" s="265" t="s">
        <v>99</v>
      </c>
      <c r="B315" s="524" t="s">
        <v>745</v>
      </c>
      <c r="C315" s="268" t="s">
        <v>746</v>
      </c>
      <c r="D315" s="268" t="s">
        <v>740</v>
      </c>
      <c r="E315" s="268" t="s">
        <v>314</v>
      </c>
      <c r="F315" s="263" t="s">
        <v>477</v>
      </c>
      <c r="G315" s="426" t="s">
        <v>551</v>
      </c>
      <c r="H315" s="266">
        <v>45827</v>
      </c>
      <c r="I315" s="266">
        <v>45894</v>
      </c>
      <c r="J315" s="560" cm="1">
        <f t="array" ref="J315">IF(ISBLANK(I315), IF(ISBLANK(H315), "N/A", _xlfn.IFS(K315="AS", H315+15, K315="NCR", H315+30, K315="submitted", H315+30, TRUE, "N/A")), _xlfn.IFS(K315="AS", I315+15, K315="NCR", I315+30, K315="submitted", I315+30, TRUE, "N/A"))</f>
        <v>45924</v>
      </c>
      <c r="K315" s="268" t="s">
        <v>207</v>
      </c>
    </row>
    <row r="316" spans="1:11" s="1" customFormat="1" ht="27" customHeight="1">
      <c r="A316" s="38"/>
      <c r="B316" s="32" t="s">
        <v>745</v>
      </c>
      <c r="C316" s="37" t="s">
        <v>746</v>
      </c>
      <c r="E316" s="39"/>
      <c r="F316" s="38" t="s">
        <v>478</v>
      </c>
      <c r="G316" s="40" t="s">
        <v>749</v>
      </c>
      <c r="H316" s="41"/>
      <c r="I316" s="41"/>
      <c r="J316" s="560" t="str" cm="1">
        <f t="array" ref="J316">IF(ISBLANK(I316), IF(ISBLANK(H316), "N/A", _xlfn.IFS(K316="AS", H316+15, K316="NCR", H316+30, K316="submitted", H316+30, TRUE, "N/A")), _xlfn.IFS(K316="AS", I316+15, K316="NCR", I316+30, K316="submitted", I316+30, TRUE, "N/A"))</f>
        <v>N/A</v>
      </c>
      <c r="K316" s="39"/>
    </row>
    <row r="317" spans="1:11" s="736" customFormat="1" ht="27" customHeight="1">
      <c r="A317" s="742" t="s">
        <v>34</v>
      </c>
      <c r="B317" s="743" t="s">
        <v>750</v>
      </c>
      <c r="C317" s="744" t="s">
        <v>751</v>
      </c>
      <c r="D317" s="744" t="s">
        <v>740</v>
      </c>
      <c r="E317" s="744" t="s">
        <v>314</v>
      </c>
      <c r="F317" s="745" t="s">
        <v>210</v>
      </c>
      <c r="G317" s="746" t="s">
        <v>752</v>
      </c>
      <c r="H317" s="747">
        <v>45827</v>
      </c>
      <c r="I317" s="747">
        <v>45887</v>
      </c>
      <c r="J317" s="560" t="str" cm="1">
        <f t="array" ref="J317">IF(ISBLANK(I317), IF(ISBLANK(H317), "N/A", _xlfn.IFS(K317="AS", H317+15, K317="NCR", H317+30, K317="submitted", H317+30, TRUE, "N/A")), _xlfn.IFS(K317="AS", I317+15, K317="NCR", I317+30, K317="submitted", I317+30, TRUE, "N/A"))</f>
        <v>N/A</v>
      </c>
      <c r="K317" s="744" t="s">
        <v>146</v>
      </c>
    </row>
    <row r="318" spans="1:11" s="736" customFormat="1" ht="15" customHeight="1">
      <c r="A318" s="742" t="s">
        <v>34</v>
      </c>
      <c r="B318" s="743" t="s">
        <v>750</v>
      </c>
      <c r="C318" s="744" t="s">
        <v>751</v>
      </c>
      <c r="D318" s="744" t="s">
        <v>740</v>
      </c>
      <c r="E318" s="744" t="s">
        <v>314</v>
      </c>
      <c r="F318" s="745" t="s">
        <v>328</v>
      </c>
      <c r="G318" s="744" t="s">
        <v>229</v>
      </c>
      <c r="H318" s="747">
        <v>45827</v>
      </c>
      <c r="I318" s="747">
        <v>45887</v>
      </c>
      <c r="J318" s="560" t="str" cm="1">
        <f t="array" ref="J318">IF(ISBLANK(I318), IF(ISBLANK(H318), "N/A", _xlfn.IFS(K318="AS", H318+15, K318="NCR", H318+30, K318="submitted", H318+30, TRUE, "N/A")), _xlfn.IFS(K318="AS", I318+15, K318="NCR", I318+30, K318="submitted", I318+30, TRUE, "N/A"))</f>
        <v>N/A</v>
      </c>
      <c r="K318" s="744" t="s">
        <v>146</v>
      </c>
    </row>
    <row r="319" spans="1:11" s="736" customFormat="1" ht="27" customHeight="1">
      <c r="A319" s="742" t="s">
        <v>34</v>
      </c>
      <c r="B319" s="743" t="s">
        <v>750</v>
      </c>
      <c r="C319" s="744" t="s">
        <v>751</v>
      </c>
      <c r="D319" s="744" t="s">
        <v>740</v>
      </c>
      <c r="E319" s="744" t="s">
        <v>314</v>
      </c>
      <c r="F319" s="745" t="s">
        <v>329</v>
      </c>
      <c r="G319" s="746" t="s">
        <v>551</v>
      </c>
      <c r="H319" s="747">
        <v>45827</v>
      </c>
      <c r="I319" s="747">
        <v>45887</v>
      </c>
      <c r="J319" s="560" t="str" cm="1">
        <f t="array" ref="J319">IF(ISBLANK(I319), IF(ISBLANK(H319), "N/A", _xlfn.IFS(K319="AS", H319+15, K319="NCR", H319+30, K319="submitted", H319+30, TRUE, "N/A")), _xlfn.IFS(K319="AS", I319+15, K319="NCR", I319+30, K319="submitted", I319+30, TRUE, "N/A"))</f>
        <v>N/A</v>
      </c>
      <c r="K319" s="744" t="s">
        <v>146</v>
      </c>
    </row>
    <row r="320" spans="1:11" s="736" customFormat="1" ht="27" customHeight="1">
      <c r="A320" s="742" t="s">
        <v>34</v>
      </c>
      <c r="B320" s="743" t="s">
        <v>750</v>
      </c>
      <c r="C320" s="744" t="s">
        <v>751</v>
      </c>
      <c r="D320" s="744" t="s">
        <v>740</v>
      </c>
      <c r="E320" s="744" t="s">
        <v>753</v>
      </c>
      <c r="F320" s="745" t="s">
        <v>396</v>
      </c>
      <c r="G320" s="746" t="s">
        <v>552</v>
      </c>
      <c r="H320" s="747">
        <v>45827</v>
      </c>
      <c r="I320" s="747">
        <v>45887</v>
      </c>
      <c r="J320" s="560" t="str" cm="1">
        <f t="array" ref="J320">IF(ISBLANK(I320), IF(ISBLANK(H320), "N/A", _xlfn.IFS(K320="AS", H320+15, K320="NCR", H320+30, K320="submitted", H320+30, TRUE, "N/A")), _xlfn.IFS(K320="AS", I320+15, K320="NCR", I320+30, K320="submitted", I320+30, TRUE, "N/A"))</f>
        <v>N/A</v>
      </c>
      <c r="K320" s="744" t="s">
        <v>146</v>
      </c>
    </row>
    <row r="321" spans="1:11" s="26" customFormat="1" ht="27" customHeight="1">
      <c r="A321" s="273" t="s">
        <v>754</v>
      </c>
      <c r="B321" s="608" t="s">
        <v>750</v>
      </c>
      <c r="C321" s="203" t="s">
        <v>751</v>
      </c>
      <c r="D321" s="203" t="s">
        <v>740</v>
      </c>
      <c r="E321" s="203" t="s">
        <v>314</v>
      </c>
      <c r="F321" s="583" t="s">
        <v>210</v>
      </c>
      <c r="G321" s="609" t="s">
        <v>752</v>
      </c>
      <c r="H321" s="610">
        <v>45894</v>
      </c>
      <c r="I321" s="610">
        <v>45926</v>
      </c>
      <c r="J321" s="560" t="str" cm="1">
        <f t="array" ref="J321">IF(ISBLANK(I321), IF(ISBLANK(H321), "N/A", _xlfn.IFS(K321="AS", H321+15, K321="NCR", H321+30, K321="submitted", H321+30, TRUE, "N/A")), _xlfn.IFS(K321="AS", I321+15, K321="NCR", I321+30, K321="submitted", I321+30, TRUE, "N/A"))</f>
        <v>N/A</v>
      </c>
      <c r="K321" s="203" t="s">
        <v>645</v>
      </c>
    </row>
    <row r="322" spans="1:11" s="26" customFormat="1" ht="15" customHeight="1">
      <c r="A322" s="273" t="s">
        <v>754</v>
      </c>
      <c r="B322" s="608" t="s">
        <v>750</v>
      </c>
      <c r="C322" s="203" t="s">
        <v>751</v>
      </c>
      <c r="D322" s="203" t="s">
        <v>740</v>
      </c>
      <c r="E322" s="203" t="s">
        <v>314</v>
      </c>
      <c r="F322" s="583" t="s">
        <v>328</v>
      </c>
      <c r="G322" s="203" t="s">
        <v>229</v>
      </c>
      <c r="H322" s="610">
        <v>45894</v>
      </c>
      <c r="I322" s="610">
        <v>45926</v>
      </c>
      <c r="J322" s="560" t="str" cm="1">
        <f t="array" ref="J322">IF(ISBLANK(I322), IF(ISBLANK(H322), "N/A", _xlfn.IFS(K322="AS", H322+15, K322="NCR", H322+30, K322="submitted", H322+30, TRUE, "N/A")), _xlfn.IFS(K322="AS", I322+15, K322="NCR", I322+30, K322="submitted", I322+30, TRUE, "N/A"))</f>
        <v>N/A</v>
      </c>
      <c r="K322" s="203" t="s">
        <v>645</v>
      </c>
    </row>
    <row r="323" spans="1:11" s="26" customFormat="1" ht="27" customHeight="1">
      <c r="A323" s="273" t="s">
        <v>754</v>
      </c>
      <c r="B323" s="608" t="s">
        <v>750</v>
      </c>
      <c r="C323" s="203" t="s">
        <v>751</v>
      </c>
      <c r="D323" s="203" t="s">
        <v>740</v>
      </c>
      <c r="E323" s="203" t="s">
        <v>314</v>
      </c>
      <c r="F323" s="583" t="s">
        <v>329</v>
      </c>
      <c r="G323" s="609" t="s">
        <v>551</v>
      </c>
      <c r="H323" s="610">
        <v>45894</v>
      </c>
      <c r="I323" s="610">
        <v>45926</v>
      </c>
      <c r="J323" s="560" t="str" cm="1">
        <f t="array" ref="J323">IF(ISBLANK(I323), IF(ISBLANK(H323), "N/A", _xlfn.IFS(K323="AS", H323+15, K323="NCR", H323+30, K323="submitted", H323+30, TRUE, "N/A")), _xlfn.IFS(K323="AS", I323+15, K323="NCR", I323+30, K323="submitted", I323+30, TRUE, "N/A"))</f>
        <v>N/A</v>
      </c>
      <c r="K323" s="203" t="s">
        <v>645</v>
      </c>
    </row>
    <row r="324" spans="1:11" s="26" customFormat="1" ht="27" customHeight="1">
      <c r="A324" s="273" t="s">
        <v>754</v>
      </c>
      <c r="B324" s="608" t="s">
        <v>750</v>
      </c>
      <c r="C324" s="203" t="s">
        <v>751</v>
      </c>
      <c r="D324" s="203" t="s">
        <v>740</v>
      </c>
      <c r="E324" s="203" t="s">
        <v>753</v>
      </c>
      <c r="F324" s="583" t="s">
        <v>396</v>
      </c>
      <c r="G324" s="609" t="s">
        <v>552</v>
      </c>
      <c r="H324" s="610">
        <v>45894</v>
      </c>
      <c r="I324" s="610">
        <v>45926</v>
      </c>
      <c r="J324" s="560" t="str" cm="1">
        <f t="array" ref="J324">IF(ISBLANK(I324), IF(ISBLANK(H324), "N/A", _xlfn.IFS(K324="AS", H324+15, K324="NCR", H324+30, K324="submitted", H324+30, TRUE, "N/A")), _xlfn.IFS(K324="AS", I324+15, K324="NCR", I324+30, K324="submitted", I324+30, TRUE, "N/A"))</f>
        <v>N/A</v>
      </c>
      <c r="K324" s="203" t="s">
        <v>645</v>
      </c>
    </row>
    <row r="325" spans="1:11" s="5" customFormat="1" ht="15" customHeight="1">
      <c r="A325" s="73"/>
      <c r="B325" s="111" t="s">
        <v>755</v>
      </c>
      <c r="C325" s="35" t="s">
        <v>756</v>
      </c>
      <c r="D325" s="35"/>
      <c r="E325" s="35"/>
      <c r="F325" s="73" t="s">
        <v>275</v>
      </c>
      <c r="G325" s="36" t="s">
        <v>229</v>
      </c>
      <c r="H325" s="74"/>
      <c r="I325" s="74"/>
      <c r="J325" s="560" t="str" cm="1">
        <f t="array" ref="J325">IF(ISBLANK(I325), IF(ISBLANK(H325), "N/A", _xlfn.IFS(K325="AS", H325+15, K325="NCR", H325+30, K325="submitted", H325+30, TRUE, "N/A")), _xlfn.IFS(K325="AS", I325+15, K325="NCR", I325+30, K325="submitted", I325+30, TRUE, "N/A"))</f>
        <v>N/A</v>
      </c>
      <c r="K325"/>
    </row>
    <row r="326" spans="1:11" s="5" customFormat="1" ht="15" customHeight="1">
      <c r="A326" s="4"/>
      <c r="B326" s="111"/>
      <c r="C326" s="35"/>
      <c r="D326" s="35"/>
      <c r="E326" s="35"/>
      <c r="F326" s="4" t="s">
        <v>263</v>
      </c>
      <c r="G326" s="17" t="s">
        <v>713</v>
      </c>
      <c r="H326" s="18"/>
      <c r="I326" s="18"/>
      <c r="J326" s="560" t="str" cm="1">
        <f t="array" ref="J326">IF(ISBLANK(I326), IF(ISBLANK(H326), "N/A", _xlfn.IFS(K326="AS", H326+15, K326="NCR", H326+30, K326="submitted", H326+30, TRUE, "N/A")), _xlfn.IFS(K326="AS", I326+15, K326="NCR", I326+30, K326="submitted", I326+30, TRUE, "N/A"))</f>
        <v>N/A</v>
      </c>
      <c r="K326"/>
    </row>
    <row r="327" spans="1:11" s="5" customFormat="1" ht="15" customHeight="1">
      <c r="A327" s="4"/>
      <c r="B327" s="111"/>
      <c r="C327" s="35"/>
      <c r="D327" s="35"/>
      <c r="E327" s="35"/>
      <c r="F327" s="4" t="s">
        <v>253</v>
      </c>
      <c r="G327" s="17" t="s">
        <v>727</v>
      </c>
      <c r="H327" s="18"/>
      <c r="I327" s="18"/>
      <c r="J327" s="560" t="str" cm="1">
        <f t="array" ref="J327">IF(ISBLANK(I327), IF(ISBLANK(H327), "N/A", _xlfn.IFS(K327="AS", H327+15, K327="NCR", H327+30, K327="submitted", H327+30, TRUE, "N/A")), _xlfn.IFS(K327="AS", I327+15, K327="NCR", I327+30, K327="submitted", I327+30, TRUE, "N/A"))</f>
        <v>N/A</v>
      </c>
      <c r="K327"/>
    </row>
    <row r="328" spans="1:11" s="5" customFormat="1" ht="27" customHeight="1">
      <c r="A328" s="4"/>
      <c r="B328" s="111"/>
      <c r="C328" s="35"/>
      <c r="D328" s="35"/>
      <c r="E328" s="35"/>
      <c r="F328" s="4" t="s">
        <v>344</v>
      </c>
      <c r="G328" s="3" t="s">
        <v>757</v>
      </c>
      <c r="H328" s="18"/>
      <c r="I328" s="18"/>
      <c r="J328" s="560" t="str" cm="1">
        <f t="array" ref="J328">IF(ISBLANK(I328), IF(ISBLANK(H328), "N/A", _xlfn.IFS(K328="AS", H328+15, K328="NCR", H328+30, K328="submitted", H328+30, TRUE, "N/A")), _xlfn.IFS(K328="AS", I328+15, K328="NCR", I328+30, K328="submitted", I328+30, TRUE, "N/A"))</f>
        <v>N/A</v>
      </c>
      <c r="K328"/>
    </row>
    <row r="329" spans="1:11" s="5" customFormat="1" ht="15" customHeight="1">
      <c r="A329" s="4"/>
      <c r="B329" s="111"/>
      <c r="C329" s="35"/>
      <c r="D329" s="35"/>
      <c r="E329" s="35"/>
      <c r="F329" s="4" t="s">
        <v>346</v>
      </c>
      <c r="G329" s="17" t="s">
        <v>758</v>
      </c>
      <c r="H329" s="18"/>
      <c r="I329" s="18"/>
      <c r="J329" s="560" t="str" cm="1">
        <f t="array" ref="J329">IF(ISBLANK(I329), IF(ISBLANK(H329), "N/A", _xlfn.IFS(K329="AS", H329+15, K329="NCR", H329+30, K329="submitted", H329+30, TRUE, "N/A")), _xlfn.IFS(K329="AS", I329+15, K329="NCR", I329+30, K329="submitted", I329+30, TRUE, "N/A"))</f>
        <v>N/A</v>
      </c>
      <c r="K329"/>
    </row>
    <row r="330" spans="1:11" s="5" customFormat="1" ht="15" customHeight="1">
      <c r="A330" s="4"/>
      <c r="B330" s="95"/>
      <c r="C330" s="36"/>
      <c r="D330" s="36"/>
      <c r="E330" s="36"/>
      <c r="F330" s="4" t="s">
        <v>348</v>
      </c>
      <c r="G330" s="17" t="s">
        <v>759</v>
      </c>
      <c r="H330" s="18"/>
      <c r="I330" s="18"/>
      <c r="J330" s="560" t="str" cm="1">
        <f t="array" ref="J330">IF(ISBLANK(I330), IF(ISBLANK(H330), "N/A", _xlfn.IFS(K330="AS", H330+15, K330="NCR", H330+30, K330="submitted", H330+30, TRUE, "N/A")), _xlfn.IFS(K330="AS", I330+15, K330="NCR", I330+30, K330="submitted", I330+30, TRUE, "N/A"))</f>
        <v>N/A</v>
      </c>
      <c r="K330"/>
    </row>
    <row r="331" spans="1:11" s="1" customFormat="1" ht="27" customHeight="1">
      <c r="A331" s="9"/>
      <c r="B331" s="32" t="s">
        <v>760</v>
      </c>
      <c r="C331" s="37" t="s">
        <v>761</v>
      </c>
      <c r="D331" s="37"/>
      <c r="E331" s="37"/>
      <c r="F331" s="9" t="s">
        <v>210</v>
      </c>
      <c r="G331" s="7" t="s">
        <v>762</v>
      </c>
      <c r="H331" s="18"/>
      <c r="I331" s="18"/>
      <c r="J331" s="560" t="str" cm="1">
        <f t="array" ref="J331">IF(ISBLANK(I331), IF(ISBLANK(H331), "N/A", _xlfn.IFS(K331="AS", H331+15, K331="NCR", H331+30, K331="submitted", H331+30, TRUE, "N/A")), _xlfn.IFS(K331="AS", I331+15, K331="NCR", I331+30, K331="submitted", I331+30, TRUE, "N/A"))</f>
        <v>N/A</v>
      </c>
      <c r="K331"/>
    </row>
    <row r="332" spans="1:11" s="1" customFormat="1" ht="12" customHeight="1">
      <c r="A332" s="9"/>
      <c r="B332" s="97"/>
      <c r="C332" s="46"/>
      <c r="D332" s="46"/>
      <c r="E332" s="46"/>
      <c r="F332" s="9" t="s">
        <v>328</v>
      </c>
      <c r="G332" s="13" t="s">
        <v>476</v>
      </c>
      <c r="H332" s="18"/>
      <c r="I332" s="18"/>
      <c r="J332" s="560" t="str" cm="1">
        <f t="array" ref="J332">IF(ISBLANK(I332), IF(ISBLANK(H332), "N/A", _xlfn.IFS(K332="AS", H332+15, K332="NCR", H332+30, K332="submitted", H332+30, TRUE, "N/A")), _xlfn.IFS(K332="AS", I332+15, K332="NCR", I332+30, K332="submitted", I332+30, TRUE, "N/A"))</f>
        <v>N/A</v>
      </c>
      <c r="K332"/>
    </row>
    <row r="333" spans="1:11" s="5" customFormat="1" ht="15" customHeight="1">
      <c r="A333" s="4"/>
      <c r="B333" s="86" t="s">
        <v>763</v>
      </c>
      <c r="C333" s="34" t="s">
        <v>764</v>
      </c>
      <c r="D333" s="34"/>
      <c r="E333" s="34"/>
      <c r="F333" s="4" t="s">
        <v>275</v>
      </c>
      <c r="G333" s="17" t="s">
        <v>765</v>
      </c>
      <c r="H333" s="18"/>
      <c r="I333" s="18"/>
      <c r="J333" s="560" t="str" cm="1">
        <f t="array" ref="J333">IF(ISBLANK(I333), IF(ISBLANK(H333), "N/A", _xlfn.IFS(K333="AS", H333+15, K333="NCR", H333+30, K333="submitted", H333+30, TRUE, "N/A")), _xlfn.IFS(K333="AS", I333+15, K333="NCR", I333+30, K333="submitted", I333+30, TRUE, "N/A"))</f>
        <v>N/A</v>
      </c>
      <c r="K333"/>
    </row>
    <row r="334" spans="1:11" s="5" customFormat="1" ht="15" customHeight="1">
      <c r="A334" s="4"/>
      <c r="B334" s="111"/>
      <c r="C334" s="35"/>
      <c r="D334" s="35"/>
      <c r="E334" s="35"/>
      <c r="F334" s="4" t="s">
        <v>263</v>
      </c>
      <c r="G334" s="17" t="s">
        <v>276</v>
      </c>
      <c r="H334" s="18"/>
      <c r="I334" s="18"/>
      <c r="J334" s="560" t="str" cm="1">
        <f t="array" ref="J334">IF(ISBLANK(I334), IF(ISBLANK(H334), "N/A", _xlfn.IFS(K334="AS", H334+15, K334="NCR", H334+30, K334="submitted", H334+30, TRUE, "N/A")), _xlfn.IFS(K334="AS", I334+15, K334="NCR", I334+30, K334="submitted", I334+30, TRUE, "N/A"))</f>
        <v>N/A</v>
      </c>
      <c r="K334"/>
    </row>
    <row r="335" spans="1:11" s="5" customFormat="1" ht="27" customHeight="1">
      <c r="A335" s="4"/>
      <c r="B335" s="111"/>
      <c r="C335" s="35"/>
      <c r="D335" s="35"/>
      <c r="E335" s="35"/>
      <c r="F335" s="4" t="s">
        <v>253</v>
      </c>
      <c r="G335" s="3" t="s">
        <v>551</v>
      </c>
      <c r="H335" s="18"/>
      <c r="I335" s="18"/>
      <c r="J335" s="560" t="str" cm="1">
        <f t="array" ref="J335">IF(ISBLANK(I335), IF(ISBLANK(H335), "N/A", _xlfn.IFS(K335="AS", H335+15, K335="NCR", H335+30, K335="submitted", H335+30, TRUE, "N/A")), _xlfn.IFS(K335="AS", I335+15, K335="NCR", I335+30, K335="submitted", I335+30, TRUE, "N/A"))</f>
        <v>N/A</v>
      </c>
      <c r="K335"/>
    </row>
    <row r="336" spans="1:11" s="5" customFormat="1" ht="27" customHeight="1">
      <c r="A336" s="4"/>
      <c r="B336" s="95"/>
      <c r="C336" s="36"/>
      <c r="D336" s="36"/>
      <c r="E336" s="36"/>
      <c r="F336" s="4" t="s">
        <v>344</v>
      </c>
      <c r="G336" s="3" t="s">
        <v>553</v>
      </c>
      <c r="H336" s="18"/>
      <c r="I336" s="18"/>
      <c r="J336" s="560" t="str" cm="1">
        <f t="array" ref="J336">IF(ISBLANK(I336), IF(ISBLANK(H336), "N/A", _xlfn.IFS(K336="AS", H336+15, K336="NCR", H336+30, K336="submitted", H336+30, TRUE, "N/A")), _xlfn.IFS(K336="AS", I336+15, K336="NCR", I336+30, K336="submitted", I336+30, TRUE, "N/A"))</f>
        <v>N/A</v>
      </c>
      <c r="K336"/>
    </row>
    <row r="337" spans="1:11" s="1" customFormat="1" ht="15" customHeight="1">
      <c r="A337" s="9"/>
      <c r="B337" s="32" t="s">
        <v>766</v>
      </c>
      <c r="C337" s="37" t="s">
        <v>767</v>
      </c>
      <c r="D337" s="37"/>
      <c r="E337" s="37"/>
      <c r="F337" s="9" t="s">
        <v>205</v>
      </c>
      <c r="G337" s="13" t="s">
        <v>768</v>
      </c>
      <c r="H337" s="18"/>
      <c r="I337" s="18"/>
      <c r="J337" s="560" t="str" cm="1">
        <f t="array" ref="J337">IF(ISBLANK(I337), IF(ISBLANK(H337), "N/A", _xlfn.IFS(K337="AS", H337+15, K337="NCR", H337+30, K337="submitted", H337+30, TRUE, "N/A")), _xlfn.IFS(K337="AS", I337+15, K337="NCR", I337+30, K337="submitted", I337+30, TRUE, "N/A"))</f>
        <v>N/A</v>
      </c>
      <c r="K337"/>
    </row>
    <row r="338" spans="1:11" s="1" customFormat="1" ht="15" customHeight="1">
      <c r="A338" s="9"/>
      <c r="B338" s="33"/>
      <c r="C338" s="39"/>
      <c r="D338" s="39"/>
      <c r="E338" s="39"/>
      <c r="F338" s="9" t="s">
        <v>275</v>
      </c>
      <c r="G338" s="13" t="s">
        <v>769</v>
      </c>
      <c r="H338" s="18"/>
      <c r="I338" s="18"/>
      <c r="J338" s="560" t="str" cm="1">
        <f t="array" ref="J338">IF(ISBLANK(I338), IF(ISBLANK(H338), "N/A", _xlfn.IFS(K338="AS", H338+15, K338="NCR", H338+30, K338="submitted", H338+30, TRUE, "N/A")), _xlfn.IFS(K338="AS", I338+15, K338="NCR", I338+30, K338="submitted", I338+30, TRUE, "N/A"))</f>
        <v>N/A</v>
      </c>
      <c r="K338"/>
    </row>
    <row r="339" spans="1:11" s="1" customFormat="1" ht="15" customHeight="1">
      <c r="A339" s="9"/>
      <c r="B339" s="97"/>
      <c r="C339" s="46"/>
      <c r="D339" s="46"/>
      <c r="E339" s="46"/>
      <c r="F339" s="9" t="s">
        <v>263</v>
      </c>
      <c r="G339" s="13" t="s">
        <v>770</v>
      </c>
      <c r="H339" s="18"/>
      <c r="I339" s="18"/>
      <c r="J339" s="560" t="str" cm="1">
        <f t="array" ref="J339">IF(ISBLANK(I339), IF(ISBLANK(H339), "N/A", _xlfn.IFS(K339="AS", H339+15, K339="NCR", H339+30, K339="submitted", H339+30, TRUE, "N/A")), _xlfn.IFS(K339="AS", I339+15, K339="NCR", I339+30, K339="submitted", I339+30, TRUE, "N/A"))</f>
        <v>N/A</v>
      </c>
      <c r="K339"/>
    </row>
    <row r="340" spans="1:11" s="5" customFormat="1" ht="15" customHeight="1">
      <c r="A340" s="4"/>
      <c r="B340" s="15" t="s">
        <v>771</v>
      </c>
      <c r="C340" s="17" t="s">
        <v>772</v>
      </c>
      <c r="D340" s="17"/>
      <c r="E340" s="17"/>
      <c r="F340" s="4" t="s">
        <v>328</v>
      </c>
      <c r="G340" s="17" t="s">
        <v>773</v>
      </c>
      <c r="H340" s="18"/>
      <c r="I340" s="18"/>
      <c r="J340" s="560" t="str" cm="1">
        <f t="array" ref="J340">IF(ISBLANK(I340), IF(ISBLANK(H340), "N/A", _xlfn.IFS(K340="AS", H340+15, K340="NCR", H340+30, K340="submitted", H340+30, TRUE, "N/A")), _xlfn.IFS(K340="AS", I340+15, K340="NCR", I340+30, K340="submitted", I340+30, TRUE, "N/A"))</f>
        <v>N/A</v>
      </c>
      <c r="K340"/>
    </row>
    <row r="341" spans="1:11" s="1" customFormat="1" ht="15" customHeight="1">
      <c r="A341" s="38"/>
      <c r="B341" s="32" t="s">
        <v>774</v>
      </c>
      <c r="C341" s="37" t="s">
        <v>775</v>
      </c>
      <c r="D341" s="37"/>
      <c r="E341" s="37"/>
      <c r="F341" s="38" t="s">
        <v>205</v>
      </c>
      <c r="G341" s="37" t="s">
        <v>776</v>
      </c>
      <c r="H341" s="18"/>
      <c r="I341" s="18"/>
      <c r="J341" s="560" t="str" cm="1">
        <f t="array" ref="J341">IF(ISBLANK(I341), IF(ISBLANK(H341), "N/A", _xlfn.IFS(K341="AS", H341+15, K341="NCR", H341+30, K341="submitted", H341+30, TRUE, "N/A")), _xlfn.IFS(K341="AS", I341+15, K341="NCR", I341+30, K341="submitted", I341+30, TRUE, "N/A"))</f>
        <v>N/A</v>
      </c>
      <c r="K341"/>
    </row>
    <row r="342" spans="1:11" s="1" customFormat="1" ht="27" customHeight="1">
      <c r="A342" s="38"/>
      <c r="B342" s="33"/>
      <c r="C342" s="39"/>
      <c r="D342" s="39"/>
      <c r="E342" s="39"/>
      <c r="F342" s="38" t="s">
        <v>275</v>
      </c>
      <c r="G342" s="40" t="s">
        <v>777</v>
      </c>
      <c r="H342" s="18"/>
      <c r="I342" s="18"/>
      <c r="J342" s="560" t="str" cm="1">
        <f t="array" ref="J342">IF(ISBLANK(I342), IF(ISBLANK(H342), "N/A", _xlfn.IFS(K342="AS", H342+15, K342="NCR", H342+30, K342="submitted", H342+30, TRUE, "N/A")), _xlfn.IFS(K342="AS", I342+15, K342="NCR", I342+30, K342="submitted", I342+30, TRUE, "N/A"))</f>
        <v>N/A</v>
      </c>
      <c r="K342"/>
    </row>
    <row r="343" spans="1:11" s="1" customFormat="1" ht="53.25">
      <c r="A343" s="38"/>
      <c r="B343" s="33"/>
      <c r="C343" s="39"/>
      <c r="D343" s="39"/>
      <c r="E343" s="39"/>
      <c r="F343" s="38" t="s">
        <v>263</v>
      </c>
      <c r="G343" s="40" t="s">
        <v>778</v>
      </c>
      <c r="H343" s="18"/>
      <c r="I343" s="18"/>
      <c r="J343" s="560" t="str" cm="1">
        <f t="array" ref="J343">IF(ISBLANK(I343), IF(ISBLANK(H343), "N/A", _xlfn.IFS(K343="AS", H343+15, K343="NCR", H343+30, K343="submitted", H343+30, TRUE, "N/A")), _xlfn.IFS(K343="AS", I343+15, K343="NCR", I343+30, K343="submitted", I343+30, TRUE, "N/A"))</f>
        <v>N/A</v>
      </c>
      <c r="K343"/>
    </row>
    <row r="344" spans="1:11" s="1" customFormat="1" ht="27" customHeight="1">
      <c r="A344" s="38"/>
      <c r="B344" s="33"/>
      <c r="C344" s="39"/>
      <c r="D344" s="39"/>
      <c r="E344" s="39"/>
      <c r="F344" s="38" t="s">
        <v>253</v>
      </c>
      <c r="G344" s="40" t="s">
        <v>551</v>
      </c>
      <c r="H344" s="18"/>
      <c r="I344" s="18"/>
      <c r="J344" s="560" t="str" cm="1">
        <f t="array" ref="J344">IF(ISBLANK(I344), IF(ISBLANK(H344), "N/A", _xlfn.IFS(K344="AS", H344+15, K344="NCR", H344+30, K344="submitted", H344+30, TRUE, "N/A")), _xlfn.IFS(K344="AS", I344+15, K344="NCR", I344+30, K344="submitted", I344+30, TRUE, "N/A"))</f>
        <v>N/A</v>
      </c>
      <c r="K344"/>
    </row>
    <row r="345" spans="1:11" s="1" customFormat="1" ht="15" customHeight="1">
      <c r="A345" s="38"/>
      <c r="B345" s="33"/>
      <c r="C345" s="39"/>
      <c r="D345" s="39"/>
      <c r="E345" s="39"/>
      <c r="F345" s="38" t="s">
        <v>344</v>
      </c>
      <c r="G345" s="37" t="s">
        <v>779</v>
      </c>
      <c r="H345" s="18"/>
      <c r="I345" s="18"/>
      <c r="J345" s="560" t="str" cm="1">
        <f t="array" ref="J345">IF(ISBLANK(I345), IF(ISBLANK(H345), "N/A", _xlfn.IFS(K345="AS", H345+15, K345="NCR", H345+30, K345="submitted", H345+30, TRUE, "N/A")), _xlfn.IFS(K345="AS", I345+15, K345="NCR", I345+30, K345="submitted", I345+30, TRUE, "N/A"))</f>
        <v>N/A</v>
      </c>
      <c r="K345"/>
    </row>
    <row r="346" spans="1:11" s="94" customFormat="1" ht="27" customHeight="1">
      <c r="A346" s="90"/>
      <c r="B346" s="373"/>
      <c r="C346" s="91"/>
      <c r="D346" s="91"/>
      <c r="E346" s="91"/>
      <c r="F346" s="90" t="s">
        <v>346</v>
      </c>
      <c r="G346" s="92" t="s">
        <v>780</v>
      </c>
      <c r="H346" s="18"/>
      <c r="I346" s="18"/>
      <c r="J346" s="560" t="str" cm="1">
        <f t="array" ref="J346">IF(ISBLANK(I346), IF(ISBLANK(H346), "N/A", _xlfn.IFS(K346="AS", H346+15, K346="NCR", H346+30, K346="submitted", H346+30, TRUE, "N/A")), _xlfn.IFS(K346="AS", I346+15, K346="NCR", I346+30, K346="submitted", I346+30, TRUE, "N/A"))</f>
        <v>N/A</v>
      </c>
      <c r="K346"/>
    </row>
    <row r="347" spans="1:11" s="736" customFormat="1" ht="15" customHeight="1">
      <c r="A347" s="736" t="s">
        <v>781</v>
      </c>
      <c r="B347" s="737" t="s">
        <v>774</v>
      </c>
      <c r="C347" s="738" t="s">
        <v>782</v>
      </c>
      <c r="D347" s="739" t="s">
        <v>783</v>
      </c>
      <c r="E347" s="739" t="s">
        <v>784</v>
      </c>
      <c r="F347" s="736">
        <v>3.07</v>
      </c>
      <c r="G347" s="740" t="s">
        <v>785</v>
      </c>
      <c r="H347" s="741">
        <v>45912</v>
      </c>
      <c r="I347" s="741">
        <v>45925</v>
      </c>
      <c r="J347" s="560" t="str" cm="1">
        <f t="array" ref="J347">IF(ISBLANK(I347), IF(ISBLANK(H347), "N/A", _xlfn.IFS(K347="AS", H347+15, K347="NCR", H347+30, K347="submitted", H347+30, TRUE, "N/A")), _xlfn.IFS(K347="AS", I347+15, K347="NCR", I347+30, K347="submitted", I347+30, TRUE, "N/A"))</f>
        <v>N/A</v>
      </c>
      <c r="K347" s="730" t="s">
        <v>146</v>
      </c>
    </row>
    <row r="348" spans="1:11" s="531" customFormat="1" ht="15" customHeight="1">
      <c r="A348" s="528" t="s">
        <v>786</v>
      </c>
      <c r="B348" s="732" t="s">
        <v>774</v>
      </c>
      <c r="C348" s="733" t="s">
        <v>782</v>
      </c>
      <c r="D348" s="578" t="s">
        <v>783</v>
      </c>
      <c r="E348" s="578" t="s">
        <v>784</v>
      </c>
      <c r="F348" s="528">
        <v>3.07</v>
      </c>
      <c r="G348" s="734" t="s">
        <v>785</v>
      </c>
      <c r="H348" s="735">
        <v>45929</v>
      </c>
      <c r="J348" s="560" cm="1">
        <f t="array" ref="J348">IF(ISBLANK(I348), IF(ISBLANK(H348), "N/A", _xlfn.IFS(K348="AS", H348+15, K348="NCR", H348+30, K348="submitted", H348+30, TRUE, "N/A")), _xlfn.IFS(K348="AS", I348+15, K348="NCR", I348+30, K348="submitted", I348+30, TRUE, "N/A"))</f>
        <v>45959</v>
      </c>
      <c r="K348" s="531" t="s">
        <v>154</v>
      </c>
    </row>
  </sheetData>
  <autoFilter ref="A1:K346" xr:uid="{5C577AC4-326C-4F46-A322-5A3CE0B8F983}">
    <filterColumn colId="0" showButton="0"/>
    <filterColumn colId="1" showButton="0"/>
    <filterColumn colId="2" showButton="0"/>
    <filterColumn colId="3" showButton="0"/>
    <filterColumn colId="4" showButton="0"/>
    <filterColumn colId="5" showButton="0"/>
  </autoFilter>
  <mergeCells count="39">
    <mergeCell ref="A1:G1"/>
    <mergeCell ref="B4:B6"/>
    <mergeCell ref="C4:C6"/>
    <mergeCell ref="A8:A15"/>
    <mergeCell ref="A16:A23"/>
    <mergeCell ref="B16:B23"/>
    <mergeCell ref="C16:C23"/>
    <mergeCell ref="B8:B15"/>
    <mergeCell ref="C8:C15"/>
    <mergeCell ref="B156:B161"/>
    <mergeCell ref="C156:C161"/>
    <mergeCell ref="A24:A31"/>
    <mergeCell ref="B24:B31"/>
    <mergeCell ref="C24:C31"/>
    <mergeCell ref="B173:B174"/>
    <mergeCell ref="C173:C174"/>
    <mergeCell ref="B166:B168"/>
    <mergeCell ref="C166:C168"/>
    <mergeCell ref="B170:B172"/>
    <mergeCell ref="C170:C172"/>
    <mergeCell ref="B186:B188"/>
    <mergeCell ref="C186:C188"/>
    <mergeCell ref="B189:B190"/>
    <mergeCell ref="C189:C190"/>
    <mergeCell ref="B191:B192"/>
    <mergeCell ref="C191:C192"/>
    <mergeCell ref="B205:B207"/>
    <mergeCell ref="C205:C207"/>
    <mergeCell ref="B208:B209"/>
    <mergeCell ref="C208:C209"/>
    <mergeCell ref="B210:B211"/>
    <mergeCell ref="C210:C211"/>
    <mergeCell ref="M3:P6"/>
    <mergeCell ref="M128:P203"/>
    <mergeCell ref="M204:P211"/>
    <mergeCell ref="M40:P47"/>
    <mergeCell ref="M48:P119"/>
    <mergeCell ref="M120:P127"/>
    <mergeCell ref="M7:P39"/>
  </mergeCells>
  <conditionalFormatting sqref="A2:K348">
    <cfRule type="expression" dxfId="202" priority="4">
      <formula>OR(INDEX($K:$K,ROW())="NCR",INDEX($K:$K,ROW())="NR",INDEX($K:$K,ROW())="AS")</formula>
    </cfRule>
  </conditionalFormatting>
  <conditionalFormatting sqref="A2:K348">
    <cfRule type="expression" dxfId="201" priority="3">
      <formula>OR(INDEX($K:$K,ROW())="AC",INDEX($K:$K,ROW())="AN",INDEX($K:$K,ROW())="RC",INDEX($K:$K,ROW())="RA")</formula>
    </cfRule>
  </conditionalFormatting>
  <conditionalFormatting sqref="A2:K348">
    <cfRule type="expression" dxfId="200" priority="2">
      <formula>OR(INDEX($K:$K,ROW())="Submitted",INDEX($K:$K,ROW())="REV")</formula>
    </cfRule>
  </conditionalFormatting>
  <conditionalFormatting sqref="A3:K348">
    <cfRule type="expression" dxfId="199" priority="1">
      <formula>NOT(OR(INDEX($K:$K,ROW())="NCR",INDEX($K:$K,ROW())="NR",INDEX($K:$K,ROW())="AS",INDEX($K:$K,ROW())="AC",INDEX($K:$K,ROW())="AN",INDEX($K:$K,ROW())="RC",INDEX($K:$K,ROW())="RA",INDEX($K:$K,ROW())="Submitted",INDEX($K:$K,ROW())="REV"))</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A68540-5782-4978-B22C-EE7145A42751}">
  <dimension ref="A1:P476"/>
  <sheetViews>
    <sheetView tabSelected="1" workbookViewId="0">
      <pane ySplit="2" topLeftCell="D252" activePane="bottomLeft" state="frozen"/>
      <selection pane="bottomLeft" activeCell="K264" sqref="K264"/>
    </sheetView>
  </sheetViews>
  <sheetFormatPr defaultRowHeight="15"/>
  <cols>
    <col min="1" max="1" width="12.7109375" bestFit="1" customWidth="1"/>
    <col min="2" max="2" width="10.85546875" customWidth="1"/>
    <col min="3" max="3" width="46.42578125" bestFit="1" customWidth="1"/>
    <col min="4" max="4" width="46.42578125" customWidth="1"/>
    <col min="7" max="7" width="105.140625" customWidth="1"/>
    <col min="8" max="8" width="10.140625" customWidth="1"/>
    <col min="10" max="10" width="10.140625" bestFit="1" customWidth="1"/>
    <col min="12" max="12" width="2.140625" customWidth="1"/>
    <col min="17" max="17" width="1.7109375" customWidth="1"/>
  </cols>
  <sheetData>
    <row r="1" spans="1:16">
      <c r="A1" s="775" t="s">
        <v>787</v>
      </c>
      <c r="B1" s="776"/>
      <c r="C1" s="776"/>
      <c r="D1" s="776"/>
      <c r="E1" s="776"/>
      <c r="F1" s="776"/>
      <c r="G1" s="776"/>
      <c r="L1" s="318"/>
      <c r="M1" s="315"/>
      <c r="N1" s="316"/>
      <c r="O1" s="316"/>
      <c r="P1" s="317"/>
    </row>
    <row r="2" spans="1:16" ht="30.75">
      <c r="A2" s="293" t="s">
        <v>112</v>
      </c>
      <c r="B2" s="286" t="s">
        <v>113</v>
      </c>
      <c r="C2" s="286" t="s">
        <v>114</v>
      </c>
      <c r="D2" s="286" t="s">
        <v>788</v>
      </c>
      <c r="E2" s="286" t="s">
        <v>116</v>
      </c>
      <c r="F2" s="286" t="s">
        <v>117</v>
      </c>
      <c r="G2" s="286" t="s">
        <v>118</v>
      </c>
      <c r="H2" s="291" t="s">
        <v>119</v>
      </c>
      <c r="I2" s="291" t="s">
        <v>120</v>
      </c>
      <c r="J2" s="291" t="s">
        <v>121</v>
      </c>
      <c r="K2" s="292" t="s">
        <v>122</v>
      </c>
      <c r="L2" s="320"/>
      <c r="M2" s="312" t="s">
        <v>123</v>
      </c>
      <c r="N2" s="294" t="s">
        <v>124</v>
      </c>
      <c r="O2" s="295" t="s">
        <v>125</v>
      </c>
      <c r="P2" s="296" t="s">
        <v>126</v>
      </c>
    </row>
    <row r="3" spans="1:16">
      <c r="A3" s="73"/>
      <c r="B3" s="371" t="s">
        <v>789</v>
      </c>
      <c r="C3" s="372" t="s">
        <v>790</v>
      </c>
      <c r="D3" s="103"/>
      <c r="E3" s="5"/>
      <c r="F3" s="73" t="s">
        <v>275</v>
      </c>
      <c r="G3" s="36" t="s">
        <v>791</v>
      </c>
      <c r="H3" s="73"/>
      <c r="I3" s="18"/>
      <c r="J3" s="74" t="str" cm="1">
        <f t="array" ref="J3">IF(ISBLANK(I3), IF(ISBLANK(H3), "N/A", _xlfn.IFS(K3="AS", H3+15, K3="NCR", H3+30, K3="submitted", H3+30, TRUE, "N/A")), _xlfn.IFS(K3="AS", I3+15, K3="NCR", I3+30, K3="submitted", I3+30, TRUE, "N/A"))</f>
        <v>N/A</v>
      </c>
      <c r="K3" s="74"/>
      <c r="L3" s="318"/>
      <c r="M3" s="766" t="s">
        <v>132</v>
      </c>
      <c r="N3" s="767"/>
      <c r="O3" s="767"/>
      <c r="P3" s="768"/>
    </row>
    <row r="4" spans="1:16">
      <c r="A4" s="73"/>
      <c r="B4" s="111"/>
      <c r="C4" s="35"/>
      <c r="D4" s="103"/>
      <c r="E4" s="5"/>
      <c r="F4" s="73" t="s">
        <v>263</v>
      </c>
      <c r="G4" s="36" t="s">
        <v>792</v>
      </c>
      <c r="H4" s="73"/>
      <c r="I4" s="18"/>
      <c r="J4" s="74" t="str" cm="1">
        <f t="array" ref="J4">IF(ISBLANK(I4), IF(ISBLANK(H4), "N/A", _xlfn.IFS(K4="AS", H4+15, K4="NCR", H4+30, K4="submitted", H4+30, TRUE, "N/A")), _xlfn.IFS(K4="AS", I4+15, K4="NCR", I4+30, K4="submitted", I4+30, TRUE, "N/A"))</f>
        <v>N/A</v>
      </c>
      <c r="K4" s="74"/>
      <c r="L4" s="318"/>
      <c r="M4" s="769"/>
      <c r="N4" s="770"/>
      <c r="O4" s="770"/>
      <c r="P4" s="771"/>
    </row>
    <row r="5" spans="1:16">
      <c r="A5" s="73"/>
      <c r="B5" s="95"/>
      <c r="C5" s="36"/>
      <c r="D5" s="103"/>
      <c r="E5" s="5"/>
      <c r="F5" s="73" t="s">
        <v>253</v>
      </c>
      <c r="G5" s="36" t="s">
        <v>793</v>
      </c>
      <c r="H5" s="73"/>
      <c r="I5" s="18"/>
      <c r="J5" s="74" t="str" cm="1">
        <f t="array" ref="J5">IF(ISBLANK(I5), IF(ISBLANK(H5), "N/A", _xlfn.IFS(K5="AS", H5+15, K5="NCR", H5+30, K5="submitted", H5+30, TRUE, "N/A")), _xlfn.IFS(K5="AS", I5+15, K5="NCR", I5+30, K5="submitted", I5+30, TRUE, "N/A"))</f>
        <v>N/A</v>
      </c>
      <c r="K5" s="74"/>
      <c r="L5" s="318"/>
      <c r="M5" s="769"/>
      <c r="N5" s="770"/>
      <c r="O5" s="770"/>
      <c r="P5" s="771"/>
    </row>
    <row r="6" spans="1:16" ht="40.5">
      <c r="A6" s="9" t="s">
        <v>794</v>
      </c>
      <c r="B6" s="374" t="s">
        <v>795</v>
      </c>
      <c r="C6" s="40" t="s">
        <v>796</v>
      </c>
      <c r="D6" s="40" t="s">
        <v>797</v>
      </c>
      <c r="E6" s="37" t="s">
        <v>798</v>
      </c>
      <c r="F6" s="9" t="s">
        <v>220</v>
      </c>
      <c r="G6" s="7" t="s">
        <v>799</v>
      </c>
      <c r="H6" s="14">
        <v>45902</v>
      </c>
      <c r="I6" s="18">
        <v>45926</v>
      </c>
      <c r="J6" s="74" cm="1">
        <f t="array" ref="J6">IF(ISBLANK(I6), IF(ISBLANK(H6), "N/A", _xlfn.IFS(K6="AS", H6+15, K6="NCR", H6+30, K6="submitted", H6+30, TRUE, "N/A")), _xlfn.IFS(K6="AS", I6+15, K6="NCR", I6+30, K6="submitted", I6+30, TRUE, "N/A"))</f>
        <v>45956</v>
      </c>
      <c r="K6" s="37" t="s">
        <v>207</v>
      </c>
      <c r="L6" s="318"/>
      <c r="M6" s="769"/>
      <c r="N6" s="770"/>
      <c r="O6" s="770"/>
      <c r="P6" s="771"/>
    </row>
    <row r="7" spans="1:16" ht="40.5">
      <c r="A7" s="9" t="s">
        <v>794</v>
      </c>
      <c r="B7" s="374" t="s">
        <v>795</v>
      </c>
      <c r="C7" s="40" t="s">
        <v>796</v>
      </c>
      <c r="D7" s="40" t="s">
        <v>797</v>
      </c>
      <c r="E7" s="37" t="s">
        <v>798</v>
      </c>
      <c r="F7" s="9" t="s">
        <v>535</v>
      </c>
      <c r="G7" s="7" t="s">
        <v>800</v>
      </c>
      <c r="H7" s="14">
        <v>45902</v>
      </c>
      <c r="I7" s="18">
        <v>45926</v>
      </c>
      <c r="J7" s="74" cm="1">
        <f t="array" ref="J7">IF(ISBLANK(I7), IF(ISBLANK(H7), "N/A", _xlfn.IFS(K7="AS", H7+15, K7="NCR", H7+30, K7="submitted", H7+30, TRUE, "N/A")), _xlfn.IFS(K7="AS", I7+15, K7="NCR", I7+30, K7="submitted", I7+30, TRUE, "N/A"))</f>
        <v>45956</v>
      </c>
      <c r="K7" s="37" t="s">
        <v>207</v>
      </c>
      <c r="L7" s="318"/>
      <c r="M7" s="772" t="s">
        <v>147</v>
      </c>
      <c r="N7" s="773"/>
      <c r="O7" s="773"/>
      <c r="P7" s="774"/>
    </row>
    <row r="8" spans="1:16" ht="40.5">
      <c r="A8" s="9" t="s">
        <v>794</v>
      </c>
      <c r="B8" s="374" t="s">
        <v>795</v>
      </c>
      <c r="C8" s="40" t="s">
        <v>796</v>
      </c>
      <c r="D8" s="40" t="s">
        <v>797</v>
      </c>
      <c r="E8" s="37" t="s">
        <v>798</v>
      </c>
      <c r="F8" s="9" t="s">
        <v>263</v>
      </c>
      <c r="G8" s="13" t="s">
        <v>320</v>
      </c>
      <c r="H8" s="14">
        <v>45902</v>
      </c>
      <c r="I8" s="18">
        <v>45926</v>
      </c>
      <c r="J8" s="74" cm="1">
        <f t="array" ref="J8">IF(ISBLANK(I8), IF(ISBLANK(H8), "N/A", _xlfn.IFS(K8="AS", H8+15, K8="NCR", H8+30, K8="submitted", H8+30, TRUE, "N/A")), _xlfn.IFS(K8="AS", I8+15, K8="NCR", I8+30, K8="submitted", I8+30, TRUE, "N/A"))</f>
        <v>45956</v>
      </c>
      <c r="K8" s="37" t="s">
        <v>207</v>
      </c>
      <c r="L8" s="318"/>
      <c r="M8" s="772"/>
      <c r="N8" s="773"/>
      <c r="O8" s="773"/>
      <c r="P8" s="774"/>
    </row>
    <row r="9" spans="1:16">
      <c r="A9" s="9"/>
      <c r="B9" s="33"/>
      <c r="C9" s="39" t="s">
        <v>796</v>
      </c>
      <c r="D9" s="20"/>
      <c r="E9" s="1"/>
      <c r="F9" s="9" t="s">
        <v>364</v>
      </c>
      <c r="G9" s="7" t="s">
        <v>801</v>
      </c>
      <c r="H9" s="9"/>
      <c r="I9" s="18"/>
      <c r="J9" s="74" t="str" cm="1">
        <f t="array" ref="J9">IF(ISBLANK(I9), IF(ISBLANK(H9), "N/A", _xlfn.IFS(K9="AS", H9+15, K9="NCR", H9+30, K9="submitted", H9+30, TRUE, "N/A")), _xlfn.IFS(K9="AS", I9+15, K9="NCR", I9+30, K9="submitted", I9+30, TRUE, "N/A"))</f>
        <v>N/A</v>
      </c>
      <c r="K9" s="14"/>
      <c r="L9" s="318"/>
      <c r="M9" s="772"/>
      <c r="N9" s="773"/>
      <c r="O9" s="773"/>
      <c r="P9" s="774"/>
    </row>
    <row r="10" spans="1:16" ht="27">
      <c r="A10" s="9"/>
      <c r="B10" s="33"/>
      <c r="C10" s="39" t="s">
        <v>796</v>
      </c>
      <c r="D10" s="20"/>
      <c r="E10" s="1"/>
      <c r="F10" s="9" t="s">
        <v>366</v>
      </c>
      <c r="G10" s="7" t="s">
        <v>802</v>
      </c>
      <c r="H10" s="9"/>
      <c r="I10" s="18"/>
      <c r="J10" s="74" t="str" cm="1">
        <f t="array" ref="J10">IF(ISBLANK(I10), IF(ISBLANK(H10), "N/A", _xlfn.IFS(K10="AS", H10+15, K10="NCR", H10+30, K10="submitted", H10+30, TRUE, "N/A")), _xlfn.IFS(K10="AS", I10+15, K10="NCR", I10+30, K10="submitted", I10+30, TRUE, "N/A"))</f>
        <v>N/A</v>
      </c>
      <c r="K10" s="14"/>
      <c r="L10" s="318"/>
      <c r="M10" s="772"/>
      <c r="N10" s="773"/>
      <c r="O10" s="773"/>
      <c r="P10" s="774"/>
    </row>
    <row r="11" spans="1:16">
      <c r="A11" s="9"/>
      <c r="B11" s="33"/>
      <c r="C11" s="39" t="s">
        <v>796</v>
      </c>
      <c r="D11" s="20"/>
      <c r="E11" s="1"/>
      <c r="F11" s="9" t="s">
        <v>368</v>
      </c>
      <c r="G11" s="13" t="s">
        <v>803</v>
      </c>
      <c r="H11" s="9"/>
      <c r="I11" s="18"/>
      <c r="J11" s="74" t="str" cm="1">
        <f t="array" ref="J11">IF(ISBLANK(I11), IF(ISBLANK(H11), "N/A", _xlfn.IFS(K11="AS", H11+15, K11="NCR", H11+30, K11="submitted", H11+30, TRUE, "N/A")), _xlfn.IFS(K11="AS", I11+15, K11="NCR", I11+30, K11="submitted", I11+30, TRUE, "N/A"))</f>
        <v>N/A</v>
      </c>
      <c r="K11" s="14"/>
      <c r="L11" s="318"/>
      <c r="M11" s="772"/>
      <c r="N11" s="773"/>
      <c r="O11" s="773"/>
      <c r="P11" s="774"/>
    </row>
    <row r="12" spans="1:16">
      <c r="A12" s="9"/>
      <c r="B12" s="33"/>
      <c r="C12" s="39" t="s">
        <v>796</v>
      </c>
      <c r="D12" s="20"/>
      <c r="E12" s="1"/>
      <c r="F12" s="9" t="s">
        <v>344</v>
      </c>
      <c r="G12" s="7" t="s">
        <v>804</v>
      </c>
      <c r="H12" s="9"/>
      <c r="I12" s="18"/>
      <c r="J12" s="74" t="str" cm="1">
        <f t="array" ref="J12">IF(ISBLANK(I12), IF(ISBLANK(H12), "N/A", _xlfn.IFS(K12="AS", H12+15, K12="NCR", H12+30, K12="submitted", H12+30, TRUE, "N/A")), _xlfn.IFS(K12="AS", I12+15, K12="NCR", I12+30, K12="submitted", I12+30, TRUE, "N/A"))</f>
        <v>N/A</v>
      </c>
      <c r="K12" s="14"/>
      <c r="L12" s="319"/>
      <c r="M12" s="772"/>
      <c r="N12" s="773"/>
      <c r="O12" s="773"/>
      <c r="P12" s="774"/>
    </row>
    <row r="13" spans="1:16">
      <c r="A13" s="9"/>
      <c r="B13" s="33"/>
      <c r="C13" s="39" t="s">
        <v>796</v>
      </c>
      <c r="D13" s="20"/>
      <c r="E13" s="1" t="s">
        <v>280</v>
      </c>
      <c r="F13" s="9" t="s">
        <v>805</v>
      </c>
      <c r="G13" s="13" t="s">
        <v>414</v>
      </c>
      <c r="H13" s="9"/>
      <c r="I13" s="18"/>
      <c r="J13" s="74" t="str" cm="1">
        <f t="array" ref="J13">IF(ISBLANK(I13), IF(ISBLANK(H13), "N/A", _xlfn.IFS(K13="AS", H13+15, K13="NCR", H13+30, K13="submitted", H13+30, TRUE, "N/A")), _xlfn.IFS(K13="AS", I13+15, K13="NCR", I13+30, K13="submitted", I13+30, TRUE, "N/A"))</f>
        <v>N/A</v>
      </c>
      <c r="K13" s="14"/>
      <c r="L13" s="318"/>
      <c r="M13" s="772"/>
      <c r="N13" s="773"/>
      <c r="O13" s="773"/>
      <c r="P13" s="774"/>
    </row>
    <row r="14" spans="1:16">
      <c r="A14" s="9"/>
      <c r="B14" s="33"/>
      <c r="C14" s="39" t="s">
        <v>796</v>
      </c>
      <c r="D14" s="20"/>
      <c r="E14" s="1" t="s">
        <v>280</v>
      </c>
      <c r="F14" s="9" t="s">
        <v>806</v>
      </c>
      <c r="G14" s="13" t="s">
        <v>416</v>
      </c>
      <c r="H14" s="9"/>
      <c r="I14" s="18"/>
      <c r="J14" s="74" t="str" cm="1">
        <f t="array" ref="J14">IF(ISBLANK(I14), IF(ISBLANK(H14), "N/A", _xlfn.IFS(K14="AS", H14+15, K14="NCR", H14+30, K14="submitted", H14+30, TRUE, "N/A")), _xlfn.IFS(K14="AS", I14+15, K14="NCR", I14+30, K14="submitted", I14+30, TRUE, "N/A"))</f>
        <v>N/A</v>
      </c>
      <c r="K14" s="14"/>
      <c r="L14" s="318"/>
      <c r="M14" s="772"/>
      <c r="N14" s="773"/>
      <c r="O14" s="773"/>
      <c r="P14" s="774"/>
    </row>
    <row r="15" spans="1:16">
      <c r="A15" s="9"/>
      <c r="B15" s="33"/>
      <c r="C15" s="39" t="s">
        <v>796</v>
      </c>
      <c r="D15" s="20"/>
      <c r="E15" s="1" t="s">
        <v>280</v>
      </c>
      <c r="F15" s="9" t="s">
        <v>807</v>
      </c>
      <c r="G15" s="13" t="s">
        <v>808</v>
      </c>
      <c r="H15" s="9"/>
      <c r="I15" s="18"/>
      <c r="J15" s="74" t="str" cm="1">
        <f t="array" ref="J15">IF(ISBLANK(I15), IF(ISBLANK(H15), "N/A", _xlfn.IFS(K15="AS", H15+15, K15="NCR", H15+30, K15="submitted", H15+30, TRUE, "N/A")), _xlfn.IFS(K15="AS", I15+15, K15="NCR", I15+30, K15="submitted", I15+30, TRUE, "N/A"))</f>
        <v>N/A</v>
      </c>
      <c r="K15" s="14"/>
      <c r="L15" s="318"/>
      <c r="M15" s="772"/>
      <c r="N15" s="773"/>
      <c r="O15" s="773"/>
      <c r="P15" s="774"/>
    </row>
    <row r="16" spans="1:16">
      <c r="A16" s="9"/>
      <c r="B16" s="33"/>
      <c r="C16" s="39" t="s">
        <v>796</v>
      </c>
      <c r="D16" s="20"/>
      <c r="E16" s="1" t="s">
        <v>280</v>
      </c>
      <c r="F16" s="9" t="s">
        <v>809</v>
      </c>
      <c r="G16" s="13" t="s">
        <v>420</v>
      </c>
      <c r="H16" s="9"/>
      <c r="I16" s="18"/>
      <c r="J16" s="74" t="str" cm="1">
        <f t="array" ref="J16">IF(ISBLANK(I16), IF(ISBLANK(H16), "N/A", _xlfn.IFS(K16="AS", H16+15, K16="NCR", H16+30, K16="submitted", H16+30, TRUE, "N/A")), _xlfn.IFS(K16="AS", I16+15, K16="NCR", I16+30, K16="submitted", I16+30, TRUE, "N/A"))</f>
        <v>N/A</v>
      </c>
      <c r="K16" s="14"/>
      <c r="L16" s="318"/>
      <c r="M16" s="772"/>
      <c r="N16" s="773"/>
      <c r="O16" s="773"/>
      <c r="P16" s="774"/>
    </row>
    <row r="17" spans="1:16">
      <c r="A17" s="9"/>
      <c r="B17" s="33"/>
      <c r="C17" s="39" t="s">
        <v>796</v>
      </c>
      <c r="D17" s="20"/>
      <c r="E17" s="1" t="s">
        <v>280</v>
      </c>
      <c r="F17" s="9" t="s">
        <v>810</v>
      </c>
      <c r="G17" s="13" t="s">
        <v>422</v>
      </c>
      <c r="H17" s="9"/>
      <c r="I17" s="18"/>
      <c r="J17" s="74" t="str" cm="1">
        <f t="array" ref="J17">IF(ISBLANK(I17), IF(ISBLANK(H17), "N/A", _xlfn.IFS(K17="AS", H17+15, K17="NCR", H17+30, K17="submitted", H17+30, TRUE, "N/A")), _xlfn.IFS(K17="AS", I17+15, K17="NCR", I17+30, K17="submitted", I17+30, TRUE, "N/A"))</f>
        <v>N/A</v>
      </c>
      <c r="K17" s="14"/>
      <c r="L17" s="318"/>
      <c r="M17" s="772"/>
      <c r="N17" s="773"/>
      <c r="O17" s="773"/>
      <c r="P17" s="774"/>
    </row>
    <row r="18" spans="1:16">
      <c r="A18" s="9"/>
      <c r="B18" s="97"/>
      <c r="C18" s="39" t="s">
        <v>796</v>
      </c>
      <c r="D18" s="20"/>
      <c r="E18" s="1" t="s">
        <v>280</v>
      </c>
      <c r="F18" s="9" t="s">
        <v>811</v>
      </c>
      <c r="G18" s="13" t="s">
        <v>812</v>
      </c>
      <c r="H18" s="9"/>
      <c r="I18" s="18"/>
      <c r="J18" s="74" t="str" cm="1">
        <f t="array" ref="J18">IF(ISBLANK(I18), IF(ISBLANK(H18), "N/A", _xlfn.IFS(K18="AS", H18+15, K18="NCR", H18+30, K18="submitted", H18+30, TRUE, "N/A")), _xlfn.IFS(K18="AS", I18+15, K18="NCR", I18+30, K18="submitted", I18+30, TRUE, "N/A"))</f>
        <v>N/A</v>
      </c>
      <c r="K18" s="14"/>
      <c r="L18" s="318"/>
      <c r="M18" s="772"/>
      <c r="N18" s="773"/>
      <c r="O18" s="773"/>
      <c r="P18" s="774"/>
    </row>
    <row r="19" spans="1:16">
      <c r="A19" s="4"/>
      <c r="B19" s="86" t="s">
        <v>813</v>
      </c>
      <c r="C19" s="34" t="s">
        <v>814</v>
      </c>
      <c r="D19" s="103"/>
      <c r="E19" s="5"/>
      <c r="F19" s="4" t="s">
        <v>220</v>
      </c>
      <c r="G19" s="3" t="s">
        <v>815</v>
      </c>
      <c r="H19" s="4"/>
      <c r="I19" s="18"/>
      <c r="J19" s="74" t="str" cm="1">
        <f t="array" ref="J19">IF(ISBLANK(I19), IF(ISBLANK(H19), "N/A", _xlfn.IFS(K19="AS", H19+15, K19="NCR", H19+30, K19="submitted", H19+30, TRUE, "N/A")), _xlfn.IFS(K19="AS", I19+15, K19="NCR", I19+30, K19="submitted", I19+30, TRUE, "N/A"))</f>
        <v>N/A</v>
      </c>
      <c r="K19" s="18"/>
      <c r="L19" s="318"/>
      <c r="M19" s="772"/>
      <c r="N19" s="773"/>
      <c r="O19" s="773"/>
      <c r="P19" s="774"/>
    </row>
    <row r="20" spans="1:16">
      <c r="A20" s="4"/>
      <c r="B20" s="111"/>
      <c r="C20" s="35"/>
      <c r="D20" s="103"/>
      <c r="E20" s="5"/>
      <c r="F20" s="4" t="s">
        <v>535</v>
      </c>
      <c r="G20" s="17" t="s">
        <v>816</v>
      </c>
      <c r="H20" s="4"/>
      <c r="I20" s="18"/>
      <c r="J20" s="74" t="str" cm="1">
        <f t="array" ref="J20">IF(ISBLANK(I20), IF(ISBLANK(H20), "N/A", _xlfn.IFS(K20="AS", H20+15, K20="NCR", H20+30, K20="submitted", H20+30, TRUE, "N/A")), _xlfn.IFS(K20="AS", I20+15, K20="NCR", I20+30, K20="submitted", I20+30, TRUE, "N/A"))</f>
        <v>N/A</v>
      </c>
      <c r="K20" s="18"/>
      <c r="L20" s="318"/>
      <c r="M20" s="772"/>
      <c r="N20" s="773"/>
      <c r="O20" s="773"/>
      <c r="P20" s="774"/>
    </row>
    <row r="21" spans="1:16">
      <c r="A21" s="4"/>
      <c r="B21" s="111"/>
      <c r="C21" s="35"/>
      <c r="D21" s="103"/>
      <c r="E21" s="5"/>
      <c r="F21" s="4" t="s">
        <v>263</v>
      </c>
      <c r="G21" s="17" t="s">
        <v>276</v>
      </c>
      <c r="H21" s="4"/>
      <c r="I21" s="4"/>
      <c r="J21" s="74" t="str" cm="1">
        <f t="array" ref="J21">IF(ISBLANK(I21), IF(ISBLANK(H21), "N/A", _xlfn.IFS(K21="AS", H21+15, K21="NCR", H21+30, K21="submitted", H21+30, TRUE, "N/A")), _xlfn.IFS(K21="AS", I21+15, K21="NCR", I21+30, K21="submitted", I21+30, TRUE, "N/A"))</f>
        <v>N/A</v>
      </c>
      <c r="K21" s="18"/>
      <c r="L21" s="318"/>
      <c r="M21" s="772"/>
      <c r="N21" s="773"/>
      <c r="O21" s="773"/>
      <c r="P21" s="774"/>
    </row>
    <row r="22" spans="1:16">
      <c r="A22" s="4"/>
      <c r="B22" s="111"/>
      <c r="C22" s="35"/>
      <c r="D22" s="103"/>
      <c r="E22" s="5"/>
      <c r="F22" s="4" t="s">
        <v>253</v>
      </c>
      <c r="G22" s="3" t="s">
        <v>817</v>
      </c>
      <c r="H22" s="4"/>
      <c r="I22" s="4"/>
      <c r="J22" s="74" t="str" cm="1">
        <f t="array" ref="J22">IF(ISBLANK(I22), IF(ISBLANK(H22), "N/A", _xlfn.IFS(K22="AS", H22+15, K22="NCR", H22+30, K22="submitted", H22+30, TRUE, "N/A")), _xlfn.IFS(K22="AS", I22+15, K22="NCR", I22+30, K22="submitted", I22+30, TRUE, "N/A"))</f>
        <v>N/A</v>
      </c>
      <c r="K22" s="18"/>
      <c r="L22" s="318"/>
      <c r="M22" s="772"/>
      <c r="N22" s="773"/>
      <c r="O22" s="773"/>
      <c r="P22" s="774"/>
    </row>
    <row r="23" spans="1:16">
      <c r="A23" s="4"/>
      <c r="B23" s="111"/>
      <c r="C23" s="35"/>
      <c r="D23" s="103"/>
      <c r="E23" s="5"/>
      <c r="F23" s="4" t="s">
        <v>344</v>
      </c>
      <c r="G23" s="3" t="s">
        <v>818</v>
      </c>
      <c r="H23" s="4"/>
      <c r="I23" s="4"/>
      <c r="J23" s="74" t="str" cm="1">
        <f t="array" ref="J23">IF(ISBLANK(I23), IF(ISBLANK(H23), "N/A", _xlfn.IFS(K23="AS", H23+15, K23="NCR", H23+30, K23="submitted", H23+30, TRUE, "N/A")), _xlfn.IFS(K23="AS", I23+15, K23="NCR", I23+30, K23="submitted", I23+30, TRUE, "N/A"))</f>
        <v>N/A</v>
      </c>
      <c r="K23" s="18"/>
      <c r="L23" s="318"/>
      <c r="M23" s="772"/>
      <c r="N23" s="773"/>
      <c r="O23" s="773"/>
      <c r="P23" s="774"/>
    </row>
    <row r="24" spans="1:16">
      <c r="A24" s="4"/>
      <c r="B24" s="111"/>
      <c r="C24" s="35"/>
      <c r="D24" s="103"/>
      <c r="E24" s="5" t="s">
        <v>280</v>
      </c>
      <c r="F24" s="4" t="s">
        <v>374</v>
      </c>
      <c r="G24" s="3" t="s">
        <v>819</v>
      </c>
      <c r="H24" s="4"/>
      <c r="I24" s="4"/>
      <c r="J24" s="74" t="str" cm="1">
        <f t="array" ref="J24">IF(ISBLANK(I24), IF(ISBLANK(H24), "N/A", _xlfn.IFS(K24="AS", H24+15, K24="NCR", H24+30, K24="submitted", H24+30, TRUE, "N/A")), _xlfn.IFS(K24="AS", I24+15, K24="NCR", I24+30, K24="submitted", I24+30, TRUE, "N/A"))</f>
        <v>N/A</v>
      </c>
      <c r="K24" s="18"/>
      <c r="L24" s="318"/>
      <c r="M24" s="772"/>
      <c r="N24" s="773"/>
      <c r="O24" s="773"/>
      <c r="P24" s="774"/>
    </row>
    <row r="25" spans="1:16" ht="27">
      <c r="A25" s="4"/>
      <c r="B25" s="95"/>
      <c r="C25" s="36"/>
      <c r="D25" s="103"/>
      <c r="E25" s="5" t="s">
        <v>280</v>
      </c>
      <c r="F25" s="4" t="s">
        <v>374</v>
      </c>
      <c r="G25" s="3" t="s">
        <v>820</v>
      </c>
      <c r="H25" s="4"/>
      <c r="I25" s="4"/>
      <c r="J25" s="74" t="str" cm="1">
        <f t="array" ref="J25">IF(ISBLANK(I25), IF(ISBLANK(H25), "N/A", _xlfn.IFS(K25="AS", H25+15, K25="NCR", H25+30, K25="submitted", H25+30, TRUE, "N/A")), _xlfn.IFS(K25="AS", I25+15, K25="NCR", I25+30, K25="submitted", I25+30, TRUE, "N/A"))</f>
        <v>N/A</v>
      </c>
      <c r="K25" s="18"/>
      <c r="L25" s="318"/>
      <c r="M25" s="772"/>
      <c r="N25" s="773"/>
      <c r="O25" s="773"/>
      <c r="P25" s="774"/>
    </row>
    <row r="26" spans="1:16">
      <c r="A26" s="22" t="s">
        <v>72</v>
      </c>
      <c r="B26" s="311" t="s">
        <v>821</v>
      </c>
      <c r="C26" s="76" t="s">
        <v>822</v>
      </c>
      <c r="D26" s="576"/>
      <c r="E26" s="26" t="s">
        <v>314</v>
      </c>
      <c r="F26" s="22" t="s">
        <v>385</v>
      </c>
      <c r="G26" s="28" t="s">
        <v>823</v>
      </c>
      <c r="H26" s="25">
        <v>45827</v>
      </c>
      <c r="I26" s="22"/>
      <c r="J26" s="74" cm="1">
        <f t="array" ref="J26">IF(ISBLANK(I26), IF(ISBLANK(H26), "N/A", _xlfn.IFS(K26="AS", H26+15, K26="NCR", H26+30, K26="submitted", H26+30, TRUE, "N/A")), _xlfn.IFS(K26="AS", I26+15, K26="NCR", I26+30, K26="submitted", I26+30, TRUE, "N/A"))</f>
        <v>45857</v>
      </c>
      <c r="K26" s="76" t="s">
        <v>311</v>
      </c>
      <c r="L26" s="318"/>
      <c r="M26" s="772"/>
      <c r="N26" s="773"/>
      <c r="O26" s="773"/>
      <c r="P26" s="774"/>
    </row>
    <row r="27" spans="1:16">
      <c r="A27" s="22" t="s">
        <v>72</v>
      </c>
      <c r="B27" s="311" t="s">
        <v>821</v>
      </c>
      <c r="C27" s="76" t="s">
        <v>822</v>
      </c>
      <c r="D27" s="576"/>
      <c r="E27" s="26" t="s">
        <v>314</v>
      </c>
      <c r="F27" s="22" t="s">
        <v>504</v>
      </c>
      <c r="G27" s="24" t="s">
        <v>276</v>
      </c>
      <c r="H27" s="25">
        <v>45827</v>
      </c>
      <c r="I27" s="22"/>
      <c r="J27" s="74" cm="1">
        <f t="array" ref="J27">IF(ISBLANK(I27), IF(ISBLANK(H27), "N/A", _xlfn.IFS(K27="AS", H27+15, K27="NCR", H27+30, K27="submitted", H27+30, TRUE, "N/A")), _xlfn.IFS(K27="AS", I27+15, K27="NCR", I27+30, K27="submitted", I27+30, TRUE, "N/A"))</f>
        <v>45857</v>
      </c>
      <c r="K27" s="76" t="s">
        <v>311</v>
      </c>
      <c r="L27" s="318"/>
      <c r="M27" s="772"/>
      <c r="N27" s="773"/>
      <c r="O27" s="773"/>
      <c r="P27" s="774"/>
    </row>
    <row r="28" spans="1:16">
      <c r="A28" s="9"/>
      <c r="B28" s="311" t="s">
        <v>821</v>
      </c>
      <c r="C28" s="39"/>
      <c r="D28" s="20"/>
      <c r="E28" s="1"/>
      <c r="F28" s="9" t="s">
        <v>505</v>
      </c>
      <c r="G28" s="13" t="s">
        <v>428</v>
      </c>
      <c r="H28" s="14"/>
      <c r="I28" s="9"/>
      <c r="J28" s="74" t="str" cm="1">
        <f t="array" ref="J28">IF(ISBLANK(I28), IF(ISBLANK(H28), "N/A", _xlfn.IFS(K28="AS", H28+15, K28="NCR", H28+30, K28="submitted", H28+30, TRUE, "N/A")), _xlfn.IFS(K28="AS", I28+15, K28="NCR", I28+30, K28="submitted", I28+30, TRUE, "N/A"))</f>
        <v>N/A</v>
      </c>
      <c r="K28" s="14"/>
      <c r="L28" s="318"/>
      <c r="M28" s="772"/>
      <c r="N28" s="773"/>
      <c r="O28" s="773"/>
      <c r="P28" s="774"/>
    </row>
    <row r="29" spans="1:16" ht="27">
      <c r="A29" s="9"/>
      <c r="B29" s="311" t="s">
        <v>821</v>
      </c>
      <c r="C29" s="39"/>
      <c r="D29" s="20"/>
      <c r="E29" s="1"/>
      <c r="F29" s="9" t="s">
        <v>824</v>
      </c>
      <c r="G29" s="7" t="s">
        <v>825</v>
      </c>
      <c r="H29" s="14"/>
      <c r="I29" s="9"/>
      <c r="J29" s="74" t="str" cm="1">
        <f t="array" ref="J29">IF(ISBLANK(I29), IF(ISBLANK(H29), "N/A", _xlfn.IFS(K29="AS", H29+15, K29="NCR", H29+30, K29="submitted", H29+30, TRUE, "N/A")), _xlfn.IFS(K29="AS", I29+15, K29="NCR", I29+30, K29="submitted", I29+30, TRUE, "N/A"))</f>
        <v>N/A</v>
      </c>
      <c r="K29" s="14"/>
      <c r="L29" s="318"/>
      <c r="M29" s="772"/>
      <c r="N29" s="773"/>
      <c r="O29" s="773"/>
      <c r="P29" s="774"/>
    </row>
    <row r="30" spans="1:16" ht="27">
      <c r="A30" s="9"/>
      <c r="B30" s="311" t="s">
        <v>821</v>
      </c>
      <c r="C30" s="39"/>
      <c r="D30" s="20"/>
      <c r="E30" s="1"/>
      <c r="F30" s="9" t="s">
        <v>826</v>
      </c>
      <c r="G30" s="7" t="s">
        <v>827</v>
      </c>
      <c r="H30" s="14"/>
      <c r="I30" s="9"/>
      <c r="J30" s="74" t="str" cm="1">
        <f t="array" ref="J30">IF(ISBLANK(I30), IF(ISBLANK(H30), "N/A", _xlfn.IFS(K30="AS", H30+15, K30="NCR", H30+30, K30="submitted", H30+30, TRUE, "N/A")), _xlfn.IFS(K30="AS", I30+15, K30="NCR", I30+30, K30="submitted", I30+30, TRUE, "N/A"))</f>
        <v>N/A</v>
      </c>
      <c r="K30" s="14"/>
      <c r="L30" s="318"/>
      <c r="M30" s="772"/>
      <c r="N30" s="773"/>
      <c r="O30" s="773"/>
      <c r="P30" s="774"/>
    </row>
    <row r="31" spans="1:16">
      <c r="A31" s="22" t="s">
        <v>72</v>
      </c>
      <c r="B31" s="311" t="s">
        <v>821</v>
      </c>
      <c r="C31" s="76" t="s">
        <v>822</v>
      </c>
      <c r="D31" s="576"/>
      <c r="E31" s="26" t="s">
        <v>314</v>
      </c>
      <c r="F31" s="22" t="s">
        <v>507</v>
      </c>
      <c r="G31" s="28" t="s">
        <v>828</v>
      </c>
      <c r="H31" s="25">
        <v>45827</v>
      </c>
      <c r="I31" s="22"/>
      <c r="J31" s="74" cm="1">
        <f t="array" ref="J31">IF(ISBLANK(I31), IF(ISBLANK(H31), "N/A", _xlfn.IFS(K31="AS", H31+15, K31="NCR", H31+30, K31="submitted", H31+30, TRUE, "N/A")), _xlfn.IFS(K31="AS", I31+15, K31="NCR", I31+30, K31="submitted", I31+30, TRUE, "N/A"))</f>
        <v>45857</v>
      </c>
      <c r="K31" s="76" t="s">
        <v>311</v>
      </c>
      <c r="L31" s="318"/>
      <c r="M31" s="772"/>
      <c r="N31" s="773"/>
      <c r="O31" s="773"/>
      <c r="P31" s="774"/>
    </row>
    <row r="32" spans="1:16">
      <c r="A32" s="22" t="s">
        <v>72</v>
      </c>
      <c r="B32" s="311" t="s">
        <v>821</v>
      </c>
      <c r="C32" s="76" t="s">
        <v>822</v>
      </c>
      <c r="D32" s="576"/>
      <c r="E32" s="26" t="s">
        <v>314</v>
      </c>
      <c r="F32" s="22" t="s">
        <v>508</v>
      </c>
      <c r="G32" s="24" t="s">
        <v>499</v>
      </c>
      <c r="H32" s="25">
        <v>45827</v>
      </c>
      <c r="I32" s="22"/>
      <c r="J32" s="74" cm="1">
        <f t="array" ref="J32">IF(ISBLANK(I32), IF(ISBLANK(H32), "N/A", _xlfn.IFS(K32="AS", H32+15, K32="NCR", H32+30, K32="submitted", H32+30, TRUE, "N/A")), _xlfn.IFS(K32="AS", I32+15, K32="NCR", I32+30, K32="submitted", I32+30, TRUE, "N/A"))</f>
        <v>45857</v>
      </c>
      <c r="K32" s="76" t="s">
        <v>311</v>
      </c>
      <c r="L32" s="318"/>
      <c r="M32" s="772"/>
      <c r="N32" s="773"/>
      <c r="O32" s="773"/>
      <c r="P32" s="774"/>
    </row>
    <row r="33" spans="1:16">
      <c r="A33" s="22" t="s">
        <v>72</v>
      </c>
      <c r="B33" s="311" t="s">
        <v>821</v>
      </c>
      <c r="C33" s="76" t="s">
        <v>822</v>
      </c>
      <c r="D33" s="576"/>
      <c r="E33" s="26" t="s">
        <v>314</v>
      </c>
      <c r="F33" s="22" t="s">
        <v>510</v>
      </c>
      <c r="G33" s="24" t="s">
        <v>829</v>
      </c>
      <c r="H33" s="25">
        <v>45827</v>
      </c>
      <c r="I33" s="22"/>
      <c r="J33" s="74" cm="1">
        <f t="array" ref="J33">IF(ISBLANK(I33), IF(ISBLANK(H33), "N/A", _xlfn.IFS(K33="AS", H33+15, K33="NCR", H33+30, K33="submitted", H33+30, TRUE, "N/A")), _xlfn.IFS(K33="AS", I33+15, K33="NCR", I33+30, K33="submitted", I33+30, TRUE, "N/A"))</f>
        <v>45857</v>
      </c>
      <c r="K33" s="76" t="s">
        <v>311</v>
      </c>
      <c r="L33" s="318"/>
      <c r="M33" s="772"/>
      <c r="N33" s="773"/>
      <c r="O33" s="773"/>
      <c r="P33" s="774"/>
    </row>
    <row r="34" spans="1:16">
      <c r="A34" s="22" t="s">
        <v>72</v>
      </c>
      <c r="B34" s="311" t="s">
        <v>821</v>
      </c>
      <c r="C34" s="76" t="s">
        <v>822</v>
      </c>
      <c r="D34" s="576"/>
      <c r="E34" s="26" t="s">
        <v>314</v>
      </c>
      <c r="F34" s="22" t="s">
        <v>830</v>
      </c>
      <c r="G34" s="24" t="s">
        <v>333</v>
      </c>
      <c r="H34" s="25">
        <v>45827</v>
      </c>
      <c r="I34" s="22"/>
      <c r="J34" s="74" cm="1">
        <f t="array" ref="J34">IF(ISBLANK(I34), IF(ISBLANK(H34), "N/A", _xlfn.IFS(K34="AS", H34+15, K34="NCR", H34+30, K34="submitted", H34+30, TRUE, "N/A")), _xlfn.IFS(K34="AS", I34+15, K34="NCR", I34+30, K34="submitted", I34+30, TRUE, "N/A"))</f>
        <v>45857</v>
      </c>
      <c r="K34" s="76" t="s">
        <v>311</v>
      </c>
      <c r="L34" s="318"/>
      <c r="M34" s="772"/>
      <c r="N34" s="773"/>
      <c r="O34" s="773"/>
      <c r="P34" s="774"/>
    </row>
    <row r="35" spans="1:16">
      <c r="A35" s="22" t="s">
        <v>72</v>
      </c>
      <c r="B35" s="311" t="s">
        <v>821</v>
      </c>
      <c r="C35" s="76" t="s">
        <v>822</v>
      </c>
      <c r="D35" s="576"/>
      <c r="E35" s="26" t="s">
        <v>314</v>
      </c>
      <c r="F35" s="22" t="s">
        <v>831</v>
      </c>
      <c r="G35" s="28" t="s">
        <v>832</v>
      </c>
      <c r="H35" s="25">
        <v>45827</v>
      </c>
      <c r="I35" s="22"/>
      <c r="J35" s="74" cm="1">
        <f t="array" ref="J35">IF(ISBLANK(I35), IF(ISBLANK(H35), "N/A", _xlfn.IFS(K35="AS", H35+15, K35="NCR", H35+30, K35="submitted", H35+30, TRUE, "N/A")), _xlfn.IFS(K35="AS", I35+15, K35="NCR", I35+30, K35="submitted", I35+30, TRUE, "N/A"))</f>
        <v>45857</v>
      </c>
      <c r="K35" s="76" t="s">
        <v>311</v>
      </c>
      <c r="L35" s="318"/>
      <c r="M35" s="772"/>
      <c r="N35" s="773"/>
      <c r="O35" s="773"/>
      <c r="P35" s="774"/>
    </row>
    <row r="36" spans="1:16" ht="27">
      <c r="A36" s="9"/>
      <c r="B36" s="311" t="s">
        <v>821</v>
      </c>
      <c r="C36" s="39"/>
      <c r="D36" s="20"/>
      <c r="E36" s="1" t="s">
        <v>833</v>
      </c>
      <c r="F36" s="9" t="s">
        <v>834</v>
      </c>
      <c r="G36" s="7" t="s">
        <v>820</v>
      </c>
      <c r="H36" s="9"/>
      <c r="I36" s="9"/>
      <c r="J36" s="74" t="str" cm="1">
        <f t="array" ref="J36">IF(ISBLANK(I36), IF(ISBLANK(H36), "N/A", _xlfn.IFS(K36="AS", H36+15, K36="NCR", H36+30, K36="submitted", H36+30, TRUE, "N/A")), _xlfn.IFS(K36="AS", I36+15, K36="NCR", I36+30, K36="submitted", I36+30, TRUE, "N/A"))</f>
        <v>N/A</v>
      </c>
      <c r="K36" s="14"/>
      <c r="L36" s="318"/>
      <c r="M36" s="772"/>
      <c r="N36" s="773"/>
      <c r="O36" s="773"/>
      <c r="P36" s="774"/>
    </row>
    <row r="37" spans="1:16">
      <c r="A37" s="9"/>
      <c r="B37" s="311" t="s">
        <v>821</v>
      </c>
      <c r="C37" s="39"/>
      <c r="D37" s="20"/>
      <c r="E37" s="1" t="s">
        <v>833</v>
      </c>
      <c r="F37" s="9" t="s">
        <v>835</v>
      </c>
      <c r="G37" s="7" t="s">
        <v>836</v>
      </c>
      <c r="H37" s="9"/>
      <c r="I37" s="9"/>
      <c r="J37" s="74" t="str" cm="1">
        <f t="array" ref="J37">IF(ISBLANK(I37), IF(ISBLANK(H37), "N/A", _xlfn.IFS(K37="AS", H37+15, K37="NCR", H37+30, K37="submitted", H37+30, TRUE, "N/A")), _xlfn.IFS(K37="AS", I37+15, K37="NCR", I37+30, K37="submitted", I37+30, TRUE, "N/A"))</f>
        <v>N/A</v>
      </c>
      <c r="K37" s="14"/>
      <c r="L37" s="318"/>
      <c r="M37" s="772"/>
      <c r="N37" s="773"/>
      <c r="O37" s="773"/>
      <c r="P37" s="774"/>
    </row>
    <row r="38" spans="1:16">
      <c r="A38" s="22" t="s">
        <v>72</v>
      </c>
      <c r="B38" s="311" t="s">
        <v>821</v>
      </c>
      <c r="C38" s="76" t="s">
        <v>822</v>
      </c>
      <c r="D38" s="576"/>
      <c r="E38" s="26" t="s">
        <v>314</v>
      </c>
      <c r="F38" s="22" t="s">
        <v>837</v>
      </c>
      <c r="G38" s="28" t="s">
        <v>838</v>
      </c>
      <c r="H38" s="25">
        <v>45827</v>
      </c>
      <c r="I38" s="22"/>
      <c r="J38" s="74" cm="1">
        <f t="array" ref="J38">IF(ISBLANK(I38), IF(ISBLANK(H38), "N/A", _xlfn.IFS(K38="AS", H38+15, K38="NCR", H38+30, K38="submitted", H38+30, TRUE, "N/A")), _xlfn.IFS(K38="AS", I38+15, K38="NCR", I38+30, K38="submitted", I38+30, TRUE, "N/A"))</f>
        <v>45857</v>
      </c>
      <c r="K38" s="76" t="s">
        <v>311</v>
      </c>
      <c r="L38" s="318"/>
      <c r="M38" s="772"/>
      <c r="N38" s="773"/>
      <c r="O38" s="773"/>
      <c r="P38" s="774"/>
    </row>
    <row r="39" spans="1:16">
      <c r="A39" s="9"/>
      <c r="B39" s="311" t="s">
        <v>821</v>
      </c>
      <c r="C39" s="39"/>
      <c r="D39" s="20"/>
      <c r="E39" s="1"/>
      <c r="F39" s="9" t="s">
        <v>839</v>
      </c>
      <c r="G39" s="7" t="s">
        <v>840</v>
      </c>
      <c r="H39" s="9"/>
      <c r="I39" s="9"/>
      <c r="J39" s="74" t="str" cm="1">
        <f t="array" ref="J39">IF(ISBLANK(I39), IF(ISBLANK(H39), "N/A", _xlfn.IFS(K39="AS", H39+15, K39="NCR", H39+30, K39="submitted", H39+30, TRUE, "N/A")), _xlfn.IFS(K39="AS", I39+15, K39="NCR", I39+30, K39="submitted", I39+30, TRUE, "N/A"))</f>
        <v>N/A</v>
      </c>
      <c r="K39" s="14"/>
      <c r="L39" s="318"/>
      <c r="M39" s="781"/>
      <c r="N39" s="782"/>
      <c r="O39" s="782"/>
      <c r="P39" s="783"/>
    </row>
    <row r="40" spans="1:16">
      <c r="A40" s="9"/>
      <c r="B40" s="311" t="s">
        <v>821</v>
      </c>
      <c r="C40" s="46"/>
      <c r="D40" s="20"/>
      <c r="E40" s="1"/>
      <c r="F40" s="9" t="s">
        <v>841</v>
      </c>
      <c r="G40" s="7" t="s">
        <v>842</v>
      </c>
      <c r="H40" s="9"/>
      <c r="I40" s="9"/>
      <c r="J40" s="74" t="str" cm="1">
        <f t="array" ref="J40">IF(ISBLANK(I40), IF(ISBLANK(H40), "N/A", _xlfn.IFS(K40="AS", H40+15, K40="NCR", H40+30, K40="submitted", H40+30, TRUE, "N/A")), _xlfn.IFS(K40="AS", I40+15, K40="NCR", I40+30, K40="submitted", I40+30, TRUE, "N/A"))</f>
        <v>N/A</v>
      </c>
      <c r="K40" s="14"/>
      <c r="L40" s="318"/>
      <c r="M40" s="766" t="s">
        <v>132</v>
      </c>
      <c r="N40" s="767"/>
      <c r="O40" s="767"/>
      <c r="P40" s="768"/>
    </row>
    <row r="41" spans="1:16" s="151" customFormat="1">
      <c r="A41" s="22" t="s">
        <v>843</v>
      </c>
      <c r="B41" s="311" t="s">
        <v>844</v>
      </c>
      <c r="C41" s="76" t="s">
        <v>845</v>
      </c>
      <c r="D41" s="576"/>
      <c r="E41" s="26" t="s">
        <v>846</v>
      </c>
      <c r="F41" s="22" t="s">
        <v>475</v>
      </c>
      <c r="G41" s="28" t="s">
        <v>847</v>
      </c>
      <c r="H41" s="25">
        <v>45902</v>
      </c>
      <c r="I41" s="22"/>
      <c r="J41" s="74" cm="1">
        <f t="array" ref="J41">IF(ISBLANK(I41), IF(ISBLANK(H41), "N/A", _xlfn.IFS(K41="AS", H41+15, K41="NCR", H41+30, K41="submitted", H41+30, TRUE, "N/A")), _xlfn.IFS(K41="AS", I41+15, K41="NCR", I41+30, K41="submitted", I41+30, TRUE, "N/A"))</f>
        <v>45932</v>
      </c>
      <c r="K41" s="76" t="s">
        <v>311</v>
      </c>
      <c r="L41" s="318"/>
      <c r="M41" s="769"/>
      <c r="N41" s="770"/>
      <c r="O41" s="770"/>
      <c r="P41" s="771"/>
    </row>
    <row r="42" spans="1:16" s="151" customFormat="1">
      <c r="A42" s="22" t="s">
        <v>843</v>
      </c>
      <c r="B42" s="96"/>
      <c r="C42" s="27"/>
      <c r="D42" s="576"/>
      <c r="E42" s="26" t="s">
        <v>846</v>
      </c>
      <c r="F42" s="22" t="s">
        <v>477</v>
      </c>
      <c r="G42" s="28" t="s">
        <v>848</v>
      </c>
      <c r="H42" s="25">
        <v>45902</v>
      </c>
      <c r="I42" s="22"/>
      <c r="J42" s="74" cm="1">
        <f t="array" ref="J42">IF(ISBLANK(I42), IF(ISBLANK(H42), "N/A", _xlfn.IFS(K42="AS", H42+15, K42="NCR", H42+30, K42="submitted", H42+30, TRUE, "N/A")), _xlfn.IFS(K42="AS", I42+15, K42="NCR", I42+30, K42="submitted", I42+30, TRUE, "N/A"))</f>
        <v>45932</v>
      </c>
      <c r="K42" s="76" t="s">
        <v>311</v>
      </c>
      <c r="L42" s="318"/>
      <c r="M42" s="769"/>
      <c r="N42" s="770"/>
      <c r="O42" s="770"/>
      <c r="P42" s="771"/>
    </row>
    <row r="43" spans="1:16" s="151" customFormat="1">
      <c r="A43" s="22" t="s">
        <v>843</v>
      </c>
      <c r="B43" s="96"/>
      <c r="C43" s="27"/>
      <c r="D43" s="576"/>
      <c r="E43" s="26" t="s">
        <v>846</v>
      </c>
      <c r="F43" s="22" t="s">
        <v>478</v>
      </c>
      <c r="G43" s="28" t="s">
        <v>849</v>
      </c>
      <c r="H43" s="25">
        <v>45902</v>
      </c>
      <c r="I43" s="22"/>
      <c r="J43" s="74" cm="1">
        <f t="array" ref="J43">IF(ISBLANK(I43), IF(ISBLANK(H43), "N/A", _xlfn.IFS(K43="AS", H43+15, K43="NCR", H43+30, K43="submitted", H43+30, TRUE, "N/A")), _xlfn.IFS(K43="AS", I43+15, K43="NCR", I43+30, K43="submitted", I43+30, TRUE, "N/A"))</f>
        <v>45932</v>
      </c>
      <c r="K43" s="76" t="s">
        <v>311</v>
      </c>
      <c r="L43" s="318"/>
      <c r="M43" s="769"/>
      <c r="N43" s="770"/>
      <c r="O43" s="770"/>
      <c r="P43" s="771"/>
    </row>
    <row r="44" spans="1:16" s="151" customFormat="1">
      <c r="A44" s="22" t="s">
        <v>843</v>
      </c>
      <c r="B44" s="96"/>
      <c r="C44" s="27"/>
      <c r="D44" s="576"/>
      <c r="E44" s="26" t="s">
        <v>846</v>
      </c>
      <c r="F44" s="22" t="s">
        <v>850</v>
      </c>
      <c r="G44" s="24" t="s">
        <v>792</v>
      </c>
      <c r="H44" s="25">
        <v>45902</v>
      </c>
      <c r="I44" s="22"/>
      <c r="J44" s="74" cm="1">
        <f t="array" ref="J44">IF(ISBLANK(I44), IF(ISBLANK(H44), "N/A", _xlfn.IFS(K44="AS", H44+15, K44="NCR", H44+30, K44="submitted", H44+30, TRUE, "N/A")), _xlfn.IFS(K44="AS", I44+15, K44="NCR", I44+30, K44="submitted", I44+30, TRUE, "N/A"))</f>
        <v>45932</v>
      </c>
      <c r="K44" s="76" t="s">
        <v>311</v>
      </c>
      <c r="L44" s="318"/>
      <c r="M44" s="769"/>
      <c r="N44" s="770"/>
      <c r="O44" s="770"/>
      <c r="P44" s="771"/>
    </row>
    <row r="45" spans="1:16">
      <c r="A45" s="4"/>
      <c r="B45" s="111"/>
      <c r="C45" s="35"/>
      <c r="D45" s="103"/>
      <c r="E45" s="5"/>
      <c r="F45" s="4" t="s">
        <v>489</v>
      </c>
      <c r="G45" s="3" t="s">
        <v>851</v>
      </c>
      <c r="H45" s="4"/>
      <c r="I45" s="4"/>
      <c r="J45" s="74" t="str" cm="1">
        <f t="array" ref="J45">IF(ISBLANK(I45), IF(ISBLANK(H45), "N/A", _xlfn.IFS(K45="AS", H45+15, K45="NCR", H45+30, K45="submitted", H45+30, TRUE, "N/A")), _xlfn.IFS(K45="AS", I45+15, K45="NCR", I45+30, K45="submitted", I45+30, TRUE, "N/A"))</f>
        <v>N/A</v>
      </c>
      <c r="K45" s="18"/>
      <c r="L45" s="318"/>
      <c r="M45" s="769"/>
      <c r="N45" s="770"/>
      <c r="O45" s="770"/>
      <c r="P45" s="771"/>
    </row>
    <row r="46" spans="1:16">
      <c r="A46" s="4"/>
      <c r="B46" s="111"/>
      <c r="C46" s="35"/>
      <c r="D46" s="103"/>
      <c r="E46" s="5"/>
      <c r="F46" s="4" t="s">
        <v>481</v>
      </c>
      <c r="G46" s="17" t="s">
        <v>852</v>
      </c>
      <c r="H46" s="4"/>
      <c r="I46" s="4"/>
      <c r="J46" s="74" t="str" cm="1">
        <f t="array" ref="J46">IF(ISBLANK(I46), IF(ISBLANK(H46), "N/A", _xlfn.IFS(K46="AS", H46+15, K46="NCR", H46+30, K46="submitted", H46+30, TRUE, "N/A")), _xlfn.IFS(K46="AS", I46+15, K46="NCR", I46+30, K46="submitted", I46+30, TRUE, "N/A"))</f>
        <v>N/A</v>
      </c>
      <c r="K46" s="18"/>
      <c r="L46" s="318"/>
      <c r="M46" s="769"/>
      <c r="N46" s="770"/>
      <c r="O46" s="770"/>
      <c r="P46" s="771"/>
    </row>
    <row r="47" spans="1:16" s="151" customFormat="1" ht="27">
      <c r="A47" s="22" t="s">
        <v>843</v>
      </c>
      <c r="B47" s="370"/>
      <c r="C47" s="29"/>
      <c r="D47" s="576"/>
      <c r="E47" s="26" t="s">
        <v>846</v>
      </c>
      <c r="F47" s="22" t="s">
        <v>853</v>
      </c>
      <c r="G47" s="28" t="s">
        <v>854</v>
      </c>
      <c r="H47" s="25">
        <v>45902</v>
      </c>
      <c r="I47" s="22"/>
      <c r="J47" s="74" cm="1">
        <f t="array" ref="J47">IF(ISBLANK(I47), IF(ISBLANK(H47), "N/A", _xlfn.IFS(K47="AS", H47+15, K47="NCR", H47+30, K47="submitted", H47+30, TRUE, "N/A")), _xlfn.IFS(K47="AS", I47+15, K47="NCR", I47+30, K47="submitted", I47+30, TRUE, "N/A"))</f>
        <v>45932</v>
      </c>
      <c r="K47" s="76" t="s">
        <v>311</v>
      </c>
      <c r="L47" s="318"/>
      <c r="M47" s="769"/>
      <c r="N47" s="770"/>
      <c r="O47" s="770"/>
      <c r="P47" s="771"/>
    </row>
    <row r="48" spans="1:16">
      <c r="A48" s="22"/>
      <c r="B48" s="311" t="s">
        <v>855</v>
      </c>
      <c r="C48" s="76" t="s">
        <v>856</v>
      </c>
      <c r="D48" s="576"/>
      <c r="E48" s="26"/>
      <c r="F48" s="22" t="s">
        <v>857</v>
      </c>
      <c r="G48" s="28" t="s">
        <v>858</v>
      </c>
      <c r="H48" s="22"/>
      <c r="I48" s="22"/>
      <c r="J48" s="74" t="str" cm="1">
        <f t="array" ref="J48">IF(ISBLANK(I48), IF(ISBLANK(H48), "N/A", _xlfn.IFS(K48="AS", H48+15, K48="NCR", H48+30, K48="submitted", H48+30, TRUE, "N/A")), _xlfn.IFS(K48="AS", I48+15, K48="NCR", I48+30, K48="submitted", I48+30, TRUE, "N/A"))</f>
        <v>N/A</v>
      </c>
      <c r="K48" s="25"/>
      <c r="L48" s="318"/>
      <c r="M48" s="772" t="s">
        <v>147</v>
      </c>
      <c r="N48" s="773"/>
      <c r="O48" s="773"/>
      <c r="P48" s="774"/>
    </row>
    <row r="49" spans="1:16">
      <c r="A49" s="22"/>
      <c r="B49" s="96"/>
      <c r="C49" s="27"/>
      <c r="D49" s="576"/>
      <c r="E49" s="26"/>
      <c r="F49" s="22" t="s">
        <v>859</v>
      </c>
      <c r="G49" s="28" t="s">
        <v>860</v>
      </c>
      <c r="H49" s="22"/>
      <c r="I49" s="22"/>
      <c r="J49" s="74" t="str" cm="1">
        <f t="array" ref="J49">IF(ISBLANK(I49), IF(ISBLANK(H49), "N/A", _xlfn.IFS(K49="AS", H49+15, K49="NCR", H49+30, K49="submitted", H49+30, TRUE, "N/A")), _xlfn.IFS(K49="AS", I49+15, K49="NCR", I49+30, K49="submitted", I49+30, TRUE, "N/A"))</f>
        <v>N/A</v>
      </c>
      <c r="K49" s="25"/>
      <c r="L49" s="318"/>
      <c r="M49" s="772"/>
      <c r="N49" s="773"/>
      <c r="O49" s="773"/>
      <c r="P49" s="774"/>
    </row>
    <row r="50" spans="1:16">
      <c r="A50" s="22"/>
      <c r="B50" s="96"/>
      <c r="C50" s="27"/>
      <c r="D50" s="576"/>
      <c r="E50" s="26"/>
      <c r="F50" s="22" t="s">
        <v>861</v>
      </c>
      <c r="G50" s="28" t="s">
        <v>862</v>
      </c>
      <c r="H50" s="22"/>
      <c r="I50" s="22"/>
      <c r="J50" s="74" t="str" cm="1">
        <f t="array" ref="J50">IF(ISBLANK(I50), IF(ISBLANK(H50), "N/A", _xlfn.IFS(K50="AS", H50+15, K50="NCR", H50+30, K50="submitted", H50+30, TRUE, "N/A")), _xlfn.IFS(K50="AS", I50+15, K50="NCR", I50+30, K50="submitted", I50+30, TRUE, "N/A"))</f>
        <v>N/A</v>
      </c>
      <c r="K50" s="25"/>
      <c r="L50" s="318"/>
      <c r="M50" s="772"/>
      <c r="N50" s="773"/>
      <c r="O50" s="773"/>
      <c r="P50" s="774"/>
    </row>
    <row r="51" spans="1:16">
      <c r="A51" s="22"/>
      <c r="B51" s="96"/>
      <c r="C51" s="27"/>
      <c r="D51" s="576"/>
      <c r="E51" s="26"/>
      <c r="F51" s="22" t="s">
        <v>863</v>
      </c>
      <c r="G51" s="28" t="s">
        <v>864</v>
      </c>
      <c r="H51" s="22"/>
      <c r="I51" s="22"/>
      <c r="J51" s="74" t="str" cm="1">
        <f t="array" ref="J51">IF(ISBLANK(I51), IF(ISBLANK(H51), "N/A", _xlfn.IFS(K51="AS", H51+15, K51="NCR", H51+30, K51="submitted", H51+30, TRUE, "N/A")), _xlfn.IFS(K51="AS", I51+15, K51="NCR", I51+30, K51="submitted", I51+30, TRUE, "N/A"))</f>
        <v>N/A</v>
      </c>
      <c r="K51" s="25"/>
      <c r="L51" s="318"/>
      <c r="M51" s="772"/>
      <c r="N51" s="773"/>
      <c r="O51" s="773"/>
      <c r="P51" s="774"/>
    </row>
    <row r="52" spans="1:16" ht="27">
      <c r="A52" s="22"/>
      <c r="B52" s="96"/>
      <c r="C52" s="27"/>
      <c r="D52" s="576"/>
      <c r="E52" s="26"/>
      <c r="F52" s="22" t="s">
        <v>865</v>
      </c>
      <c r="G52" s="28" t="s">
        <v>866</v>
      </c>
      <c r="H52" s="22"/>
      <c r="I52" s="22"/>
      <c r="J52" s="74" t="str" cm="1">
        <f t="array" ref="J52">IF(ISBLANK(I52), IF(ISBLANK(H52), "N/A", _xlfn.IFS(K52="AS", H52+15, K52="NCR", H52+30, K52="submitted", H52+30, TRUE, "N/A")), _xlfn.IFS(K52="AS", I52+15, K52="NCR", I52+30, K52="submitted", I52+30, TRUE, "N/A"))</f>
        <v>N/A</v>
      </c>
      <c r="K52" s="25"/>
      <c r="L52" s="318"/>
      <c r="M52" s="772"/>
      <c r="N52" s="773"/>
      <c r="O52" s="773"/>
      <c r="P52" s="774"/>
    </row>
    <row r="53" spans="1:16">
      <c r="A53" s="22"/>
      <c r="B53" s="96"/>
      <c r="C53" s="27"/>
      <c r="D53" s="576"/>
      <c r="E53" s="26"/>
      <c r="F53" s="22" t="s">
        <v>867</v>
      </c>
      <c r="G53" s="28" t="s">
        <v>414</v>
      </c>
      <c r="H53" s="22"/>
      <c r="I53" s="22"/>
      <c r="J53" s="74" t="str" cm="1">
        <f t="array" ref="J53">IF(ISBLANK(I53), IF(ISBLANK(H53), "N/A", _xlfn.IFS(K53="AS", H53+15, K53="NCR", H53+30, K53="submitted", H53+30, TRUE, "N/A")), _xlfn.IFS(K53="AS", I53+15, K53="NCR", I53+30, K53="submitted", I53+30, TRUE, "N/A"))</f>
        <v>N/A</v>
      </c>
      <c r="K53" s="25"/>
      <c r="L53" s="319"/>
      <c r="M53" s="772"/>
      <c r="N53" s="773"/>
      <c r="O53" s="773"/>
      <c r="P53" s="774"/>
    </row>
    <row r="54" spans="1:16">
      <c r="A54" s="22"/>
      <c r="B54" s="96"/>
      <c r="C54" s="27"/>
      <c r="D54" s="576"/>
      <c r="E54" s="26"/>
      <c r="F54" s="22" t="s">
        <v>868</v>
      </c>
      <c r="G54" s="28" t="s">
        <v>416</v>
      </c>
      <c r="H54" s="22"/>
      <c r="I54" s="22"/>
      <c r="J54" s="74" t="str" cm="1">
        <f t="array" ref="J54">IF(ISBLANK(I54), IF(ISBLANK(H54), "N/A", _xlfn.IFS(K54="AS", H54+15, K54="NCR", H54+30, K54="submitted", H54+30, TRUE, "N/A")), _xlfn.IFS(K54="AS", I54+15, K54="NCR", I54+30, K54="submitted", I54+30, TRUE, "N/A"))</f>
        <v>N/A</v>
      </c>
      <c r="K54" s="25"/>
      <c r="L54" s="318"/>
      <c r="M54" s="772"/>
      <c r="N54" s="773"/>
      <c r="O54" s="773"/>
      <c r="P54" s="774"/>
    </row>
    <row r="55" spans="1:16">
      <c r="A55" s="22"/>
      <c r="B55" s="96"/>
      <c r="C55" s="27"/>
      <c r="D55" s="576"/>
      <c r="E55" s="26"/>
      <c r="F55" s="22" t="s">
        <v>869</v>
      </c>
      <c r="G55" s="28" t="s">
        <v>808</v>
      </c>
      <c r="H55" s="22"/>
      <c r="I55" s="22"/>
      <c r="J55" s="74" t="str" cm="1">
        <f t="array" ref="J55">IF(ISBLANK(I55), IF(ISBLANK(H55), "N/A", _xlfn.IFS(K55="AS", H55+15, K55="NCR", H55+30, K55="submitted", H55+30, TRUE, "N/A")), _xlfn.IFS(K55="AS", I55+15, K55="NCR", I55+30, K55="submitted", I55+30, TRUE, "N/A"))</f>
        <v>N/A</v>
      </c>
      <c r="K55" s="25"/>
      <c r="L55" s="318"/>
      <c r="M55" s="772"/>
      <c r="N55" s="773"/>
      <c r="O55" s="773"/>
      <c r="P55" s="774"/>
    </row>
    <row r="56" spans="1:16">
      <c r="A56" s="22"/>
      <c r="B56" s="96"/>
      <c r="C56" s="27"/>
      <c r="D56" s="576"/>
      <c r="E56" s="26"/>
      <c r="F56" s="22" t="s">
        <v>870</v>
      </c>
      <c r="G56" s="28" t="s">
        <v>420</v>
      </c>
      <c r="H56" s="22"/>
      <c r="I56" s="22"/>
      <c r="J56" s="74" t="str" cm="1">
        <f t="array" ref="J56">IF(ISBLANK(I56), IF(ISBLANK(H56), "N/A", _xlfn.IFS(K56="AS", H56+15, K56="NCR", H56+30, K56="submitted", H56+30, TRUE, "N/A")), _xlfn.IFS(K56="AS", I56+15, K56="NCR", I56+30, K56="submitted", I56+30, TRUE, "N/A"))</f>
        <v>N/A</v>
      </c>
      <c r="K56" s="25"/>
      <c r="L56" s="318"/>
      <c r="M56" s="772"/>
      <c r="N56" s="773"/>
      <c r="O56" s="773"/>
      <c r="P56" s="774"/>
    </row>
    <row r="57" spans="1:16" ht="15" customHeight="1">
      <c r="A57" s="22"/>
      <c r="B57" s="96"/>
      <c r="C57" s="27"/>
      <c r="D57" s="576"/>
      <c r="E57" s="26"/>
      <c r="F57" s="22" t="s">
        <v>871</v>
      </c>
      <c r="G57" s="28" t="s">
        <v>422</v>
      </c>
      <c r="H57" s="22"/>
      <c r="I57" s="22"/>
      <c r="J57" s="74" t="str" cm="1">
        <f t="array" ref="J57">IF(ISBLANK(I57), IF(ISBLANK(H57), "N/A", _xlfn.IFS(K57="AS", H57+15, K57="NCR", H57+30, K57="submitted", H57+30, TRUE, "N/A")), _xlfn.IFS(K57="AS", I57+15, K57="NCR", I57+30, K57="submitted", I57+30, TRUE, "N/A"))</f>
        <v>N/A</v>
      </c>
      <c r="K57" s="25"/>
      <c r="L57" s="318"/>
      <c r="M57" s="772"/>
      <c r="N57" s="773"/>
      <c r="O57" s="773"/>
      <c r="P57" s="774"/>
    </row>
    <row r="58" spans="1:16" ht="15" customHeight="1">
      <c r="A58" s="22"/>
      <c r="B58" s="96"/>
      <c r="C58" s="27"/>
      <c r="D58" s="576"/>
      <c r="E58" s="26"/>
      <c r="F58" s="22" t="s">
        <v>872</v>
      </c>
      <c r="G58" s="28" t="s">
        <v>873</v>
      </c>
      <c r="H58" s="22"/>
      <c r="I58" s="22"/>
      <c r="J58" s="74" t="str" cm="1">
        <f t="array" ref="J58">IF(ISBLANK(I58), IF(ISBLANK(H58), "N/A", _xlfn.IFS(K58="AS", H58+15, K58="NCR", H58+30, K58="submitted", H58+30, TRUE, "N/A")), _xlfn.IFS(K58="AS", I58+15, K58="NCR", I58+30, K58="submitted", I58+30, TRUE, "N/A"))</f>
        <v>N/A</v>
      </c>
      <c r="K58" s="25"/>
      <c r="L58" s="318"/>
      <c r="M58" s="772"/>
      <c r="N58" s="773"/>
      <c r="O58" s="773"/>
      <c r="P58" s="774"/>
    </row>
    <row r="59" spans="1:16" ht="15" customHeight="1">
      <c r="A59" s="22"/>
      <c r="B59" s="370"/>
      <c r="C59" s="29"/>
      <c r="D59" s="576"/>
      <c r="E59" s="26"/>
      <c r="F59" s="22" t="s">
        <v>850</v>
      </c>
      <c r="G59" s="28" t="s">
        <v>372</v>
      </c>
      <c r="H59" s="22"/>
      <c r="I59" s="22"/>
      <c r="J59" s="74" t="str" cm="1">
        <f t="array" ref="J59">IF(ISBLANK(I59), IF(ISBLANK(H59), "N/A", _xlfn.IFS(K59="AS", H59+15, K59="NCR", H59+30, K59="submitted", H59+30, TRUE, "N/A")), _xlfn.IFS(K59="AS", I59+15, K59="NCR", I59+30, K59="submitted", I59+30, TRUE, "N/A"))</f>
        <v>N/A</v>
      </c>
      <c r="K59" s="25"/>
      <c r="L59" s="318"/>
      <c r="M59" s="772"/>
      <c r="N59" s="773"/>
      <c r="O59" s="773"/>
      <c r="P59" s="774"/>
    </row>
    <row r="60" spans="1:16" ht="15" customHeight="1">
      <c r="A60" s="9"/>
      <c r="B60" s="32" t="s">
        <v>874</v>
      </c>
      <c r="C60" s="37" t="s">
        <v>875</v>
      </c>
      <c r="D60" s="20"/>
      <c r="E60" s="1"/>
      <c r="F60" s="9" t="s">
        <v>328</v>
      </c>
      <c r="G60" s="7" t="s">
        <v>876</v>
      </c>
      <c r="H60" s="9"/>
      <c r="I60" s="9"/>
      <c r="J60" s="74" t="str" cm="1">
        <f t="array" ref="J60">IF(ISBLANK(I60), IF(ISBLANK(H60), "N/A", _xlfn.IFS(K60="AS", H60+15, K60="NCR", H60+30, K60="submitted", H60+30, TRUE, "N/A")), _xlfn.IFS(K60="AS", I60+15, K60="NCR", I60+30, K60="submitted", I60+30, TRUE, "N/A"))</f>
        <v>N/A</v>
      </c>
      <c r="K60" s="14"/>
      <c r="L60" s="318"/>
      <c r="M60" s="772"/>
      <c r="N60" s="773"/>
      <c r="O60" s="773"/>
      <c r="P60" s="774"/>
    </row>
    <row r="61" spans="1:16" s="151" customFormat="1" ht="15" customHeight="1">
      <c r="A61" s="22" t="s">
        <v>877</v>
      </c>
      <c r="B61" s="311" t="s">
        <v>874</v>
      </c>
      <c r="C61" s="233" t="s">
        <v>875</v>
      </c>
      <c r="D61" s="203"/>
      <c r="E61" s="583" t="s">
        <v>784</v>
      </c>
      <c r="F61" s="204" t="s">
        <v>329</v>
      </c>
      <c r="G61" s="28" t="s">
        <v>823</v>
      </c>
      <c r="H61" s="22"/>
      <c r="I61" s="22"/>
      <c r="J61" s="74" t="str" cm="1">
        <f t="array" ref="J61">IF(ISBLANK(I61), IF(ISBLANK(H61), "N/A", _xlfn.IFS(K61="AS", H61+15, K61="NCR", H61+30, K61="submitted", H61+30, TRUE, "N/A")), _xlfn.IFS(K61="AS", I61+15, K61="NCR", I61+30, K61="submitted", I61+30, TRUE, "N/A"))</f>
        <v>N/A</v>
      </c>
      <c r="K61" s="25" t="s">
        <v>878</v>
      </c>
      <c r="L61" s="318"/>
      <c r="M61" s="772"/>
      <c r="N61" s="773"/>
      <c r="O61" s="773"/>
      <c r="P61" s="774"/>
    </row>
    <row r="62" spans="1:16" ht="15" customHeight="1">
      <c r="A62" s="9"/>
      <c r="B62" s="32" t="s">
        <v>874</v>
      </c>
      <c r="C62" s="37" t="s">
        <v>875</v>
      </c>
      <c r="D62" s="20"/>
      <c r="E62" s="1"/>
      <c r="F62" s="9" t="s">
        <v>396</v>
      </c>
      <c r="G62" s="13" t="s">
        <v>276</v>
      </c>
      <c r="H62" s="9"/>
      <c r="I62" s="9"/>
      <c r="J62" s="74" t="str" cm="1">
        <f t="array" ref="J62">IF(ISBLANK(I62), IF(ISBLANK(H62), "N/A", _xlfn.IFS(K62="AS", H62+15, K62="NCR", H62+30, K62="submitted", H62+30, TRUE, "N/A")), _xlfn.IFS(K62="AS", I62+15, K62="NCR", I62+30, K62="submitted", I62+30, TRUE, "N/A"))</f>
        <v>N/A</v>
      </c>
      <c r="K62" s="14"/>
      <c r="L62" s="318"/>
      <c r="M62" s="772"/>
      <c r="N62" s="773"/>
      <c r="O62" s="773"/>
      <c r="P62" s="774"/>
    </row>
    <row r="63" spans="1:16" ht="35.25" customHeight="1">
      <c r="A63" s="9"/>
      <c r="B63" s="32" t="s">
        <v>874</v>
      </c>
      <c r="C63" s="37" t="s">
        <v>875</v>
      </c>
      <c r="D63" s="20"/>
      <c r="E63" s="1"/>
      <c r="F63" s="9" t="s">
        <v>332</v>
      </c>
      <c r="G63" s="7" t="s">
        <v>879</v>
      </c>
      <c r="H63" s="9"/>
      <c r="I63" s="9"/>
      <c r="J63" s="74" t="str" cm="1">
        <f t="array" ref="J63">IF(ISBLANK(I63), IF(ISBLANK(H63), "N/A", _xlfn.IFS(K63="AS", H63+15, K63="NCR", H63+30, K63="submitted", H63+30, TRUE, "N/A")), _xlfn.IFS(K63="AS", I63+15, K63="NCR", I63+30, K63="submitted", I63+30, TRUE, "N/A"))</f>
        <v>N/A</v>
      </c>
      <c r="K63" s="14"/>
      <c r="L63" s="318"/>
      <c r="M63" s="772"/>
      <c r="N63" s="773"/>
      <c r="O63" s="773"/>
      <c r="P63" s="774"/>
    </row>
    <row r="64" spans="1:16" ht="15" customHeight="1">
      <c r="A64" s="9"/>
      <c r="B64" s="32" t="s">
        <v>874</v>
      </c>
      <c r="C64" s="37" t="s">
        <v>875</v>
      </c>
      <c r="D64" s="20"/>
      <c r="E64" s="1"/>
      <c r="F64" s="9" t="s">
        <v>398</v>
      </c>
      <c r="G64" s="7" t="s">
        <v>818</v>
      </c>
      <c r="H64" s="9"/>
      <c r="I64" s="9"/>
      <c r="J64" s="74" t="str" cm="1">
        <f t="array" ref="J64">IF(ISBLANK(I64), IF(ISBLANK(H64), "N/A", _xlfn.IFS(K64="AS", H64+15, K64="NCR", H64+30, K64="submitted", H64+30, TRUE, "N/A")), _xlfn.IFS(K64="AS", I64+15, K64="NCR", I64+30, K64="submitted", I64+30, TRUE, "N/A"))</f>
        <v>N/A</v>
      </c>
      <c r="K64" s="14"/>
      <c r="L64" s="318"/>
      <c r="M64" s="772"/>
      <c r="N64" s="773"/>
      <c r="O64" s="773"/>
      <c r="P64" s="774"/>
    </row>
    <row r="65" spans="1:16" ht="15" customHeight="1">
      <c r="A65" s="9"/>
      <c r="B65" s="32" t="s">
        <v>874</v>
      </c>
      <c r="C65" s="37" t="s">
        <v>875</v>
      </c>
      <c r="D65" s="20"/>
      <c r="E65" s="1"/>
      <c r="F65" s="9" t="s">
        <v>735</v>
      </c>
      <c r="G65" s="7" t="s">
        <v>375</v>
      </c>
      <c r="H65" s="9"/>
      <c r="I65" s="9"/>
      <c r="J65" s="74" t="str" cm="1">
        <f t="array" ref="J65">IF(ISBLANK(I65), IF(ISBLANK(H65), "N/A", _xlfn.IFS(K65="AS", H65+15, K65="NCR", H65+30, K65="submitted", H65+30, TRUE, "N/A")), _xlfn.IFS(K65="AS", I65+15, K65="NCR", I65+30, K65="submitted", I65+30, TRUE, "N/A"))</f>
        <v>N/A</v>
      </c>
      <c r="K65" s="14"/>
      <c r="L65" s="318"/>
      <c r="M65" s="772"/>
      <c r="N65" s="773"/>
      <c r="O65" s="773"/>
      <c r="P65" s="774"/>
    </row>
    <row r="66" spans="1:16" ht="54" customHeight="1">
      <c r="A66" s="9"/>
      <c r="B66" s="32" t="s">
        <v>874</v>
      </c>
      <c r="C66" s="37" t="s">
        <v>875</v>
      </c>
      <c r="D66" s="20"/>
      <c r="E66" s="1"/>
      <c r="F66" s="9" t="s">
        <v>880</v>
      </c>
      <c r="G66" s="7" t="s">
        <v>377</v>
      </c>
      <c r="H66" s="9"/>
      <c r="I66" s="9"/>
      <c r="J66" s="74" t="str" cm="1">
        <f t="array" ref="J66">IF(ISBLANK(I66), IF(ISBLANK(H66), "N/A", _xlfn.IFS(K66="AS", H66+15, K66="NCR", H66+30, K66="submitted", H66+30, TRUE, "N/A")), _xlfn.IFS(K66="AS", I66+15, K66="NCR", I66+30, K66="submitted", I66+30, TRUE, "N/A"))</f>
        <v>N/A</v>
      </c>
      <c r="K66" s="14"/>
      <c r="L66" s="318"/>
      <c r="M66" s="772"/>
      <c r="N66" s="773"/>
      <c r="O66" s="773"/>
      <c r="P66" s="774"/>
    </row>
    <row r="67" spans="1:16" ht="15" customHeight="1">
      <c r="A67" s="4"/>
      <c r="B67" s="86" t="s">
        <v>881</v>
      </c>
      <c r="C67" s="34" t="s">
        <v>882</v>
      </c>
      <c r="D67" s="103"/>
      <c r="E67" s="5"/>
      <c r="F67" s="4" t="s">
        <v>328</v>
      </c>
      <c r="G67" s="17" t="s">
        <v>883</v>
      </c>
      <c r="H67" s="4"/>
      <c r="I67" s="4"/>
      <c r="J67" s="74" t="str" cm="1">
        <f t="array" ref="J67">IF(ISBLANK(I67), IF(ISBLANK(H67), "N/A", _xlfn.IFS(K67="AS", H67+15, K67="NCR", H67+30, K67="submitted", H67+30, TRUE, "N/A")), _xlfn.IFS(K67="AS", I67+15, K67="NCR", I67+30, K67="submitted", I67+30, TRUE, "N/A"))</f>
        <v>N/A</v>
      </c>
      <c r="K67" s="18"/>
      <c r="L67" s="318"/>
      <c r="M67" s="772"/>
      <c r="N67" s="773"/>
      <c r="O67" s="773"/>
      <c r="P67" s="774"/>
    </row>
    <row r="68" spans="1:16" ht="15" customHeight="1">
      <c r="A68" s="4" t="s">
        <v>884</v>
      </c>
      <c r="B68" s="86" t="s">
        <v>881</v>
      </c>
      <c r="C68" s="34" t="s">
        <v>882</v>
      </c>
      <c r="D68" s="103" t="s">
        <v>885</v>
      </c>
      <c r="E68" s="5" t="s">
        <v>784</v>
      </c>
      <c r="F68" s="4" t="s">
        <v>234</v>
      </c>
      <c r="G68" s="17" t="s">
        <v>886</v>
      </c>
      <c r="H68" s="4"/>
      <c r="I68" s="4"/>
      <c r="J68" s="74" t="str" cm="1">
        <f t="array" ref="J68">IF(ISBLANK(I68), IF(ISBLANK(H68), "N/A", _xlfn.IFS(K68="AS", H68+15, K68="NCR", H68+30, K68="submitted", H68+30, TRUE, "N/A")), _xlfn.IFS(K68="AS", I68+15, K68="NCR", I68+30, K68="submitted", I68+30, TRUE, "N/A"))</f>
        <v>N/A</v>
      </c>
      <c r="K68" s="18"/>
      <c r="L68" s="318"/>
      <c r="M68" s="772"/>
      <c r="N68" s="773"/>
      <c r="O68" s="773"/>
      <c r="P68" s="774"/>
    </row>
    <row r="69" spans="1:16" ht="19.5" customHeight="1">
      <c r="A69" s="4" t="s">
        <v>884</v>
      </c>
      <c r="B69" s="86" t="s">
        <v>881</v>
      </c>
      <c r="C69" s="34" t="s">
        <v>882</v>
      </c>
      <c r="D69" s="103" t="s">
        <v>885</v>
      </c>
      <c r="E69" s="5" t="s">
        <v>784</v>
      </c>
      <c r="F69" s="4" t="s">
        <v>396</v>
      </c>
      <c r="G69" s="17" t="s">
        <v>276</v>
      </c>
      <c r="H69" s="4"/>
      <c r="I69" s="4"/>
      <c r="J69" s="74" t="str" cm="1">
        <f t="array" ref="J69">IF(ISBLANK(I69), IF(ISBLANK(H69), "N/A", _xlfn.IFS(K69="AS", H69+15, K69="NCR", H69+30, K69="submitted", H69+30, TRUE, "N/A")), _xlfn.IFS(K69="AS", I69+15, K69="NCR", I69+30, K69="submitted", I69+30, TRUE, "N/A"))</f>
        <v>N/A</v>
      </c>
      <c r="K69" s="18"/>
      <c r="L69" s="318"/>
      <c r="M69" s="772"/>
      <c r="N69" s="773"/>
      <c r="O69" s="773"/>
      <c r="P69" s="774"/>
    </row>
    <row r="70" spans="1:16" ht="23.25" customHeight="1">
      <c r="A70" s="4"/>
      <c r="B70" s="86" t="s">
        <v>881</v>
      </c>
      <c r="C70" s="34" t="s">
        <v>882</v>
      </c>
      <c r="D70" s="103"/>
      <c r="E70" s="5"/>
      <c r="F70" s="4" t="s">
        <v>332</v>
      </c>
      <c r="G70" s="3" t="s">
        <v>879</v>
      </c>
      <c r="H70" s="4"/>
      <c r="I70" s="4"/>
      <c r="J70" s="74" t="str" cm="1">
        <f t="array" ref="J70">IF(ISBLANK(I70), IF(ISBLANK(H70), "N/A", _xlfn.IFS(K70="AS", H70+15, K70="NCR", H70+30, K70="submitted", H70+30, TRUE, "N/A")), _xlfn.IFS(K70="AS", I70+15, K70="NCR", I70+30, K70="submitted", I70+30, TRUE, "N/A"))</f>
        <v>N/A</v>
      </c>
      <c r="K70" s="18"/>
      <c r="L70" s="318"/>
      <c r="M70" s="772"/>
      <c r="N70" s="773"/>
      <c r="O70" s="773"/>
      <c r="P70" s="774"/>
    </row>
    <row r="71" spans="1:16" ht="15" customHeight="1">
      <c r="A71" s="4"/>
      <c r="B71" s="86" t="s">
        <v>881</v>
      </c>
      <c r="C71" s="34" t="s">
        <v>882</v>
      </c>
      <c r="D71" s="103"/>
      <c r="E71" s="5"/>
      <c r="F71" s="4" t="s">
        <v>398</v>
      </c>
      <c r="G71" s="3" t="s">
        <v>818</v>
      </c>
      <c r="H71" s="4"/>
      <c r="I71" s="4"/>
      <c r="J71" s="74" t="str" cm="1">
        <f t="array" ref="J71">IF(ISBLANK(I71), IF(ISBLANK(H71), "N/A", _xlfn.IFS(K71="AS", H71+15, K71="NCR", H71+30, K71="submitted", H71+30, TRUE, "N/A")), _xlfn.IFS(K71="AS", I71+15, K71="NCR", I71+30, K71="submitted", I71+30, TRUE, "N/A"))</f>
        <v>N/A</v>
      </c>
      <c r="K71" s="18"/>
      <c r="L71" s="318"/>
      <c r="M71" s="772"/>
      <c r="N71" s="773"/>
      <c r="O71" s="773"/>
      <c r="P71" s="774"/>
    </row>
    <row r="72" spans="1:16" ht="15" customHeight="1">
      <c r="A72" s="4"/>
      <c r="B72" s="86" t="s">
        <v>881</v>
      </c>
      <c r="C72" s="34" t="s">
        <v>882</v>
      </c>
      <c r="D72" s="103"/>
      <c r="E72" s="5"/>
      <c r="F72" s="4" t="s">
        <v>735</v>
      </c>
      <c r="G72" s="3" t="s">
        <v>375</v>
      </c>
      <c r="H72" s="4"/>
      <c r="I72" s="4"/>
      <c r="J72" s="74" t="str" cm="1">
        <f t="array" ref="J72">IF(ISBLANK(I72), IF(ISBLANK(H72), "N/A", _xlfn.IFS(K72="AS", H72+15, K72="NCR", H72+30, K72="submitted", H72+30, TRUE, "N/A")), _xlfn.IFS(K72="AS", I72+15, K72="NCR", I72+30, K72="submitted", I72+30, TRUE, "N/A"))</f>
        <v>N/A</v>
      </c>
      <c r="K72" s="18"/>
      <c r="L72" s="318"/>
      <c r="M72" s="772"/>
      <c r="N72" s="773"/>
      <c r="O72" s="773"/>
      <c r="P72" s="774"/>
    </row>
    <row r="73" spans="1:16" ht="27" customHeight="1">
      <c r="A73" s="4"/>
      <c r="B73" s="86" t="s">
        <v>881</v>
      </c>
      <c r="C73" s="34" t="s">
        <v>882</v>
      </c>
      <c r="D73" s="103"/>
      <c r="E73" s="5"/>
      <c r="F73" s="4" t="s">
        <v>880</v>
      </c>
      <c r="G73" s="3" t="s">
        <v>377</v>
      </c>
      <c r="H73" s="4"/>
      <c r="I73" s="4"/>
      <c r="J73" s="74" t="str" cm="1">
        <f t="array" ref="J73">IF(ISBLANK(I73), IF(ISBLANK(H73), "N/A", _xlfn.IFS(K73="AS", H73+15, K73="NCR", H73+30, K73="submitted", H73+30, TRUE, "N/A")), _xlfn.IFS(K73="AS", I73+15, K73="NCR", I73+30, K73="submitted", I73+30, TRUE, "N/A"))</f>
        <v>N/A</v>
      </c>
      <c r="K73" s="18"/>
      <c r="L73" s="318"/>
      <c r="M73" s="772"/>
      <c r="N73" s="773"/>
      <c r="O73" s="773"/>
      <c r="P73" s="774"/>
    </row>
    <row r="74" spans="1:16" s="151" customFormat="1" ht="15" customHeight="1">
      <c r="A74" s="311" t="s">
        <v>887</v>
      </c>
      <c r="B74" s="311" t="s">
        <v>888</v>
      </c>
      <c r="C74" s="76" t="s">
        <v>889</v>
      </c>
      <c r="D74" s="576"/>
      <c r="E74" s="26" t="s">
        <v>753</v>
      </c>
      <c r="F74" s="22" t="s">
        <v>328</v>
      </c>
      <c r="G74" s="28" t="s">
        <v>883</v>
      </c>
      <c r="H74" s="25">
        <v>45894</v>
      </c>
      <c r="I74" s="25">
        <v>45926</v>
      </c>
      <c r="J74" s="74" cm="1">
        <f t="array" ref="J74">IF(ISBLANK(I74), IF(ISBLANK(H74), "N/A", _xlfn.IFS(K74="AS", H74+15, K74="NCR", H74+30, K74="submitted", H74+30, TRUE, "N/A")), _xlfn.IFS(K74="AS", I74+15, K74="NCR", I74+30, K74="submitted", I74+30, TRUE, "N/A"))</f>
        <v>45956</v>
      </c>
      <c r="K74" s="76" t="s">
        <v>207</v>
      </c>
      <c r="L74" s="318"/>
      <c r="M74" s="772"/>
      <c r="N74" s="773"/>
      <c r="O74" s="773"/>
      <c r="P74" s="774"/>
    </row>
    <row r="75" spans="1:16" ht="15" customHeight="1">
      <c r="A75" s="9"/>
      <c r="B75" s="311" t="s">
        <v>888</v>
      </c>
      <c r="C75" s="39" t="s">
        <v>889</v>
      </c>
      <c r="D75" s="20"/>
      <c r="E75" s="1"/>
      <c r="F75" s="9" t="s">
        <v>329</v>
      </c>
      <c r="G75" s="7" t="s">
        <v>823</v>
      </c>
      <c r="H75" s="9"/>
      <c r="I75" s="9"/>
      <c r="J75" s="74" t="str" cm="1">
        <f t="array" ref="J75">IF(ISBLANK(I75), IF(ISBLANK(H75), "N/A", _xlfn.IFS(K75="AS", H75+15, K75="NCR", H75+30, K75="submitted", H75+30, TRUE, "N/A")), _xlfn.IFS(K75="AS", I75+15, K75="NCR", I75+30, K75="submitted", I75+30, TRUE, "N/A"))</f>
        <v>N/A</v>
      </c>
      <c r="K75" s="14"/>
      <c r="L75" s="318"/>
      <c r="M75" s="772"/>
      <c r="N75" s="773"/>
      <c r="O75" s="773"/>
      <c r="P75" s="774"/>
    </row>
    <row r="76" spans="1:16" ht="15" customHeight="1">
      <c r="A76" s="9"/>
      <c r="B76" s="311" t="s">
        <v>888</v>
      </c>
      <c r="C76" s="76" t="s">
        <v>889</v>
      </c>
      <c r="D76" s="20"/>
      <c r="E76" s="1"/>
      <c r="F76" s="9" t="s">
        <v>396</v>
      </c>
      <c r="G76" s="13" t="s">
        <v>276</v>
      </c>
      <c r="H76" s="9"/>
      <c r="I76" s="9"/>
      <c r="J76" s="74" t="str" cm="1">
        <f t="array" ref="J76">IF(ISBLANK(I76), IF(ISBLANK(H76), "N/A", _xlfn.IFS(K76="AS", H76+15, K76="NCR", H76+30, K76="submitted", H76+30, TRUE, "N/A")), _xlfn.IFS(K76="AS", I76+15, K76="NCR", I76+30, K76="submitted", I76+30, TRUE, "N/A"))</f>
        <v>N/A</v>
      </c>
      <c r="K76" s="14"/>
      <c r="L76" s="318"/>
      <c r="M76" s="772"/>
      <c r="N76" s="773"/>
      <c r="O76" s="773"/>
      <c r="P76" s="774"/>
    </row>
    <row r="77" spans="1:16" ht="15" customHeight="1">
      <c r="A77" s="9"/>
      <c r="B77" s="311" t="s">
        <v>888</v>
      </c>
      <c r="C77" s="39" t="s">
        <v>889</v>
      </c>
      <c r="D77" s="20"/>
      <c r="E77" s="1"/>
      <c r="F77" s="9" t="s">
        <v>397</v>
      </c>
      <c r="G77" s="7" t="s">
        <v>818</v>
      </c>
      <c r="H77" s="9"/>
      <c r="I77" s="9"/>
      <c r="J77" s="74" t="str" cm="1">
        <f t="array" ref="J77">IF(ISBLANK(I77), IF(ISBLANK(H77), "N/A", _xlfn.IFS(K77="AS", H77+15, K77="NCR", H77+30, K77="submitted", H77+30, TRUE, "N/A")), _xlfn.IFS(K77="AS", I77+15, K77="NCR", I77+30, K77="submitted", I77+30, TRUE, "N/A"))</f>
        <v>N/A</v>
      </c>
      <c r="K77" s="14"/>
      <c r="L77" s="318"/>
      <c r="M77" s="772"/>
      <c r="N77" s="773"/>
      <c r="O77" s="773"/>
      <c r="P77" s="774"/>
    </row>
    <row r="78" spans="1:16" ht="15" customHeight="1">
      <c r="A78" s="9"/>
      <c r="B78" s="311" t="s">
        <v>888</v>
      </c>
      <c r="C78" s="76" t="s">
        <v>889</v>
      </c>
      <c r="D78" s="20"/>
      <c r="E78" s="1"/>
      <c r="F78" s="9" t="s">
        <v>338</v>
      </c>
      <c r="G78" s="7" t="s">
        <v>375</v>
      </c>
      <c r="H78" s="9"/>
      <c r="I78" s="9"/>
      <c r="J78" s="74" t="str" cm="1">
        <f t="array" ref="J78">IF(ISBLANK(I78), IF(ISBLANK(H78), "N/A", _xlfn.IFS(K78="AS", H78+15, K78="NCR", H78+30, K78="submitted", H78+30, TRUE, "N/A")), _xlfn.IFS(K78="AS", I78+15, K78="NCR", I78+30, K78="submitted", I78+30, TRUE, "N/A"))</f>
        <v>N/A</v>
      </c>
      <c r="K78" s="14"/>
      <c r="L78" s="318"/>
      <c r="M78" s="772"/>
      <c r="N78" s="773"/>
      <c r="O78" s="773"/>
      <c r="P78" s="774"/>
    </row>
    <row r="79" spans="1:16" ht="27" customHeight="1">
      <c r="A79" s="9"/>
      <c r="B79" s="311" t="s">
        <v>888</v>
      </c>
      <c r="C79" s="39" t="s">
        <v>889</v>
      </c>
      <c r="D79" s="20"/>
      <c r="E79" s="1"/>
      <c r="F79" s="9" t="s">
        <v>734</v>
      </c>
      <c r="G79" s="7" t="s">
        <v>377</v>
      </c>
      <c r="H79" s="9"/>
      <c r="I79" s="9"/>
      <c r="J79" s="74" t="str" cm="1">
        <f t="array" ref="J79">IF(ISBLANK(I79), IF(ISBLANK(H79), "N/A", _xlfn.IFS(K79="AS", H79+15, K79="NCR", H79+30, K79="submitted", H79+30, TRUE, "N/A")), _xlfn.IFS(K79="AS", I79+15, K79="NCR", I79+30, K79="submitted", I79+30, TRUE, "N/A"))</f>
        <v>N/A</v>
      </c>
      <c r="K79" s="14"/>
      <c r="L79" s="318"/>
      <c r="M79" s="772"/>
      <c r="N79" s="773"/>
      <c r="O79" s="773"/>
      <c r="P79" s="774"/>
    </row>
    <row r="80" spans="1:16" s="151" customFormat="1" ht="15" customHeight="1">
      <c r="A80" s="22" t="s">
        <v>890</v>
      </c>
      <c r="B80" s="311" t="s">
        <v>891</v>
      </c>
      <c r="C80" s="76" t="s">
        <v>892</v>
      </c>
      <c r="D80" s="576"/>
      <c r="E80" s="26" t="s">
        <v>798</v>
      </c>
      <c r="F80" s="22" t="s">
        <v>328</v>
      </c>
      <c r="G80" s="28" t="s">
        <v>893</v>
      </c>
      <c r="H80" s="25">
        <v>45902</v>
      </c>
      <c r="I80" s="22"/>
      <c r="J80" s="74" t="str" cm="1">
        <f t="array" ref="J80">IF(ISBLANK(I80), IF(ISBLANK(H80), "N/A", _xlfn.IFS(K80="AS", H80+15, K80="NCR", H80+30, K80="submitted", H80+30, TRUE, "N/A")), _xlfn.IFS(K80="AS", I80+15, K80="NCR", I80+30, K80="submitted", I80+30, TRUE, "N/A"))</f>
        <v>N/A</v>
      </c>
      <c r="K80" s="76" t="s">
        <v>894</v>
      </c>
      <c r="L80" s="318"/>
      <c r="M80" s="772"/>
      <c r="N80" s="773"/>
      <c r="O80" s="773"/>
      <c r="P80" s="774"/>
    </row>
    <row r="81" spans="1:16" s="151" customFormat="1" ht="15" customHeight="1">
      <c r="A81" s="22" t="s">
        <v>890</v>
      </c>
      <c r="B81" s="311" t="s">
        <v>891</v>
      </c>
      <c r="C81" s="76" t="s">
        <v>892</v>
      </c>
      <c r="D81" s="576"/>
      <c r="E81" s="26" t="s">
        <v>798</v>
      </c>
      <c r="F81" s="22" t="s">
        <v>329</v>
      </c>
      <c r="G81" s="28" t="s">
        <v>276</v>
      </c>
      <c r="H81" s="25">
        <v>45902</v>
      </c>
      <c r="I81" s="22"/>
      <c r="J81" s="74" t="str" cm="1">
        <f t="array" ref="J81">IF(ISBLANK(I81), IF(ISBLANK(H81), "N/A", _xlfn.IFS(K81="AS", H81+15, K81="NCR", H81+30, K81="submitted", H81+30, TRUE, "N/A")), _xlfn.IFS(K81="AS", I81+15, K81="NCR", I81+30, K81="submitted", I81+30, TRUE, "N/A"))</f>
        <v>N/A</v>
      </c>
      <c r="K81" s="76" t="s">
        <v>894</v>
      </c>
      <c r="L81" s="318"/>
      <c r="M81" s="772"/>
      <c r="N81" s="773"/>
      <c r="O81" s="773"/>
      <c r="P81" s="774"/>
    </row>
    <row r="82" spans="1:16" ht="15" customHeight="1">
      <c r="A82" s="4"/>
      <c r="B82" s="86" t="s">
        <v>891</v>
      </c>
      <c r="C82" s="34" t="s">
        <v>892</v>
      </c>
      <c r="D82" s="103"/>
      <c r="E82" s="5"/>
      <c r="F82" s="4" t="s">
        <v>396</v>
      </c>
      <c r="G82" s="3" t="s">
        <v>817</v>
      </c>
      <c r="H82" s="4"/>
      <c r="I82" s="4"/>
      <c r="J82" s="74" t="str" cm="1">
        <f t="array" ref="J82">IF(ISBLANK(I82), IF(ISBLANK(H82), "N/A", _xlfn.IFS(K82="AS", H82+15, K82="NCR", H82+30, K82="submitted", H82+30, TRUE, "N/A")), _xlfn.IFS(K82="AS", I82+15, K82="NCR", I82+30, K82="submitted", I82+30, TRUE, "N/A"))</f>
        <v>N/A</v>
      </c>
      <c r="K82" s="18"/>
      <c r="L82" s="318"/>
      <c r="M82" s="772"/>
      <c r="N82" s="773"/>
      <c r="O82" s="773"/>
      <c r="P82" s="774"/>
    </row>
    <row r="83" spans="1:16" ht="15" customHeight="1">
      <c r="A83" s="4"/>
      <c r="B83" s="86" t="s">
        <v>891</v>
      </c>
      <c r="C83" s="34" t="s">
        <v>892</v>
      </c>
      <c r="D83" s="103"/>
      <c r="E83" s="5"/>
      <c r="F83" s="4" t="s">
        <v>397</v>
      </c>
      <c r="G83" s="3" t="s">
        <v>818</v>
      </c>
      <c r="H83" s="4"/>
      <c r="I83" s="4"/>
      <c r="J83" s="74" t="str" cm="1">
        <f t="array" ref="J83">IF(ISBLANK(I83), IF(ISBLANK(H83), "N/A", _xlfn.IFS(K83="AS", H83+15, K83="NCR", H83+30, K83="submitted", H83+30, TRUE, "N/A")), _xlfn.IFS(K83="AS", I83+15, K83="NCR", I83+30, K83="submitted", I83+30, TRUE, "N/A"))</f>
        <v>N/A</v>
      </c>
      <c r="K83" s="18"/>
      <c r="L83" s="318"/>
      <c r="M83" s="772"/>
      <c r="N83" s="773"/>
      <c r="O83" s="773"/>
      <c r="P83" s="774"/>
    </row>
    <row r="84" spans="1:16" ht="15" customHeight="1">
      <c r="A84" s="4"/>
      <c r="B84" s="86" t="s">
        <v>891</v>
      </c>
      <c r="C84" s="34" t="s">
        <v>892</v>
      </c>
      <c r="D84" s="103"/>
      <c r="E84" s="5"/>
      <c r="F84" s="4" t="s">
        <v>338</v>
      </c>
      <c r="G84" s="3" t="s">
        <v>375</v>
      </c>
      <c r="H84" s="4"/>
      <c r="I84" s="4"/>
      <c r="J84" s="74" t="str" cm="1">
        <f t="array" ref="J84">IF(ISBLANK(I84), IF(ISBLANK(H84), "N/A", _xlfn.IFS(K84="AS", H84+15, K84="NCR", H84+30, K84="submitted", H84+30, TRUE, "N/A")), _xlfn.IFS(K84="AS", I84+15, K84="NCR", I84+30, K84="submitted", I84+30, TRUE, "N/A"))</f>
        <v>N/A</v>
      </c>
      <c r="K84" s="18"/>
      <c r="L84" s="318"/>
      <c r="M84" s="772"/>
      <c r="N84" s="773"/>
      <c r="O84" s="773"/>
      <c r="P84" s="774"/>
    </row>
    <row r="85" spans="1:16" ht="27" customHeight="1">
      <c r="A85" s="4"/>
      <c r="B85" s="86" t="s">
        <v>891</v>
      </c>
      <c r="C85" s="34" t="s">
        <v>892</v>
      </c>
      <c r="D85" s="103"/>
      <c r="E85" s="5"/>
      <c r="F85" s="4" t="s">
        <v>734</v>
      </c>
      <c r="G85" s="3" t="s">
        <v>377</v>
      </c>
      <c r="H85" s="4"/>
      <c r="I85" s="4"/>
      <c r="J85" s="74" t="str" cm="1">
        <f t="array" ref="J85">IF(ISBLANK(I85), IF(ISBLANK(H85), "N/A", _xlfn.IFS(K85="AS", H85+15, K85="NCR", H85+30, K85="submitted", H85+30, TRUE, "N/A")), _xlfn.IFS(K85="AS", I85+15, K85="NCR", I85+30, K85="submitted", I85+30, TRUE, "N/A"))</f>
        <v>N/A</v>
      </c>
      <c r="K85" s="18"/>
      <c r="L85" s="318"/>
      <c r="M85" s="772"/>
      <c r="N85" s="773"/>
      <c r="O85" s="773"/>
      <c r="P85" s="774"/>
    </row>
    <row r="86" spans="1:16" ht="15" customHeight="1">
      <c r="A86" s="9"/>
      <c r="B86" s="32" t="s">
        <v>895</v>
      </c>
      <c r="C86" s="37" t="s">
        <v>896</v>
      </c>
      <c r="D86" s="20"/>
      <c r="E86" s="1"/>
      <c r="F86" s="9" t="s">
        <v>328</v>
      </c>
      <c r="G86" s="7" t="s">
        <v>883</v>
      </c>
      <c r="H86" s="9"/>
      <c r="I86" s="9"/>
      <c r="J86" s="74" t="str" cm="1">
        <f t="array" ref="J86">IF(ISBLANK(I86), IF(ISBLANK(H86), "N/A", _xlfn.IFS(K86="AS", H86+15, K86="NCR", H86+30, K86="submitted", H86+30, TRUE, "N/A")), _xlfn.IFS(K86="AS", I86+15, K86="NCR", I86+30, K86="submitted", I86+30, TRUE, "N/A"))</f>
        <v>N/A</v>
      </c>
      <c r="K86" s="14"/>
      <c r="L86" s="318"/>
      <c r="M86" s="772"/>
      <c r="N86" s="773"/>
      <c r="O86" s="773"/>
      <c r="P86" s="774"/>
    </row>
    <row r="87" spans="1:16" ht="15" customHeight="1">
      <c r="A87" s="9"/>
      <c r="B87" s="33"/>
      <c r="C87" s="39"/>
      <c r="D87" s="20"/>
      <c r="E87" s="1"/>
      <c r="F87" s="9" t="s">
        <v>234</v>
      </c>
      <c r="G87" s="7" t="s">
        <v>897</v>
      </c>
      <c r="H87" s="9"/>
      <c r="I87" s="9"/>
      <c r="J87" s="74" t="str" cm="1">
        <f t="array" ref="J87">IF(ISBLANK(I87), IF(ISBLANK(H87), "N/A", _xlfn.IFS(K87="AS", H87+15, K87="NCR", H87+30, K87="submitted", H87+30, TRUE, "N/A")), _xlfn.IFS(K87="AS", I87+15, K87="NCR", I87+30, K87="submitted", I87+30, TRUE, "N/A"))</f>
        <v>N/A</v>
      </c>
      <c r="K87" s="14"/>
      <c r="L87" s="318"/>
      <c r="M87" s="772"/>
      <c r="N87" s="773"/>
      <c r="O87" s="773"/>
      <c r="P87" s="774"/>
    </row>
    <row r="88" spans="1:16" ht="15" customHeight="1">
      <c r="A88" s="9"/>
      <c r="B88" s="33"/>
      <c r="C88" s="39"/>
      <c r="D88" s="20"/>
      <c r="E88" s="1"/>
      <c r="F88" s="9" t="s">
        <v>236</v>
      </c>
      <c r="G88" s="7" t="s">
        <v>898</v>
      </c>
      <c r="H88" s="9"/>
      <c r="I88" s="9"/>
      <c r="J88" s="74" t="str" cm="1">
        <f t="array" ref="J88">IF(ISBLANK(I88), IF(ISBLANK(H88), "N/A", _xlfn.IFS(K88="AS", H88+15, K88="NCR", H88+30, K88="submitted", H88+30, TRUE, "N/A")), _xlfn.IFS(K88="AS", I88+15, K88="NCR", I88+30, K88="submitted", I88+30, TRUE, "N/A"))</f>
        <v>N/A</v>
      </c>
      <c r="K88" s="14"/>
      <c r="L88" s="318"/>
      <c r="M88" s="772"/>
      <c r="N88" s="773"/>
      <c r="O88" s="773"/>
      <c r="P88" s="774"/>
    </row>
    <row r="89" spans="1:16" ht="15" customHeight="1">
      <c r="A89" s="9"/>
      <c r="B89" s="33"/>
      <c r="C89" s="39"/>
      <c r="D89" s="20"/>
      <c r="E89" s="1"/>
      <c r="F89" s="9" t="s">
        <v>396</v>
      </c>
      <c r="G89" s="7" t="s">
        <v>276</v>
      </c>
      <c r="H89" s="9"/>
      <c r="I89" s="9"/>
      <c r="J89" s="74" t="str" cm="1">
        <f t="array" ref="J89">IF(ISBLANK(I89), IF(ISBLANK(H89), "N/A", _xlfn.IFS(K89="AS", H89+15, K89="NCR", H89+30, K89="submitted", H89+30, TRUE, "N/A")), _xlfn.IFS(K89="AS", I89+15, K89="NCR", I89+30, K89="submitted", I89+30, TRUE, "N/A"))</f>
        <v>N/A</v>
      </c>
      <c r="K89" s="14"/>
      <c r="L89" s="318"/>
      <c r="M89" s="772"/>
      <c r="N89" s="773"/>
      <c r="O89" s="773"/>
      <c r="P89" s="774"/>
    </row>
    <row r="90" spans="1:16" ht="15" customHeight="1">
      <c r="A90" s="9"/>
      <c r="B90" s="33"/>
      <c r="C90" s="39"/>
      <c r="D90" s="20"/>
      <c r="E90" s="1"/>
      <c r="F90" s="9" t="s">
        <v>332</v>
      </c>
      <c r="G90" s="7" t="s">
        <v>879</v>
      </c>
      <c r="H90" s="9"/>
      <c r="I90" s="9"/>
      <c r="J90" s="74" t="str" cm="1">
        <f t="array" ref="J90">IF(ISBLANK(I90), IF(ISBLANK(H90), "N/A", _xlfn.IFS(K90="AS", H90+15, K90="NCR", H90+30, K90="submitted", H90+30, TRUE, "N/A")), _xlfn.IFS(K90="AS", I90+15, K90="NCR", I90+30, K90="submitted", I90+30, TRUE, "N/A"))</f>
        <v>N/A</v>
      </c>
      <c r="K90" s="14"/>
      <c r="L90" s="318"/>
      <c r="M90" s="772"/>
      <c r="N90" s="773"/>
      <c r="O90" s="773"/>
      <c r="P90" s="774"/>
    </row>
    <row r="91" spans="1:16" ht="15" customHeight="1">
      <c r="A91" s="9"/>
      <c r="B91" s="33"/>
      <c r="C91" s="39"/>
      <c r="D91" s="20"/>
      <c r="E91" s="1"/>
      <c r="F91" s="9" t="s">
        <v>398</v>
      </c>
      <c r="G91" s="7" t="s">
        <v>818</v>
      </c>
      <c r="H91" s="9"/>
      <c r="I91" s="9"/>
      <c r="J91" s="74" t="str" cm="1">
        <f t="array" ref="J91">IF(ISBLANK(I91), IF(ISBLANK(H91), "N/A", _xlfn.IFS(K91="AS", H91+15, K91="NCR", H91+30, K91="submitted", H91+30, TRUE, "N/A")), _xlfn.IFS(K91="AS", I91+15, K91="NCR", I91+30, K91="submitted", I91+30, TRUE, "N/A"))</f>
        <v>N/A</v>
      </c>
      <c r="K91" s="14"/>
      <c r="L91" s="318"/>
      <c r="M91" s="772"/>
      <c r="N91" s="773"/>
      <c r="O91" s="773"/>
      <c r="P91" s="774"/>
    </row>
    <row r="92" spans="1:16" ht="15" customHeight="1">
      <c r="A92" s="9"/>
      <c r="B92" s="33"/>
      <c r="C92" s="39"/>
      <c r="D92" s="20"/>
      <c r="E92" s="1"/>
      <c r="F92" s="9" t="s">
        <v>735</v>
      </c>
      <c r="G92" s="7" t="s">
        <v>819</v>
      </c>
      <c r="H92" s="9"/>
      <c r="I92" s="9"/>
      <c r="J92" s="74" t="str" cm="1">
        <f t="array" ref="J92">IF(ISBLANK(I92), IF(ISBLANK(H92), "N/A", _xlfn.IFS(K92="AS", H92+15, K92="NCR", H92+30, K92="submitted", H92+30, TRUE, "N/A")), _xlfn.IFS(K92="AS", I92+15, K92="NCR", I92+30, K92="submitted", I92+30, TRUE, "N/A"))</f>
        <v>N/A</v>
      </c>
      <c r="K92" s="14"/>
      <c r="L92" s="318"/>
      <c r="M92" s="772"/>
      <c r="N92" s="773"/>
      <c r="O92" s="773"/>
      <c r="P92" s="774"/>
    </row>
    <row r="93" spans="1:16" ht="27" customHeight="1">
      <c r="A93" s="9"/>
      <c r="B93" s="97"/>
      <c r="C93" s="46"/>
      <c r="D93" s="20"/>
      <c r="E93" s="1"/>
      <c r="F93" s="9" t="s">
        <v>880</v>
      </c>
      <c r="G93" s="7" t="s">
        <v>820</v>
      </c>
      <c r="H93" s="9"/>
      <c r="I93" s="9"/>
      <c r="J93" s="74" t="str" cm="1">
        <f t="array" ref="J93">IF(ISBLANK(I93), IF(ISBLANK(H93), "N/A", _xlfn.IFS(K93="AS", H93+15, K93="NCR", H93+30, K93="submitted", H93+30, TRUE, "N/A")), _xlfn.IFS(K93="AS", I93+15, K93="NCR", I93+30, K93="submitted", I93+30, TRUE, "N/A"))</f>
        <v>N/A</v>
      </c>
      <c r="K93" s="14"/>
      <c r="L93" s="318"/>
      <c r="M93" s="772"/>
      <c r="N93" s="773"/>
      <c r="O93" s="773"/>
      <c r="P93" s="774"/>
    </row>
    <row r="94" spans="1:16" s="151" customFormat="1" ht="15" customHeight="1">
      <c r="A94" s="22" t="s">
        <v>899</v>
      </c>
      <c r="B94" s="657" t="s">
        <v>900</v>
      </c>
      <c r="C94" s="23" t="s">
        <v>901</v>
      </c>
      <c r="D94" s="627" t="s">
        <v>902</v>
      </c>
      <c r="E94" s="26"/>
      <c r="F94" s="22" t="s">
        <v>328</v>
      </c>
      <c r="G94" s="28" t="s">
        <v>883</v>
      </c>
      <c r="H94" s="25">
        <v>45904</v>
      </c>
      <c r="I94" s="22"/>
      <c r="J94" s="74" cm="1">
        <f t="array" ref="J94">IF(ISBLANK(I94), IF(ISBLANK(H94), "N/A", _xlfn.IFS(K94="AS", H94+15, K94="NCR", H94+30, K94="submitted", H94+30, TRUE, "N/A")), _xlfn.IFS(K94="AS", I94+15, K94="NCR", I94+30, K94="submitted", I94+30, TRUE, "N/A"))</f>
        <v>45934</v>
      </c>
      <c r="K94" s="76" t="s">
        <v>311</v>
      </c>
      <c r="L94" s="318"/>
      <c r="M94" s="772"/>
      <c r="N94" s="773"/>
      <c r="O94" s="773"/>
      <c r="P94" s="774"/>
    </row>
    <row r="95" spans="1:16" s="151" customFormat="1" ht="15" customHeight="1">
      <c r="A95" s="22" t="s">
        <v>899</v>
      </c>
      <c r="B95" s="657" t="s">
        <v>900</v>
      </c>
      <c r="C95" s="23" t="s">
        <v>901</v>
      </c>
      <c r="D95" s="627" t="s">
        <v>902</v>
      </c>
      <c r="E95" s="26"/>
      <c r="F95" s="22" t="s">
        <v>329</v>
      </c>
      <c r="G95" s="28" t="s">
        <v>823</v>
      </c>
      <c r="H95" s="25">
        <v>45904</v>
      </c>
      <c r="I95" s="22"/>
      <c r="J95" s="74" cm="1">
        <f t="array" ref="J95">IF(ISBLANK(I95), IF(ISBLANK(H95), "N/A", _xlfn.IFS(K95="AS", H95+15, K95="NCR", H95+30, K95="submitted", H95+30, TRUE, "N/A")), _xlfn.IFS(K95="AS", I95+15, K95="NCR", I95+30, K95="submitted", I95+30, TRUE, "N/A"))</f>
        <v>45934</v>
      </c>
      <c r="K95" s="76" t="s">
        <v>311</v>
      </c>
      <c r="L95" s="318"/>
      <c r="M95" s="772"/>
      <c r="N95" s="773"/>
      <c r="O95" s="773"/>
      <c r="P95" s="774"/>
    </row>
    <row r="96" spans="1:16" s="151" customFormat="1" ht="15" customHeight="1">
      <c r="A96" s="22" t="s">
        <v>899</v>
      </c>
      <c r="B96" s="657" t="s">
        <v>900</v>
      </c>
      <c r="C96" s="23" t="s">
        <v>901</v>
      </c>
      <c r="D96" s="627" t="s">
        <v>902</v>
      </c>
      <c r="E96" s="26"/>
      <c r="F96" s="22" t="s">
        <v>396</v>
      </c>
      <c r="G96" s="24" t="s">
        <v>276</v>
      </c>
      <c r="H96" s="25">
        <v>45904</v>
      </c>
      <c r="I96" s="22"/>
      <c r="J96" s="74" cm="1">
        <f t="array" ref="J96">IF(ISBLANK(I96), IF(ISBLANK(H96), "N/A", _xlfn.IFS(K96="AS", H96+15, K96="NCR", H96+30, K96="submitted", H96+30, TRUE, "N/A")), _xlfn.IFS(K96="AS", I96+15, K96="NCR", I96+30, K96="submitted", I96+30, TRUE, "N/A"))</f>
        <v>45934</v>
      </c>
      <c r="K96" s="76" t="s">
        <v>311</v>
      </c>
      <c r="L96" s="318"/>
      <c r="M96" s="772"/>
      <c r="N96" s="773"/>
      <c r="O96" s="773"/>
      <c r="P96" s="774"/>
    </row>
    <row r="97" spans="1:16" s="151" customFormat="1" ht="15" customHeight="1">
      <c r="A97" s="22" t="s">
        <v>899</v>
      </c>
      <c r="B97" s="657" t="s">
        <v>900</v>
      </c>
      <c r="C97" s="23" t="s">
        <v>901</v>
      </c>
      <c r="D97" s="627" t="s">
        <v>902</v>
      </c>
      <c r="E97" s="26"/>
      <c r="F97" s="22" t="s">
        <v>332</v>
      </c>
      <c r="G97" s="28" t="s">
        <v>879</v>
      </c>
      <c r="H97" s="25">
        <v>45904</v>
      </c>
      <c r="I97" s="22"/>
      <c r="J97" s="74" cm="1">
        <f t="array" ref="J97">IF(ISBLANK(I97), IF(ISBLANK(H97), "N/A", _xlfn.IFS(K97="AS", H97+15, K97="NCR", H97+30, K97="submitted", H97+30, TRUE, "N/A")), _xlfn.IFS(K97="AS", I97+15, K97="NCR", I97+30, K97="submitted", I97+30, TRUE, "N/A"))</f>
        <v>45934</v>
      </c>
      <c r="K97" s="76" t="s">
        <v>311</v>
      </c>
      <c r="L97" s="318"/>
      <c r="M97" s="772"/>
      <c r="N97" s="773"/>
      <c r="O97" s="773"/>
      <c r="P97" s="774"/>
    </row>
    <row r="98" spans="1:16" s="151" customFormat="1" ht="15" customHeight="1">
      <c r="A98" s="22" t="s">
        <v>899</v>
      </c>
      <c r="B98" s="657" t="s">
        <v>900</v>
      </c>
      <c r="C98" s="23" t="s">
        <v>901</v>
      </c>
      <c r="D98" s="627" t="s">
        <v>902</v>
      </c>
      <c r="E98" s="26"/>
      <c r="F98" s="22" t="s">
        <v>398</v>
      </c>
      <c r="G98" s="28" t="s">
        <v>903</v>
      </c>
      <c r="H98" s="25">
        <v>45904</v>
      </c>
      <c r="I98" s="22"/>
      <c r="J98" s="74" cm="1">
        <f t="array" ref="J98">IF(ISBLANK(I98), IF(ISBLANK(H98), "N/A", _xlfn.IFS(K98="AS", H98+15, K98="NCR", H98+30, K98="submitted", H98+30, TRUE, "N/A")), _xlfn.IFS(K98="AS", I98+15, K98="NCR", I98+30, K98="submitted", I98+30, TRUE, "N/A"))</f>
        <v>45934</v>
      </c>
      <c r="K98" s="76" t="s">
        <v>311</v>
      </c>
      <c r="L98" s="318"/>
      <c r="M98" s="772"/>
      <c r="N98" s="773"/>
      <c r="O98" s="773"/>
      <c r="P98" s="774"/>
    </row>
    <row r="99" spans="1:16" s="151" customFormat="1" ht="15" customHeight="1">
      <c r="A99" s="22" t="s">
        <v>899</v>
      </c>
      <c r="B99" s="657" t="s">
        <v>900</v>
      </c>
      <c r="C99" s="23" t="s">
        <v>901</v>
      </c>
      <c r="D99" s="627" t="s">
        <v>902</v>
      </c>
      <c r="E99" s="26"/>
      <c r="F99" s="22" t="s">
        <v>735</v>
      </c>
      <c r="G99" s="28" t="s">
        <v>375</v>
      </c>
      <c r="H99" s="25">
        <v>45904</v>
      </c>
      <c r="I99" s="22"/>
      <c r="J99" s="74" cm="1">
        <f t="array" ref="J99">IF(ISBLANK(I99), IF(ISBLANK(H99), "N/A", _xlfn.IFS(K99="AS", H99+15, K99="NCR", H99+30, K99="submitted", H99+30, TRUE, "N/A")), _xlfn.IFS(K99="AS", I99+15, K99="NCR", I99+30, K99="submitted", I99+30, TRUE, "N/A"))</f>
        <v>45934</v>
      </c>
      <c r="K99" s="76" t="s">
        <v>311</v>
      </c>
      <c r="L99" s="318"/>
      <c r="M99" s="772"/>
      <c r="N99" s="773"/>
      <c r="O99" s="773"/>
      <c r="P99" s="774"/>
    </row>
    <row r="100" spans="1:16" s="151" customFormat="1" ht="27" customHeight="1">
      <c r="A100" s="22" t="s">
        <v>899</v>
      </c>
      <c r="B100" s="657" t="s">
        <v>900</v>
      </c>
      <c r="C100" s="23" t="s">
        <v>901</v>
      </c>
      <c r="D100" s="627" t="s">
        <v>902</v>
      </c>
      <c r="E100" s="26"/>
      <c r="F100" s="22" t="s">
        <v>880</v>
      </c>
      <c r="G100" s="28" t="s">
        <v>377</v>
      </c>
      <c r="H100" s="25">
        <v>45904</v>
      </c>
      <c r="I100" s="22"/>
      <c r="J100" s="74" cm="1">
        <f t="array" ref="J100">IF(ISBLANK(I100), IF(ISBLANK(H100), "N/A", _xlfn.IFS(K100="AS", H100+15, K100="NCR", H100+30, K100="submitted", H100+30, TRUE, "N/A")), _xlfn.IFS(K100="AS", I100+15, K100="NCR", I100+30, K100="submitted", I100+30, TRUE, "N/A"))</f>
        <v>45934</v>
      </c>
      <c r="K100" s="76" t="s">
        <v>311</v>
      </c>
      <c r="L100" s="318"/>
      <c r="M100" s="772"/>
      <c r="N100" s="773"/>
      <c r="O100" s="773"/>
      <c r="P100" s="774"/>
    </row>
    <row r="101" spans="1:16" ht="27" customHeight="1">
      <c r="A101" s="9"/>
      <c r="B101" s="38" t="s">
        <v>904</v>
      </c>
      <c r="C101" s="37" t="s">
        <v>905</v>
      </c>
      <c r="D101" s="20"/>
      <c r="E101" s="1"/>
      <c r="F101" s="9" t="s">
        <v>857</v>
      </c>
      <c r="G101" s="7" t="s">
        <v>906</v>
      </c>
      <c r="H101" s="9"/>
      <c r="I101" s="9"/>
      <c r="J101" s="74" t="str" cm="1">
        <f t="array" ref="J101">IF(ISBLANK(I101), IF(ISBLANK(H101), "N/A", _xlfn.IFS(K101="AS", H101+15, K101="NCR", H101+30, K101="submitted", H101+30, TRUE, "N/A")), _xlfn.IFS(K101="AS", I101+15, K101="NCR", I101+30, K101="submitted", I101+30, TRUE, "N/A"))</f>
        <v>N/A</v>
      </c>
      <c r="K101" s="14"/>
      <c r="L101" s="318"/>
      <c r="M101" s="772"/>
      <c r="N101" s="773"/>
      <c r="O101" s="773"/>
      <c r="P101" s="774"/>
    </row>
    <row r="102" spans="1:16" ht="15" customHeight="1">
      <c r="A102" s="9"/>
      <c r="B102" s="100"/>
      <c r="C102" s="39"/>
      <c r="D102" s="20"/>
      <c r="E102" s="1"/>
      <c r="F102" s="9" t="s">
        <v>907</v>
      </c>
      <c r="G102" s="13" t="s">
        <v>908</v>
      </c>
      <c r="H102" s="9"/>
      <c r="I102" s="9"/>
      <c r="J102" s="74" t="str" cm="1">
        <f t="array" ref="J102">IF(ISBLANK(I102), IF(ISBLANK(H102), "N/A", _xlfn.IFS(K102="AS", H102+15, K102="NCR", H102+30, K102="submitted", H102+30, TRUE, "N/A")), _xlfn.IFS(K102="AS", I102+15, K102="NCR", I102+30, K102="submitted", I102+30, TRUE, "N/A"))</f>
        <v>N/A</v>
      </c>
      <c r="K102" s="14"/>
      <c r="L102" s="318"/>
      <c r="M102" s="772"/>
      <c r="N102" s="773"/>
      <c r="O102" s="773"/>
      <c r="P102" s="774"/>
    </row>
    <row r="103" spans="1:16" ht="15" customHeight="1">
      <c r="A103" s="9"/>
      <c r="B103" s="100"/>
      <c r="C103" s="39"/>
      <c r="D103" s="20"/>
      <c r="E103" s="1"/>
      <c r="F103" s="9" t="s">
        <v>909</v>
      </c>
      <c r="G103" s="13" t="s">
        <v>482</v>
      </c>
      <c r="H103" s="9"/>
      <c r="I103" s="9"/>
      <c r="J103" s="74" t="str" cm="1">
        <f t="array" ref="J103">IF(ISBLANK(I103), IF(ISBLANK(H103), "N/A", _xlfn.IFS(K103="AS", H103+15, K103="NCR", H103+30, K103="submitted", H103+30, TRUE, "N/A")), _xlfn.IFS(K103="AS", I103+15, K103="NCR", I103+30, K103="submitted", I103+30, TRUE, "N/A"))</f>
        <v>N/A</v>
      </c>
      <c r="K103" s="41"/>
      <c r="L103" s="318"/>
      <c r="M103" s="772"/>
      <c r="N103" s="773"/>
      <c r="O103" s="773"/>
      <c r="P103" s="774"/>
    </row>
    <row r="104" spans="1:16" ht="15" customHeight="1">
      <c r="A104" s="22" t="s">
        <v>74</v>
      </c>
      <c r="B104" s="78"/>
      <c r="C104" s="76" t="s">
        <v>822</v>
      </c>
      <c r="D104" s="576"/>
      <c r="E104" s="26" t="s">
        <v>314</v>
      </c>
      <c r="F104" s="22" t="s">
        <v>910</v>
      </c>
      <c r="G104" s="24" t="s">
        <v>911</v>
      </c>
      <c r="H104" s="25">
        <v>45824</v>
      </c>
      <c r="I104" s="22"/>
      <c r="J104" s="74" cm="1">
        <f t="array" ref="J104">IF(ISBLANK(I104), IF(ISBLANK(H104), "N/A", _xlfn.IFS(K104="AS", H104+15, K104="NCR", H104+30, K104="submitted", H104+30, TRUE, "N/A")), _xlfn.IFS(K104="AS", I104+15, K104="NCR", I104+30, K104="submitted", I104+30, TRUE, "N/A"))</f>
        <v>45854</v>
      </c>
      <c r="K104" s="203" t="s">
        <v>154</v>
      </c>
      <c r="L104" s="318"/>
      <c r="M104" s="772"/>
      <c r="N104" s="773"/>
      <c r="O104" s="773"/>
      <c r="P104" s="774"/>
    </row>
    <row r="105" spans="1:16" ht="15" customHeight="1">
      <c r="A105" s="9"/>
      <c r="B105" s="100"/>
      <c r="C105" s="39"/>
      <c r="D105" s="20"/>
      <c r="E105" s="1"/>
      <c r="F105" s="9" t="s">
        <v>912</v>
      </c>
      <c r="G105" s="13" t="s">
        <v>913</v>
      </c>
      <c r="H105" s="9"/>
      <c r="I105" s="9"/>
      <c r="J105" s="74" t="str" cm="1">
        <f t="array" ref="J105">IF(ISBLANK(I105), IF(ISBLANK(H105), "N/A", _xlfn.IFS(K105="AS", H105+15, K105="NCR", H105+30, K105="submitted", H105+30, TRUE, "N/A")), _xlfn.IFS(K105="AS", I105+15, K105="NCR", I105+30, K105="submitted", I105+30, TRUE, "N/A"))</f>
        <v>N/A</v>
      </c>
      <c r="K105" s="143"/>
      <c r="L105" s="318"/>
      <c r="M105" s="772"/>
      <c r="N105" s="773"/>
      <c r="O105" s="773"/>
      <c r="P105" s="774"/>
    </row>
    <row r="106" spans="1:16" ht="15" customHeight="1">
      <c r="A106" s="9"/>
      <c r="B106" s="100"/>
      <c r="C106" s="39"/>
      <c r="D106" s="20"/>
      <c r="E106" s="1"/>
      <c r="F106" s="9" t="s">
        <v>914</v>
      </c>
      <c r="G106" s="13" t="s">
        <v>915</v>
      </c>
      <c r="H106" s="9"/>
      <c r="I106" s="9"/>
      <c r="J106" s="74" t="str" cm="1">
        <f t="array" ref="J106">IF(ISBLANK(I106), IF(ISBLANK(H106), "N/A", _xlfn.IFS(K106="AS", H106+15, K106="NCR", H106+30, K106="submitted", H106+30, TRUE, "N/A")), _xlfn.IFS(K106="AS", I106+15, K106="NCR", I106+30, K106="submitted", I106+30, TRUE, "N/A"))</f>
        <v>N/A</v>
      </c>
      <c r="K106" s="143"/>
      <c r="L106" s="318"/>
      <c r="M106" s="772"/>
      <c r="N106" s="773"/>
      <c r="O106" s="773"/>
      <c r="P106" s="774"/>
    </row>
    <row r="107" spans="1:16" ht="15" customHeight="1">
      <c r="A107" s="9"/>
      <c r="B107" s="100"/>
      <c r="C107" s="39"/>
      <c r="D107" s="20"/>
      <c r="E107" s="1"/>
      <c r="F107" s="9" t="s">
        <v>916</v>
      </c>
      <c r="G107" s="13" t="s">
        <v>917</v>
      </c>
      <c r="H107" s="9"/>
      <c r="I107" s="9"/>
      <c r="J107" s="74" t="str" cm="1">
        <f t="array" ref="J107">IF(ISBLANK(I107), IF(ISBLANK(H107), "N/A", _xlfn.IFS(K107="AS", H107+15, K107="NCR", H107+30, K107="submitted", H107+30, TRUE, "N/A")), _xlfn.IFS(K107="AS", I107+15, K107="NCR", I107+30, K107="submitted", I107+30, TRUE, "N/A"))</f>
        <v>N/A</v>
      </c>
      <c r="K107" s="143"/>
      <c r="L107" s="318"/>
      <c r="M107" s="772"/>
      <c r="N107" s="773"/>
      <c r="O107" s="773"/>
      <c r="P107" s="774"/>
    </row>
    <row r="108" spans="1:16" ht="15" customHeight="1">
      <c r="A108" s="22" t="s">
        <v>74</v>
      </c>
      <c r="B108" s="78"/>
      <c r="C108" s="76" t="s">
        <v>822</v>
      </c>
      <c r="D108" s="576"/>
      <c r="E108" s="26" t="s">
        <v>314</v>
      </c>
      <c r="F108" s="22" t="s">
        <v>918</v>
      </c>
      <c r="G108" s="24" t="s">
        <v>919</v>
      </c>
      <c r="H108" s="25">
        <v>45824</v>
      </c>
      <c r="I108" s="22"/>
      <c r="J108" s="74" cm="1">
        <f t="array" ref="J108">IF(ISBLANK(I108), IF(ISBLANK(H108), "N/A", _xlfn.IFS(K108="AS", H108+15, K108="NCR", H108+30, K108="submitted", H108+30, TRUE, "N/A")), _xlfn.IFS(K108="AS", I108+15, K108="NCR", I108+30, K108="submitted", I108+30, TRUE, "N/A"))</f>
        <v>45854</v>
      </c>
      <c r="K108" s="203" t="s">
        <v>154</v>
      </c>
      <c r="L108" s="318"/>
      <c r="M108" s="772"/>
      <c r="N108" s="773"/>
      <c r="O108" s="773"/>
      <c r="P108" s="774"/>
    </row>
    <row r="109" spans="1:16" ht="15" customHeight="1">
      <c r="A109" s="22" t="s">
        <v>74</v>
      </c>
      <c r="B109" s="78"/>
      <c r="C109" s="76" t="s">
        <v>822</v>
      </c>
      <c r="D109" s="576"/>
      <c r="E109" s="26" t="s">
        <v>314</v>
      </c>
      <c r="F109" s="22" t="s">
        <v>920</v>
      </c>
      <c r="G109" s="24" t="s">
        <v>276</v>
      </c>
      <c r="H109" s="25">
        <v>45824</v>
      </c>
      <c r="I109" s="22"/>
      <c r="J109" s="74" cm="1">
        <f t="array" ref="J109">IF(ISBLANK(I109), IF(ISBLANK(H109), "N/A", _xlfn.IFS(K109="AS", H109+15, K109="NCR", H109+30, K109="submitted", H109+30, TRUE, "N/A")), _xlfn.IFS(K109="AS", I109+15, K109="NCR", I109+30, K109="submitted", I109+30, TRUE, "N/A"))</f>
        <v>45854</v>
      </c>
      <c r="K109" s="203" t="s">
        <v>154</v>
      </c>
      <c r="L109" s="318"/>
      <c r="M109" s="772"/>
      <c r="N109" s="773"/>
      <c r="O109" s="773"/>
      <c r="P109" s="774"/>
    </row>
    <row r="110" spans="1:16" ht="15" customHeight="1">
      <c r="A110" s="9"/>
      <c r="B110" s="100"/>
      <c r="C110" s="39"/>
      <c r="D110" s="20"/>
      <c r="E110" s="1"/>
      <c r="F110" s="9" t="s">
        <v>921</v>
      </c>
      <c r="G110" s="13" t="s">
        <v>922</v>
      </c>
      <c r="H110" s="9"/>
      <c r="I110" s="9"/>
      <c r="J110" s="74" t="str" cm="1">
        <f t="array" ref="J110">IF(ISBLANK(I110), IF(ISBLANK(H110), "N/A", _xlfn.IFS(K110="AS", H110+15, K110="NCR", H110+30, K110="submitted", H110+30, TRUE, "N/A")), _xlfn.IFS(K110="AS", I110+15, K110="NCR", I110+30, K110="submitted", I110+30, TRUE, "N/A"))</f>
        <v>N/A</v>
      </c>
      <c r="K110" s="51"/>
      <c r="L110" s="318"/>
      <c r="M110" s="772"/>
      <c r="N110" s="773"/>
      <c r="O110" s="773"/>
      <c r="P110" s="774"/>
    </row>
    <row r="111" spans="1:16" ht="27" customHeight="1">
      <c r="A111" s="9"/>
      <c r="B111" s="21"/>
      <c r="C111" s="46"/>
      <c r="D111" s="20"/>
      <c r="E111" s="1"/>
      <c r="F111" s="9" t="s">
        <v>850</v>
      </c>
      <c r="G111" s="7" t="s">
        <v>923</v>
      </c>
      <c r="H111" s="9"/>
      <c r="I111" s="9"/>
      <c r="J111" s="74" t="str" cm="1">
        <f t="array" ref="J111">IF(ISBLANK(I111), IF(ISBLANK(H111), "N/A", _xlfn.IFS(K111="AS", H111+15, K111="NCR", H111+30, K111="submitted", H111+30, TRUE, "N/A")), _xlfn.IFS(K111="AS", I111+15, K111="NCR", I111+30, K111="submitted", I111+30, TRUE, "N/A"))</f>
        <v>N/A</v>
      </c>
      <c r="K111" s="14"/>
      <c r="L111" s="318"/>
      <c r="M111" s="772"/>
      <c r="N111" s="773"/>
      <c r="O111" s="773"/>
      <c r="P111" s="774"/>
    </row>
    <row r="112" spans="1:16" s="531" customFormat="1" ht="15" customHeight="1">
      <c r="A112" s="526" t="s">
        <v>924</v>
      </c>
      <c r="B112" s="540" t="s">
        <v>925</v>
      </c>
      <c r="C112" s="527" t="s">
        <v>926</v>
      </c>
      <c r="D112" s="578"/>
      <c r="E112" s="26" t="s">
        <v>798</v>
      </c>
      <c r="F112" s="526" t="s">
        <v>328</v>
      </c>
      <c r="G112" s="543" t="s">
        <v>823</v>
      </c>
      <c r="H112" s="536">
        <v>45897</v>
      </c>
      <c r="I112" s="536">
        <v>45926</v>
      </c>
      <c r="J112" s="74" cm="1">
        <f t="array" ref="J112">IF(ISBLANK(I112), IF(ISBLANK(H112), "N/A", _xlfn.IFS(K112="AS", H112+15, K112="NCR", H112+30, K112="submitted", H112+30, TRUE, "N/A")), _xlfn.IFS(K112="AS", I112+15, K112="NCR", I112+30, K112="submitted", I112+30, TRUE, "N/A"))</f>
        <v>45956</v>
      </c>
      <c r="K112" s="536" t="s">
        <v>207</v>
      </c>
      <c r="L112" s="318"/>
      <c r="M112" s="772"/>
      <c r="N112" s="773"/>
      <c r="O112" s="773"/>
      <c r="P112" s="774"/>
    </row>
    <row r="113" spans="1:16" s="531" customFormat="1" ht="15" customHeight="1">
      <c r="A113" s="526" t="s">
        <v>924</v>
      </c>
      <c r="B113" s="540" t="s">
        <v>925</v>
      </c>
      <c r="C113" s="527" t="s">
        <v>926</v>
      </c>
      <c r="D113" s="578"/>
      <c r="E113" s="26" t="s">
        <v>798</v>
      </c>
      <c r="F113" s="526" t="s">
        <v>329</v>
      </c>
      <c r="G113" s="535" t="s">
        <v>276</v>
      </c>
      <c r="H113" s="536">
        <v>45897</v>
      </c>
      <c r="I113" s="536">
        <v>45926</v>
      </c>
      <c r="J113" s="74" cm="1">
        <f t="array" ref="J113">IF(ISBLANK(I113), IF(ISBLANK(H113), "N/A", _xlfn.IFS(K113="AS", H113+15, K113="NCR", H113+30, K113="submitted", H113+30, TRUE, "N/A")), _xlfn.IFS(K113="AS", I113+15, K113="NCR", I113+30, K113="submitted", I113+30, TRUE, "N/A"))</f>
        <v>45956</v>
      </c>
      <c r="K113" s="536" t="s">
        <v>207</v>
      </c>
      <c r="L113" s="318"/>
      <c r="M113" s="772"/>
      <c r="N113" s="773"/>
      <c r="O113" s="773"/>
      <c r="P113" s="774"/>
    </row>
    <row r="114" spans="1:16" ht="27" customHeight="1">
      <c r="A114" s="4"/>
      <c r="B114" s="86" t="s">
        <v>925</v>
      </c>
      <c r="C114" s="34" t="s">
        <v>926</v>
      </c>
      <c r="D114" s="103"/>
      <c r="E114" s="5"/>
      <c r="F114" s="4" t="s">
        <v>396</v>
      </c>
      <c r="G114" s="3" t="s">
        <v>927</v>
      </c>
      <c r="H114" s="4"/>
      <c r="I114" s="4"/>
      <c r="J114" s="74" t="str" cm="1">
        <f t="array" ref="J114">IF(ISBLANK(I114), IF(ISBLANK(H114), "N/A", _xlfn.IFS(K114="AS", H114+15, K114="NCR", H114+30, K114="submitted", H114+30, TRUE, "N/A")), _xlfn.IFS(K114="AS", I114+15, K114="NCR", I114+30, K114="submitted", I114+30, TRUE, "N/A"))</f>
        <v>N/A</v>
      </c>
      <c r="K114" s="18"/>
      <c r="L114" s="318"/>
      <c r="M114" s="772"/>
      <c r="N114" s="773"/>
      <c r="O114" s="773"/>
      <c r="P114" s="774"/>
    </row>
    <row r="115" spans="1:16" s="531" customFormat="1" ht="27" customHeight="1">
      <c r="A115" s="526" t="s">
        <v>924</v>
      </c>
      <c r="B115" s="540" t="s">
        <v>925</v>
      </c>
      <c r="C115" s="527" t="s">
        <v>926</v>
      </c>
      <c r="D115" s="578"/>
      <c r="E115" s="26" t="s">
        <v>798</v>
      </c>
      <c r="F115" s="526" t="s">
        <v>397</v>
      </c>
      <c r="G115" s="543" t="s">
        <v>923</v>
      </c>
      <c r="H115" s="536">
        <v>45897</v>
      </c>
      <c r="I115" s="536">
        <v>45926</v>
      </c>
      <c r="J115" s="74" cm="1">
        <f t="array" ref="J115">IF(ISBLANK(I115), IF(ISBLANK(H115), "N/A", _xlfn.IFS(K115="AS", H115+15, K115="NCR", H115+30, K115="submitted", H115+30, TRUE, "N/A")), _xlfn.IFS(K115="AS", I115+15, K115="NCR", I115+30, K115="submitted", I115+30, TRUE, "N/A"))</f>
        <v>45956</v>
      </c>
      <c r="K115" s="536" t="s">
        <v>207</v>
      </c>
      <c r="L115" s="318"/>
      <c r="M115" s="772"/>
      <c r="N115" s="773"/>
      <c r="O115" s="773"/>
      <c r="P115" s="774"/>
    </row>
    <row r="116" spans="1:16" ht="15" customHeight="1">
      <c r="A116" s="4"/>
      <c r="B116" s="86" t="s">
        <v>925</v>
      </c>
      <c r="C116" s="34" t="s">
        <v>926</v>
      </c>
      <c r="D116" s="103"/>
      <c r="E116" s="5" t="s">
        <v>158</v>
      </c>
      <c r="F116" s="4" t="s">
        <v>338</v>
      </c>
      <c r="G116" s="3" t="s">
        <v>375</v>
      </c>
      <c r="H116" s="4"/>
      <c r="I116" s="4"/>
      <c r="J116" s="74" t="str" cm="1">
        <f t="array" ref="J116">IF(ISBLANK(I116), IF(ISBLANK(H116), "N/A", _xlfn.IFS(K116="AS", H116+15, K116="NCR", H116+30, K116="submitted", H116+30, TRUE, "N/A")), _xlfn.IFS(K116="AS", I116+15, K116="NCR", I116+30, K116="submitted", I116+30, TRUE, "N/A"))</f>
        <v>N/A</v>
      </c>
      <c r="K116" s="18"/>
      <c r="L116" s="318"/>
      <c r="M116" s="772"/>
      <c r="N116" s="773"/>
      <c r="O116" s="773"/>
      <c r="P116" s="774"/>
    </row>
    <row r="117" spans="1:16" ht="27" customHeight="1">
      <c r="A117" s="4"/>
      <c r="B117" s="86" t="s">
        <v>925</v>
      </c>
      <c r="C117" s="34" t="s">
        <v>926</v>
      </c>
      <c r="D117" s="103"/>
      <c r="E117" s="5" t="s">
        <v>158</v>
      </c>
      <c r="F117" s="4" t="s">
        <v>734</v>
      </c>
      <c r="G117" s="3" t="s">
        <v>377</v>
      </c>
      <c r="H117" s="4"/>
      <c r="I117" s="4"/>
      <c r="J117" s="74" t="str" cm="1">
        <f t="array" ref="J117">IF(ISBLANK(I117), IF(ISBLANK(H117), "N/A", _xlfn.IFS(K117="AS", H117+15, K117="NCR", H117+30, K117="submitted", H117+30, TRUE, "N/A")), _xlfn.IFS(K117="AS", I117+15, K117="NCR", I117+30, K117="submitted", I117+30, TRUE, "N/A"))</f>
        <v>N/A</v>
      </c>
      <c r="K117" s="18"/>
      <c r="L117" s="318"/>
      <c r="M117" s="772"/>
      <c r="N117" s="773"/>
      <c r="O117" s="773"/>
      <c r="P117" s="774"/>
    </row>
    <row r="118" spans="1:16" s="5" customFormat="1" ht="15" customHeight="1">
      <c r="A118" s="4"/>
      <c r="B118" s="794" t="s">
        <v>928</v>
      </c>
      <c r="C118" s="796" t="s">
        <v>283</v>
      </c>
      <c r="D118" s="34"/>
      <c r="E118" s="34"/>
      <c r="F118" s="4" t="s">
        <v>284</v>
      </c>
      <c r="G118" s="3" t="s">
        <v>285</v>
      </c>
      <c r="J118" s="74" t="str" cm="1">
        <f t="array" ref="J118">IF(ISBLANK(I118), IF(ISBLANK(H118), "N/A", _xlfn.IFS(K118="AS", H118+15, K118="NCR", H118+30, K118="submitted", H118+30, TRUE, "N/A")), _xlfn.IFS(K118="AS", I118+15, K118="NCR", I118+30, K118="submitted", I118+30, TRUE, "N/A"))</f>
        <v>N/A</v>
      </c>
      <c r="L118" s="318"/>
      <c r="M118" s="772"/>
      <c r="N118" s="773"/>
      <c r="O118" s="773"/>
      <c r="P118" s="774"/>
    </row>
    <row r="119" spans="1:16" s="1" customFormat="1" ht="15" customHeight="1">
      <c r="A119" s="4"/>
      <c r="B119" s="798"/>
      <c r="C119" s="799"/>
      <c r="D119" s="35"/>
      <c r="E119" s="35"/>
      <c r="F119" s="4" t="s">
        <v>286</v>
      </c>
      <c r="G119" s="17" t="s">
        <v>287</v>
      </c>
      <c r="J119" s="74" t="str" cm="1">
        <f t="array" ref="J119">IF(ISBLANK(I119), IF(ISBLANK(H119), "N/A", _xlfn.IFS(K119="AS", H119+15, K119="NCR", H119+30, K119="submitted", H119+30, TRUE, "N/A")), _xlfn.IFS(K119="AS", I119+15, K119="NCR", I119+30, K119="submitted", I119+30, TRUE, "N/A"))</f>
        <v>N/A</v>
      </c>
      <c r="L119" s="318"/>
      <c r="M119" s="772"/>
      <c r="N119" s="773"/>
      <c r="O119" s="773"/>
      <c r="P119" s="774"/>
    </row>
    <row r="120" spans="1:16" s="1" customFormat="1" ht="15" customHeight="1">
      <c r="A120" s="4"/>
      <c r="B120" s="795"/>
      <c r="C120" s="797"/>
      <c r="D120" s="35"/>
      <c r="E120" s="35"/>
      <c r="F120" s="4" t="s">
        <v>133</v>
      </c>
      <c r="G120" s="3" t="s">
        <v>288</v>
      </c>
      <c r="J120" s="74" t="str" cm="1">
        <f t="array" ref="J120">IF(ISBLANK(I120), IF(ISBLANK(H120), "N/A", _xlfn.IFS(K120="AS", H120+15, K120="NCR", H120+30, K120="submitted", H120+30, TRUE, "N/A")), _xlfn.IFS(K120="AS", I120+15, K120="NCR", I120+30, K120="submitted", I120+30, TRUE, "N/A"))</f>
        <v>N/A</v>
      </c>
      <c r="L120" s="318"/>
      <c r="M120" s="766" t="s">
        <v>132</v>
      </c>
      <c r="N120" s="767"/>
      <c r="O120" s="767"/>
      <c r="P120" s="768"/>
    </row>
    <row r="121" spans="1:16" s="151" customFormat="1" ht="15" customHeight="1">
      <c r="A121" s="22" t="s">
        <v>929</v>
      </c>
      <c r="B121" s="311" t="s">
        <v>930</v>
      </c>
      <c r="C121" s="233" t="s">
        <v>931</v>
      </c>
      <c r="D121" s="203"/>
      <c r="E121" s="583" t="s">
        <v>753</v>
      </c>
      <c r="F121" s="204" t="s">
        <v>234</v>
      </c>
      <c r="G121" s="24" t="s">
        <v>932</v>
      </c>
      <c r="H121" s="25">
        <v>45894</v>
      </c>
      <c r="I121" s="22"/>
      <c r="J121" s="74" cm="1">
        <f t="array" ref="J121">IF(ISBLANK(I121), IF(ISBLANK(H121), "N/A", _xlfn.IFS(K121="AS", H121+15, K121="NCR", H121+30, K121="submitted", H121+30, TRUE, "N/A")), _xlfn.IFS(K121="AS", I121+15, K121="NCR", I121+30, K121="submitted", I121+30, TRUE, "N/A"))</f>
        <v>45924</v>
      </c>
      <c r="K121" s="536" t="s">
        <v>154</v>
      </c>
      <c r="L121" s="318"/>
      <c r="M121" s="769"/>
      <c r="N121" s="770"/>
      <c r="O121" s="770"/>
      <c r="P121" s="771"/>
    </row>
    <row r="122" spans="1:16" ht="15" customHeight="1">
      <c r="A122" s="9"/>
      <c r="B122" s="311" t="s">
        <v>930</v>
      </c>
      <c r="C122" s="233" t="s">
        <v>931</v>
      </c>
      <c r="D122" s="143"/>
      <c r="E122" s="140"/>
      <c r="F122" s="141" t="s">
        <v>236</v>
      </c>
      <c r="G122" s="13" t="s">
        <v>933</v>
      </c>
      <c r="H122" s="9"/>
      <c r="I122" s="9"/>
      <c r="J122" s="74" t="str" cm="1">
        <f t="array" ref="J122">IF(ISBLANK(I122), IF(ISBLANK(H122), "N/A", _xlfn.IFS(K122="AS", H122+15, K122="NCR", H122+30, K122="submitted", H122+30, TRUE, "N/A")), _xlfn.IFS(K122="AS", I122+15, K122="NCR", I122+30, K122="submitted", I122+30, TRUE, "N/A"))</f>
        <v>N/A</v>
      </c>
      <c r="K122" s="14"/>
      <c r="L122" s="318"/>
      <c r="M122" s="769"/>
      <c r="N122" s="770"/>
      <c r="O122" s="770"/>
      <c r="P122" s="771"/>
    </row>
    <row r="123" spans="1:16" ht="15" customHeight="1">
      <c r="A123" s="9"/>
      <c r="B123" s="311" t="s">
        <v>930</v>
      </c>
      <c r="C123" s="233" t="s">
        <v>931</v>
      </c>
      <c r="D123" s="143"/>
      <c r="E123" s="140"/>
      <c r="F123" s="141" t="s">
        <v>396</v>
      </c>
      <c r="G123" s="13" t="s">
        <v>320</v>
      </c>
      <c r="H123" s="9"/>
      <c r="I123" s="9"/>
      <c r="J123" s="74" t="str" cm="1">
        <f t="array" ref="J123">IF(ISBLANK(I123), IF(ISBLANK(H123), "N/A", _xlfn.IFS(K123="AS", H123+15, K123="NCR", H123+30, K123="submitted", H123+30, TRUE, "N/A")), _xlfn.IFS(K123="AS", I123+15, K123="NCR", I123+30, K123="submitted", I123+30, TRUE, "N/A"))</f>
        <v>N/A</v>
      </c>
      <c r="K123" s="14"/>
      <c r="L123" s="318"/>
      <c r="M123" s="769"/>
      <c r="N123" s="770"/>
      <c r="O123" s="770"/>
      <c r="P123" s="771"/>
    </row>
    <row r="124" spans="1:16" ht="15" customHeight="1">
      <c r="A124" s="9"/>
      <c r="B124" s="311" t="s">
        <v>930</v>
      </c>
      <c r="C124" s="233" t="s">
        <v>931</v>
      </c>
      <c r="D124" s="143"/>
      <c r="E124" s="140"/>
      <c r="F124" s="141" t="s">
        <v>397</v>
      </c>
      <c r="G124" s="7" t="s">
        <v>934</v>
      </c>
      <c r="H124" s="9"/>
      <c r="I124" s="9"/>
      <c r="J124" s="74" t="str" cm="1">
        <f t="array" ref="J124">IF(ISBLANK(I124), IF(ISBLANK(H124), "N/A", _xlfn.IFS(K124="AS", H124+15, K124="NCR", H124+30, K124="submitted", H124+30, TRUE, "N/A")), _xlfn.IFS(K124="AS", I124+15, K124="NCR", I124+30, K124="submitted", I124+30, TRUE, "N/A"))</f>
        <v>N/A</v>
      </c>
      <c r="K124" s="14"/>
      <c r="L124" s="318"/>
      <c r="M124" s="769"/>
      <c r="N124" s="770"/>
      <c r="O124" s="770"/>
      <c r="P124" s="771"/>
    </row>
    <row r="125" spans="1:16" ht="15" customHeight="1">
      <c r="A125" s="9"/>
      <c r="B125" s="311" t="s">
        <v>930</v>
      </c>
      <c r="C125" s="233" t="s">
        <v>931</v>
      </c>
      <c r="D125" s="143"/>
      <c r="E125" s="140"/>
      <c r="F125" s="141" t="s">
        <v>398</v>
      </c>
      <c r="G125" s="13" t="s">
        <v>935</v>
      </c>
      <c r="H125" s="9"/>
      <c r="I125" s="9"/>
      <c r="J125" s="74" t="str" cm="1">
        <f t="array" ref="J125">IF(ISBLANK(I125), IF(ISBLANK(H125), "N/A", _xlfn.IFS(K125="AS", H125+15, K125="NCR", H125+30, K125="submitted", H125+30, TRUE, "N/A")), _xlfn.IFS(K125="AS", I125+15, K125="NCR", I125+30, K125="submitted", I125+30, TRUE, "N/A"))</f>
        <v>N/A</v>
      </c>
      <c r="K125" s="14"/>
      <c r="L125" s="318"/>
      <c r="M125" s="769"/>
      <c r="N125" s="770"/>
      <c r="O125" s="770"/>
      <c r="P125" s="771"/>
    </row>
    <row r="126" spans="1:16" ht="15" customHeight="1">
      <c r="A126" s="9"/>
      <c r="B126" s="311" t="s">
        <v>930</v>
      </c>
      <c r="C126" s="233" t="s">
        <v>931</v>
      </c>
      <c r="D126" s="143"/>
      <c r="E126" s="140"/>
      <c r="F126" s="141" t="s">
        <v>400</v>
      </c>
      <c r="G126" s="13" t="s">
        <v>333</v>
      </c>
      <c r="H126" s="9"/>
      <c r="I126" s="9"/>
      <c r="J126" s="74" t="str" cm="1">
        <f t="array" ref="J126">IF(ISBLANK(I126), IF(ISBLANK(H126), "N/A", _xlfn.IFS(K126="AS", H126+15, K126="NCR", H126+30, K126="submitted", H126+30, TRUE, "N/A")), _xlfn.IFS(K126="AS", I126+15, K126="NCR", I126+30, K126="submitted", I126+30, TRUE, "N/A"))</f>
        <v>N/A</v>
      </c>
      <c r="K126" s="14"/>
      <c r="L126" s="318"/>
      <c r="M126" s="769"/>
      <c r="N126" s="770"/>
      <c r="O126" s="770"/>
      <c r="P126" s="771"/>
    </row>
    <row r="127" spans="1:16" ht="15" customHeight="1">
      <c r="A127" s="9"/>
      <c r="B127" s="311" t="s">
        <v>930</v>
      </c>
      <c r="C127" s="233" t="s">
        <v>931</v>
      </c>
      <c r="D127" s="143"/>
      <c r="E127" s="140"/>
      <c r="F127" s="141" t="s">
        <v>433</v>
      </c>
      <c r="G127" s="13" t="s">
        <v>936</v>
      </c>
      <c r="H127" s="9"/>
      <c r="I127" s="9"/>
      <c r="J127" s="74" t="str" cm="1">
        <f t="array" ref="J127">IF(ISBLANK(I127), IF(ISBLANK(H127), "N/A", _xlfn.IFS(K127="AS", H127+15, K127="NCR", H127+30, K127="submitted", H127+30, TRUE, "N/A")), _xlfn.IFS(K127="AS", I127+15, K127="NCR", I127+30, K127="submitted", I127+30, TRUE, "N/A"))</f>
        <v>N/A</v>
      </c>
      <c r="K127" s="14"/>
      <c r="L127" s="318"/>
      <c r="M127" s="769"/>
      <c r="N127" s="770"/>
      <c r="O127" s="770"/>
      <c r="P127" s="771"/>
    </row>
    <row r="128" spans="1:16" ht="15" customHeight="1">
      <c r="A128" s="9"/>
      <c r="B128" s="311" t="s">
        <v>930</v>
      </c>
      <c r="C128" s="233" t="s">
        <v>931</v>
      </c>
      <c r="D128" s="143"/>
      <c r="E128" s="140"/>
      <c r="F128" s="141" t="s">
        <v>435</v>
      </c>
      <c r="G128" s="13" t="s">
        <v>937</v>
      </c>
      <c r="H128" s="9"/>
      <c r="I128" s="9"/>
      <c r="J128" s="74" t="str" cm="1">
        <f t="array" ref="J128">IF(ISBLANK(I128), IF(ISBLANK(H128), "N/A", _xlfn.IFS(K128="AS", H128+15, K128="NCR", H128+30, K128="submitted", H128+30, TRUE, "N/A")), _xlfn.IFS(K128="AS", I128+15, K128="NCR", I128+30, K128="submitted", I128+30, TRUE, "N/A"))</f>
        <v>N/A</v>
      </c>
      <c r="K128" s="14"/>
      <c r="L128" s="318"/>
      <c r="M128" s="772" t="s">
        <v>147</v>
      </c>
      <c r="N128" s="773"/>
      <c r="O128" s="773"/>
      <c r="P128" s="774"/>
    </row>
    <row r="129" spans="1:16" ht="15" customHeight="1">
      <c r="A129" s="9"/>
      <c r="B129" s="311" t="s">
        <v>930</v>
      </c>
      <c r="C129" s="233" t="s">
        <v>931</v>
      </c>
      <c r="D129" s="143"/>
      <c r="E129" s="140"/>
      <c r="F129" s="141" t="s">
        <v>437</v>
      </c>
      <c r="G129" s="13" t="s">
        <v>938</v>
      </c>
      <c r="H129" s="9"/>
      <c r="I129" s="9"/>
      <c r="J129" s="74" t="str" cm="1">
        <f t="array" ref="J129">IF(ISBLANK(I129), IF(ISBLANK(H129), "N/A", _xlfn.IFS(K129="AS", H129+15, K129="NCR", H129+30, K129="submitted", H129+30, TRUE, "N/A")), _xlfn.IFS(K129="AS", I129+15, K129="NCR", I129+30, K129="submitted", I129+30, TRUE, "N/A"))</f>
        <v>N/A</v>
      </c>
      <c r="K129" s="14"/>
      <c r="L129" s="318"/>
      <c r="M129" s="772"/>
      <c r="N129" s="773"/>
      <c r="O129" s="773"/>
      <c r="P129" s="774"/>
    </row>
    <row r="130" spans="1:16" ht="15" customHeight="1">
      <c r="A130" s="9"/>
      <c r="B130" s="311" t="s">
        <v>930</v>
      </c>
      <c r="C130" s="233" t="s">
        <v>931</v>
      </c>
      <c r="D130" s="143"/>
      <c r="E130" s="140"/>
      <c r="F130" s="141" t="s">
        <v>462</v>
      </c>
      <c r="G130" s="13" t="s">
        <v>939</v>
      </c>
      <c r="H130" s="9"/>
      <c r="I130" s="9"/>
      <c r="J130" s="74" t="str" cm="1">
        <f t="array" ref="J130">IF(ISBLANK(I130), IF(ISBLANK(H130), "N/A", _xlfn.IFS(K130="AS", H130+15, K130="NCR", H130+30, K130="submitted", H130+30, TRUE, "N/A")), _xlfn.IFS(K130="AS", I130+15, K130="NCR", I130+30, K130="submitted", I130+30, TRUE, "N/A"))</f>
        <v>N/A</v>
      </c>
      <c r="K130" s="14"/>
      <c r="L130" s="318"/>
      <c r="M130" s="772"/>
      <c r="N130" s="773"/>
      <c r="O130" s="773"/>
      <c r="P130" s="774"/>
    </row>
    <row r="131" spans="1:16" ht="15" customHeight="1">
      <c r="A131" s="9"/>
      <c r="B131" s="311" t="s">
        <v>930</v>
      </c>
      <c r="C131" s="233" t="s">
        <v>931</v>
      </c>
      <c r="D131" s="143"/>
      <c r="E131" s="140"/>
      <c r="F131" s="141" t="s">
        <v>447</v>
      </c>
      <c r="G131" s="13" t="s">
        <v>940</v>
      </c>
      <c r="H131" s="9"/>
      <c r="I131" s="9"/>
      <c r="J131" s="74" t="str" cm="1">
        <f t="array" ref="J131">IF(ISBLANK(I131), IF(ISBLANK(H131), "N/A", _xlfn.IFS(K131="AS", H131+15, K131="NCR", H131+30, K131="submitted", H131+30, TRUE, "N/A")), _xlfn.IFS(K131="AS", I131+15, K131="NCR", I131+30, K131="submitted", I131+30, TRUE, "N/A"))</f>
        <v>N/A</v>
      </c>
      <c r="K131" s="14"/>
      <c r="L131" s="318"/>
      <c r="M131" s="772"/>
      <c r="N131" s="773"/>
      <c r="O131" s="773"/>
      <c r="P131" s="774"/>
    </row>
    <row r="132" spans="1:16" ht="15" customHeight="1">
      <c r="A132" s="9"/>
      <c r="B132" s="311" t="s">
        <v>930</v>
      </c>
      <c r="C132" s="233" t="s">
        <v>931</v>
      </c>
      <c r="D132" s="143"/>
      <c r="E132" s="140"/>
      <c r="F132" s="141" t="s">
        <v>449</v>
      </c>
      <c r="G132" s="13" t="s">
        <v>941</v>
      </c>
      <c r="H132" s="9"/>
      <c r="I132" s="9"/>
      <c r="J132" s="74" t="str" cm="1">
        <f t="array" ref="J132">IF(ISBLANK(I132), IF(ISBLANK(H132), "N/A", _xlfn.IFS(K132="AS", H132+15, K132="NCR", H132+30, K132="submitted", H132+30, TRUE, "N/A")), _xlfn.IFS(K132="AS", I132+15, K132="NCR", I132+30, K132="submitted", I132+30, TRUE, "N/A"))</f>
        <v>N/A</v>
      </c>
      <c r="K132" s="14"/>
      <c r="L132" s="318"/>
      <c r="M132" s="772"/>
      <c r="N132" s="773"/>
      <c r="O132" s="773"/>
      <c r="P132" s="774"/>
    </row>
    <row r="133" spans="1:16" ht="15" customHeight="1">
      <c r="A133" s="9"/>
      <c r="B133" s="311" t="s">
        <v>930</v>
      </c>
      <c r="C133" s="233" t="s">
        <v>931</v>
      </c>
      <c r="D133" s="143"/>
      <c r="E133" s="140"/>
      <c r="F133" s="141" t="s">
        <v>451</v>
      </c>
      <c r="G133" s="13" t="s">
        <v>942</v>
      </c>
      <c r="H133" s="9"/>
      <c r="I133" s="9"/>
      <c r="J133" s="74" t="str" cm="1">
        <f t="array" ref="J133">IF(ISBLANK(I133), IF(ISBLANK(H133), "N/A", _xlfn.IFS(K133="AS", H133+15, K133="NCR", H133+30, K133="submitted", H133+30, TRUE, "N/A")), _xlfn.IFS(K133="AS", I133+15, K133="NCR", I133+30, K133="submitted", I133+30, TRUE, "N/A"))</f>
        <v>N/A</v>
      </c>
      <c r="K133" s="14"/>
      <c r="L133" s="319"/>
      <c r="M133" s="772"/>
      <c r="N133" s="773"/>
      <c r="O133" s="773"/>
      <c r="P133" s="774"/>
    </row>
    <row r="134" spans="1:16" ht="15" customHeight="1">
      <c r="A134" s="9"/>
      <c r="B134" s="311" t="s">
        <v>930</v>
      </c>
      <c r="C134" s="233" t="s">
        <v>931</v>
      </c>
      <c r="D134" s="143"/>
      <c r="E134" s="140"/>
      <c r="F134" s="141" t="s">
        <v>453</v>
      </c>
      <c r="G134" s="13" t="s">
        <v>943</v>
      </c>
      <c r="H134" s="9"/>
      <c r="I134" s="9"/>
      <c r="J134" s="74" t="str" cm="1">
        <f t="array" ref="J134">IF(ISBLANK(I134), IF(ISBLANK(H134), "N/A", _xlfn.IFS(K134="AS", H134+15, K134="NCR", H134+30, K134="submitted", H134+30, TRUE, "N/A")), _xlfn.IFS(K134="AS", I134+15, K134="NCR", I134+30, K134="submitted", I134+30, TRUE, "N/A"))</f>
        <v>N/A</v>
      </c>
      <c r="K134" s="14"/>
      <c r="L134" s="318"/>
      <c r="M134" s="772"/>
      <c r="N134" s="773"/>
      <c r="O134" s="773"/>
      <c r="P134" s="774"/>
    </row>
    <row r="135" spans="1:16" ht="15" customHeight="1">
      <c r="A135" s="9"/>
      <c r="B135" s="311" t="s">
        <v>930</v>
      </c>
      <c r="C135" s="233" t="s">
        <v>931</v>
      </c>
      <c r="D135" s="143"/>
      <c r="E135" s="140"/>
      <c r="F135" s="141" t="s">
        <v>944</v>
      </c>
      <c r="G135" s="13" t="s">
        <v>945</v>
      </c>
      <c r="H135" s="9"/>
      <c r="I135" s="9"/>
      <c r="J135" s="74" t="str" cm="1">
        <f t="array" ref="J135">IF(ISBLANK(I135), IF(ISBLANK(H135), "N/A", _xlfn.IFS(K135="AS", H135+15, K135="NCR", H135+30, K135="submitted", H135+30, TRUE, "N/A")), _xlfn.IFS(K135="AS", I135+15, K135="NCR", I135+30, K135="submitted", I135+30, TRUE, "N/A"))</f>
        <v>N/A</v>
      </c>
      <c r="K135" s="14"/>
      <c r="L135" s="318"/>
      <c r="M135" s="772"/>
      <c r="N135" s="773"/>
      <c r="O135" s="773"/>
      <c r="P135" s="774"/>
    </row>
    <row r="136" spans="1:16" ht="15" customHeight="1">
      <c r="A136" s="9"/>
      <c r="B136" s="311" t="s">
        <v>930</v>
      </c>
      <c r="C136" s="233" t="s">
        <v>931</v>
      </c>
      <c r="D136" s="586"/>
      <c r="E136" s="140"/>
      <c r="F136" s="141" t="s">
        <v>946</v>
      </c>
      <c r="G136" s="13" t="s">
        <v>685</v>
      </c>
      <c r="H136" s="9"/>
      <c r="I136" s="9"/>
      <c r="J136" s="74" t="str" cm="1">
        <f t="array" ref="J136">IF(ISBLANK(I136), IF(ISBLANK(H136), "N/A", _xlfn.IFS(K136="AS", H136+15, K136="NCR", H136+30, K136="submitted", H136+30, TRUE, "N/A")), _xlfn.IFS(K136="AS", I136+15, K136="NCR", I136+30, K136="submitted", I136+30, TRUE, "N/A"))</f>
        <v>N/A</v>
      </c>
      <c r="K136" s="14"/>
      <c r="L136" s="318"/>
      <c r="M136" s="772"/>
      <c r="N136" s="773"/>
      <c r="O136" s="773"/>
      <c r="P136" s="774"/>
    </row>
    <row r="137" spans="1:16" ht="15" customHeight="1">
      <c r="A137" s="585"/>
      <c r="B137" s="584" t="s">
        <v>947</v>
      </c>
      <c r="C137" s="144" t="s">
        <v>948</v>
      </c>
      <c r="D137" s="144"/>
      <c r="E137" s="5"/>
      <c r="F137" s="4" t="s">
        <v>228</v>
      </c>
      <c r="G137" s="17" t="s">
        <v>949</v>
      </c>
      <c r="H137" s="4"/>
      <c r="I137" s="4"/>
      <c r="J137" s="74" t="str" cm="1">
        <f t="array" ref="J137">IF(ISBLANK(I137), IF(ISBLANK(H137), "N/A", _xlfn.IFS(K137="AS", H137+15, K137="NCR", H137+30, K137="submitted", H137+30, TRUE, "N/A")), _xlfn.IFS(K137="AS", I137+15, K137="NCR", I137+30, K137="submitted", I137+30, TRUE, "N/A"))</f>
        <v>N/A</v>
      </c>
      <c r="K137" s="18"/>
      <c r="L137" s="318"/>
      <c r="M137" s="772"/>
      <c r="N137" s="773"/>
      <c r="O137" s="773"/>
      <c r="P137" s="774"/>
    </row>
    <row r="138" spans="1:16" ht="27" customHeight="1">
      <c r="A138" s="585"/>
      <c r="B138" s="584"/>
      <c r="C138" s="144" t="s">
        <v>948</v>
      </c>
      <c r="D138" s="144"/>
      <c r="E138" s="5"/>
      <c r="F138" s="4" t="s">
        <v>230</v>
      </c>
      <c r="G138" s="3" t="s">
        <v>950</v>
      </c>
      <c r="H138" s="4"/>
      <c r="I138" s="4"/>
      <c r="J138" s="74" t="str" cm="1">
        <f t="array" ref="J138">IF(ISBLANK(I138), IF(ISBLANK(H138), "N/A", _xlfn.IFS(K138="AS", H138+15, K138="NCR", H138+30, K138="submitted", H138+30, TRUE, "N/A")), _xlfn.IFS(K138="AS", I138+15, K138="NCR", I138+30, K138="submitted", I138+30, TRUE, "N/A"))</f>
        <v>N/A</v>
      </c>
      <c r="K138" s="18"/>
      <c r="L138" s="318"/>
      <c r="M138" s="772"/>
      <c r="N138" s="773"/>
      <c r="O138" s="773"/>
      <c r="P138" s="774"/>
    </row>
    <row r="139" spans="1:16" ht="15" customHeight="1">
      <c r="A139" s="585"/>
      <c r="B139" s="584"/>
      <c r="C139" s="144" t="s">
        <v>948</v>
      </c>
      <c r="D139" s="144"/>
      <c r="E139" s="5"/>
      <c r="F139" s="4" t="s">
        <v>329</v>
      </c>
      <c r="G139" s="17" t="s">
        <v>276</v>
      </c>
      <c r="H139" s="4"/>
      <c r="I139" s="4"/>
      <c r="J139" s="74" t="str" cm="1">
        <f t="array" ref="J139">IF(ISBLANK(I139), IF(ISBLANK(H139), "N/A", _xlfn.IFS(K139="AS", H139+15, K139="NCR", H139+30, K139="submitted", H139+30, TRUE, "N/A")), _xlfn.IFS(K139="AS", I139+15, K139="NCR", I139+30, K139="submitted", I139+30, TRUE, "N/A"))</f>
        <v>N/A</v>
      </c>
      <c r="K139" s="18"/>
      <c r="L139" s="318"/>
      <c r="M139" s="772"/>
      <c r="N139" s="773"/>
      <c r="O139" s="773"/>
      <c r="P139" s="774"/>
    </row>
    <row r="140" spans="1:16" ht="15" customHeight="1">
      <c r="A140" s="585"/>
      <c r="B140" s="584"/>
      <c r="C140" s="144" t="s">
        <v>948</v>
      </c>
      <c r="D140" s="144"/>
      <c r="E140" s="5"/>
      <c r="F140" s="4" t="s">
        <v>396</v>
      </c>
      <c r="G140" s="17" t="s">
        <v>935</v>
      </c>
      <c r="H140" s="4"/>
      <c r="I140" s="4"/>
      <c r="J140" s="74" t="str" cm="1">
        <f t="array" ref="J140">IF(ISBLANK(I140), IF(ISBLANK(H140), "N/A", _xlfn.IFS(K140="AS", H140+15, K140="NCR", H140+30, K140="submitted", H140+30, TRUE, "N/A")), _xlfn.IFS(K140="AS", I140+15, K140="NCR", I140+30, K140="submitted", I140+30, TRUE, "N/A"))</f>
        <v>N/A</v>
      </c>
      <c r="K140" s="18"/>
      <c r="L140" s="318"/>
      <c r="M140" s="772"/>
      <c r="N140" s="773"/>
      <c r="O140" s="773"/>
      <c r="P140" s="774"/>
    </row>
    <row r="141" spans="1:16" ht="15" customHeight="1">
      <c r="A141" s="585"/>
      <c r="B141" s="584"/>
      <c r="C141" s="144" t="s">
        <v>948</v>
      </c>
      <c r="D141" s="144"/>
      <c r="E141" s="5"/>
      <c r="F141" s="4" t="s">
        <v>397</v>
      </c>
      <c r="G141" s="17" t="s">
        <v>792</v>
      </c>
      <c r="H141" s="4"/>
      <c r="I141" s="4"/>
      <c r="J141" s="74" t="str" cm="1">
        <f t="array" ref="J141">IF(ISBLANK(I141), IF(ISBLANK(H141), "N/A", _xlfn.IFS(K141="AS", H141+15, K141="NCR", H141+30, K141="submitted", H141+30, TRUE, "N/A")), _xlfn.IFS(K141="AS", I141+15, K141="NCR", I141+30, K141="submitted", I141+30, TRUE, "N/A"))</f>
        <v>N/A</v>
      </c>
      <c r="K141" s="18"/>
      <c r="L141" s="318"/>
      <c r="M141" s="772"/>
      <c r="N141" s="773"/>
      <c r="O141" s="773"/>
      <c r="P141" s="774"/>
    </row>
    <row r="142" spans="1:16" ht="15" customHeight="1">
      <c r="A142" s="585"/>
      <c r="B142" s="584"/>
      <c r="C142" s="144" t="s">
        <v>948</v>
      </c>
      <c r="D142" s="144"/>
      <c r="E142" s="5"/>
      <c r="F142" s="4" t="s">
        <v>338</v>
      </c>
      <c r="G142" s="3" t="s">
        <v>951</v>
      </c>
      <c r="H142" s="4"/>
      <c r="I142" s="4"/>
      <c r="J142" s="74" t="str" cm="1">
        <f t="array" ref="J142">IF(ISBLANK(I142), IF(ISBLANK(H142), "N/A", _xlfn.IFS(K142="AS", H142+15, K142="NCR", H142+30, K142="submitted", H142+30, TRUE, "N/A")), _xlfn.IFS(K142="AS", I142+15, K142="NCR", I142+30, K142="submitted", I142+30, TRUE, "N/A"))</f>
        <v>N/A</v>
      </c>
      <c r="K142" s="18"/>
      <c r="L142" s="318"/>
      <c r="M142" s="772"/>
      <c r="N142" s="773"/>
      <c r="O142" s="773"/>
      <c r="P142" s="774"/>
    </row>
    <row r="143" spans="1:16" ht="15" customHeight="1">
      <c r="A143" s="585"/>
      <c r="B143" s="584"/>
      <c r="C143" s="144" t="s">
        <v>948</v>
      </c>
      <c r="D143" s="144"/>
      <c r="E143" s="5"/>
      <c r="F143" s="4" t="s">
        <v>734</v>
      </c>
      <c r="G143" s="3" t="s">
        <v>952</v>
      </c>
      <c r="H143" s="4"/>
      <c r="I143" s="4"/>
      <c r="J143" s="74" t="str" cm="1">
        <f t="array" ref="J143">IF(ISBLANK(I143), IF(ISBLANK(H143), "N/A", _xlfn.IFS(K143="AS", H143+15, K143="NCR", H143+30, K143="submitted", H143+30, TRUE, "N/A")), _xlfn.IFS(K143="AS", I143+15, K143="NCR", I143+30, K143="submitted", I143+30, TRUE, "N/A"))</f>
        <v>N/A</v>
      </c>
      <c r="K143" s="18"/>
      <c r="L143" s="318"/>
      <c r="M143" s="772"/>
      <c r="N143" s="773"/>
      <c r="O143" s="773"/>
      <c r="P143" s="774"/>
    </row>
    <row r="144" spans="1:16" ht="15" customHeight="1">
      <c r="A144" s="585"/>
      <c r="B144" s="584"/>
      <c r="C144" s="144" t="s">
        <v>948</v>
      </c>
      <c r="D144" s="144"/>
      <c r="E144" s="5"/>
      <c r="F144" s="4" t="s">
        <v>400</v>
      </c>
      <c r="G144" s="17" t="s">
        <v>953</v>
      </c>
      <c r="H144" s="4"/>
      <c r="I144" s="4"/>
      <c r="J144" s="74" t="str" cm="1">
        <f t="array" ref="J144">IF(ISBLANK(I144), IF(ISBLANK(H144), "N/A", _xlfn.IFS(K144="AS", H144+15, K144="NCR", H144+30, K144="submitted", H144+30, TRUE, "N/A")), _xlfn.IFS(K144="AS", I144+15, K144="NCR", I144+30, K144="submitted", I144+30, TRUE, "N/A"))</f>
        <v>N/A</v>
      </c>
      <c r="K144" s="18"/>
      <c r="L144" s="318"/>
      <c r="M144" s="772"/>
      <c r="N144" s="773"/>
      <c r="O144" s="773"/>
      <c r="P144" s="774"/>
    </row>
    <row r="145" spans="1:16" ht="15" customHeight="1">
      <c r="A145" s="585"/>
      <c r="B145" s="584"/>
      <c r="C145" s="144" t="s">
        <v>948</v>
      </c>
      <c r="D145" s="144"/>
      <c r="E145" s="5"/>
      <c r="F145" s="4" t="s">
        <v>433</v>
      </c>
      <c r="G145" s="17" t="s">
        <v>954</v>
      </c>
      <c r="H145" s="4"/>
      <c r="I145" s="4"/>
      <c r="J145" s="74" t="str" cm="1">
        <f t="array" ref="J145">IF(ISBLANK(I145), IF(ISBLANK(H145), "N/A", _xlfn.IFS(K145="AS", H145+15, K145="NCR", H145+30, K145="submitted", H145+30, TRUE, "N/A")), _xlfn.IFS(K145="AS", I145+15, K145="NCR", I145+30, K145="submitted", I145+30, TRUE, "N/A"))</f>
        <v>N/A</v>
      </c>
      <c r="K145" s="18"/>
      <c r="L145" s="318"/>
      <c r="M145" s="772"/>
      <c r="N145" s="773"/>
      <c r="O145" s="773"/>
      <c r="P145" s="774"/>
    </row>
    <row r="146" spans="1:16" ht="15" customHeight="1">
      <c r="A146" s="585"/>
      <c r="B146" s="584"/>
      <c r="C146" s="144" t="s">
        <v>948</v>
      </c>
      <c r="D146" s="144"/>
      <c r="E146" s="5"/>
      <c r="F146" s="4" t="s">
        <v>435</v>
      </c>
      <c r="G146" s="17" t="s">
        <v>955</v>
      </c>
      <c r="H146" s="4"/>
      <c r="I146" s="4"/>
      <c r="J146" s="74" t="str" cm="1">
        <f t="array" ref="J146">IF(ISBLANK(I146), IF(ISBLANK(H146), "N/A", _xlfn.IFS(K146="AS", H146+15, K146="NCR", H146+30, K146="submitted", H146+30, TRUE, "N/A")), _xlfn.IFS(K146="AS", I146+15, K146="NCR", I146+30, K146="submitted", I146+30, TRUE, "N/A"))</f>
        <v>N/A</v>
      </c>
      <c r="K146" s="18"/>
      <c r="L146" s="318"/>
      <c r="M146" s="772"/>
      <c r="N146" s="773"/>
      <c r="O146" s="773"/>
      <c r="P146" s="774"/>
    </row>
    <row r="147" spans="1:16" ht="27" customHeight="1">
      <c r="A147" s="585"/>
      <c r="B147" s="584"/>
      <c r="C147" s="144" t="s">
        <v>948</v>
      </c>
      <c r="D147" s="144"/>
      <c r="E147" s="5"/>
      <c r="F147" s="4" t="s">
        <v>437</v>
      </c>
      <c r="G147" s="3" t="s">
        <v>956</v>
      </c>
      <c r="H147" s="4"/>
      <c r="I147" s="4"/>
      <c r="J147" s="74" t="str" cm="1">
        <f t="array" ref="J147">IF(ISBLANK(I147), IF(ISBLANK(H147), "N/A", _xlfn.IFS(K147="AS", H147+15, K147="NCR", H147+30, K147="submitted", H147+30, TRUE, "N/A")), _xlfn.IFS(K147="AS", I147+15, K147="NCR", I147+30, K147="submitted", I147+30, TRUE, "N/A"))</f>
        <v>N/A</v>
      </c>
      <c r="K147" s="18"/>
      <c r="L147" s="318"/>
      <c r="M147" s="772"/>
      <c r="N147" s="773"/>
      <c r="O147" s="773"/>
      <c r="P147" s="774"/>
    </row>
    <row r="148" spans="1:16" ht="15" customHeight="1">
      <c r="A148" s="585"/>
      <c r="B148" s="584"/>
      <c r="C148" s="144" t="s">
        <v>948</v>
      </c>
      <c r="D148" s="144"/>
      <c r="E148" s="5"/>
      <c r="F148" s="4" t="s">
        <v>462</v>
      </c>
      <c r="G148" s="17" t="s">
        <v>685</v>
      </c>
      <c r="H148" s="4"/>
      <c r="I148" s="4"/>
      <c r="J148" s="74" t="str" cm="1">
        <f t="array" ref="J148">IF(ISBLANK(I148), IF(ISBLANK(H148), "N/A", _xlfn.IFS(K148="AS", H148+15, K148="NCR", H148+30, K148="submitted", H148+30, TRUE, "N/A")), _xlfn.IFS(K148="AS", I148+15, K148="NCR", I148+30, K148="submitted", I148+30, TRUE, "N/A"))</f>
        <v>N/A</v>
      </c>
      <c r="K148" s="18"/>
      <c r="L148" s="318"/>
      <c r="M148" s="772"/>
      <c r="N148" s="773"/>
      <c r="O148" s="773"/>
      <c r="P148" s="774"/>
    </row>
    <row r="149" spans="1:16" ht="27" customHeight="1">
      <c r="A149" s="585"/>
      <c r="B149" s="584"/>
      <c r="C149" s="144" t="s">
        <v>948</v>
      </c>
      <c r="D149" s="144"/>
      <c r="E149" s="5"/>
      <c r="F149" s="4" t="s">
        <v>447</v>
      </c>
      <c r="G149" s="3" t="s">
        <v>957</v>
      </c>
      <c r="H149" s="4"/>
      <c r="I149" s="4"/>
      <c r="J149" s="74" t="str" cm="1">
        <f t="array" ref="J149">IF(ISBLANK(I149), IF(ISBLANK(H149), "N/A", _xlfn.IFS(K149="AS", H149+15, K149="NCR", H149+30, K149="submitted", H149+30, TRUE, "N/A")), _xlfn.IFS(K149="AS", I149+15, K149="NCR", I149+30, K149="submitted", I149+30, TRUE, "N/A"))</f>
        <v>N/A</v>
      </c>
      <c r="K149" s="18"/>
      <c r="L149" s="318"/>
      <c r="M149" s="772"/>
      <c r="N149" s="773"/>
      <c r="O149" s="773"/>
      <c r="P149" s="774"/>
    </row>
    <row r="150" spans="1:16" ht="15" customHeight="1">
      <c r="A150" s="183"/>
      <c r="B150" s="567" t="s">
        <v>958</v>
      </c>
      <c r="C150" s="143" t="s">
        <v>959</v>
      </c>
      <c r="D150" s="143"/>
      <c r="E150" s="1"/>
      <c r="F150" s="9" t="s">
        <v>328</v>
      </c>
      <c r="G150" s="13" t="s">
        <v>428</v>
      </c>
      <c r="H150" s="9"/>
      <c r="I150" s="9"/>
      <c r="J150" s="74" t="str" cm="1">
        <f t="array" ref="J150">IF(ISBLANK(I150), IF(ISBLANK(H150), "N/A", _xlfn.IFS(K150="AS", H150+15, K150="NCR", H150+30, K150="submitted", H150+30, TRUE, "N/A")), _xlfn.IFS(K150="AS", I150+15, K150="NCR", I150+30, K150="submitted", I150+30, TRUE, "N/A"))</f>
        <v>N/A</v>
      </c>
      <c r="K150" s="14"/>
      <c r="L150" s="318"/>
      <c r="M150" s="772"/>
      <c r="N150" s="773"/>
      <c r="O150" s="773"/>
      <c r="P150" s="774"/>
    </row>
    <row r="151" spans="1:16" ht="15" customHeight="1">
      <c r="A151" s="183"/>
      <c r="B151" s="567"/>
      <c r="C151" s="143" t="s">
        <v>959</v>
      </c>
      <c r="D151" s="143"/>
      <c r="E151" s="1"/>
      <c r="F151" s="9" t="s">
        <v>329</v>
      </c>
      <c r="G151" s="13" t="s">
        <v>276</v>
      </c>
      <c r="H151" s="9"/>
      <c r="I151" s="9"/>
      <c r="J151" s="74" t="str" cm="1">
        <f t="array" ref="J151">IF(ISBLANK(I151), IF(ISBLANK(H151), "N/A", _xlfn.IFS(K151="AS", H151+15, K151="NCR", H151+30, K151="submitted", H151+30, TRUE, "N/A")), _xlfn.IFS(K151="AS", I151+15, K151="NCR", I151+30, K151="submitted", I151+30, TRUE, "N/A"))</f>
        <v>N/A</v>
      </c>
      <c r="K151" s="14"/>
      <c r="L151" s="318"/>
      <c r="M151" s="772"/>
      <c r="N151" s="773"/>
      <c r="O151" s="773"/>
      <c r="P151" s="774"/>
    </row>
    <row r="152" spans="1:16" ht="15" customHeight="1">
      <c r="A152" s="183"/>
      <c r="B152" s="567"/>
      <c r="C152" s="143" t="s">
        <v>959</v>
      </c>
      <c r="D152" s="143"/>
      <c r="E152" s="1"/>
      <c r="F152" s="9" t="s">
        <v>396</v>
      </c>
      <c r="G152" s="7" t="s">
        <v>960</v>
      </c>
      <c r="H152" s="9"/>
      <c r="I152" s="9"/>
      <c r="J152" s="74" t="str" cm="1">
        <f t="array" ref="J152">IF(ISBLANK(I152), IF(ISBLANK(H152), "N/A", _xlfn.IFS(K152="AS", H152+15, K152="NCR", H152+30, K152="submitted", H152+30, TRUE, "N/A")), _xlfn.IFS(K152="AS", I152+15, K152="NCR", I152+30, K152="submitted", I152+30, TRUE, "N/A"))</f>
        <v>N/A</v>
      </c>
      <c r="K152" s="14"/>
      <c r="L152" s="318"/>
      <c r="M152" s="772"/>
      <c r="N152" s="773"/>
      <c r="O152" s="773"/>
      <c r="P152" s="774"/>
    </row>
    <row r="153" spans="1:16" ht="15" customHeight="1">
      <c r="A153" s="183"/>
      <c r="B153" s="567"/>
      <c r="C153" s="143" t="s">
        <v>959</v>
      </c>
      <c r="D153" s="143"/>
      <c r="E153" s="1"/>
      <c r="F153" s="9" t="s">
        <v>397</v>
      </c>
      <c r="G153" s="13" t="s">
        <v>961</v>
      </c>
      <c r="H153" s="9"/>
      <c r="I153" s="9"/>
      <c r="J153" s="74" t="str" cm="1">
        <f t="array" ref="J153">IF(ISBLANK(I153), IF(ISBLANK(H153), "N/A", _xlfn.IFS(K153="AS", H153+15, K153="NCR", H153+30, K153="submitted", H153+30, TRUE, "N/A")), _xlfn.IFS(K153="AS", I153+15, K153="NCR", I153+30, K153="submitted", I153+30, TRUE, "N/A"))</f>
        <v>N/A</v>
      </c>
      <c r="K153" s="14"/>
      <c r="L153" s="318"/>
      <c r="M153" s="772"/>
      <c r="N153" s="773"/>
      <c r="O153" s="773"/>
      <c r="P153" s="774"/>
    </row>
    <row r="154" spans="1:16" ht="15" customHeight="1">
      <c r="A154" s="183"/>
      <c r="B154" s="567"/>
      <c r="C154" s="143" t="s">
        <v>959</v>
      </c>
      <c r="D154" s="143"/>
      <c r="E154" s="1"/>
      <c r="F154" s="9" t="s">
        <v>338</v>
      </c>
      <c r="G154" s="7" t="s">
        <v>962</v>
      </c>
      <c r="H154" s="9"/>
      <c r="I154" s="9"/>
      <c r="J154" s="74" t="str" cm="1">
        <f t="array" ref="J154">IF(ISBLANK(I154), IF(ISBLANK(H154), "N/A", _xlfn.IFS(K154="AS", H154+15, K154="NCR", H154+30, K154="submitted", H154+30, TRUE, "N/A")), _xlfn.IFS(K154="AS", I154+15, K154="NCR", I154+30, K154="submitted", I154+30, TRUE, "N/A"))</f>
        <v>N/A</v>
      </c>
      <c r="K154" s="14"/>
      <c r="L154" s="318"/>
      <c r="M154" s="772"/>
      <c r="N154" s="773"/>
      <c r="O154" s="773"/>
      <c r="P154" s="774"/>
    </row>
    <row r="155" spans="1:16" ht="15" customHeight="1">
      <c r="A155" s="183"/>
      <c r="B155" s="567"/>
      <c r="C155" s="143" t="s">
        <v>959</v>
      </c>
      <c r="D155" s="143"/>
      <c r="E155" s="1"/>
      <c r="F155" s="9" t="s">
        <v>734</v>
      </c>
      <c r="G155" s="13" t="s">
        <v>963</v>
      </c>
      <c r="H155" s="9"/>
      <c r="I155" s="9"/>
      <c r="J155" s="74" t="str" cm="1">
        <f t="array" ref="J155">IF(ISBLANK(I155), IF(ISBLANK(H155), "N/A", _xlfn.IFS(K155="AS", H155+15, K155="NCR", H155+30, K155="submitted", H155+30, TRUE, "N/A")), _xlfn.IFS(K155="AS", I155+15, K155="NCR", I155+30, K155="submitted", I155+30, TRUE, "N/A"))</f>
        <v>N/A</v>
      </c>
      <c r="K155" s="14"/>
      <c r="L155" s="318"/>
      <c r="M155" s="772"/>
      <c r="N155" s="773"/>
      <c r="O155" s="773"/>
      <c r="P155" s="774"/>
    </row>
    <row r="156" spans="1:16" ht="15" customHeight="1">
      <c r="A156" s="183"/>
      <c r="B156" s="567"/>
      <c r="C156" s="143" t="s">
        <v>959</v>
      </c>
      <c r="D156" s="143"/>
      <c r="E156" s="1"/>
      <c r="F156" s="9" t="s">
        <v>964</v>
      </c>
      <c r="G156" s="13" t="s">
        <v>965</v>
      </c>
      <c r="H156" s="9"/>
      <c r="I156" s="9"/>
      <c r="J156" s="74" t="str" cm="1">
        <f t="array" ref="J156">IF(ISBLANK(I156), IF(ISBLANK(H156), "N/A", _xlfn.IFS(K156="AS", H156+15, K156="NCR", H156+30, K156="submitted", H156+30, TRUE, "N/A")), _xlfn.IFS(K156="AS", I156+15, K156="NCR", I156+30, K156="submitted", I156+30, TRUE, "N/A"))</f>
        <v>N/A</v>
      </c>
      <c r="K156" s="14"/>
      <c r="L156" s="318"/>
      <c r="M156" s="772"/>
      <c r="N156" s="773"/>
      <c r="O156" s="773"/>
      <c r="P156" s="774"/>
    </row>
    <row r="157" spans="1:16" ht="27" customHeight="1">
      <c r="A157" s="183"/>
      <c r="B157" s="567"/>
      <c r="C157" s="143" t="s">
        <v>959</v>
      </c>
      <c r="D157" s="143"/>
      <c r="E157" s="1"/>
      <c r="F157" s="9" t="s">
        <v>400</v>
      </c>
      <c r="G157" s="7" t="s">
        <v>966</v>
      </c>
      <c r="H157" s="9"/>
      <c r="I157" s="9"/>
      <c r="J157" s="74" t="str" cm="1">
        <f t="array" ref="J157">IF(ISBLANK(I157), IF(ISBLANK(H157), "N/A", _xlfn.IFS(K157="AS", H157+15, K157="NCR", H157+30, K157="submitted", H157+30, TRUE, "N/A")), _xlfn.IFS(K157="AS", I157+15, K157="NCR", I157+30, K157="submitted", I157+30, TRUE, "N/A"))</f>
        <v>N/A</v>
      </c>
      <c r="K157" s="14"/>
      <c r="L157" s="318"/>
      <c r="M157" s="772"/>
      <c r="N157" s="773"/>
      <c r="O157" s="773"/>
      <c r="P157" s="774"/>
    </row>
    <row r="158" spans="1:16" ht="27" customHeight="1">
      <c r="A158" s="183"/>
      <c r="B158" s="567"/>
      <c r="C158" s="143" t="s">
        <v>959</v>
      </c>
      <c r="D158" s="143"/>
      <c r="E158" s="1"/>
      <c r="F158" s="9" t="s">
        <v>433</v>
      </c>
      <c r="G158" s="7" t="s">
        <v>967</v>
      </c>
      <c r="H158" s="9"/>
      <c r="I158" s="9"/>
      <c r="J158" s="74" t="str" cm="1">
        <f t="array" ref="J158">IF(ISBLANK(I158), IF(ISBLANK(H158), "N/A", _xlfn.IFS(K158="AS", H158+15, K158="NCR", H158+30, K158="submitted", H158+30, TRUE, "N/A")), _xlfn.IFS(K158="AS", I158+15, K158="NCR", I158+30, K158="submitted", I158+30, TRUE, "N/A"))</f>
        <v>N/A</v>
      </c>
      <c r="K158" s="14"/>
      <c r="L158" s="318"/>
      <c r="M158" s="772"/>
      <c r="N158" s="773"/>
      <c r="O158" s="773"/>
      <c r="P158" s="774"/>
    </row>
    <row r="159" spans="1:16" ht="15" customHeight="1">
      <c r="A159" s="183"/>
      <c r="B159" s="567"/>
      <c r="C159" s="143" t="s">
        <v>959</v>
      </c>
      <c r="D159" s="143"/>
      <c r="E159" s="1"/>
      <c r="F159" s="9" t="s">
        <v>435</v>
      </c>
      <c r="G159" s="13" t="s">
        <v>968</v>
      </c>
      <c r="H159" s="9"/>
      <c r="I159" s="9"/>
      <c r="J159" s="74" t="str" cm="1">
        <f t="array" ref="J159">IF(ISBLANK(I159), IF(ISBLANK(H159), "N/A", _xlfn.IFS(K159="AS", H159+15, K159="NCR", H159+30, K159="submitted", H159+30, TRUE, "N/A")), _xlfn.IFS(K159="AS", I159+15, K159="NCR", I159+30, K159="submitted", I159+30, TRUE, "N/A"))</f>
        <v>N/A</v>
      </c>
      <c r="K159" s="14"/>
      <c r="L159" s="318"/>
      <c r="M159" s="772"/>
      <c r="N159" s="773"/>
      <c r="O159" s="773"/>
      <c r="P159" s="774"/>
    </row>
    <row r="160" spans="1:16" ht="15" customHeight="1">
      <c r="A160" s="183"/>
      <c r="B160" s="567"/>
      <c r="C160" s="143" t="s">
        <v>959</v>
      </c>
      <c r="D160" s="143"/>
      <c r="E160" s="1"/>
      <c r="F160" s="9" t="s">
        <v>437</v>
      </c>
      <c r="G160" s="7" t="s">
        <v>969</v>
      </c>
      <c r="H160" s="9"/>
      <c r="I160" s="9"/>
      <c r="J160" s="74" t="str" cm="1">
        <f t="array" ref="J160">IF(ISBLANK(I160), IF(ISBLANK(H160), "N/A", _xlfn.IFS(K160="AS", H160+15, K160="NCR", H160+30, K160="submitted", H160+30, TRUE, "N/A")), _xlfn.IFS(K160="AS", I160+15, K160="NCR", I160+30, K160="submitted", I160+30, TRUE, "N/A"))</f>
        <v>N/A</v>
      </c>
      <c r="K160" s="14"/>
      <c r="L160" s="318"/>
      <c r="M160" s="772"/>
      <c r="N160" s="773"/>
      <c r="O160" s="773"/>
      <c r="P160" s="774"/>
    </row>
    <row r="161" spans="1:16" ht="15" customHeight="1">
      <c r="A161" s="183"/>
      <c r="B161" s="567"/>
      <c r="C161" s="143" t="s">
        <v>959</v>
      </c>
      <c r="D161" s="143"/>
      <c r="E161" s="1"/>
      <c r="F161" s="9" t="s">
        <v>439</v>
      </c>
      <c r="G161" s="13" t="s">
        <v>970</v>
      </c>
      <c r="H161" s="9"/>
      <c r="I161" s="9"/>
      <c r="J161" s="74" t="str" cm="1">
        <f t="array" ref="J161">IF(ISBLANK(I161), IF(ISBLANK(H161), "N/A", _xlfn.IFS(K161="AS", H161+15, K161="NCR", H161+30, K161="submitted", H161+30, TRUE, "N/A")), _xlfn.IFS(K161="AS", I161+15, K161="NCR", I161+30, K161="submitted", I161+30, TRUE, "N/A"))</f>
        <v>N/A</v>
      </c>
      <c r="K161" s="14"/>
      <c r="L161" s="318"/>
      <c r="M161" s="772"/>
      <c r="N161" s="773"/>
      <c r="O161" s="773"/>
      <c r="P161" s="774"/>
    </row>
    <row r="162" spans="1:16" ht="15" customHeight="1">
      <c r="A162" s="183"/>
      <c r="B162" s="567"/>
      <c r="C162" s="143" t="s">
        <v>959</v>
      </c>
      <c r="D162" s="143"/>
      <c r="E162" s="1"/>
      <c r="F162" s="9" t="s">
        <v>971</v>
      </c>
      <c r="G162" s="7" t="s">
        <v>972</v>
      </c>
      <c r="H162" s="9"/>
      <c r="I162" s="9"/>
      <c r="J162" s="74" t="str" cm="1">
        <f t="array" ref="J162">IF(ISBLANK(I162), IF(ISBLANK(H162), "N/A", _xlfn.IFS(K162="AS", H162+15, K162="NCR", H162+30, K162="submitted", H162+30, TRUE, "N/A")), _xlfn.IFS(K162="AS", I162+15, K162="NCR", I162+30, K162="submitted", I162+30, TRUE, "N/A"))</f>
        <v>N/A</v>
      </c>
      <c r="K162" s="14"/>
      <c r="L162" s="318"/>
      <c r="M162" s="772"/>
      <c r="N162" s="773"/>
      <c r="O162" s="773"/>
      <c r="P162" s="774"/>
    </row>
    <row r="163" spans="1:16" ht="15" customHeight="1">
      <c r="A163" s="183"/>
      <c r="B163" s="567"/>
      <c r="C163" s="143" t="s">
        <v>959</v>
      </c>
      <c r="D163" s="143"/>
      <c r="E163" s="1"/>
      <c r="F163" s="9" t="s">
        <v>973</v>
      </c>
      <c r="G163" s="7" t="s">
        <v>974</v>
      </c>
      <c r="H163" s="9"/>
      <c r="I163" s="9"/>
      <c r="J163" s="74" t="str" cm="1">
        <f t="array" ref="J163">IF(ISBLANK(I163), IF(ISBLANK(H163), "N/A", _xlfn.IFS(K163="AS", H163+15, K163="NCR", H163+30, K163="submitted", H163+30, TRUE, "N/A")), _xlfn.IFS(K163="AS", I163+15, K163="NCR", I163+30, K163="submitted", I163+30, TRUE, "N/A"))</f>
        <v>N/A</v>
      </c>
      <c r="K163" s="14"/>
      <c r="L163" s="318"/>
      <c r="M163" s="772"/>
      <c r="N163" s="773"/>
      <c r="O163" s="773"/>
      <c r="P163" s="774"/>
    </row>
    <row r="164" spans="1:16" ht="15" customHeight="1">
      <c r="A164" s="183"/>
      <c r="B164" s="567"/>
      <c r="C164" s="143" t="s">
        <v>959</v>
      </c>
      <c r="D164" s="143"/>
      <c r="E164" s="1"/>
      <c r="F164" s="9" t="s">
        <v>975</v>
      </c>
      <c r="G164" s="7" t="s">
        <v>976</v>
      </c>
      <c r="H164" s="9"/>
      <c r="I164" s="9"/>
      <c r="J164" s="74" t="str" cm="1">
        <f t="array" ref="J164">IF(ISBLANK(I164), IF(ISBLANK(H164), "N/A", _xlfn.IFS(K164="AS", H164+15, K164="NCR", H164+30, K164="submitted", H164+30, TRUE, "N/A")), _xlfn.IFS(K164="AS", I164+15, K164="NCR", I164+30, K164="submitted", I164+30, TRUE, "N/A"))</f>
        <v>N/A</v>
      </c>
      <c r="K164" s="14"/>
      <c r="L164" s="318"/>
      <c r="M164" s="772"/>
      <c r="N164" s="773"/>
      <c r="O164" s="773"/>
      <c r="P164" s="774"/>
    </row>
    <row r="165" spans="1:16" ht="15" customHeight="1">
      <c r="A165" s="183"/>
      <c r="B165" s="567"/>
      <c r="C165" s="143" t="s">
        <v>959</v>
      </c>
      <c r="D165" s="143"/>
      <c r="E165" s="1"/>
      <c r="F165" s="9" t="s">
        <v>977</v>
      </c>
      <c r="G165" s="7" t="s">
        <v>978</v>
      </c>
      <c r="H165" s="9"/>
      <c r="I165" s="9"/>
      <c r="J165" s="74" t="str" cm="1">
        <f t="array" ref="J165">IF(ISBLANK(I165), IF(ISBLANK(H165), "N/A", _xlfn.IFS(K165="AS", H165+15, K165="NCR", H165+30, K165="submitted", H165+30, TRUE, "N/A")), _xlfn.IFS(K165="AS", I165+15, K165="NCR", I165+30, K165="submitted", I165+30, TRUE, "N/A"))</f>
        <v>N/A</v>
      </c>
      <c r="K165" s="14"/>
      <c r="L165" s="318"/>
      <c r="M165" s="772"/>
      <c r="N165" s="773"/>
      <c r="O165" s="773"/>
      <c r="P165" s="774"/>
    </row>
    <row r="166" spans="1:16" ht="15" customHeight="1">
      <c r="A166" s="183"/>
      <c r="B166" s="567"/>
      <c r="C166" s="143" t="s">
        <v>959</v>
      </c>
      <c r="D166" s="143"/>
      <c r="E166" s="1"/>
      <c r="F166" s="9" t="s">
        <v>443</v>
      </c>
      <c r="G166" s="13" t="s">
        <v>979</v>
      </c>
      <c r="H166" s="9"/>
      <c r="I166" s="9"/>
      <c r="J166" s="74" t="str" cm="1">
        <f t="array" ref="J166">IF(ISBLANK(I166), IF(ISBLANK(H166), "N/A", _xlfn.IFS(K166="AS", H166+15, K166="NCR", H166+30, K166="submitted", H166+30, TRUE, "N/A")), _xlfn.IFS(K166="AS", I166+15, K166="NCR", I166+30, K166="submitted", I166+30, TRUE, "N/A"))</f>
        <v>N/A</v>
      </c>
      <c r="K166" s="14"/>
      <c r="L166" s="318"/>
      <c r="M166" s="772"/>
      <c r="N166" s="773"/>
      <c r="O166" s="773"/>
      <c r="P166" s="774"/>
    </row>
    <row r="167" spans="1:16" ht="15" customHeight="1">
      <c r="A167" s="183"/>
      <c r="B167" s="567"/>
      <c r="C167" s="143" t="s">
        <v>959</v>
      </c>
      <c r="D167" s="143"/>
      <c r="E167" s="1"/>
      <c r="F167" s="9" t="s">
        <v>980</v>
      </c>
      <c r="G167" s="13" t="s">
        <v>981</v>
      </c>
      <c r="H167" s="9"/>
      <c r="I167" s="9"/>
      <c r="J167" s="74" t="str" cm="1">
        <f t="array" ref="J167">IF(ISBLANK(I167), IF(ISBLANK(H167), "N/A", _xlfn.IFS(K167="AS", H167+15, K167="NCR", H167+30, K167="submitted", H167+30, TRUE, "N/A")), _xlfn.IFS(K167="AS", I167+15, K167="NCR", I167+30, K167="submitted", I167+30, TRUE, "N/A"))</f>
        <v>N/A</v>
      </c>
      <c r="K167" s="14"/>
      <c r="L167" s="318"/>
      <c r="M167" s="772"/>
      <c r="N167" s="773"/>
      <c r="O167" s="773"/>
      <c r="P167" s="774"/>
    </row>
    <row r="168" spans="1:16" ht="40.5" customHeight="1">
      <c r="A168" s="183"/>
      <c r="B168" s="567"/>
      <c r="C168" s="143" t="s">
        <v>959</v>
      </c>
      <c r="D168" s="143"/>
      <c r="E168" s="1"/>
      <c r="F168" s="9" t="s">
        <v>982</v>
      </c>
      <c r="G168" s="7" t="s">
        <v>983</v>
      </c>
      <c r="H168" s="9"/>
      <c r="I168" s="9"/>
      <c r="J168" s="74" t="str" cm="1">
        <f t="array" ref="J168">IF(ISBLANK(I168), IF(ISBLANK(H168), "N/A", _xlfn.IFS(K168="AS", H168+15, K168="NCR", H168+30, K168="submitted", H168+30, TRUE, "N/A")), _xlfn.IFS(K168="AS", I168+15, K168="NCR", I168+30, K168="submitted", I168+30, TRUE, "N/A"))</f>
        <v>N/A</v>
      </c>
      <c r="K168" s="14"/>
      <c r="L168" s="318"/>
      <c r="M168" s="772"/>
      <c r="N168" s="773"/>
      <c r="O168" s="773"/>
      <c r="P168" s="774"/>
    </row>
    <row r="169" spans="1:16" ht="15" customHeight="1">
      <c r="A169" s="183"/>
      <c r="B169" s="567"/>
      <c r="C169" s="143" t="s">
        <v>959</v>
      </c>
      <c r="D169" s="143"/>
      <c r="E169" s="1"/>
      <c r="F169" s="9" t="s">
        <v>984</v>
      </c>
      <c r="G169" s="13" t="s">
        <v>985</v>
      </c>
      <c r="H169" s="9"/>
      <c r="I169" s="9"/>
      <c r="J169" s="74" t="str" cm="1">
        <f t="array" ref="J169">IF(ISBLANK(I169), IF(ISBLANK(H169), "N/A", _xlfn.IFS(K169="AS", H169+15, K169="NCR", H169+30, K169="submitted", H169+30, TRUE, "N/A")), _xlfn.IFS(K169="AS", I169+15, K169="NCR", I169+30, K169="submitted", I169+30, TRUE, "N/A"))</f>
        <v>N/A</v>
      </c>
      <c r="K169" s="14"/>
      <c r="L169" s="318"/>
      <c r="M169" s="772"/>
      <c r="N169" s="773"/>
      <c r="O169" s="773"/>
      <c r="P169" s="774"/>
    </row>
    <row r="170" spans="1:16" ht="15" customHeight="1">
      <c r="A170" s="183"/>
      <c r="B170" s="567"/>
      <c r="C170" s="143" t="s">
        <v>959</v>
      </c>
      <c r="D170" s="143"/>
      <c r="E170" s="1"/>
      <c r="F170" s="9" t="s">
        <v>986</v>
      </c>
      <c r="G170" s="13" t="s">
        <v>987</v>
      </c>
      <c r="H170" s="9"/>
      <c r="I170" s="9"/>
      <c r="J170" s="74" t="str" cm="1">
        <f t="array" ref="J170">IF(ISBLANK(I170), IF(ISBLANK(H170), "N/A", _xlfn.IFS(K170="AS", H170+15, K170="NCR", H170+30, K170="submitted", H170+30, TRUE, "N/A")), _xlfn.IFS(K170="AS", I170+15, K170="NCR", I170+30, K170="submitted", I170+30, TRUE, "N/A"))</f>
        <v>N/A</v>
      </c>
      <c r="K170" s="14"/>
      <c r="L170" s="318"/>
      <c r="M170" s="772"/>
      <c r="N170" s="773"/>
      <c r="O170" s="773"/>
      <c r="P170" s="774"/>
    </row>
    <row r="171" spans="1:16" ht="15" customHeight="1">
      <c r="A171" s="183"/>
      <c r="B171" s="567"/>
      <c r="C171" s="143" t="s">
        <v>959</v>
      </c>
      <c r="D171" s="143"/>
      <c r="E171" s="1"/>
      <c r="F171" s="9" t="s">
        <v>988</v>
      </c>
      <c r="G171" s="7" t="s">
        <v>989</v>
      </c>
      <c r="H171" s="9"/>
      <c r="I171" s="9"/>
      <c r="J171" s="74" t="str" cm="1">
        <f t="array" ref="J171">IF(ISBLANK(I171), IF(ISBLANK(H171), "N/A", _xlfn.IFS(K171="AS", H171+15, K171="NCR", H171+30, K171="submitted", H171+30, TRUE, "N/A")), _xlfn.IFS(K171="AS", I171+15, K171="NCR", I171+30, K171="submitted", I171+30, TRUE, "N/A"))</f>
        <v>N/A</v>
      </c>
      <c r="K171" s="14"/>
      <c r="L171" s="318"/>
      <c r="M171" s="772"/>
      <c r="N171" s="773"/>
      <c r="O171" s="773"/>
      <c r="P171" s="774"/>
    </row>
    <row r="172" spans="1:16" ht="15" customHeight="1">
      <c r="A172" s="183"/>
      <c r="B172" s="567"/>
      <c r="C172" s="143" t="s">
        <v>959</v>
      </c>
      <c r="D172" s="143"/>
      <c r="E172" s="1"/>
      <c r="F172" s="9" t="s">
        <v>990</v>
      </c>
      <c r="G172" s="13" t="s">
        <v>991</v>
      </c>
      <c r="H172" s="9"/>
      <c r="I172" s="9"/>
      <c r="J172" s="74" t="str" cm="1">
        <f t="array" ref="J172">IF(ISBLANK(I172), IF(ISBLANK(H172), "N/A", _xlfn.IFS(K172="AS", H172+15, K172="NCR", H172+30, K172="submitted", H172+30, TRUE, "N/A")), _xlfn.IFS(K172="AS", I172+15, K172="NCR", I172+30, K172="submitted", I172+30, TRUE, "N/A"))</f>
        <v>N/A</v>
      </c>
      <c r="K172" s="14"/>
      <c r="L172" s="318"/>
      <c r="M172" s="772"/>
      <c r="N172" s="773"/>
      <c r="O172" s="773"/>
      <c r="P172" s="774"/>
    </row>
    <row r="173" spans="1:16" ht="15" customHeight="1">
      <c r="A173" s="183"/>
      <c r="B173" s="567"/>
      <c r="C173" s="143" t="s">
        <v>959</v>
      </c>
      <c r="D173" s="143"/>
      <c r="E173" s="1"/>
      <c r="F173" s="9" t="s">
        <v>992</v>
      </c>
      <c r="G173" s="13" t="s">
        <v>993</v>
      </c>
      <c r="H173" s="9"/>
      <c r="I173" s="9"/>
      <c r="J173" s="74" t="str" cm="1">
        <f t="array" ref="J173">IF(ISBLANK(I173), IF(ISBLANK(H173), "N/A", _xlfn.IFS(K173="AS", H173+15, K173="NCR", H173+30, K173="submitted", H173+30, TRUE, "N/A")), _xlfn.IFS(K173="AS", I173+15, K173="NCR", I173+30, K173="submitted", I173+30, TRUE, "N/A"))</f>
        <v>N/A</v>
      </c>
      <c r="K173" s="14"/>
      <c r="L173" s="318"/>
      <c r="M173" s="772"/>
      <c r="N173" s="773"/>
      <c r="O173" s="773"/>
      <c r="P173" s="774"/>
    </row>
    <row r="174" spans="1:16" ht="15" customHeight="1">
      <c r="A174" s="183"/>
      <c r="B174" s="567"/>
      <c r="C174" s="143" t="s">
        <v>959</v>
      </c>
      <c r="D174" s="143"/>
      <c r="E174" s="1"/>
      <c r="F174" s="9" t="s">
        <v>994</v>
      </c>
      <c r="G174" s="13" t="s">
        <v>995</v>
      </c>
      <c r="H174" s="9"/>
      <c r="I174" s="9"/>
      <c r="J174" s="74" t="str" cm="1">
        <f t="array" ref="J174">IF(ISBLANK(I174), IF(ISBLANK(H174), "N/A", _xlfn.IFS(K174="AS", H174+15, K174="NCR", H174+30, K174="submitted", H174+30, TRUE, "N/A")), _xlfn.IFS(K174="AS", I174+15, K174="NCR", I174+30, K174="submitted", I174+30, TRUE, "N/A"))</f>
        <v>N/A</v>
      </c>
      <c r="K174" s="14"/>
      <c r="L174" s="318"/>
      <c r="M174" s="772"/>
      <c r="N174" s="773"/>
      <c r="O174" s="773"/>
      <c r="P174" s="774"/>
    </row>
    <row r="175" spans="1:16" ht="15" customHeight="1">
      <c r="A175" s="183"/>
      <c r="B175" s="567"/>
      <c r="C175" s="143" t="s">
        <v>959</v>
      </c>
      <c r="D175" s="143"/>
      <c r="E175" s="1"/>
      <c r="F175" s="9" t="s">
        <v>996</v>
      </c>
      <c r="G175" s="7" t="s">
        <v>997</v>
      </c>
      <c r="H175" s="9"/>
      <c r="I175" s="9"/>
      <c r="J175" s="74" t="str" cm="1">
        <f t="array" ref="J175">IF(ISBLANK(I175), IF(ISBLANK(H175), "N/A", _xlfn.IFS(K175="AS", H175+15, K175="NCR", H175+30, K175="submitted", H175+30, TRUE, "N/A")), _xlfn.IFS(K175="AS", I175+15, K175="NCR", I175+30, K175="submitted", I175+30, TRUE, "N/A"))</f>
        <v>N/A</v>
      </c>
      <c r="K175" s="14"/>
      <c r="L175" s="318"/>
      <c r="M175" s="772"/>
      <c r="N175" s="773"/>
      <c r="O175" s="773"/>
      <c r="P175" s="774"/>
    </row>
    <row r="176" spans="1:16" ht="15" customHeight="1">
      <c r="A176" s="183"/>
      <c r="B176" s="567"/>
      <c r="C176" s="143" t="s">
        <v>959</v>
      </c>
      <c r="D176" s="143"/>
      <c r="E176" s="1"/>
      <c r="F176" s="9" t="s">
        <v>998</v>
      </c>
      <c r="G176" s="13" t="s">
        <v>999</v>
      </c>
      <c r="H176" s="9"/>
      <c r="I176" s="9"/>
      <c r="J176" s="74" t="str" cm="1">
        <f t="array" ref="J176">IF(ISBLANK(I176), IF(ISBLANK(H176), "N/A", _xlfn.IFS(K176="AS", H176+15, K176="NCR", H176+30, K176="submitted", H176+30, TRUE, "N/A")), _xlfn.IFS(K176="AS", I176+15, K176="NCR", I176+30, K176="submitted", I176+30, TRUE, "N/A"))</f>
        <v>N/A</v>
      </c>
      <c r="K176" s="14"/>
      <c r="L176" s="318"/>
      <c r="M176" s="772"/>
      <c r="N176" s="773"/>
      <c r="O176" s="773"/>
      <c r="P176" s="774"/>
    </row>
    <row r="177" spans="1:16" ht="27" customHeight="1">
      <c r="A177" s="183"/>
      <c r="B177" s="567"/>
      <c r="C177" s="143" t="s">
        <v>959</v>
      </c>
      <c r="D177" s="143"/>
      <c r="E177" s="1"/>
      <c r="F177" s="9" t="s">
        <v>1000</v>
      </c>
      <c r="G177" s="7" t="s">
        <v>1001</v>
      </c>
      <c r="H177" s="9"/>
      <c r="I177" s="9"/>
      <c r="J177" s="74" t="str" cm="1">
        <f t="array" ref="J177">IF(ISBLANK(I177), IF(ISBLANK(H177), "N/A", _xlfn.IFS(K177="AS", H177+15, K177="NCR", H177+30, K177="submitted", H177+30, TRUE, "N/A")), _xlfn.IFS(K177="AS", I177+15, K177="NCR", I177+30, K177="submitted", I177+30, TRUE, "N/A"))</f>
        <v>N/A</v>
      </c>
      <c r="K177" s="14"/>
      <c r="L177" s="318"/>
      <c r="M177" s="772"/>
      <c r="N177" s="773"/>
      <c r="O177" s="773"/>
      <c r="P177" s="774"/>
    </row>
    <row r="178" spans="1:16" ht="27" customHeight="1">
      <c r="A178" s="183"/>
      <c r="B178" s="567"/>
      <c r="C178" s="143" t="s">
        <v>959</v>
      </c>
      <c r="D178" s="143"/>
      <c r="E178" s="1"/>
      <c r="F178" s="9" t="s">
        <v>1002</v>
      </c>
      <c r="G178" s="7" t="s">
        <v>1003</v>
      </c>
      <c r="H178" s="9"/>
      <c r="I178" s="9"/>
      <c r="J178" s="74" t="str" cm="1">
        <f t="array" ref="J178">IF(ISBLANK(I178), IF(ISBLANK(H178), "N/A", _xlfn.IFS(K178="AS", H178+15, K178="NCR", H178+30, K178="submitted", H178+30, TRUE, "N/A")), _xlfn.IFS(K178="AS", I178+15, K178="NCR", I178+30, K178="submitted", I178+30, TRUE, "N/A"))</f>
        <v>N/A</v>
      </c>
      <c r="K178" s="14"/>
      <c r="L178" s="318"/>
      <c r="M178" s="772"/>
      <c r="N178" s="773"/>
      <c r="O178" s="773"/>
      <c r="P178" s="774"/>
    </row>
    <row r="179" spans="1:16" ht="15" customHeight="1">
      <c r="A179" s="183"/>
      <c r="B179" s="567"/>
      <c r="C179" s="143" t="s">
        <v>959</v>
      </c>
      <c r="D179" s="143"/>
      <c r="E179" s="1"/>
      <c r="F179" s="9" t="s">
        <v>1004</v>
      </c>
      <c r="G179" s="13" t="s">
        <v>1005</v>
      </c>
      <c r="H179" s="9"/>
      <c r="I179" s="9"/>
      <c r="J179" s="74" t="str" cm="1">
        <f t="array" ref="J179">IF(ISBLANK(I179), IF(ISBLANK(H179), "N/A", _xlfn.IFS(K179="AS", H179+15, K179="NCR", H179+30, K179="submitted", H179+30, TRUE, "N/A")), _xlfn.IFS(K179="AS", I179+15, K179="NCR", I179+30, K179="submitted", I179+30, TRUE, "N/A"))</f>
        <v>N/A</v>
      </c>
      <c r="K179" s="14"/>
      <c r="L179" s="318"/>
      <c r="M179" s="772"/>
      <c r="N179" s="773"/>
      <c r="O179" s="773"/>
      <c r="P179" s="774"/>
    </row>
    <row r="180" spans="1:16" ht="15" customHeight="1">
      <c r="A180" s="183"/>
      <c r="B180" s="567"/>
      <c r="C180" s="143" t="s">
        <v>959</v>
      </c>
      <c r="D180" s="143"/>
      <c r="E180" s="1"/>
      <c r="F180" s="9" t="s">
        <v>1006</v>
      </c>
      <c r="G180" s="13" t="s">
        <v>1007</v>
      </c>
      <c r="H180" s="9"/>
      <c r="I180" s="9"/>
      <c r="J180" s="74" t="str" cm="1">
        <f t="array" ref="J180">IF(ISBLANK(I180), IF(ISBLANK(H180), "N/A", _xlfn.IFS(K180="AS", H180+15, K180="NCR", H180+30, K180="submitted", H180+30, TRUE, "N/A")), _xlfn.IFS(K180="AS", I180+15, K180="NCR", I180+30, K180="submitted", I180+30, TRUE, "N/A"))</f>
        <v>N/A</v>
      </c>
      <c r="K180" s="14"/>
      <c r="L180" s="318"/>
      <c r="M180" s="772"/>
      <c r="N180" s="773"/>
      <c r="O180" s="773"/>
      <c r="P180" s="774"/>
    </row>
    <row r="181" spans="1:16" ht="15" customHeight="1">
      <c r="A181" s="183"/>
      <c r="B181" s="567"/>
      <c r="C181" s="143" t="s">
        <v>959</v>
      </c>
      <c r="D181" s="143"/>
      <c r="E181" s="1"/>
      <c r="F181" s="9" t="s">
        <v>1008</v>
      </c>
      <c r="G181" s="13" t="s">
        <v>1009</v>
      </c>
      <c r="H181" s="9"/>
      <c r="I181" s="9"/>
      <c r="J181" s="74" t="str" cm="1">
        <f t="array" ref="J181">IF(ISBLANK(I181), IF(ISBLANK(H181), "N/A", _xlfn.IFS(K181="AS", H181+15, K181="NCR", H181+30, K181="submitted", H181+30, TRUE, "N/A")), _xlfn.IFS(K181="AS", I181+15, K181="NCR", I181+30, K181="submitted", I181+30, TRUE, "N/A"))</f>
        <v>N/A</v>
      </c>
      <c r="K181" s="14"/>
      <c r="L181" s="318"/>
      <c r="M181" s="772"/>
      <c r="N181" s="773"/>
      <c r="O181" s="773"/>
      <c r="P181" s="774"/>
    </row>
    <row r="182" spans="1:16" ht="15" customHeight="1">
      <c r="A182" s="183"/>
      <c r="B182" s="567"/>
      <c r="C182" s="143" t="s">
        <v>959</v>
      </c>
      <c r="D182" s="143"/>
      <c r="E182" s="1"/>
      <c r="F182" s="9" t="s">
        <v>1010</v>
      </c>
      <c r="G182" s="13" t="s">
        <v>1011</v>
      </c>
      <c r="H182" s="9"/>
      <c r="I182" s="9"/>
      <c r="J182" s="74" t="str" cm="1">
        <f t="array" ref="J182">IF(ISBLANK(I182), IF(ISBLANK(H182), "N/A", _xlfn.IFS(K182="AS", H182+15, K182="NCR", H182+30, K182="submitted", H182+30, TRUE, "N/A")), _xlfn.IFS(K182="AS", I182+15, K182="NCR", I182+30, K182="submitted", I182+30, TRUE, "N/A"))</f>
        <v>N/A</v>
      </c>
      <c r="K182" s="14"/>
      <c r="L182" s="318"/>
      <c r="M182" s="772"/>
      <c r="N182" s="773"/>
      <c r="O182" s="773"/>
      <c r="P182" s="774"/>
    </row>
    <row r="183" spans="1:16" ht="15" customHeight="1">
      <c r="A183" s="183"/>
      <c r="B183" s="567"/>
      <c r="C183" s="143" t="s">
        <v>959</v>
      </c>
      <c r="D183" s="143"/>
      <c r="E183" s="1"/>
      <c r="F183" s="9" t="s">
        <v>1012</v>
      </c>
      <c r="G183" s="13" t="s">
        <v>1013</v>
      </c>
      <c r="H183" s="9"/>
      <c r="I183" s="9"/>
      <c r="J183" s="74" t="str" cm="1">
        <f t="array" ref="J183">IF(ISBLANK(I183), IF(ISBLANK(H183), "N/A", _xlfn.IFS(K183="AS", H183+15, K183="NCR", H183+30, K183="submitted", H183+30, TRUE, "N/A")), _xlfn.IFS(K183="AS", I183+15, K183="NCR", I183+30, K183="submitted", I183+30, TRUE, "N/A"))</f>
        <v>N/A</v>
      </c>
      <c r="K183" s="14"/>
      <c r="L183" s="318"/>
      <c r="M183" s="772"/>
      <c r="N183" s="773"/>
      <c r="O183" s="773"/>
      <c r="P183" s="774"/>
    </row>
    <row r="184" spans="1:16" ht="15" customHeight="1">
      <c r="A184" s="183"/>
      <c r="B184" s="567"/>
      <c r="C184" s="143" t="s">
        <v>959</v>
      </c>
      <c r="D184" s="143"/>
      <c r="E184" s="1"/>
      <c r="F184" s="9" t="s">
        <v>1014</v>
      </c>
      <c r="G184" s="13" t="s">
        <v>1015</v>
      </c>
      <c r="H184" s="9"/>
      <c r="I184" s="9"/>
      <c r="J184" s="74" t="str" cm="1">
        <f t="array" ref="J184">IF(ISBLANK(I184), IF(ISBLANK(H184), "N/A", _xlfn.IFS(K184="AS", H184+15, K184="NCR", H184+30, K184="submitted", H184+30, TRUE, "N/A")), _xlfn.IFS(K184="AS", I184+15, K184="NCR", I184+30, K184="submitted", I184+30, TRUE, "N/A"))</f>
        <v>N/A</v>
      </c>
      <c r="K184" s="14"/>
      <c r="L184" s="318"/>
      <c r="M184" s="772"/>
      <c r="N184" s="773"/>
      <c r="O184" s="773"/>
      <c r="P184" s="774"/>
    </row>
    <row r="185" spans="1:16" ht="15" customHeight="1">
      <c r="A185" s="183"/>
      <c r="B185" s="567"/>
      <c r="C185" s="143" t="s">
        <v>959</v>
      </c>
      <c r="D185" s="143"/>
      <c r="E185" s="1"/>
      <c r="F185" s="9" t="s">
        <v>1016</v>
      </c>
      <c r="G185" s="13" t="s">
        <v>1017</v>
      </c>
      <c r="H185" s="9"/>
      <c r="I185" s="9"/>
      <c r="J185" s="74" t="str" cm="1">
        <f t="array" ref="J185">IF(ISBLANK(I185), IF(ISBLANK(H185), "N/A", _xlfn.IFS(K185="AS", H185+15, K185="NCR", H185+30, K185="submitted", H185+30, TRUE, "N/A")), _xlfn.IFS(K185="AS", I185+15, K185="NCR", I185+30, K185="submitted", I185+30, TRUE, "N/A"))</f>
        <v>N/A</v>
      </c>
      <c r="K185" s="14"/>
      <c r="L185" s="318"/>
      <c r="M185" s="772"/>
      <c r="N185" s="773"/>
      <c r="O185" s="773"/>
      <c r="P185" s="774"/>
    </row>
    <row r="186" spans="1:16" ht="15" customHeight="1">
      <c r="A186" s="183"/>
      <c r="B186" s="567"/>
      <c r="C186" s="143" t="s">
        <v>959</v>
      </c>
      <c r="D186" s="143"/>
      <c r="E186" s="1"/>
      <c r="F186" s="9" t="s">
        <v>1018</v>
      </c>
      <c r="G186" s="13" t="s">
        <v>1019</v>
      </c>
      <c r="H186" s="9"/>
      <c r="I186" s="9"/>
      <c r="J186" s="74" t="str" cm="1">
        <f t="array" ref="J186">IF(ISBLANK(I186), IF(ISBLANK(H186), "N/A", _xlfn.IFS(K186="AS", H186+15, K186="NCR", H186+30, K186="submitted", H186+30, TRUE, "N/A")), _xlfn.IFS(K186="AS", I186+15, K186="NCR", I186+30, K186="submitted", I186+30, TRUE, "N/A"))</f>
        <v>N/A</v>
      </c>
      <c r="K186" s="14"/>
      <c r="L186" s="318"/>
      <c r="M186" s="772"/>
      <c r="N186" s="773"/>
      <c r="O186" s="773"/>
      <c r="P186" s="774"/>
    </row>
    <row r="187" spans="1:16" ht="15" customHeight="1">
      <c r="A187" s="183"/>
      <c r="B187" s="567"/>
      <c r="C187" s="143" t="s">
        <v>959</v>
      </c>
      <c r="D187" s="143"/>
      <c r="E187" s="1"/>
      <c r="F187" s="9" t="s">
        <v>1020</v>
      </c>
      <c r="G187" s="13" t="s">
        <v>1021</v>
      </c>
      <c r="H187" s="9"/>
      <c r="I187" s="9"/>
      <c r="J187" s="74" t="str" cm="1">
        <f t="array" ref="J187">IF(ISBLANK(I187), IF(ISBLANK(H187), "N/A", _xlfn.IFS(K187="AS", H187+15, K187="NCR", H187+30, K187="submitted", H187+30, TRUE, "N/A")), _xlfn.IFS(K187="AS", I187+15, K187="NCR", I187+30, K187="submitted", I187+30, TRUE, "N/A"))</f>
        <v>N/A</v>
      </c>
      <c r="K187" s="14"/>
      <c r="L187" s="318"/>
      <c r="M187" s="772"/>
      <c r="N187" s="773"/>
      <c r="O187" s="773"/>
      <c r="P187" s="774"/>
    </row>
    <row r="188" spans="1:16" ht="15" customHeight="1">
      <c r="A188" s="183"/>
      <c r="B188" s="567"/>
      <c r="C188" s="143" t="s">
        <v>959</v>
      </c>
      <c r="D188" s="143"/>
      <c r="E188" s="1"/>
      <c r="F188" s="9" t="s">
        <v>1022</v>
      </c>
      <c r="G188" s="13" t="s">
        <v>1023</v>
      </c>
      <c r="H188" s="9"/>
      <c r="I188" s="9"/>
      <c r="J188" s="74" t="str" cm="1">
        <f t="array" ref="J188">IF(ISBLANK(I188), IF(ISBLANK(H188), "N/A", _xlfn.IFS(K188="AS", H188+15, K188="NCR", H188+30, K188="submitted", H188+30, TRUE, "N/A")), _xlfn.IFS(K188="AS", I188+15, K188="NCR", I188+30, K188="submitted", I188+30, TRUE, "N/A"))</f>
        <v>N/A</v>
      </c>
      <c r="K188" s="14"/>
      <c r="L188" s="318"/>
      <c r="M188" s="772"/>
      <c r="N188" s="773"/>
      <c r="O188" s="773"/>
      <c r="P188" s="774"/>
    </row>
    <row r="189" spans="1:16" ht="27" customHeight="1">
      <c r="A189" s="183"/>
      <c r="B189" s="567"/>
      <c r="C189" s="143" t="s">
        <v>959</v>
      </c>
      <c r="D189" s="143"/>
      <c r="E189" s="1"/>
      <c r="F189" s="9" t="s">
        <v>1024</v>
      </c>
      <c r="G189" s="7" t="s">
        <v>1025</v>
      </c>
      <c r="H189" s="9"/>
      <c r="I189" s="9"/>
      <c r="J189" s="74" t="str" cm="1">
        <f t="array" ref="J189">IF(ISBLANK(I189), IF(ISBLANK(H189), "N/A", _xlfn.IFS(K189="AS", H189+15, K189="NCR", H189+30, K189="submitted", H189+30, TRUE, "N/A")), _xlfn.IFS(K189="AS", I189+15, K189="NCR", I189+30, K189="submitted", I189+30, TRUE, "N/A"))</f>
        <v>N/A</v>
      </c>
      <c r="K189" s="14"/>
      <c r="L189" s="318"/>
      <c r="M189" s="772"/>
      <c r="N189" s="773"/>
      <c r="O189" s="773"/>
      <c r="P189" s="774"/>
    </row>
    <row r="190" spans="1:16" ht="15" customHeight="1">
      <c r="A190" s="183"/>
      <c r="B190" s="567"/>
      <c r="C190" s="143" t="s">
        <v>959</v>
      </c>
      <c r="D190" s="143"/>
      <c r="E190" s="1"/>
      <c r="F190" s="9" t="s">
        <v>449</v>
      </c>
      <c r="G190" s="13" t="s">
        <v>1026</v>
      </c>
      <c r="H190" s="9"/>
      <c r="I190" s="9"/>
      <c r="J190" s="74" t="str" cm="1">
        <f t="array" ref="J190">IF(ISBLANK(I190), IF(ISBLANK(H190), "N/A", _xlfn.IFS(K190="AS", H190+15, K190="NCR", H190+30, K190="submitted", H190+30, TRUE, "N/A")), _xlfn.IFS(K190="AS", I190+15, K190="NCR", I190+30, K190="submitted", I190+30, TRUE, "N/A"))</f>
        <v>N/A</v>
      </c>
      <c r="K190" s="14"/>
      <c r="L190" s="318"/>
      <c r="M190" s="772"/>
      <c r="N190" s="773"/>
      <c r="O190" s="773"/>
      <c r="P190" s="774"/>
    </row>
    <row r="191" spans="1:16" ht="15" customHeight="1">
      <c r="A191" s="183"/>
      <c r="B191" s="567"/>
      <c r="C191" s="143" t="s">
        <v>959</v>
      </c>
      <c r="D191" s="143"/>
      <c r="E191" s="1"/>
      <c r="F191" s="9" t="s">
        <v>451</v>
      </c>
      <c r="G191" s="13" t="s">
        <v>1027</v>
      </c>
      <c r="H191" s="9"/>
      <c r="I191" s="9"/>
      <c r="J191" s="74" t="str" cm="1">
        <f t="array" ref="J191">IF(ISBLANK(I191), IF(ISBLANK(H191), "N/A", _xlfn.IFS(K191="AS", H191+15, K191="NCR", H191+30, K191="submitted", H191+30, TRUE, "N/A")), _xlfn.IFS(K191="AS", I191+15, K191="NCR", I191+30, K191="submitted", I191+30, TRUE, "N/A"))</f>
        <v>N/A</v>
      </c>
      <c r="K191" s="14"/>
      <c r="L191" s="318"/>
      <c r="M191" s="772"/>
      <c r="N191" s="773"/>
      <c r="O191" s="773"/>
      <c r="P191" s="774"/>
    </row>
    <row r="192" spans="1:16" ht="15" customHeight="1">
      <c r="A192" s="183"/>
      <c r="B192" s="567"/>
      <c r="C192" s="143" t="s">
        <v>959</v>
      </c>
      <c r="D192" s="143"/>
      <c r="E192" s="1"/>
      <c r="F192" s="9" t="s">
        <v>453</v>
      </c>
      <c r="G192" s="13" t="s">
        <v>1028</v>
      </c>
      <c r="H192" s="9"/>
      <c r="I192" s="9"/>
      <c r="J192" s="74" t="str" cm="1">
        <f t="array" ref="J192">IF(ISBLANK(I192), IF(ISBLANK(H192), "N/A", _xlfn.IFS(K192="AS", H192+15, K192="NCR", H192+30, K192="submitted", H192+30, TRUE, "N/A")), _xlfn.IFS(K192="AS", I192+15, K192="NCR", I192+30, K192="submitted", I192+30, TRUE, "N/A"))</f>
        <v>N/A</v>
      </c>
      <c r="K192" s="14"/>
      <c r="L192" s="318"/>
      <c r="M192" s="772"/>
      <c r="N192" s="773"/>
      <c r="O192" s="773"/>
      <c r="P192" s="774"/>
    </row>
    <row r="193" spans="1:16" ht="15" customHeight="1">
      <c r="A193" s="183"/>
      <c r="B193" s="567"/>
      <c r="C193" s="143" t="s">
        <v>959</v>
      </c>
      <c r="D193" s="143"/>
      <c r="E193" s="1"/>
      <c r="F193" s="9" t="s">
        <v>944</v>
      </c>
      <c r="G193" s="13" t="s">
        <v>436</v>
      </c>
      <c r="H193" s="9"/>
      <c r="I193" s="9"/>
      <c r="J193" s="74" t="str" cm="1">
        <f t="array" ref="J193">IF(ISBLANK(I193), IF(ISBLANK(H193), "N/A", _xlfn.IFS(K193="AS", H193+15, K193="NCR", H193+30, K193="submitted", H193+30, TRUE, "N/A")), _xlfn.IFS(K193="AS", I193+15, K193="NCR", I193+30, K193="submitted", I193+30, TRUE, "N/A"))</f>
        <v>N/A</v>
      </c>
      <c r="K193" s="14"/>
      <c r="L193" s="318"/>
      <c r="M193" s="772"/>
      <c r="N193" s="773"/>
      <c r="O193" s="773"/>
      <c r="P193" s="774"/>
    </row>
    <row r="194" spans="1:16" ht="15" customHeight="1">
      <c r="A194" s="183"/>
      <c r="B194" s="567"/>
      <c r="C194" s="143" t="s">
        <v>959</v>
      </c>
      <c r="D194" s="143"/>
      <c r="E194" s="1"/>
      <c r="F194" s="9" t="s">
        <v>946</v>
      </c>
      <c r="G194" s="13" t="s">
        <v>685</v>
      </c>
      <c r="H194" s="9"/>
      <c r="I194" s="9"/>
      <c r="J194" s="74" t="str" cm="1">
        <f t="array" ref="J194">IF(ISBLANK(I194), IF(ISBLANK(H194), "N/A", _xlfn.IFS(K194="AS", H194+15, K194="NCR", H194+30, K194="submitted", H194+30, TRUE, "N/A")), _xlfn.IFS(K194="AS", I194+15, K194="NCR", I194+30, K194="submitted", I194+30, TRUE, "N/A"))</f>
        <v>N/A</v>
      </c>
      <c r="K194" s="14"/>
      <c r="L194" s="318"/>
      <c r="M194" s="772"/>
      <c r="N194" s="773"/>
      <c r="O194" s="773"/>
      <c r="P194" s="774"/>
    </row>
    <row r="195" spans="1:16" ht="15" customHeight="1">
      <c r="A195" s="183"/>
      <c r="B195" s="567"/>
      <c r="C195" s="143" t="s">
        <v>959</v>
      </c>
      <c r="D195" s="143"/>
      <c r="E195" s="1"/>
      <c r="F195" s="9" t="s">
        <v>1029</v>
      </c>
      <c r="G195" s="13" t="s">
        <v>1030</v>
      </c>
      <c r="H195" s="9"/>
      <c r="I195" s="9"/>
      <c r="J195" s="74" t="str" cm="1">
        <f t="array" ref="J195">IF(ISBLANK(I195), IF(ISBLANK(H195), "N/A", _xlfn.IFS(K195="AS", H195+15, K195="NCR", H195+30, K195="submitted", H195+30, TRUE, "N/A")), _xlfn.IFS(K195="AS", I195+15, K195="NCR", I195+30, K195="submitted", I195+30, TRUE, "N/A"))</f>
        <v>N/A</v>
      </c>
      <c r="K195" s="14"/>
      <c r="L195" s="318"/>
      <c r="M195" s="772"/>
      <c r="N195" s="773"/>
      <c r="O195" s="773"/>
      <c r="P195" s="774"/>
    </row>
    <row r="196" spans="1:16" ht="15" customHeight="1">
      <c r="A196" s="585"/>
      <c r="B196" s="584" t="s">
        <v>1031</v>
      </c>
      <c r="C196" s="144" t="s">
        <v>1032</v>
      </c>
      <c r="D196" s="144"/>
      <c r="E196" s="5"/>
      <c r="F196" s="4" t="s">
        <v>328</v>
      </c>
      <c r="G196" s="17" t="s">
        <v>1033</v>
      </c>
      <c r="H196" s="4"/>
      <c r="I196" s="4"/>
      <c r="J196" s="74" t="str" cm="1">
        <f t="array" ref="J196">IF(ISBLANK(I196), IF(ISBLANK(H196), "N/A", _xlfn.IFS(K196="AS", H196+15, K196="NCR", H196+30, K196="submitted", H196+30, TRUE, "N/A")), _xlfn.IFS(K196="AS", I196+15, K196="NCR", I196+30, K196="submitted", I196+30, TRUE, "N/A"))</f>
        <v>N/A</v>
      </c>
      <c r="K196" s="18"/>
      <c r="L196" s="318"/>
      <c r="M196" s="772"/>
      <c r="N196" s="773"/>
      <c r="O196" s="773"/>
      <c r="P196" s="774"/>
    </row>
    <row r="197" spans="1:16" ht="15" customHeight="1">
      <c r="A197" s="585"/>
      <c r="B197" s="584"/>
      <c r="C197" s="144"/>
      <c r="D197" s="144"/>
      <c r="E197" s="5"/>
      <c r="F197" s="4" t="s">
        <v>397</v>
      </c>
      <c r="G197" s="17" t="s">
        <v>320</v>
      </c>
      <c r="H197" s="4"/>
      <c r="I197" s="4"/>
      <c r="J197" s="74" t="str" cm="1">
        <f t="array" ref="J197">IF(ISBLANK(I197), IF(ISBLANK(H197), "N/A", _xlfn.IFS(K197="AS", H197+15, K197="NCR", H197+30, K197="submitted", H197+30, TRUE, "N/A")), _xlfn.IFS(K197="AS", I197+15, K197="NCR", I197+30, K197="submitted", I197+30, TRUE, "N/A"))</f>
        <v>N/A</v>
      </c>
      <c r="K197" s="18"/>
      <c r="L197" s="318"/>
      <c r="M197" s="772"/>
      <c r="N197" s="773"/>
      <c r="O197" s="773"/>
      <c r="P197" s="774"/>
    </row>
    <row r="198" spans="1:16" ht="15" customHeight="1">
      <c r="A198" s="585"/>
      <c r="B198" s="584"/>
      <c r="C198" s="144"/>
      <c r="D198" s="144"/>
      <c r="E198" s="5"/>
      <c r="F198" s="4" t="s">
        <v>338</v>
      </c>
      <c r="G198" s="17" t="s">
        <v>1034</v>
      </c>
      <c r="H198" s="4"/>
      <c r="I198" s="4"/>
      <c r="J198" s="74" t="str" cm="1">
        <f t="array" ref="J198">IF(ISBLANK(I198), IF(ISBLANK(H198), "N/A", _xlfn.IFS(K198="AS", H198+15, K198="NCR", H198+30, K198="submitted", H198+30, TRUE, "N/A")), _xlfn.IFS(K198="AS", I198+15, K198="NCR", I198+30, K198="submitted", I198+30, TRUE, "N/A"))</f>
        <v>N/A</v>
      </c>
      <c r="K198" s="18"/>
      <c r="L198" s="318"/>
      <c r="M198" s="772"/>
      <c r="N198" s="773"/>
      <c r="O198" s="773"/>
      <c r="P198" s="774"/>
    </row>
    <row r="199" spans="1:16" ht="15" customHeight="1">
      <c r="A199" s="585"/>
      <c r="B199" s="584"/>
      <c r="C199" s="144"/>
      <c r="D199" s="144"/>
      <c r="E199" s="5"/>
      <c r="F199" s="4" t="s">
        <v>1035</v>
      </c>
      <c r="G199" s="17" t="s">
        <v>1036</v>
      </c>
      <c r="H199" s="4"/>
      <c r="I199" s="4"/>
      <c r="J199" s="74" t="str" cm="1">
        <f t="array" ref="J199">IF(ISBLANK(I199), IF(ISBLANK(H199), "N/A", _xlfn.IFS(K199="AS", H199+15, K199="NCR", H199+30, K199="submitted", H199+30, TRUE, "N/A")), _xlfn.IFS(K199="AS", I199+15, K199="NCR", I199+30, K199="submitted", I199+30, TRUE, "N/A"))</f>
        <v>N/A</v>
      </c>
      <c r="K199" s="18"/>
      <c r="L199" s="318"/>
      <c r="M199" s="772"/>
      <c r="N199" s="773"/>
      <c r="O199" s="773"/>
      <c r="P199" s="774"/>
    </row>
    <row r="200" spans="1:16" ht="15" customHeight="1">
      <c r="A200" s="585"/>
      <c r="B200" s="584"/>
      <c r="C200" s="144"/>
      <c r="D200" s="144"/>
      <c r="E200" s="5"/>
      <c r="F200" s="4" t="s">
        <v>1037</v>
      </c>
      <c r="G200" s="3" t="s">
        <v>1038</v>
      </c>
      <c r="H200" s="4"/>
      <c r="I200" s="4"/>
      <c r="J200" s="74" t="str" cm="1">
        <f t="array" ref="J200">IF(ISBLANK(I200), IF(ISBLANK(H200), "N/A", _xlfn.IFS(K200="AS", H200+15, K200="NCR", H200+30, K200="submitted", H200+30, TRUE, "N/A")), _xlfn.IFS(K200="AS", I200+15, K200="NCR", I200+30, K200="submitted", I200+30, TRUE, "N/A"))</f>
        <v>N/A</v>
      </c>
      <c r="K200" s="18"/>
      <c r="L200" s="318"/>
      <c r="M200" s="772"/>
      <c r="N200" s="773"/>
      <c r="O200" s="773"/>
      <c r="P200" s="774"/>
    </row>
    <row r="201" spans="1:16" ht="15" customHeight="1">
      <c r="A201" s="585"/>
      <c r="B201" s="584"/>
      <c r="C201" s="144"/>
      <c r="D201" s="144"/>
      <c r="E201" s="5"/>
      <c r="F201" s="4" t="s">
        <v>1039</v>
      </c>
      <c r="G201" s="3" t="s">
        <v>1040</v>
      </c>
      <c r="H201" s="4"/>
      <c r="I201" s="4"/>
      <c r="J201" s="74" t="str" cm="1">
        <f t="array" ref="J201">IF(ISBLANK(I201), IF(ISBLANK(H201), "N/A", _xlfn.IFS(K201="AS", H201+15, K201="NCR", H201+30, K201="submitted", H201+30, TRUE, "N/A")), _xlfn.IFS(K201="AS", I201+15, K201="NCR", I201+30, K201="submitted", I201+30, TRUE, "N/A"))</f>
        <v>N/A</v>
      </c>
      <c r="K201" s="18"/>
      <c r="L201" s="318"/>
      <c r="M201" s="772"/>
      <c r="N201" s="773"/>
      <c r="O201" s="773"/>
      <c r="P201" s="774"/>
    </row>
    <row r="202" spans="1:16" ht="15" customHeight="1">
      <c r="A202" s="585"/>
      <c r="B202" s="584"/>
      <c r="C202" s="144"/>
      <c r="D202" s="144"/>
      <c r="E202" s="5"/>
      <c r="F202" s="4" t="s">
        <v>1041</v>
      </c>
      <c r="G202" s="3" t="s">
        <v>1042</v>
      </c>
      <c r="H202" s="4"/>
      <c r="I202" s="4"/>
      <c r="J202" s="74" t="str" cm="1">
        <f t="array" ref="J202">IF(ISBLANK(I202), IF(ISBLANK(H202), "N/A", _xlfn.IFS(K202="AS", H202+15, K202="NCR", H202+30, K202="submitted", H202+30, TRUE, "N/A")), _xlfn.IFS(K202="AS", I202+15, K202="NCR", I202+30, K202="submitted", I202+30, TRUE, "N/A"))</f>
        <v>N/A</v>
      </c>
      <c r="K202" s="18"/>
      <c r="L202" s="318"/>
      <c r="M202" s="772"/>
      <c r="N202" s="773"/>
      <c r="O202" s="773"/>
      <c r="P202" s="774"/>
    </row>
    <row r="203" spans="1:16" ht="15" customHeight="1">
      <c r="A203" s="585"/>
      <c r="B203" s="584"/>
      <c r="C203" s="144"/>
      <c r="D203" s="144"/>
      <c r="E203" s="5"/>
      <c r="F203" s="4" t="s">
        <v>964</v>
      </c>
      <c r="G203" s="17" t="s">
        <v>1043</v>
      </c>
      <c r="H203" s="4"/>
      <c r="I203" s="4"/>
      <c r="J203" s="74" t="str" cm="1">
        <f t="array" ref="J203">IF(ISBLANK(I203), IF(ISBLANK(H203), "N/A", _xlfn.IFS(K203="AS", H203+15, K203="NCR", H203+30, K203="submitted", H203+30, TRUE, "N/A")), _xlfn.IFS(K203="AS", I203+15, K203="NCR", I203+30, K203="submitted", I203+30, TRUE, "N/A"))</f>
        <v>N/A</v>
      </c>
      <c r="K203" s="18"/>
      <c r="L203" s="318"/>
      <c r="M203" s="766" t="s">
        <v>132</v>
      </c>
      <c r="N203" s="767"/>
      <c r="O203" s="767"/>
      <c r="P203" s="768"/>
    </row>
    <row r="204" spans="1:16" ht="15" customHeight="1">
      <c r="A204" s="585"/>
      <c r="B204" s="584"/>
      <c r="C204" s="144"/>
      <c r="D204" s="144"/>
      <c r="E204" s="5"/>
      <c r="F204" s="4" t="s">
        <v>1044</v>
      </c>
      <c r="G204" s="17" t="s">
        <v>1045</v>
      </c>
      <c r="H204" s="4"/>
      <c r="I204" s="4"/>
      <c r="J204" s="74" t="str" cm="1">
        <f t="array" ref="J204">IF(ISBLANK(I204), IF(ISBLANK(H204), "N/A", _xlfn.IFS(K204="AS", H204+15, K204="NCR", H204+30, K204="submitted", H204+30, TRUE, "N/A")), _xlfn.IFS(K204="AS", I204+15, K204="NCR", I204+30, K204="submitted", I204+30, TRUE, "N/A"))</f>
        <v>N/A</v>
      </c>
      <c r="K204" s="18"/>
      <c r="L204" s="318"/>
      <c r="M204" s="769"/>
      <c r="N204" s="770"/>
      <c r="O204" s="770"/>
      <c r="P204" s="771"/>
    </row>
    <row r="205" spans="1:16" ht="40.5" customHeight="1">
      <c r="A205" s="585"/>
      <c r="B205" s="584"/>
      <c r="C205" s="144"/>
      <c r="D205" s="144"/>
      <c r="E205" s="5"/>
      <c r="F205" s="4" t="s">
        <v>1046</v>
      </c>
      <c r="G205" s="3" t="s">
        <v>1047</v>
      </c>
      <c r="H205" s="4"/>
      <c r="I205" s="4"/>
      <c r="J205" s="74" t="str" cm="1">
        <f t="array" ref="J205">IF(ISBLANK(I205), IF(ISBLANK(H205), "N/A", _xlfn.IFS(K205="AS", H205+15, K205="NCR", H205+30, K205="submitted", H205+30, TRUE, "N/A")), _xlfn.IFS(K205="AS", I205+15, K205="NCR", I205+30, K205="submitted", I205+30, TRUE, "N/A"))</f>
        <v>N/A</v>
      </c>
      <c r="K205" s="18"/>
      <c r="L205" s="318"/>
      <c r="M205" s="769"/>
      <c r="N205" s="770"/>
      <c r="O205" s="770"/>
      <c r="P205" s="771"/>
    </row>
    <row r="206" spans="1:16" ht="15" customHeight="1">
      <c r="A206" s="585"/>
      <c r="B206" s="584"/>
      <c r="C206" s="144"/>
      <c r="D206" s="144"/>
      <c r="E206" s="5"/>
      <c r="F206" s="4" t="s">
        <v>1048</v>
      </c>
      <c r="G206" s="17" t="s">
        <v>1049</v>
      </c>
      <c r="H206" s="4"/>
      <c r="I206" s="4"/>
      <c r="J206" s="74" t="str" cm="1">
        <f t="array" ref="J206">IF(ISBLANK(I206), IF(ISBLANK(H206), "N/A", _xlfn.IFS(K206="AS", H206+15, K206="NCR", H206+30, K206="submitted", H206+30, TRUE, "N/A")), _xlfn.IFS(K206="AS", I206+15, K206="NCR", I206+30, K206="submitted", I206+30, TRUE, "N/A"))</f>
        <v>N/A</v>
      </c>
      <c r="K206" s="18"/>
      <c r="L206" s="318"/>
      <c r="M206" s="769"/>
      <c r="N206" s="770"/>
      <c r="O206" s="770"/>
      <c r="P206" s="771"/>
    </row>
    <row r="207" spans="1:16" ht="27" customHeight="1">
      <c r="A207" s="585"/>
      <c r="B207" s="584"/>
      <c r="C207" s="144"/>
      <c r="D207" s="144"/>
      <c r="E207" s="5"/>
      <c r="F207" s="4" t="s">
        <v>1050</v>
      </c>
      <c r="G207" s="3" t="s">
        <v>1051</v>
      </c>
      <c r="H207" s="4"/>
      <c r="I207" s="4"/>
      <c r="J207" s="74" t="str" cm="1">
        <f t="array" ref="J207">IF(ISBLANK(I207), IF(ISBLANK(H207), "N/A", _xlfn.IFS(K207="AS", H207+15, K207="NCR", H207+30, K207="submitted", H207+30, TRUE, "N/A")), _xlfn.IFS(K207="AS", I207+15, K207="NCR", I207+30, K207="submitted", I207+30, TRUE, "N/A"))</f>
        <v>N/A</v>
      </c>
      <c r="K207" s="18"/>
      <c r="L207" s="318"/>
      <c r="M207" s="769"/>
      <c r="N207" s="770"/>
      <c r="O207" s="770"/>
      <c r="P207" s="771"/>
    </row>
    <row r="208" spans="1:16" ht="15" customHeight="1">
      <c r="A208" s="585"/>
      <c r="B208" s="584"/>
      <c r="C208" s="144"/>
      <c r="D208" s="144"/>
      <c r="E208" s="5"/>
      <c r="F208" s="4" t="s">
        <v>1052</v>
      </c>
      <c r="G208" s="3" t="s">
        <v>1053</v>
      </c>
      <c r="H208" s="4"/>
      <c r="I208" s="4"/>
      <c r="J208" s="74" t="str" cm="1">
        <f t="array" ref="J208">IF(ISBLANK(I208), IF(ISBLANK(H208), "N/A", _xlfn.IFS(K208="AS", H208+15, K208="NCR", H208+30, K208="submitted", H208+30, TRUE, "N/A")), _xlfn.IFS(K208="AS", I208+15, K208="NCR", I208+30, K208="submitted", I208+30, TRUE, "N/A"))</f>
        <v>N/A</v>
      </c>
      <c r="K208" s="18"/>
      <c r="L208" s="318"/>
      <c r="M208" s="769"/>
      <c r="N208" s="770"/>
      <c r="O208" s="770"/>
      <c r="P208" s="771"/>
    </row>
    <row r="209" spans="1:16" ht="15" customHeight="1">
      <c r="A209" s="585"/>
      <c r="B209" s="584"/>
      <c r="C209" s="144"/>
      <c r="D209" s="144"/>
      <c r="E209" s="5"/>
      <c r="F209" s="4" t="s">
        <v>1054</v>
      </c>
      <c r="G209" s="3" t="s">
        <v>1055</v>
      </c>
      <c r="H209" s="4"/>
      <c r="I209" s="4"/>
      <c r="J209" s="74" t="str" cm="1">
        <f t="array" ref="J209">IF(ISBLANK(I209), IF(ISBLANK(H209), "N/A", _xlfn.IFS(K209="AS", H209+15, K209="NCR", H209+30, K209="submitted", H209+30, TRUE, "N/A")), _xlfn.IFS(K209="AS", I209+15, K209="NCR", I209+30, K209="submitted", I209+30, TRUE, "N/A"))</f>
        <v>N/A</v>
      </c>
      <c r="K209" s="18"/>
      <c r="L209" s="318"/>
      <c r="M209" s="769"/>
      <c r="N209" s="770"/>
      <c r="O209" s="770"/>
      <c r="P209" s="771"/>
    </row>
    <row r="210" spans="1:16" ht="15" customHeight="1">
      <c r="A210" s="585"/>
      <c r="B210" s="584"/>
      <c r="C210" s="144"/>
      <c r="D210" s="144"/>
      <c r="E210" s="5"/>
      <c r="F210" s="4" t="s">
        <v>1056</v>
      </c>
      <c r="G210" s="3" t="s">
        <v>1057</v>
      </c>
      <c r="H210" s="4"/>
      <c r="I210" s="4"/>
      <c r="J210" s="74" t="str" cm="1">
        <f t="array" ref="J210">IF(ISBLANK(I210), IF(ISBLANK(H210), "N/A", _xlfn.IFS(K210="AS", H210+15, K210="NCR", H210+30, K210="submitted", H210+30, TRUE, "N/A")), _xlfn.IFS(K210="AS", I210+15, K210="NCR", I210+30, K210="submitted", I210+30, TRUE, "N/A"))</f>
        <v>N/A</v>
      </c>
      <c r="K210" s="18"/>
      <c r="L210" s="318"/>
      <c r="M210" s="769"/>
      <c r="N210" s="770"/>
      <c r="O210" s="770"/>
      <c r="P210" s="771"/>
    </row>
    <row r="211" spans="1:16" ht="15" customHeight="1">
      <c r="A211" s="585"/>
      <c r="B211" s="584"/>
      <c r="C211" s="144"/>
      <c r="D211" s="144"/>
      <c r="E211" s="5"/>
      <c r="F211" s="4" t="s">
        <v>1058</v>
      </c>
      <c r="G211" s="3" t="s">
        <v>1059</v>
      </c>
      <c r="H211" s="4"/>
      <c r="I211" s="4"/>
      <c r="J211" s="74" t="str" cm="1">
        <f t="array" ref="J211">IF(ISBLANK(I211), IF(ISBLANK(H211), "N/A", _xlfn.IFS(K211="AS", H211+15, K211="NCR", H211+30, K211="submitted", H211+30, TRUE, "N/A")), _xlfn.IFS(K211="AS", I211+15, K211="NCR", I211+30, K211="submitted", I211+30, TRUE, "N/A"))</f>
        <v>N/A</v>
      </c>
      <c r="K211" s="18"/>
      <c r="L211" s="318"/>
      <c r="M211" s="750" t="s">
        <v>147</v>
      </c>
      <c r="N211" s="751"/>
      <c r="O211" s="751"/>
      <c r="P211" s="752"/>
    </row>
    <row r="212" spans="1:16" ht="15" customHeight="1">
      <c r="A212" s="585"/>
      <c r="B212" s="584"/>
      <c r="C212" s="144"/>
      <c r="D212" s="144"/>
      <c r="E212" s="5"/>
      <c r="F212" s="4" t="s">
        <v>1060</v>
      </c>
      <c r="G212" s="3" t="s">
        <v>1061</v>
      </c>
      <c r="H212" s="4"/>
      <c r="I212" s="4"/>
      <c r="J212" s="74" t="str" cm="1">
        <f t="array" ref="J212">IF(ISBLANK(I212), IF(ISBLANK(H212), "N/A", _xlfn.IFS(K212="AS", H212+15, K212="NCR", H212+30, K212="submitted", H212+30, TRUE, "N/A")), _xlfn.IFS(K212="AS", I212+15, K212="NCR", I212+30, K212="submitted", I212+30, TRUE, "N/A"))</f>
        <v>N/A</v>
      </c>
      <c r="K212" s="18"/>
      <c r="L212" s="318"/>
      <c r="M212" s="750"/>
      <c r="N212" s="751"/>
      <c r="O212" s="751"/>
      <c r="P212" s="752"/>
    </row>
    <row r="213" spans="1:16" ht="15" customHeight="1">
      <c r="A213" s="585"/>
      <c r="B213" s="584"/>
      <c r="C213" s="144"/>
      <c r="D213" s="144"/>
      <c r="E213" s="5"/>
      <c r="F213" s="4" t="s">
        <v>1062</v>
      </c>
      <c r="G213" s="3" t="s">
        <v>1063</v>
      </c>
      <c r="H213" s="4"/>
      <c r="I213" s="4"/>
      <c r="J213" s="74" t="str" cm="1">
        <f t="array" ref="J213">IF(ISBLANK(I213), IF(ISBLANK(H213), "N/A", _xlfn.IFS(K213="AS", H213+15, K213="NCR", H213+30, K213="submitted", H213+30, TRUE, "N/A")), _xlfn.IFS(K213="AS", I213+15, K213="NCR", I213+30, K213="submitted", I213+30, TRUE, "N/A"))</f>
        <v>N/A</v>
      </c>
      <c r="K213" s="18"/>
      <c r="L213" s="318"/>
      <c r="M213" s="750"/>
      <c r="N213" s="751"/>
      <c r="O213" s="751"/>
      <c r="P213" s="752"/>
    </row>
    <row r="214" spans="1:16" ht="15" customHeight="1">
      <c r="A214" s="585"/>
      <c r="B214" s="584"/>
      <c r="C214" s="144"/>
      <c r="D214" s="144"/>
      <c r="E214" s="5"/>
      <c r="F214" s="4" t="s">
        <v>735</v>
      </c>
      <c r="G214" s="3" t="s">
        <v>1064</v>
      </c>
      <c r="H214" s="4"/>
      <c r="I214" s="4"/>
      <c r="J214" s="74" t="str" cm="1">
        <f t="array" ref="J214">IF(ISBLANK(I214), IF(ISBLANK(H214), "N/A", _xlfn.IFS(K214="AS", H214+15, K214="NCR", H214+30, K214="submitted", H214+30, TRUE, "N/A")), _xlfn.IFS(K214="AS", I214+15, K214="NCR", I214+30, K214="submitted", I214+30, TRUE, "N/A"))</f>
        <v>N/A</v>
      </c>
      <c r="K214" s="18"/>
      <c r="L214" s="318"/>
      <c r="M214" s="750"/>
      <c r="N214" s="751"/>
      <c r="O214" s="751"/>
      <c r="P214" s="752"/>
    </row>
    <row r="215" spans="1:16" ht="27" customHeight="1">
      <c r="A215" s="585"/>
      <c r="B215" s="584"/>
      <c r="C215" s="144"/>
      <c r="D215" s="144"/>
      <c r="E215" s="5"/>
      <c r="F215" s="4" t="s">
        <v>880</v>
      </c>
      <c r="G215" s="3" t="s">
        <v>1065</v>
      </c>
      <c r="H215" s="4"/>
      <c r="I215" s="4"/>
      <c r="J215" s="74" t="str" cm="1">
        <f t="array" ref="J215">IF(ISBLANK(I215), IF(ISBLANK(H215), "N/A", _xlfn.IFS(K215="AS", H215+15, K215="NCR", H215+30, K215="submitted", H215+30, TRUE, "N/A")), _xlfn.IFS(K215="AS", I215+15, K215="NCR", I215+30, K215="submitted", I215+30, TRUE, "N/A"))</f>
        <v>N/A</v>
      </c>
      <c r="K215" s="18"/>
      <c r="L215" s="318"/>
      <c r="M215" s="750"/>
      <c r="N215" s="751"/>
      <c r="O215" s="751"/>
      <c r="P215" s="752"/>
    </row>
    <row r="216" spans="1:16" ht="15" customHeight="1">
      <c r="A216" s="585"/>
      <c r="B216" s="584"/>
      <c r="C216" s="144"/>
      <c r="D216" s="144"/>
      <c r="E216" s="5"/>
      <c r="F216" s="4" t="s">
        <v>1066</v>
      </c>
      <c r="G216" s="17" t="s">
        <v>1067</v>
      </c>
      <c r="H216" s="4"/>
      <c r="I216" s="4"/>
      <c r="J216" s="74" t="str" cm="1">
        <f t="array" ref="J216">IF(ISBLANK(I216), IF(ISBLANK(H216), "N/A", _xlfn.IFS(K216="AS", H216+15, K216="NCR", H216+30, K216="submitted", H216+30, TRUE, "N/A")), _xlfn.IFS(K216="AS", I216+15, K216="NCR", I216+30, K216="submitted", I216+30, TRUE, "N/A"))</f>
        <v>N/A</v>
      </c>
      <c r="K216" s="18"/>
      <c r="L216" s="319"/>
      <c r="M216" s="750"/>
      <c r="N216" s="751"/>
      <c r="O216" s="751"/>
      <c r="P216" s="752"/>
    </row>
    <row r="217" spans="1:16" ht="15" customHeight="1">
      <c r="A217" s="585"/>
      <c r="B217" s="584"/>
      <c r="C217" s="144"/>
      <c r="D217" s="144"/>
      <c r="E217" s="5"/>
      <c r="F217" s="4" t="s">
        <v>1068</v>
      </c>
      <c r="G217" s="17" t="s">
        <v>1069</v>
      </c>
      <c r="H217" s="4"/>
      <c r="I217" s="4"/>
      <c r="J217" s="74" t="str" cm="1">
        <f t="array" ref="J217">IF(ISBLANK(I217), IF(ISBLANK(H217), "N/A", _xlfn.IFS(K217="AS", H217+15, K217="NCR", H217+30, K217="submitted", H217+30, TRUE, "N/A")), _xlfn.IFS(K217="AS", I217+15, K217="NCR", I217+30, K217="submitted", I217+30, TRUE, "N/A"))</f>
        <v>N/A</v>
      </c>
      <c r="K217" s="18"/>
      <c r="L217" s="318"/>
      <c r="M217" s="750"/>
      <c r="N217" s="751"/>
      <c r="O217" s="751"/>
      <c r="P217" s="752"/>
    </row>
    <row r="218" spans="1:16" ht="15" customHeight="1">
      <c r="A218" s="585"/>
      <c r="B218" s="584"/>
      <c r="C218" s="144"/>
      <c r="D218" s="144"/>
      <c r="E218" s="5"/>
      <c r="F218" s="4" t="s">
        <v>1070</v>
      </c>
      <c r="G218" s="17" t="s">
        <v>1071</v>
      </c>
      <c r="H218" s="4"/>
      <c r="I218" s="4"/>
      <c r="J218" s="74" t="str" cm="1">
        <f t="array" ref="J218">IF(ISBLANK(I218), IF(ISBLANK(H218), "N/A", _xlfn.IFS(K218="AS", H218+15, K218="NCR", H218+30, K218="submitted", H218+30, TRUE, "N/A")), _xlfn.IFS(K218="AS", I218+15, K218="NCR", I218+30, K218="submitted", I218+30, TRUE, "N/A"))</f>
        <v>N/A</v>
      </c>
      <c r="K218" s="18"/>
      <c r="L218" s="318"/>
      <c r="M218" s="750"/>
      <c r="N218" s="751"/>
      <c r="O218" s="751"/>
      <c r="P218" s="752"/>
    </row>
    <row r="219" spans="1:16" ht="15" customHeight="1">
      <c r="A219" s="585"/>
      <c r="B219" s="584"/>
      <c r="C219" s="144"/>
      <c r="D219" s="144"/>
      <c r="E219" s="5"/>
      <c r="F219" s="4" t="s">
        <v>1072</v>
      </c>
      <c r="G219" s="3" t="s">
        <v>1073</v>
      </c>
      <c r="H219" s="4"/>
      <c r="I219" s="4"/>
      <c r="J219" s="74" t="str" cm="1">
        <f t="array" ref="J219">IF(ISBLANK(I219), IF(ISBLANK(H219), "N/A", _xlfn.IFS(K219="AS", H219+15, K219="NCR", H219+30, K219="submitted", H219+30, TRUE, "N/A")), _xlfn.IFS(K219="AS", I219+15, K219="NCR", I219+30, K219="submitted", I219+30, TRUE, "N/A"))</f>
        <v>N/A</v>
      </c>
      <c r="K219" s="18"/>
      <c r="L219" s="318"/>
      <c r="M219" s="750"/>
      <c r="N219" s="751"/>
      <c r="O219" s="751"/>
      <c r="P219" s="752"/>
    </row>
    <row r="220" spans="1:16" ht="15" customHeight="1">
      <c r="A220" s="585"/>
      <c r="B220" s="584"/>
      <c r="C220" s="144"/>
      <c r="D220" s="144"/>
      <c r="E220" s="5"/>
      <c r="F220" s="4" t="s">
        <v>1074</v>
      </c>
      <c r="G220" s="3" t="s">
        <v>1075</v>
      </c>
      <c r="H220" s="4"/>
      <c r="I220" s="4"/>
      <c r="J220" s="74" t="str" cm="1">
        <f t="array" ref="J220">IF(ISBLANK(I220), IF(ISBLANK(H220), "N/A", _xlfn.IFS(K220="AS", H220+15, K220="NCR", H220+30, K220="submitted", H220+30, TRUE, "N/A")), _xlfn.IFS(K220="AS", I220+15, K220="NCR", I220+30, K220="submitted", I220+30, TRUE, "N/A"))</f>
        <v>N/A</v>
      </c>
      <c r="K220" s="18"/>
      <c r="L220" s="318"/>
      <c r="M220" s="750"/>
      <c r="N220" s="751"/>
      <c r="O220" s="751"/>
      <c r="P220" s="752"/>
    </row>
    <row r="221" spans="1:16" ht="15" customHeight="1">
      <c r="A221" s="585"/>
      <c r="B221" s="584"/>
      <c r="C221" s="144"/>
      <c r="D221" s="144"/>
      <c r="E221" s="5"/>
      <c r="F221" s="4" t="s">
        <v>1076</v>
      </c>
      <c r="G221" s="3" t="s">
        <v>1077</v>
      </c>
      <c r="H221" s="4"/>
      <c r="I221" s="4"/>
      <c r="J221" s="74" t="str" cm="1">
        <f t="array" ref="J221">IF(ISBLANK(I221), IF(ISBLANK(H221), "N/A", _xlfn.IFS(K221="AS", H221+15, K221="NCR", H221+30, K221="submitted", H221+30, TRUE, "N/A")), _xlfn.IFS(K221="AS", I221+15, K221="NCR", I221+30, K221="submitted", I221+30, TRUE, "N/A"))</f>
        <v>N/A</v>
      </c>
      <c r="K221" s="18"/>
      <c r="L221" s="318"/>
      <c r="M221" s="750"/>
      <c r="N221" s="751"/>
      <c r="O221" s="751"/>
      <c r="P221" s="752"/>
    </row>
    <row r="222" spans="1:16" ht="15" customHeight="1">
      <c r="A222" s="585"/>
      <c r="B222" s="584"/>
      <c r="C222" s="144"/>
      <c r="D222" s="144"/>
      <c r="E222" s="5"/>
      <c r="F222" s="4" t="s">
        <v>1078</v>
      </c>
      <c r="G222" s="3" t="s">
        <v>1079</v>
      </c>
      <c r="H222" s="4"/>
      <c r="I222" s="4"/>
      <c r="J222" s="74" t="str" cm="1">
        <f t="array" ref="J222">IF(ISBLANK(I222), IF(ISBLANK(H222), "N/A", _xlfn.IFS(K222="AS", H222+15, K222="NCR", H222+30, K222="submitted", H222+30, TRUE, "N/A")), _xlfn.IFS(K222="AS", I222+15, K222="NCR", I222+30, K222="submitted", I222+30, TRUE, "N/A"))</f>
        <v>N/A</v>
      </c>
      <c r="K222" s="18"/>
      <c r="L222" s="318"/>
      <c r="M222" s="750"/>
      <c r="N222" s="751"/>
      <c r="O222" s="751"/>
      <c r="P222" s="752"/>
    </row>
    <row r="223" spans="1:16" ht="15" customHeight="1">
      <c r="A223" s="585"/>
      <c r="B223" s="584"/>
      <c r="C223" s="144"/>
      <c r="D223" s="144"/>
      <c r="E223" s="5"/>
      <c r="F223" s="4" t="s">
        <v>1080</v>
      </c>
      <c r="G223" s="3" t="s">
        <v>1081</v>
      </c>
      <c r="H223" s="4"/>
      <c r="I223" s="4"/>
      <c r="J223" s="74" t="str" cm="1">
        <f t="array" ref="J223">IF(ISBLANK(I223), IF(ISBLANK(H223), "N/A", _xlfn.IFS(K223="AS", H223+15, K223="NCR", H223+30, K223="submitted", H223+30, TRUE, "N/A")), _xlfn.IFS(K223="AS", I223+15, K223="NCR", I223+30, K223="submitted", I223+30, TRUE, "N/A"))</f>
        <v>N/A</v>
      </c>
      <c r="K223" s="18"/>
      <c r="L223" s="318"/>
      <c r="M223" s="750"/>
      <c r="N223" s="751"/>
      <c r="O223" s="751"/>
      <c r="P223" s="752"/>
    </row>
    <row r="224" spans="1:16" ht="15" customHeight="1">
      <c r="A224" s="585"/>
      <c r="B224" s="584"/>
      <c r="C224" s="144"/>
      <c r="D224" s="144"/>
      <c r="E224" s="5"/>
      <c r="F224" s="4" t="s">
        <v>1082</v>
      </c>
      <c r="G224" s="17" t="s">
        <v>1083</v>
      </c>
      <c r="H224" s="4"/>
      <c r="I224" s="4"/>
      <c r="J224" s="74" t="str" cm="1">
        <f t="array" ref="J224">IF(ISBLANK(I224), IF(ISBLANK(H224), "N/A", _xlfn.IFS(K224="AS", H224+15, K224="NCR", H224+30, K224="submitted", H224+30, TRUE, "N/A")), _xlfn.IFS(K224="AS", I224+15, K224="NCR", I224+30, K224="submitted", I224+30, TRUE, "N/A"))</f>
        <v>N/A</v>
      </c>
      <c r="K224" s="18"/>
      <c r="L224" s="318"/>
      <c r="M224" s="750"/>
      <c r="N224" s="751"/>
      <c r="O224" s="751"/>
      <c r="P224" s="752"/>
    </row>
    <row r="225" spans="1:11" ht="15" customHeight="1">
      <c r="A225" s="585"/>
      <c r="B225" s="584"/>
      <c r="C225" s="144"/>
      <c r="D225" s="144"/>
      <c r="E225" s="5"/>
      <c r="F225" s="4" t="s">
        <v>1084</v>
      </c>
      <c r="G225" s="17" t="s">
        <v>1085</v>
      </c>
      <c r="H225" s="4"/>
      <c r="I225" s="4"/>
      <c r="J225" s="74" t="str" cm="1">
        <f t="array" ref="J225">IF(ISBLANK(I225), IF(ISBLANK(H225), "N/A", _xlfn.IFS(K225="AS", H225+15, K225="NCR", H225+30, K225="submitted", H225+30, TRUE, "N/A")), _xlfn.IFS(K225="AS", I225+15, K225="NCR", I225+30, K225="submitted", I225+30, TRUE, "N/A"))</f>
        <v>N/A</v>
      </c>
      <c r="K225" s="18"/>
    </row>
    <row r="226" spans="1:11" ht="15" customHeight="1">
      <c r="A226" s="585"/>
      <c r="B226" s="584"/>
      <c r="C226" s="144"/>
      <c r="D226" s="144"/>
      <c r="E226" s="5"/>
      <c r="F226" s="4" t="s">
        <v>1086</v>
      </c>
      <c r="G226" s="3" t="s">
        <v>1087</v>
      </c>
      <c r="H226" s="4"/>
      <c r="I226" s="4"/>
      <c r="J226" s="74" t="str" cm="1">
        <f t="array" ref="J226">IF(ISBLANK(I226), IF(ISBLANK(H226), "N/A", _xlfn.IFS(K226="AS", H226+15, K226="NCR", H226+30, K226="submitted", H226+30, TRUE, "N/A")), _xlfn.IFS(K226="AS", I226+15, K226="NCR", I226+30, K226="submitted", I226+30, TRUE, "N/A"))</f>
        <v>N/A</v>
      </c>
      <c r="K226" s="18"/>
    </row>
    <row r="227" spans="1:11" ht="15" customHeight="1">
      <c r="A227" s="585"/>
      <c r="B227" s="584"/>
      <c r="C227" s="144"/>
      <c r="D227" s="144"/>
      <c r="E227" s="5"/>
      <c r="F227" s="4" t="s">
        <v>435</v>
      </c>
      <c r="G227" s="3" t="s">
        <v>1088</v>
      </c>
      <c r="H227" s="4"/>
      <c r="I227" s="4"/>
      <c r="J227" s="74" t="str" cm="1">
        <f t="array" ref="J227">IF(ISBLANK(I227), IF(ISBLANK(H227), "N/A", _xlfn.IFS(K227="AS", H227+15, K227="NCR", H227+30, K227="submitted", H227+30, TRUE, "N/A")), _xlfn.IFS(K227="AS", I227+15, K227="NCR", I227+30, K227="submitted", I227+30, TRUE, "N/A"))</f>
        <v>N/A</v>
      </c>
      <c r="K227" s="18"/>
    </row>
    <row r="228" spans="1:11" ht="15" customHeight="1">
      <c r="A228" s="585"/>
      <c r="B228" s="584"/>
      <c r="C228" s="144"/>
      <c r="D228" s="144"/>
      <c r="E228" s="5"/>
      <c r="F228" s="4" t="s">
        <v>1089</v>
      </c>
      <c r="G228" s="3" t="s">
        <v>1090</v>
      </c>
      <c r="H228" s="4"/>
      <c r="I228" s="4"/>
      <c r="J228" s="74" t="str" cm="1">
        <f t="array" ref="J228">IF(ISBLANK(I228), IF(ISBLANK(H228), "N/A", _xlfn.IFS(K228="AS", H228+15, K228="NCR", H228+30, K228="submitted", H228+30, TRUE, "N/A")), _xlfn.IFS(K228="AS", I228+15, K228="NCR", I228+30, K228="submitted", I228+30, TRUE, "N/A"))</f>
        <v>N/A</v>
      </c>
      <c r="K228" s="18"/>
    </row>
    <row r="229" spans="1:11" ht="15" customHeight="1">
      <c r="A229" s="585"/>
      <c r="B229" s="584"/>
      <c r="C229" s="144"/>
      <c r="D229" s="144"/>
      <c r="E229" s="5"/>
      <c r="F229" s="4" t="s">
        <v>1091</v>
      </c>
      <c r="G229" s="3" t="s">
        <v>1092</v>
      </c>
      <c r="H229" s="4"/>
      <c r="I229" s="4"/>
      <c r="J229" s="74" t="str" cm="1">
        <f t="array" ref="J229">IF(ISBLANK(I229), IF(ISBLANK(H229), "N/A", _xlfn.IFS(K229="AS", H229+15, K229="NCR", H229+30, K229="submitted", H229+30, TRUE, "N/A")), _xlfn.IFS(K229="AS", I229+15, K229="NCR", I229+30, K229="submitted", I229+30, TRUE, "N/A"))</f>
        <v>N/A</v>
      </c>
      <c r="K229" s="18"/>
    </row>
    <row r="230" spans="1:11" ht="40.5" customHeight="1">
      <c r="A230" s="585"/>
      <c r="B230" s="584"/>
      <c r="C230" s="144"/>
      <c r="D230" s="144"/>
      <c r="E230" s="5"/>
      <c r="F230" s="4" t="s">
        <v>1093</v>
      </c>
      <c r="G230" s="3" t="s">
        <v>1094</v>
      </c>
      <c r="H230" s="4"/>
      <c r="I230" s="4"/>
      <c r="J230" s="74" t="str" cm="1">
        <f t="array" ref="J230">IF(ISBLANK(I230), IF(ISBLANK(H230), "N/A", _xlfn.IFS(K230="AS", H230+15, K230="NCR", H230+30, K230="submitted", H230+30, TRUE, "N/A")), _xlfn.IFS(K230="AS", I230+15, K230="NCR", I230+30, K230="submitted", I230+30, TRUE, "N/A"))</f>
        <v>N/A</v>
      </c>
      <c r="K230" s="18"/>
    </row>
    <row r="231" spans="1:11" ht="27" customHeight="1">
      <c r="A231" s="585"/>
      <c r="B231" s="584"/>
      <c r="C231" s="144"/>
      <c r="D231" s="144"/>
      <c r="E231" s="5"/>
      <c r="F231" s="4" t="s">
        <v>1095</v>
      </c>
      <c r="G231" s="3" t="s">
        <v>1096</v>
      </c>
      <c r="H231" s="4"/>
      <c r="I231" s="4"/>
      <c r="J231" s="74" t="str" cm="1">
        <f t="array" ref="J231">IF(ISBLANK(I231), IF(ISBLANK(H231), "N/A", _xlfn.IFS(K231="AS", H231+15, K231="NCR", H231+30, K231="submitted", H231+30, TRUE, "N/A")), _xlfn.IFS(K231="AS", I231+15, K231="NCR", I231+30, K231="submitted", I231+30, TRUE, "N/A"))</f>
        <v>N/A</v>
      </c>
      <c r="K231" s="18"/>
    </row>
    <row r="232" spans="1:11" ht="40.5" customHeight="1">
      <c r="A232" s="585"/>
      <c r="B232" s="584"/>
      <c r="C232" s="144"/>
      <c r="D232" s="144"/>
      <c r="E232" s="5"/>
      <c r="F232" s="4" t="s">
        <v>1097</v>
      </c>
      <c r="G232" s="3" t="s">
        <v>1098</v>
      </c>
      <c r="H232" s="4"/>
      <c r="I232" s="4"/>
      <c r="J232" s="74" t="str" cm="1">
        <f t="array" ref="J232">IF(ISBLANK(I232), IF(ISBLANK(H232), "N/A", _xlfn.IFS(K232="AS", H232+15, K232="NCR", H232+30, K232="submitted", H232+30, TRUE, "N/A")), _xlfn.IFS(K232="AS", I232+15, K232="NCR", I232+30, K232="submitted", I232+30, TRUE, "N/A"))</f>
        <v>N/A</v>
      </c>
      <c r="K232" s="18"/>
    </row>
    <row r="233" spans="1:11" ht="27" customHeight="1">
      <c r="A233" s="585"/>
      <c r="B233" s="584"/>
      <c r="C233" s="144"/>
      <c r="D233" s="144"/>
      <c r="E233" s="5"/>
      <c r="F233" s="4" t="s">
        <v>1099</v>
      </c>
      <c r="G233" s="3" t="s">
        <v>1100</v>
      </c>
      <c r="H233" s="4"/>
      <c r="I233" s="4"/>
      <c r="J233" s="74" t="str" cm="1">
        <f t="array" ref="J233">IF(ISBLANK(I233), IF(ISBLANK(H233), "N/A", _xlfn.IFS(K233="AS", H233+15, K233="NCR", H233+30, K233="submitted", H233+30, TRUE, "N/A")), _xlfn.IFS(K233="AS", I233+15, K233="NCR", I233+30, K233="submitted", I233+30, TRUE, "N/A"))</f>
        <v>N/A</v>
      </c>
      <c r="K233" s="18"/>
    </row>
    <row r="234" spans="1:11" ht="15" customHeight="1">
      <c r="A234" s="585"/>
      <c r="B234" s="584"/>
      <c r="C234" s="144"/>
      <c r="D234" s="144"/>
      <c r="E234" s="5"/>
      <c r="F234" s="4" t="s">
        <v>462</v>
      </c>
      <c r="G234" s="3" t="s">
        <v>1027</v>
      </c>
      <c r="H234" s="4"/>
      <c r="I234" s="4"/>
      <c r="J234" s="74" t="str" cm="1">
        <f t="array" ref="J234">IF(ISBLANK(I234), IF(ISBLANK(H234), "N/A", _xlfn.IFS(K234="AS", H234+15, K234="NCR", H234+30, K234="submitted", H234+30, TRUE, "N/A")), _xlfn.IFS(K234="AS", I234+15, K234="NCR", I234+30, K234="submitted", I234+30, TRUE, "N/A"))</f>
        <v>N/A</v>
      </c>
      <c r="K234" s="18"/>
    </row>
    <row r="235" spans="1:11" ht="15" customHeight="1">
      <c r="A235" s="585"/>
      <c r="B235" s="584"/>
      <c r="C235" s="144"/>
      <c r="D235" s="144"/>
      <c r="E235" s="5"/>
      <c r="F235" s="4" t="s">
        <v>447</v>
      </c>
      <c r="G235" s="3" t="s">
        <v>1028</v>
      </c>
      <c r="H235" s="4"/>
      <c r="I235" s="4"/>
      <c r="J235" s="74" t="str" cm="1">
        <f t="array" ref="J235">IF(ISBLANK(I235), IF(ISBLANK(H235), "N/A", _xlfn.IFS(K235="AS", H235+15, K235="NCR", H235+30, K235="submitted", H235+30, TRUE, "N/A")), _xlfn.IFS(K235="AS", I235+15, K235="NCR", I235+30, K235="submitted", I235+30, TRUE, "N/A"))</f>
        <v>N/A</v>
      </c>
      <c r="K235" s="18"/>
    </row>
    <row r="236" spans="1:11" ht="15" customHeight="1">
      <c r="A236" s="585"/>
      <c r="B236" s="584"/>
      <c r="C236" s="144"/>
      <c r="D236" s="144"/>
      <c r="E236" s="5"/>
      <c r="F236" s="4" t="s">
        <v>449</v>
      </c>
      <c r="G236" s="3" t="s">
        <v>436</v>
      </c>
      <c r="H236" s="4"/>
      <c r="I236" s="4"/>
      <c r="J236" s="74" t="str" cm="1">
        <f t="array" ref="J236">IF(ISBLANK(I236), IF(ISBLANK(H236), "N/A", _xlfn.IFS(K236="AS", H236+15, K236="NCR", H236+30, K236="submitted", H236+30, TRUE, "N/A")), _xlfn.IFS(K236="AS", I236+15, K236="NCR", I236+30, K236="submitted", I236+30, TRUE, "N/A"))</f>
        <v>N/A</v>
      </c>
      <c r="K236" s="18"/>
    </row>
    <row r="237" spans="1:11" ht="15" customHeight="1">
      <c r="A237" s="585"/>
      <c r="B237" s="584"/>
      <c r="C237" s="144"/>
      <c r="D237" s="144"/>
      <c r="E237" s="5"/>
      <c r="F237" s="4" t="s">
        <v>451</v>
      </c>
      <c r="G237" s="3" t="s">
        <v>968</v>
      </c>
      <c r="H237" s="4"/>
      <c r="I237" s="4"/>
      <c r="J237" s="74" t="str" cm="1">
        <f t="array" ref="J237">IF(ISBLANK(I237), IF(ISBLANK(H237), "N/A", _xlfn.IFS(K237="AS", H237+15, K237="NCR", H237+30, K237="submitted", H237+30, TRUE, "N/A")), _xlfn.IFS(K237="AS", I237+15, K237="NCR", I237+30, K237="submitted", I237+30, TRUE, "N/A"))</f>
        <v>N/A</v>
      </c>
      <c r="K237" s="18"/>
    </row>
    <row r="238" spans="1:11" ht="15" customHeight="1">
      <c r="A238" s="585"/>
      <c r="B238" s="584"/>
      <c r="C238" s="144"/>
      <c r="D238" s="144"/>
      <c r="E238" s="5"/>
      <c r="F238" s="4" t="s">
        <v>453</v>
      </c>
      <c r="G238" s="3" t="s">
        <v>1101</v>
      </c>
      <c r="H238" s="4"/>
      <c r="I238" s="4"/>
      <c r="J238" s="74" t="str" cm="1">
        <f t="array" ref="J238">IF(ISBLANK(I238), IF(ISBLANK(H238), "N/A", _xlfn.IFS(K238="AS", H238+15, K238="NCR", H238+30, K238="submitted", H238+30, TRUE, "N/A")), _xlfn.IFS(K238="AS", I238+15, K238="NCR", I238+30, K238="submitted", I238+30, TRUE, "N/A"))</f>
        <v>N/A</v>
      </c>
      <c r="K238" s="18"/>
    </row>
    <row r="239" spans="1:11" ht="15" customHeight="1">
      <c r="A239" s="585"/>
      <c r="B239" s="584"/>
      <c r="C239" s="144"/>
      <c r="D239" s="144"/>
      <c r="E239" s="5"/>
      <c r="F239" s="4" t="s">
        <v>944</v>
      </c>
      <c r="G239" s="17" t="s">
        <v>1026</v>
      </c>
      <c r="H239" s="4"/>
      <c r="I239" s="4"/>
      <c r="J239" s="74" t="str" cm="1">
        <f t="array" ref="J239">IF(ISBLANK(I239), IF(ISBLANK(H239), "N/A", _xlfn.IFS(K239="AS", H239+15, K239="NCR", H239+30, K239="submitted", H239+30, TRUE, "N/A")), _xlfn.IFS(K239="AS", I239+15, K239="NCR", I239+30, K239="submitted", I239+30, TRUE, "N/A"))</f>
        <v>N/A</v>
      </c>
      <c r="K239" s="18"/>
    </row>
    <row r="240" spans="1:11" ht="27" customHeight="1">
      <c r="A240" s="585"/>
      <c r="B240" s="584"/>
      <c r="C240" s="144"/>
      <c r="D240" s="144"/>
      <c r="E240" s="5"/>
      <c r="F240" s="4" t="s">
        <v>946</v>
      </c>
      <c r="G240" s="3" t="s">
        <v>1102</v>
      </c>
      <c r="H240" s="4"/>
      <c r="I240" s="4"/>
      <c r="J240" s="74" t="str" cm="1">
        <f t="array" ref="J240">IF(ISBLANK(I240), IF(ISBLANK(H240), "N/A", _xlfn.IFS(K240="AS", H240+15, K240="NCR", H240+30, K240="submitted", H240+30, TRUE, "N/A")), _xlfn.IFS(K240="AS", I240+15, K240="NCR", I240+30, K240="submitted", I240+30, TRUE, "N/A"))</f>
        <v>N/A</v>
      </c>
      <c r="K240" s="18"/>
    </row>
    <row r="241" spans="1:11" ht="27" customHeight="1">
      <c r="A241" s="585"/>
      <c r="B241" s="584"/>
      <c r="C241" s="144"/>
      <c r="D241" s="144"/>
      <c r="E241" s="5"/>
      <c r="F241" s="4" t="s">
        <v>1029</v>
      </c>
      <c r="G241" s="3" t="s">
        <v>967</v>
      </c>
      <c r="H241" s="4"/>
      <c r="I241" s="4"/>
      <c r="J241" s="74" t="str" cm="1">
        <f t="array" ref="J241">IF(ISBLANK(I241), IF(ISBLANK(H241), "N/A", _xlfn.IFS(K241="AS", H241+15, K241="NCR", H241+30, K241="submitted", H241+30, TRUE, "N/A")), _xlfn.IFS(K241="AS", I241+15, K241="NCR", I241+30, K241="submitted", I241+30, TRUE, "N/A"))</f>
        <v>N/A</v>
      </c>
      <c r="K241" s="18"/>
    </row>
    <row r="242" spans="1:11" ht="15" customHeight="1">
      <c r="A242" s="585"/>
      <c r="B242" s="584"/>
      <c r="C242" s="144"/>
      <c r="D242" s="144"/>
      <c r="E242" s="5"/>
      <c r="F242" s="4" t="s">
        <v>1103</v>
      </c>
      <c r="G242" s="17" t="s">
        <v>685</v>
      </c>
      <c r="H242" s="4"/>
      <c r="I242" s="4"/>
      <c r="J242" s="74" t="str" cm="1">
        <f t="array" ref="J242">IF(ISBLANK(I242), IF(ISBLANK(H242), "N/A", _xlfn.IFS(K242="AS", H242+15, K242="NCR", H242+30, K242="submitted", H242+30, TRUE, "N/A")), _xlfn.IFS(K242="AS", I242+15, K242="NCR", I242+30, K242="submitted", I242+30, TRUE, "N/A"))</f>
        <v>N/A</v>
      </c>
      <c r="K242" s="18"/>
    </row>
    <row r="243" spans="1:11" ht="15" customHeight="1">
      <c r="A243" s="585"/>
      <c r="B243" s="584"/>
      <c r="C243" s="144"/>
      <c r="D243" s="144"/>
      <c r="E243" s="5"/>
      <c r="F243" s="4" t="s">
        <v>1104</v>
      </c>
      <c r="G243" s="17" t="s">
        <v>1030</v>
      </c>
      <c r="H243" s="4"/>
      <c r="I243" s="4"/>
      <c r="J243" s="74" t="str" cm="1">
        <f t="array" ref="J243">IF(ISBLANK(I243), IF(ISBLANK(H243), "N/A", _xlfn.IFS(K243="AS", H243+15, K243="NCR", H243+30, K243="submitted", H243+30, TRUE, "N/A")), _xlfn.IFS(K243="AS", I243+15, K243="NCR", I243+30, K243="submitted", I243+30, TRUE, "N/A"))</f>
        <v>N/A</v>
      </c>
      <c r="K243" s="18"/>
    </row>
    <row r="244" spans="1:11" s="149" customFormat="1" ht="15" customHeight="1">
      <c r="A244" s="147" t="s">
        <v>1105</v>
      </c>
      <c r="B244" s="334" t="s">
        <v>1106</v>
      </c>
      <c r="C244" s="220" t="s">
        <v>1107</v>
      </c>
      <c r="D244" s="579" t="s">
        <v>1108</v>
      </c>
      <c r="E244" s="150" t="s">
        <v>798</v>
      </c>
      <c r="F244" s="147" t="s">
        <v>275</v>
      </c>
      <c r="G244" s="148" t="s">
        <v>476</v>
      </c>
      <c r="H244" s="234">
        <v>45902</v>
      </c>
      <c r="I244" s="234">
        <v>45923</v>
      </c>
      <c r="J244" s="74" t="str" cm="1">
        <f t="array" ref="J244">IF(ISBLANK(I244), IF(ISBLANK(H244), "N/A", _xlfn.IFS(K244="AS", H244+15, K244="NCR", H244+30, K244="submitted", H244+30, TRUE, "N/A")), _xlfn.IFS(K244="AS", I244+15, K244="NCR", I244+30, K244="submitted", I244+30, TRUE, "N/A"))</f>
        <v>N/A</v>
      </c>
      <c r="K244" s="234" t="s">
        <v>1109</v>
      </c>
    </row>
    <row r="245" spans="1:11" s="149" customFormat="1" ht="15" customHeight="1">
      <c r="A245" s="147" t="s">
        <v>1105</v>
      </c>
      <c r="B245" s="334" t="s">
        <v>1106</v>
      </c>
      <c r="C245" s="220" t="s">
        <v>1107</v>
      </c>
      <c r="D245" s="579" t="s">
        <v>1108</v>
      </c>
      <c r="E245" s="150" t="s">
        <v>798</v>
      </c>
      <c r="F245" s="147" t="s">
        <v>263</v>
      </c>
      <c r="G245" s="148" t="s">
        <v>268</v>
      </c>
      <c r="H245" s="234">
        <v>45902</v>
      </c>
      <c r="I245" s="234">
        <v>45923</v>
      </c>
      <c r="J245" s="74" t="str" cm="1">
        <f t="array" ref="J245">IF(ISBLANK(I245), IF(ISBLANK(H245), "N/A", _xlfn.IFS(K245="AS", H245+15, K245="NCR", H245+30, K245="submitted", H245+30, TRUE, "N/A")), _xlfn.IFS(K245="AS", I245+15, K245="NCR", I245+30, K245="submitted", I245+30, TRUE, "N/A"))</f>
        <v>N/A</v>
      </c>
      <c r="K245" s="234" t="s">
        <v>1109</v>
      </c>
    </row>
    <row r="246" spans="1:11" ht="15" customHeight="1">
      <c r="A246" s="9"/>
      <c r="B246" s="33"/>
      <c r="C246" s="39"/>
      <c r="D246" s="20"/>
      <c r="E246" s="1"/>
      <c r="F246" s="9" t="s">
        <v>253</v>
      </c>
      <c r="G246" s="13" t="s">
        <v>345</v>
      </c>
      <c r="H246" s="9"/>
      <c r="I246" s="9"/>
      <c r="J246" s="74" t="str" cm="1">
        <f t="array" ref="J246">IF(ISBLANK(I246), IF(ISBLANK(H246), "N/A", _xlfn.IFS(K246="AS", H246+15, K246="NCR", H246+30, K246="submitted", H246+30, TRUE, "N/A")), _xlfn.IFS(K246="AS", I246+15, K246="NCR", I246+30, K246="submitted", I246+30, TRUE, "N/A"))</f>
        <v>N/A</v>
      </c>
      <c r="K246" s="14"/>
    </row>
    <row r="247" spans="1:11" ht="15" customHeight="1">
      <c r="A247" s="9"/>
      <c r="B247" s="33"/>
      <c r="C247" s="39"/>
      <c r="D247" s="20"/>
      <c r="E247" s="1"/>
      <c r="F247" s="9" t="s">
        <v>495</v>
      </c>
      <c r="G247" s="7" t="s">
        <v>375</v>
      </c>
      <c r="H247" s="9"/>
      <c r="I247" s="9"/>
      <c r="J247" s="74" t="str" cm="1">
        <f t="array" ref="J247">IF(ISBLANK(I247), IF(ISBLANK(H247), "N/A", _xlfn.IFS(K247="AS", H247+15, K247="NCR", H247+30, K247="submitted", H247+30, TRUE, "N/A")), _xlfn.IFS(K247="AS", I247+15, K247="NCR", I247+30, K247="submitted", I247+30, TRUE, "N/A"))</f>
        <v>N/A</v>
      </c>
      <c r="K247" s="14"/>
    </row>
    <row r="248" spans="1:11" ht="27" customHeight="1">
      <c r="A248" s="9"/>
      <c r="B248" s="33"/>
      <c r="C248" s="39"/>
      <c r="D248" s="20"/>
      <c r="E248" s="1"/>
      <c r="F248" s="9" t="s">
        <v>1110</v>
      </c>
      <c r="G248" s="7" t="s">
        <v>377</v>
      </c>
      <c r="H248" s="9"/>
      <c r="I248" s="9"/>
      <c r="J248" s="74" t="str" cm="1">
        <f t="array" ref="J248">IF(ISBLANK(I248), IF(ISBLANK(H248), "N/A", _xlfn.IFS(K248="AS", H248+15, K248="NCR", H248+30, K248="submitted", H248+30, TRUE, "N/A")), _xlfn.IFS(K248="AS", I248+15, K248="NCR", I248+30, K248="submitted", I248+30, TRUE, "N/A"))</f>
        <v>N/A</v>
      </c>
      <c r="K248" s="14"/>
    </row>
    <row r="249" spans="1:11" ht="27" customHeight="1">
      <c r="A249" s="9"/>
      <c r="B249" s="97"/>
      <c r="C249" s="46"/>
      <c r="D249" s="20"/>
      <c r="E249" s="1"/>
      <c r="F249" s="9" t="s">
        <v>374</v>
      </c>
      <c r="G249" s="7" t="s">
        <v>1111</v>
      </c>
      <c r="H249" s="9"/>
      <c r="I249" s="9"/>
      <c r="J249" s="74" t="str" cm="1">
        <f t="array" ref="J249">IF(ISBLANK(I249), IF(ISBLANK(H249), "N/A", _xlfn.IFS(K249="AS", H249+15, K249="NCR", H249+30, K249="submitted", H249+30, TRUE, "N/A")), _xlfn.IFS(K249="AS", I249+15, K249="NCR", I249+30, K249="submitted", I249+30, TRUE, "N/A"))</f>
        <v>N/A</v>
      </c>
      <c r="K249" s="14"/>
    </row>
    <row r="250" spans="1:11" ht="15" customHeight="1">
      <c r="A250" s="4"/>
      <c r="B250" s="86" t="s">
        <v>1112</v>
      </c>
      <c r="C250" s="34" t="s">
        <v>1113</v>
      </c>
      <c r="D250" s="103"/>
      <c r="E250" s="5"/>
      <c r="F250" s="4" t="s">
        <v>275</v>
      </c>
      <c r="G250" s="17" t="s">
        <v>229</v>
      </c>
      <c r="H250" s="4"/>
      <c r="I250" s="4"/>
      <c r="J250" s="74" t="str" cm="1">
        <f t="array" ref="J250">IF(ISBLANK(I250), IF(ISBLANK(H250), "N/A", _xlfn.IFS(K250="AS", H250+15, K250="NCR", H250+30, K250="submitted", H250+30, TRUE, "N/A")), _xlfn.IFS(K250="AS", I250+15, K250="NCR", I250+30, K250="submitted", I250+30, TRUE, "N/A"))</f>
        <v>N/A</v>
      </c>
      <c r="K250" s="18"/>
    </row>
    <row r="251" spans="1:11" ht="15" customHeight="1">
      <c r="A251" s="4"/>
      <c r="B251" s="111"/>
      <c r="C251" s="35"/>
      <c r="D251" s="103"/>
      <c r="E251" s="5"/>
      <c r="F251" s="4" t="s">
        <v>263</v>
      </c>
      <c r="G251" s="17" t="s">
        <v>320</v>
      </c>
      <c r="H251" s="4"/>
      <c r="I251" s="4"/>
      <c r="J251" s="74" t="str" cm="1">
        <f t="array" ref="J251">IF(ISBLANK(I251), IF(ISBLANK(H251), "N/A", _xlfn.IFS(K251="AS", H251+15, K251="NCR", H251+30, K251="submitted", H251+30, TRUE, "N/A")), _xlfn.IFS(K251="AS", I251+15, K251="NCR", I251+30, K251="submitted", I251+30, TRUE, "N/A"))</f>
        <v>N/A</v>
      </c>
      <c r="K251" s="18"/>
    </row>
    <row r="252" spans="1:11" ht="15" customHeight="1">
      <c r="A252" s="4"/>
      <c r="B252" s="111"/>
      <c r="C252" s="35"/>
      <c r="D252" s="103"/>
      <c r="E252" s="5"/>
      <c r="F252" s="4" t="s">
        <v>364</v>
      </c>
      <c r="G252" s="3" t="s">
        <v>1114</v>
      </c>
      <c r="H252" s="4"/>
      <c r="I252" s="4"/>
      <c r="J252" s="74" t="str" cm="1">
        <f t="array" ref="J252">IF(ISBLANK(I252), IF(ISBLANK(H252), "N/A", _xlfn.IFS(K252="AS", H252+15, K252="NCR", H252+30, K252="submitted", H252+30, TRUE, "N/A")), _xlfn.IFS(K252="AS", I252+15, K252="NCR", I252+30, K252="submitted", I252+30, TRUE, "N/A"))</f>
        <v>N/A</v>
      </c>
      <c r="K252" s="18"/>
    </row>
    <row r="253" spans="1:11" ht="15" customHeight="1">
      <c r="A253" s="4"/>
      <c r="B253" s="111"/>
      <c r="C253" s="35"/>
      <c r="D253" s="103"/>
      <c r="E253" s="5"/>
      <c r="F253" s="4" t="s">
        <v>344</v>
      </c>
      <c r="G253" s="17" t="s">
        <v>1115</v>
      </c>
      <c r="H253" s="4"/>
      <c r="I253" s="4"/>
      <c r="J253" s="74" t="str" cm="1">
        <f t="array" ref="J253">IF(ISBLANK(I253), IF(ISBLANK(H253), "N/A", _xlfn.IFS(K253="AS", H253+15, K253="NCR", H253+30, K253="submitted", H253+30, TRUE, "N/A")), _xlfn.IFS(K253="AS", I253+15, K253="NCR", I253+30, K253="submitted", I253+30, TRUE, "N/A"))</f>
        <v>N/A</v>
      </c>
      <c r="K253" s="18"/>
    </row>
    <row r="254" spans="1:11" ht="15" customHeight="1">
      <c r="A254" s="4"/>
      <c r="B254" s="111"/>
      <c r="C254" s="35"/>
      <c r="D254" s="103"/>
      <c r="E254" s="5"/>
      <c r="F254" s="4" t="s">
        <v>346</v>
      </c>
      <c r="G254" s="3" t="s">
        <v>1116</v>
      </c>
      <c r="H254" s="4"/>
      <c r="I254" s="4"/>
      <c r="J254" s="74" t="str" cm="1">
        <f t="array" ref="J254">IF(ISBLANK(I254), IF(ISBLANK(H254), "N/A", _xlfn.IFS(K254="AS", H254+15, K254="NCR", H254+30, K254="submitted", H254+30, TRUE, "N/A")), _xlfn.IFS(K254="AS", I254+15, K254="NCR", I254+30, K254="submitted", I254+30, TRUE, "N/A"))</f>
        <v>N/A</v>
      </c>
      <c r="K254" s="18"/>
    </row>
    <row r="255" spans="1:11" ht="15" customHeight="1">
      <c r="A255" s="4"/>
      <c r="B255" s="111"/>
      <c r="C255" s="35"/>
      <c r="D255" s="103"/>
      <c r="E255" s="5"/>
      <c r="F255" s="4" t="s">
        <v>1117</v>
      </c>
      <c r="G255" s="3" t="s">
        <v>414</v>
      </c>
      <c r="H255" s="4"/>
      <c r="I255" s="4"/>
      <c r="J255" s="74" t="str" cm="1">
        <f t="array" ref="J255">IF(ISBLANK(I255), IF(ISBLANK(H255), "N/A", _xlfn.IFS(K255="AS", H255+15, K255="NCR", H255+30, K255="submitted", H255+30, TRUE, "N/A")), _xlfn.IFS(K255="AS", I255+15, K255="NCR", I255+30, K255="submitted", I255+30, TRUE, "N/A"))</f>
        <v>N/A</v>
      </c>
      <c r="K255" s="18"/>
    </row>
    <row r="256" spans="1:11" ht="15" customHeight="1">
      <c r="A256" s="4"/>
      <c r="B256" s="111"/>
      <c r="C256" s="35"/>
      <c r="D256" s="103"/>
      <c r="E256" s="5"/>
      <c r="F256" s="4" t="s">
        <v>1118</v>
      </c>
      <c r="G256" s="3" t="s">
        <v>416</v>
      </c>
      <c r="H256" s="4"/>
      <c r="I256" s="4"/>
      <c r="J256" s="74" t="str" cm="1">
        <f t="array" ref="J256">IF(ISBLANK(I256), IF(ISBLANK(H256), "N/A", _xlfn.IFS(K256="AS", H256+15, K256="NCR", H256+30, K256="submitted", H256+30, TRUE, "N/A")), _xlfn.IFS(K256="AS", I256+15, K256="NCR", I256+30, K256="submitted", I256+30, TRUE, "N/A"))</f>
        <v>N/A</v>
      </c>
      <c r="K256" s="18"/>
    </row>
    <row r="257" spans="1:11" ht="15" customHeight="1">
      <c r="A257" s="4"/>
      <c r="B257" s="111"/>
      <c r="C257" s="35"/>
      <c r="D257" s="103"/>
      <c r="E257" s="5"/>
      <c r="F257" s="4" t="s">
        <v>1119</v>
      </c>
      <c r="G257" s="3" t="s">
        <v>808</v>
      </c>
      <c r="H257" s="4"/>
      <c r="I257" s="4"/>
      <c r="J257" s="74" t="str" cm="1">
        <f t="array" ref="J257">IF(ISBLANK(I257), IF(ISBLANK(H257), "N/A", _xlfn.IFS(K257="AS", H257+15, K257="NCR", H257+30, K257="submitted", H257+30, TRUE, "N/A")), _xlfn.IFS(K257="AS", I257+15, K257="NCR", I257+30, K257="submitted", I257+30, TRUE, "N/A"))</f>
        <v>N/A</v>
      </c>
      <c r="K257" s="18"/>
    </row>
    <row r="258" spans="1:11" ht="15" customHeight="1">
      <c r="A258" s="4"/>
      <c r="B258" s="111"/>
      <c r="C258" s="35"/>
      <c r="D258" s="103"/>
      <c r="E258" s="5"/>
      <c r="F258" s="4" t="s">
        <v>1120</v>
      </c>
      <c r="G258" s="3" t="s">
        <v>420</v>
      </c>
      <c r="H258" s="4"/>
      <c r="I258" s="4"/>
      <c r="J258" s="74" t="str" cm="1">
        <f t="array" ref="J258">IF(ISBLANK(I258), IF(ISBLANK(H258), "N/A", _xlfn.IFS(K258="AS", H258+15, K258="NCR", H258+30, K258="submitted", H258+30, TRUE, "N/A")), _xlfn.IFS(K258="AS", I258+15, K258="NCR", I258+30, K258="submitted", I258+30, TRUE, "N/A"))</f>
        <v>N/A</v>
      </c>
      <c r="K258" s="18"/>
    </row>
    <row r="259" spans="1:11" ht="15" customHeight="1">
      <c r="A259" s="4"/>
      <c r="B259" s="111"/>
      <c r="C259" s="35"/>
      <c r="D259" s="103"/>
      <c r="E259" s="5"/>
      <c r="F259" s="4" t="s">
        <v>1121</v>
      </c>
      <c r="G259" s="3" t="s">
        <v>422</v>
      </c>
      <c r="H259" s="4"/>
      <c r="I259" s="4"/>
      <c r="J259" s="74" t="str" cm="1">
        <f t="array" ref="J259">IF(ISBLANK(I259), IF(ISBLANK(H259), "N/A", _xlfn.IFS(K259="AS", H259+15, K259="NCR", H259+30, K259="submitted", H259+30, TRUE, "N/A")), _xlfn.IFS(K259="AS", I259+15, K259="NCR", I259+30, K259="submitted", I259+30, TRUE, "N/A"))</f>
        <v>N/A</v>
      </c>
      <c r="K259" s="18"/>
    </row>
    <row r="260" spans="1:11" ht="15" customHeight="1">
      <c r="A260" s="4"/>
      <c r="B260" s="111"/>
      <c r="C260" s="35"/>
      <c r="D260" s="103"/>
      <c r="E260" s="5"/>
      <c r="F260" s="4" t="s">
        <v>1122</v>
      </c>
      <c r="G260" s="17" t="s">
        <v>812</v>
      </c>
      <c r="H260" s="4"/>
      <c r="I260" s="4"/>
      <c r="J260" s="74" t="str" cm="1">
        <f t="array" ref="J260">IF(ISBLANK(I260), IF(ISBLANK(H260), "N/A", _xlfn.IFS(K260="AS", H260+15, K260="NCR", H260+30, K260="submitted", H260+30, TRUE, "N/A")), _xlfn.IFS(K260="AS", I260+15, K260="NCR", I260+30, K260="submitted", I260+30, TRUE, "N/A"))</f>
        <v>N/A</v>
      </c>
      <c r="K260" s="18"/>
    </row>
    <row r="261" spans="1:11" ht="27" customHeight="1">
      <c r="A261" s="4"/>
      <c r="B261" s="95"/>
      <c r="C261" s="36"/>
      <c r="D261" s="103"/>
      <c r="E261" s="5"/>
      <c r="F261" s="4" t="s">
        <v>1123</v>
      </c>
      <c r="G261" s="3" t="s">
        <v>407</v>
      </c>
      <c r="H261" s="4"/>
      <c r="I261" s="4"/>
      <c r="J261" s="74" t="str" cm="1">
        <f t="array" ref="J261">IF(ISBLANK(I261), IF(ISBLANK(H261), "N/A", _xlfn.IFS(K261="AS", H261+15, K261="NCR", H261+30, K261="submitted", H261+30, TRUE, "N/A")), _xlfn.IFS(K261="AS", I261+15, K261="NCR", I261+30, K261="submitted", I261+30, TRUE, "N/A"))</f>
        <v>N/A</v>
      </c>
      <c r="K261" s="18"/>
    </row>
    <row r="262" spans="1:11" ht="27" customHeight="1">
      <c r="A262" s="22" t="s">
        <v>1124</v>
      </c>
      <c r="B262" s="311" t="s">
        <v>1125</v>
      </c>
      <c r="C262" s="76" t="s">
        <v>1126</v>
      </c>
      <c r="D262" s="576"/>
      <c r="E262" s="26"/>
      <c r="F262" s="22" t="s">
        <v>475</v>
      </c>
      <c r="G262" s="28" t="s">
        <v>544</v>
      </c>
      <c r="H262" s="25">
        <v>45929</v>
      </c>
      <c r="I262" s="22"/>
      <c r="J262" s="74" cm="1">
        <f t="array" ref="J262">IF(ISBLANK(I262), IF(ISBLANK(H262), "N/A", _xlfn.IFS(K262="AS", H262+15, K262="NCR", H262+30, K262="submitted", H262+30, TRUE, "N/A")), _xlfn.IFS(K262="AS", I262+15, K262="NCR", I262+30, K262="submitted", I262+30, TRUE, "N/A"))</f>
        <v>45959</v>
      </c>
      <c r="K262" s="25" t="s">
        <v>154</v>
      </c>
    </row>
    <row r="263" spans="1:11" ht="15" customHeight="1">
      <c r="A263" s="22" t="s">
        <v>1124</v>
      </c>
      <c r="B263" s="311" t="s">
        <v>1125</v>
      </c>
      <c r="C263" s="76" t="s">
        <v>1126</v>
      </c>
      <c r="D263" s="576"/>
      <c r="E263" s="26"/>
      <c r="F263" s="22" t="s">
        <v>477</v>
      </c>
      <c r="G263" s="28" t="s">
        <v>276</v>
      </c>
      <c r="H263" s="25">
        <v>45929</v>
      </c>
      <c r="I263" s="22"/>
      <c r="J263" s="74" cm="1">
        <f t="array" ref="J263">IF(ISBLANK(I263), IF(ISBLANK(H263), "N/A", _xlfn.IFS(K263="AS", H263+15, K263="NCR", H263+30, K263="submitted", H263+30, TRUE, "N/A")), _xlfn.IFS(K263="AS", I263+15, K263="NCR", I263+30, K263="submitted", I263+30, TRUE, "N/A"))</f>
        <v>45959</v>
      </c>
      <c r="K263" s="25" t="s">
        <v>154</v>
      </c>
    </row>
    <row r="264" spans="1:11" ht="15" customHeight="1">
      <c r="A264" s="22"/>
      <c r="B264" s="311" t="s">
        <v>1125</v>
      </c>
      <c r="C264" s="76" t="s">
        <v>1126</v>
      </c>
      <c r="D264" s="576"/>
      <c r="E264" s="26"/>
      <c r="F264" s="22" t="s">
        <v>478</v>
      </c>
      <c r="G264" s="28" t="s">
        <v>345</v>
      </c>
      <c r="H264" s="22"/>
      <c r="I264" s="22"/>
      <c r="J264" s="74" t="str" cm="1">
        <f t="array" ref="J264">IF(ISBLANK(I264), IF(ISBLANK(H264), "N/A", _xlfn.IFS(K264="AS", H264+15, K264="NCR", H264+30, K264="submitted", H264+30, TRUE, "N/A")), _xlfn.IFS(K264="AS", I264+15, K264="NCR", I264+30, K264="submitted", I264+30, TRUE, "N/A"))</f>
        <v>N/A</v>
      </c>
      <c r="K264" s="25"/>
    </row>
    <row r="265" spans="1:11" ht="27" customHeight="1">
      <c r="A265" s="22"/>
      <c r="B265" s="311" t="s">
        <v>1125</v>
      </c>
      <c r="C265" s="76" t="s">
        <v>1126</v>
      </c>
      <c r="D265" s="576"/>
      <c r="E265" s="26"/>
      <c r="F265" s="22" t="s">
        <v>850</v>
      </c>
      <c r="G265" s="28" t="s">
        <v>1127</v>
      </c>
      <c r="H265" s="22"/>
      <c r="I265" s="22"/>
      <c r="J265" s="74" t="str" cm="1">
        <f t="array" ref="J265">IF(ISBLANK(I265), IF(ISBLANK(H265), "N/A", _xlfn.IFS(K265="AS", H265+15, K265="NCR", H265+30, K265="submitted", H265+30, TRUE, "N/A")), _xlfn.IFS(K265="AS", I265+15, K265="NCR", I265+30, K265="submitted", I265+30, TRUE, "N/A"))</f>
        <v>N/A</v>
      </c>
      <c r="K265" s="25"/>
    </row>
    <row r="266" spans="1:11" ht="15" customHeight="1">
      <c r="A266" s="22"/>
      <c r="B266" s="311" t="s">
        <v>1125</v>
      </c>
      <c r="C266" s="76" t="s">
        <v>1126</v>
      </c>
      <c r="D266" s="576"/>
      <c r="E266" s="26"/>
      <c r="F266" s="22" t="s">
        <v>480</v>
      </c>
      <c r="G266" s="28" t="s">
        <v>819</v>
      </c>
      <c r="H266" s="22"/>
      <c r="I266" s="22"/>
      <c r="J266" s="74" t="str" cm="1">
        <f t="array" ref="J266">IF(ISBLANK(I266), IF(ISBLANK(H266), "N/A", _xlfn.IFS(K266="AS", H266+15, K266="NCR", H266+30, K266="submitted", H266+30, TRUE, "N/A")), _xlfn.IFS(K266="AS", I266+15, K266="NCR", I266+30, K266="submitted", I266+30, TRUE, "N/A"))</f>
        <v>N/A</v>
      </c>
      <c r="K266" s="25"/>
    </row>
    <row r="267" spans="1:11" ht="27" customHeight="1">
      <c r="A267" s="22"/>
      <c r="B267" s="311" t="s">
        <v>1125</v>
      </c>
      <c r="C267" s="76" t="s">
        <v>1126</v>
      </c>
      <c r="D267" s="576"/>
      <c r="E267" s="26"/>
      <c r="F267" s="22" t="s">
        <v>1128</v>
      </c>
      <c r="G267" s="28" t="s">
        <v>820</v>
      </c>
      <c r="H267" s="22"/>
      <c r="I267" s="22"/>
      <c r="J267" s="74" t="str" cm="1">
        <f t="array" ref="J267">IF(ISBLANK(I267), IF(ISBLANK(H267), "N/A", _xlfn.IFS(K267="AS", H267+15, K267="NCR", H267+30, K267="submitted", H267+30, TRUE, "N/A")), _xlfn.IFS(K267="AS", I267+15, K267="NCR", I267+30, K267="submitted", I267+30, TRUE, "N/A"))</f>
        <v>N/A</v>
      </c>
      <c r="K267" s="25"/>
    </row>
    <row r="268" spans="1:11" ht="27" customHeight="1">
      <c r="A268" s="4"/>
      <c r="B268" s="86" t="s">
        <v>1129</v>
      </c>
      <c r="C268" s="53" t="s">
        <v>1130</v>
      </c>
      <c r="D268" s="577"/>
      <c r="E268" s="5"/>
      <c r="F268" s="4" t="s">
        <v>228</v>
      </c>
      <c r="G268" s="3" t="s">
        <v>1131</v>
      </c>
      <c r="H268" s="4"/>
      <c r="I268" s="4"/>
      <c r="J268" s="74" t="str" cm="1">
        <f t="array" ref="J268">IF(ISBLANK(I268), IF(ISBLANK(H268), "N/A", _xlfn.IFS(K268="AS", H268+15, K268="NCR", H268+30, K268="submitted", H268+30, TRUE, "N/A")), _xlfn.IFS(K268="AS", I268+15, K268="NCR", I268+30, K268="submitted", I268+30, TRUE, "N/A"))</f>
        <v>N/A</v>
      </c>
      <c r="K268" s="18"/>
    </row>
    <row r="269" spans="1:11" ht="15" customHeight="1">
      <c r="A269" s="4"/>
      <c r="B269" s="111"/>
      <c r="C269" s="59"/>
      <c r="D269" s="577"/>
      <c r="E269" s="5"/>
      <c r="F269" s="4" t="s">
        <v>1132</v>
      </c>
      <c r="G269" s="17" t="s">
        <v>1133</v>
      </c>
      <c r="H269" s="4"/>
      <c r="I269" s="4"/>
      <c r="J269" s="74" t="str" cm="1">
        <f t="array" ref="J269">IF(ISBLANK(I269), IF(ISBLANK(H269), "N/A", _xlfn.IFS(K269="AS", H269+15, K269="NCR", H269+30, K269="submitted", H269+30, TRUE, "N/A")), _xlfn.IFS(K269="AS", I269+15, K269="NCR", I269+30, K269="submitted", I269+30, TRUE, "N/A"))</f>
        <v>N/A</v>
      </c>
      <c r="K269" s="18"/>
    </row>
    <row r="270" spans="1:11" ht="15" customHeight="1">
      <c r="A270" s="4"/>
      <c r="B270" s="111"/>
      <c r="C270" s="59"/>
      <c r="D270" s="577"/>
      <c r="E270" s="5"/>
      <c r="F270" s="4" t="s">
        <v>1134</v>
      </c>
      <c r="G270" s="17" t="s">
        <v>1135</v>
      </c>
      <c r="H270" s="4"/>
      <c r="I270" s="4"/>
      <c r="J270" s="74" t="str" cm="1">
        <f t="array" ref="J270">IF(ISBLANK(I270), IF(ISBLANK(H270), "N/A", _xlfn.IFS(K270="AS", H270+15, K270="NCR", H270+30, K270="submitted", H270+30, TRUE, "N/A")), _xlfn.IFS(K270="AS", I270+15, K270="NCR", I270+30, K270="submitted", I270+30, TRUE, "N/A"))</f>
        <v>N/A</v>
      </c>
      <c r="K270" s="18"/>
    </row>
    <row r="271" spans="1:11" ht="15" customHeight="1">
      <c r="A271" s="4"/>
      <c r="B271" s="111"/>
      <c r="C271" s="59"/>
      <c r="D271" s="577"/>
      <c r="E271" s="5"/>
      <c r="F271" s="4" t="s">
        <v>1136</v>
      </c>
      <c r="G271" s="17" t="s">
        <v>808</v>
      </c>
      <c r="H271" s="4"/>
      <c r="I271" s="4"/>
      <c r="J271" s="74" t="str" cm="1">
        <f t="array" ref="J271">IF(ISBLANK(I271), IF(ISBLANK(H271), "N/A", _xlfn.IFS(K271="AS", H271+15, K271="NCR", H271+30, K271="submitted", H271+30, TRUE, "N/A")), _xlfn.IFS(K271="AS", I271+15, K271="NCR", I271+30, K271="submitted", I271+30, TRUE, "N/A"))</f>
        <v>N/A</v>
      </c>
      <c r="K271" s="18"/>
    </row>
    <row r="272" spans="1:11" ht="15" customHeight="1">
      <c r="A272" s="4"/>
      <c r="B272" s="111"/>
      <c r="C272" s="59"/>
      <c r="D272" s="577"/>
      <c r="E272" s="5"/>
      <c r="F272" s="4" t="s">
        <v>1137</v>
      </c>
      <c r="G272" s="17" t="s">
        <v>420</v>
      </c>
      <c r="H272" s="4"/>
      <c r="I272" s="4"/>
      <c r="J272" s="74" t="str" cm="1">
        <f t="array" ref="J272">IF(ISBLANK(I272), IF(ISBLANK(H272), "N/A", _xlfn.IFS(K272="AS", H272+15, K272="NCR", H272+30, K272="submitted", H272+30, TRUE, "N/A")), _xlfn.IFS(K272="AS", I272+15, K272="NCR", I272+30, K272="submitted", I272+30, TRUE, "N/A"))</f>
        <v>N/A</v>
      </c>
      <c r="K272" s="18"/>
    </row>
    <row r="273" spans="1:13" ht="15" customHeight="1">
      <c r="A273" s="4"/>
      <c r="B273" s="111"/>
      <c r="C273" s="59"/>
      <c r="D273" s="577"/>
      <c r="E273" s="5"/>
      <c r="F273" s="4" t="s">
        <v>1138</v>
      </c>
      <c r="G273" s="17" t="s">
        <v>422</v>
      </c>
      <c r="H273" s="4"/>
      <c r="I273" s="4"/>
      <c r="J273" s="74" t="str" cm="1">
        <f t="array" ref="J273">IF(ISBLANK(I273), IF(ISBLANK(H273), "N/A", _xlfn.IFS(K273="AS", H273+15, K273="NCR", H273+30, K273="submitted", H273+30, TRUE, "N/A")), _xlfn.IFS(K273="AS", I273+15, K273="NCR", I273+30, K273="submitted", I273+30, TRUE, "N/A"))</f>
        <v>N/A</v>
      </c>
      <c r="K273" s="18"/>
      <c r="L273" s="318"/>
      <c r="M273" s="750"/>
    </row>
    <row r="274" spans="1:13" ht="15" customHeight="1">
      <c r="A274" s="4"/>
      <c r="B274" s="111"/>
      <c r="C274" s="59"/>
      <c r="D274" s="577"/>
      <c r="E274" s="5"/>
      <c r="F274" s="4" t="s">
        <v>236</v>
      </c>
      <c r="G274" s="17" t="s">
        <v>1139</v>
      </c>
      <c r="H274" s="4"/>
      <c r="I274" s="4"/>
      <c r="J274" s="74" t="str" cm="1">
        <f t="array" ref="J274">IF(ISBLANK(I274), IF(ISBLANK(H274), "N/A", _xlfn.IFS(K274="AS", H274+15, K274="NCR", H274+30, K274="submitted", H274+30, TRUE, "N/A")), _xlfn.IFS(K274="AS", I274+15, K274="NCR", I274+30, K274="submitted", I274+30, TRUE, "N/A"))</f>
        <v>N/A</v>
      </c>
      <c r="K274" s="18"/>
      <c r="L274" s="318"/>
      <c r="M274" s="750"/>
    </row>
    <row r="275" spans="1:13" ht="27" customHeight="1">
      <c r="A275" s="4"/>
      <c r="B275" s="111"/>
      <c r="C275" s="59"/>
      <c r="D275" s="577"/>
      <c r="E275" s="5"/>
      <c r="F275" s="4" t="s">
        <v>396</v>
      </c>
      <c r="G275" s="3" t="s">
        <v>923</v>
      </c>
      <c r="H275" s="4"/>
      <c r="I275" s="4"/>
      <c r="J275" s="74" t="str" cm="1">
        <f t="array" ref="J275">IF(ISBLANK(I275), IF(ISBLANK(H275), "N/A", _xlfn.IFS(K275="AS", H275+15, K275="NCR", H275+30, K275="submitted", H275+30, TRUE, "N/A")), _xlfn.IFS(K275="AS", I275+15, K275="NCR", I275+30, K275="submitted", I275+30, TRUE, "N/A"))</f>
        <v>N/A</v>
      </c>
      <c r="K275" s="18"/>
      <c r="L275" s="318"/>
      <c r="M275" s="750"/>
    </row>
    <row r="276" spans="1:13" ht="15" customHeight="1">
      <c r="A276" s="4"/>
      <c r="B276" s="111"/>
      <c r="C276" s="59"/>
      <c r="D276" s="577"/>
      <c r="E276" s="5"/>
      <c r="F276" s="4" t="s">
        <v>332</v>
      </c>
      <c r="G276" s="17" t="s">
        <v>1140</v>
      </c>
      <c r="H276" s="4"/>
      <c r="I276" s="4"/>
      <c r="J276" s="74" t="str" cm="1">
        <f t="array" ref="J276">IF(ISBLANK(I276), IF(ISBLANK(H276), "N/A", _xlfn.IFS(K276="AS", H276+15, K276="NCR", H276+30, K276="submitted", H276+30, TRUE, "N/A")), _xlfn.IFS(K276="AS", I276+15, K276="NCR", I276+30, K276="submitted", I276+30, TRUE, "N/A"))</f>
        <v>N/A</v>
      </c>
      <c r="K276" s="18"/>
      <c r="L276" s="318"/>
      <c r="M276" s="750"/>
    </row>
    <row r="277" spans="1:13" ht="15" customHeight="1">
      <c r="A277" s="4"/>
      <c r="B277" s="111"/>
      <c r="C277" s="59"/>
      <c r="D277" s="577"/>
      <c r="E277" s="5"/>
      <c r="F277" s="4" t="s">
        <v>1141</v>
      </c>
      <c r="G277" s="17" t="s">
        <v>1142</v>
      </c>
      <c r="H277" s="4"/>
      <c r="I277" s="4"/>
      <c r="J277" s="74" t="str" cm="1">
        <f t="array" ref="J277">IF(ISBLANK(I277), IF(ISBLANK(H277), "N/A", _xlfn.IFS(K277="AS", H277+15, K277="NCR", H277+30, K277="submitted", H277+30, TRUE, "N/A")), _xlfn.IFS(K277="AS", I277+15, K277="NCR", I277+30, K277="submitted", I277+30, TRUE, "N/A"))</f>
        <v>N/A</v>
      </c>
      <c r="K277" s="18"/>
      <c r="L277" s="318"/>
      <c r="M277" s="750"/>
    </row>
    <row r="278" spans="1:13" ht="15" customHeight="1">
      <c r="A278" s="4"/>
      <c r="B278" s="111"/>
      <c r="C278" s="59"/>
      <c r="D278" s="577"/>
      <c r="E278" s="5"/>
      <c r="F278" s="4" t="s">
        <v>336</v>
      </c>
      <c r="G278" s="17" t="s">
        <v>1143</v>
      </c>
      <c r="H278" s="4"/>
      <c r="I278" s="4"/>
      <c r="J278" s="74" t="str" cm="1">
        <f t="array" ref="J278">IF(ISBLANK(I278), IF(ISBLANK(H278), "N/A", _xlfn.IFS(K278="AS", H278+15, K278="NCR", H278+30, K278="submitted", H278+30, TRUE, "N/A")), _xlfn.IFS(K278="AS", I278+15, K278="NCR", I278+30, K278="submitted", I278+30, TRUE, "N/A"))</f>
        <v>N/A</v>
      </c>
      <c r="K278" s="18"/>
      <c r="L278" s="318"/>
      <c r="M278" s="750"/>
    </row>
    <row r="279" spans="1:13" ht="15" customHeight="1">
      <c r="A279" s="4"/>
      <c r="B279" s="111"/>
      <c r="C279" s="59"/>
      <c r="D279" s="577"/>
      <c r="E279" s="5"/>
      <c r="F279" s="4" t="s">
        <v>1144</v>
      </c>
      <c r="G279" s="17" t="s">
        <v>320</v>
      </c>
      <c r="H279" s="4"/>
      <c r="I279" s="4"/>
      <c r="J279" s="74" t="str" cm="1">
        <f t="array" ref="J279">IF(ISBLANK(I279), IF(ISBLANK(H279), "N/A", _xlfn.IFS(K279="AS", H279+15, K279="NCR", H279+30, K279="submitted", H279+30, TRUE, "N/A")), _xlfn.IFS(K279="AS", I279+15, K279="NCR", I279+30, K279="submitted", I279+30, TRUE, "N/A"))</f>
        <v>N/A</v>
      </c>
      <c r="K279" s="18"/>
      <c r="L279" s="318"/>
      <c r="M279" s="750"/>
    </row>
    <row r="280" spans="1:13" ht="15" customHeight="1">
      <c r="A280" s="4"/>
      <c r="B280" s="95"/>
      <c r="C280" s="75"/>
      <c r="D280" s="577"/>
      <c r="E280" s="5"/>
      <c r="F280" s="4" t="s">
        <v>1145</v>
      </c>
      <c r="G280" s="17" t="s">
        <v>1146</v>
      </c>
      <c r="H280" s="4"/>
      <c r="I280" s="4"/>
      <c r="J280" s="74" t="str" cm="1">
        <f t="array" ref="J280">IF(ISBLANK(I280), IF(ISBLANK(H280), "N/A", _xlfn.IFS(K280="AS", H280+15, K280="NCR", H280+30, K280="submitted", H280+30, TRUE, "N/A")), _xlfn.IFS(K280="AS", I280+15, K280="NCR", I280+30, K280="submitted", I280+30, TRUE, "N/A"))</f>
        <v>N/A</v>
      </c>
      <c r="K280" s="18"/>
      <c r="L280" s="318"/>
      <c r="M280" s="750"/>
    </row>
    <row r="281" spans="1:13" ht="27" customHeight="1">
      <c r="A281" s="9"/>
      <c r="B281" s="38" t="s">
        <v>1147</v>
      </c>
      <c r="C281" s="40" t="s">
        <v>1148</v>
      </c>
      <c r="D281" s="102"/>
      <c r="E281" s="1"/>
      <c r="F281" s="9" t="s">
        <v>857</v>
      </c>
      <c r="G281" s="7" t="s">
        <v>906</v>
      </c>
      <c r="H281" s="9"/>
      <c r="I281" s="9"/>
      <c r="J281" s="74" t="str" cm="1">
        <f t="array" ref="J281">IF(ISBLANK(I281), IF(ISBLANK(H281), "N/A", _xlfn.IFS(K281="AS", H281+15, K281="NCR", H281+30, K281="submitted", H281+30, TRUE, "N/A")), _xlfn.IFS(K281="AS", I281+15, K281="NCR", I281+30, K281="submitted", I281+30, TRUE, "N/A"))</f>
        <v>N/A</v>
      </c>
      <c r="K281" s="14"/>
      <c r="L281" s="318"/>
      <c r="M281" s="750"/>
    </row>
    <row r="282" spans="1:13" ht="15" customHeight="1">
      <c r="A282" s="9"/>
      <c r="B282" s="100"/>
      <c r="C282" s="50"/>
      <c r="D282" s="102"/>
      <c r="E282" s="1"/>
      <c r="F282" s="9" t="s">
        <v>907</v>
      </c>
      <c r="G282" s="13" t="s">
        <v>414</v>
      </c>
      <c r="H282" s="9"/>
      <c r="I282" s="9"/>
      <c r="J282" s="74" t="str" cm="1">
        <f t="array" ref="J282">IF(ISBLANK(I282), IF(ISBLANK(H282), "N/A", _xlfn.IFS(K282="AS", H282+15, K282="NCR", H282+30, K282="submitted", H282+30, TRUE, "N/A")), _xlfn.IFS(K282="AS", I282+15, K282="NCR", I282+30, K282="submitted", I282+30, TRUE, "N/A"))</f>
        <v>N/A</v>
      </c>
      <c r="K282" s="14"/>
      <c r="L282" s="318"/>
      <c r="M282" s="750"/>
    </row>
    <row r="283" spans="1:13" ht="15" customHeight="1">
      <c r="A283" s="9"/>
      <c r="B283" s="100"/>
      <c r="C283" s="50"/>
      <c r="D283" s="102"/>
      <c r="E283" s="1"/>
      <c r="F283" s="9" t="s">
        <v>909</v>
      </c>
      <c r="G283" s="13" t="s">
        <v>1135</v>
      </c>
      <c r="H283" s="9"/>
      <c r="I283" s="9"/>
      <c r="J283" s="74" t="str" cm="1">
        <f t="array" ref="J283">IF(ISBLANK(I283), IF(ISBLANK(H283), "N/A", _xlfn.IFS(K283="AS", H283+15, K283="NCR", H283+30, K283="submitted", H283+30, TRUE, "N/A")), _xlfn.IFS(K283="AS", I283+15, K283="NCR", I283+30, K283="submitted", I283+30, TRUE, "N/A"))</f>
        <v>N/A</v>
      </c>
      <c r="K283" s="14"/>
      <c r="L283" s="318"/>
      <c r="M283" s="750"/>
    </row>
    <row r="284" spans="1:13" ht="15" customHeight="1">
      <c r="A284" s="9"/>
      <c r="B284" s="100"/>
      <c r="C284" s="50"/>
      <c r="D284" s="102"/>
      <c r="E284" s="1"/>
      <c r="F284" s="9" t="s">
        <v>910</v>
      </c>
      <c r="G284" s="13" t="s">
        <v>418</v>
      </c>
      <c r="H284" s="9"/>
      <c r="I284" s="9"/>
      <c r="J284" s="74" t="str" cm="1">
        <f t="array" ref="J284">IF(ISBLANK(I284), IF(ISBLANK(H284), "N/A", _xlfn.IFS(K284="AS", H284+15, K284="NCR", H284+30, K284="submitted", H284+30, TRUE, "N/A")), _xlfn.IFS(K284="AS", I284+15, K284="NCR", I284+30, K284="submitted", I284+30, TRUE, "N/A"))</f>
        <v>N/A</v>
      </c>
      <c r="K284" s="14"/>
      <c r="L284" s="318"/>
      <c r="M284" s="750"/>
    </row>
    <row r="285" spans="1:13" ht="15" customHeight="1">
      <c r="A285" s="9"/>
      <c r="B285" s="100"/>
      <c r="C285" s="50"/>
      <c r="D285" s="102"/>
      <c r="E285" s="1"/>
      <c r="F285" s="9" t="s">
        <v>912</v>
      </c>
      <c r="G285" s="13" t="s">
        <v>420</v>
      </c>
      <c r="H285" s="9"/>
      <c r="I285" s="9"/>
      <c r="J285" s="74" t="str" cm="1">
        <f t="array" ref="J285">IF(ISBLANK(I285), IF(ISBLANK(H285), "N/A", _xlfn.IFS(K285="AS", H285+15, K285="NCR", H285+30, K285="submitted", H285+30, TRUE, "N/A")), _xlfn.IFS(K285="AS", I285+15, K285="NCR", I285+30, K285="submitted", I285+30, TRUE, "N/A"))</f>
        <v>N/A</v>
      </c>
      <c r="K285" s="14"/>
      <c r="L285" s="318"/>
      <c r="M285" s="750"/>
    </row>
    <row r="286" spans="1:13" ht="15" customHeight="1">
      <c r="A286" s="9"/>
      <c r="B286" s="100"/>
      <c r="C286" s="50"/>
      <c r="D286" s="102"/>
      <c r="E286" s="1"/>
      <c r="F286" s="9" t="s">
        <v>914</v>
      </c>
      <c r="G286" s="13" t="s">
        <v>422</v>
      </c>
      <c r="H286" s="9"/>
      <c r="I286" s="9"/>
      <c r="J286" s="74" t="str" cm="1">
        <f t="array" ref="J286">IF(ISBLANK(I286), IF(ISBLANK(H286), "N/A", _xlfn.IFS(K286="AS", H286+15, K286="NCR", H286+30, K286="submitted", H286+30, TRUE, "N/A")), _xlfn.IFS(K286="AS", I286+15, K286="NCR", I286+30, K286="submitted", I286+30, TRUE, "N/A"))</f>
        <v>N/A</v>
      </c>
      <c r="K286" s="14"/>
      <c r="L286" s="318"/>
      <c r="M286" s="750"/>
    </row>
    <row r="287" spans="1:13" ht="15" customHeight="1">
      <c r="A287" s="9"/>
      <c r="B287" s="100"/>
      <c r="C287" s="50"/>
      <c r="D287" s="102"/>
      <c r="E287" s="1"/>
      <c r="F287" s="9" t="s">
        <v>1149</v>
      </c>
      <c r="G287" s="13" t="s">
        <v>812</v>
      </c>
      <c r="H287" s="9"/>
      <c r="I287" s="9"/>
      <c r="J287" s="74" t="str" cm="1">
        <f t="array" ref="J287">IF(ISBLANK(I287), IF(ISBLANK(H287), "N/A", _xlfn.IFS(K287="AS", H287+15, K287="NCR", H287+30, K287="submitted", H287+30, TRUE, "N/A")), _xlfn.IFS(K287="AS", I287+15, K287="NCR", I287+30, K287="submitted", I287+30, TRUE, "N/A"))</f>
        <v>N/A</v>
      </c>
      <c r="K287" s="14"/>
      <c r="L287" s="318"/>
      <c r="M287" s="750"/>
    </row>
    <row r="288" spans="1:13" ht="15" customHeight="1">
      <c r="A288" s="9"/>
      <c r="B288" s="100"/>
      <c r="C288" s="50"/>
      <c r="D288" s="102"/>
      <c r="E288" s="1"/>
      <c r="F288" s="9" t="s">
        <v>867</v>
      </c>
      <c r="G288" s="13" t="s">
        <v>1150</v>
      </c>
      <c r="H288" s="9"/>
      <c r="I288" s="9"/>
      <c r="J288" s="74" t="str" cm="1">
        <f t="array" ref="J288">IF(ISBLANK(I288), IF(ISBLANK(H288), "N/A", _xlfn.IFS(K288="AS", H288+15, K288="NCR", H288+30, K288="submitted", H288+30, TRUE, "N/A")), _xlfn.IFS(K288="AS", I288+15, K288="NCR", I288+30, K288="submitted", I288+30, TRUE, "N/A"))</f>
        <v>N/A</v>
      </c>
      <c r="K288" s="14"/>
      <c r="L288" s="318"/>
      <c r="M288" s="748" t="s">
        <v>132</v>
      </c>
    </row>
    <row r="289" spans="1:13" ht="15" customHeight="1">
      <c r="A289" s="9"/>
      <c r="B289" s="100"/>
      <c r="C289" s="50"/>
      <c r="D289" s="102"/>
      <c r="E289" s="1"/>
      <c r="F289" s="9" t="s">
        <v>920</v>
      </c>
      <c r="G289" s="13" t="s">
        <v>229</v>
      </c>
      <c r="H289" s="9"/>
      <c r="I289" s="9"/>
      <c r="J289" s="74" t="str" cm="1">
        <f t="array" ref="J289">IF(ISBLANK(I289), IF(ISBLANK(H289), "N/A", _xlfn.IFS(K289="AS", H289+15, K289="NCR", H289+30, K289="submitted", H289+30, TRUE, "N/A")), _xlfn.IFS(K289="AS", I289+15, K289="NCR", I289+30, K289="submitted", I289+30, TRUE, "N/A"))</f>
        <v>N/A</v>
      </c>
      <c r="K289" s="14"/>
      <c r="L289" s="318"/>
      <c r="M289" s="749"/>
    </row>
    <row r="290" spans="1:13" ht="15" customHeight="1">
      <c r="A290" s="9"/>
      <c r="B290" s="100"/>
      <c r="C290" s="50"/>
      <c r="D290" s="102"/>
      <c r="E290" s="1"/>
      <c r="F290" s="9" t="s">
        <v>1151</v>
      </c>
      <c r="G290" s="13" t="s">
        <v>320</v>
      </c>
      <c r="H290" s="9"/>
      <c r="I290" s="9"/>
      <c r="J290" s="74" t="str" cm="1">
        <f t="array" ref="J290">IF(ISBLANK(I290), IF(ISBLANK(H290), "N/A", _xlfn.IFS(K290="AS", H290+15, K290="NCR", H290+30, K290="submitted", H290+30, TRUE, "N/A")), _xlfn.IFS(K290="AS", I290+15, K290="NCR", I290+30, K290="submitted", I290+30, TRUE, "N/A"))</f>
        <v>N/A</v>
      </c>
      <c r="K290" s="14"/>
      <c r="L290" s="318"/>
      <c r="M290" s="749"/>
    </row>
    <row r="291" spans="1:13" ht="27" customHeight="1">
      <c r="A291" s="9"/>
      <c r="B291" s="100"/>
      <c r="C291" s="50"/>
      <c r="D291" s="102"/>
      <c r="E291" s="1"/>
      <c r="F291" s="9" t="s">
        <v>850</v>
      </c>
      <c r="G291" s="7" t="s">
        <v>1152</v>
      </c>
      <c r="H291" s="9"/>
      <c r="I291" s="9"/>
      <c r="J291" s="74" t="str" cm="1">
        <f t="array" ref="J291">IF(ISBLANK(I291), IF(ISBLANK(H291), "N/A", _xlfn.IFS(K291="AS", H291+15, K291="NCR", H291+30, K291="submitted", H291+30, TRUE, "N/A")), _xlfn.IFS(K291="AS", I291+15, K291="NCR", I291+30, K291="submitted", I291+30, TRUE, "N/A"))</f>
        <v>N/A</v>
      </c>
      <c r="K291" s="14"/>
      <c r="L291" s="318"/>
      <c r="M291" s="749"/>
    </row>
    <row r="292" spans="1:13" ht="40.5" customHeight="1">
      <c r="A292" s="9"/>
      <c r="B292" s="100"/>
      <c r="C292" s="50"/>
      <c r="D292" s="102"/>
      <c r="E292" s="1"/>
      <c r="F292" s="9" t="s">
        <v>489</v>
      </c>
      <c r="G292" s="7" t="s">
        <v>1153</v>
      </c>
      <c r="H292" s="9"/>
      <c r="I292" s="9"/>
      <c r="J292" s="74" t="str" cm="1">
        <f t="array" ref="J292">IF(ISBLANK(I292), IF(ISBLANK(H292), "N/A", _xlfn.IFS(K292="AS", H292+15, K292="NCR", H292+30, K292="submitted", H292+30, TRUE, "N/A")), _xlfn.IFS(K292="AS", I292+15, K292="NCR", I292+30, K292="submitted", I292+30, TRUE, "N/A"))</f>
        <v>N/A</v>
      </c>
      <c r="K292" s="14"/>
      <c r="L292" s="318"/>
      <c r="M292" s="749"/>
    </row>
    <row r="293" spans="1:13" ht="27" customHeight="1">
      <c r="A293" s="9"/>
      <c r="B293" s="100"/>
      <c r="C293" s="50"/>
      <c r="D293" s="102"/>
      <c r="E293" s="1"/>
      <c r="F293" s="9" t="s">
        <v>481</v>
      </c>
      <c r="G293" s="7" t="s">
        <v>1154</v>
      </c>
      <c r="H293" s="9"/>
      <c r="I293" s="9"/>
      <c r="J293" s="74" t="str" cm="1">
        <f t="array" ref="J293">IF(ISBLANK(I293), IF(ISBLANK(H293), "N/A", _xlfn.IFS(K293="AS", H293+15, K293="NCR", H293+30, K293="submitted", H293+30, TRUE, "N/A")), _xlfn.IFS(K293="AS", I293+15, K293="NCR", I293+30, K293="submitted", I293+30, TRUE, "N/A"))</f>
        <v>N/A</v>
      </c>
      <c r="K293" s="14"/>
      <c r="L293" s="318"/>
      <c r="M293" s="749"/>
    </row>
    <row r="294" spans="1:13" ht="27" customHeight="1">
      <c r="A294" s="9"/>
      <c r="B294" s="100"/>
      <c r="C294" s="50"/>
      <c r="D294" s="102"/>
      <c r="E294" s="1"/>
      <c r="F294" s="9" t="s">
        <v>853</v>
      </c>
      <c r="G294" s="7" t="s">
        <v>1155</v>
      </c>
      <c r="H294" s="9"/>
      <c r="I294" s="9"/>
      <c r="J294" s="74" t="str" cm="1">
        <f t="array" ref="J294">IF(ISBLANK(I294), IF(ISBLANK(H294), "N/A", _xlfn.IFS(K294="AS", H294+15, K294="NCR", H294+30, K294="submitted", H294+30, TRUE, "N/A")), _xlfn.IFS(K294="AS", I294+15, K294="NCR", I294+30, K294="submitted", I294+30, TRUE, "N/A"))</f>
        <v>N/A</v>
      </c>
      <c r="K294" s="14"/>
      <c r="L294" s="318"/>
      <c r="M294" s="749"/>
    </row>
    <row r="295" spans="1:13" ht="27" customHeight="1">
      <c r="A295" s="9"/>
      <c r="B295" s="21"/>
      <c r="C295" s="52"/>
      <c r="D295" s="102"/>
      <c r="E295" s="1"/>
      <c r="F295" s="9" t="s">
        <v>1156</v>
      </c>
      <c r="G295" s="7" t="s">
        <v>407</v>
      </c>
      <c r="H295" s="9"/>
      <c r="I295" s="9"/>
      <c r="J295" s="74" t="str" cm="1">
        <f t="array" ref="J295">IF(ISBLANK(I295), IF(ISBLANK(H295), "N/A", _xlfn.IFS(K295="AS", H295+15, K295="NCR", H295+30, K295="submitted", H295+30, TRUE, "N/A")), _xlfn.IFS(K295="AS", I295+15, K295="NCR", I295+30, K295="submitted", I295+30, TRUE, "N/A"))</f>
        <v>N/A</v>
      </c>
      <c r="K295" s="14"/>
      <c r="L295" s="318"/>
      <c r="M295" s="749"/>
    </row>
    <row r="296" spans="1:13" ht="15" customHeight="1">
      <c r="A296" s="4"/>
      <c r="B296" s="86" t="s">
        <v>1157</v>
      </c>
      <c r="C296" s="34" t="s">
        <v>1158</v>
      </c>
      <c r="D296" s="103"/>
      <c r="E296" s="5"/>
      <c r="F296" s="4" t="s">
        <v>475</v>
      </c>
      <c r="G296" s="17" t="s">
        <v>320</v>
      </c>
      <c r="H296" s="4"/>
      <c r="I296" s="4"/>
      <c r="J296" s="74" t="str" cm="1">
        <f t="array" ref="J296">IF(ISBLANK(I296), IF(ISBLANK(H296), "N/A", _xlfn.IFS(K296="AS", H296+15, K296="NCR", H296+30, K296="submitted", H296+30, TRUE, "N/A")), _xlfn.IFS(K296="AS", I296+15, K296="NCR", I296+30, K296="submitted", I296+30, TRUE, "N/A"))</f>
        <v>N/A</v>
      </c>
      <c r="K296" s="18"/>
      <c r="L296" s="318"/>
      <c r="M296" s="750" t="s">
        <v>147</v>
      </c>
    </row>
    <row r="297" spans="1:13" ht="15" customHeight="1">
      <c r="A297" s="4"/>
      <c r="B297" s="111"/>
      <c r="C297" s="35"/>
      <c r="D297" s="103"/>
      <c r="E297" s="5"/>
      <c r="F297" s="4" t="s">
        <v>865</v>
      </c>
      <c r="G297" s="17" t="s">
        <v>679</v>
      </c>
      <c r="H297" s="4"/>
      <c r="I297" s="4"/>
      <c r="J297" s="74" t="str" cm="1">
        <f t="array" ref="J297">IF(ISBLANK(I297), IF(ISBLANK(H297), "N/A", _xlfn.IFS(K297="AS", H297+15, K297="NCR", H297+30, K297="submitted", H297+30, TRUE, "N/A")), _xlfn.IFS(K297="AS", I297+15, K297="NCR", I297+30, K297="submitted", I297+30, TRUE, "N/A"))</f>
        <v>N/A</v>
      </c>
      <c r="K297" s="18"/>
      <c r="L297" s="318"/>
      <c r="M297" s="750"/>
    </row>
    <row r="298" spans="1:13" ht="15" customHeight="1">
      <c r="A298" s="4"/>
      <c r="B298" s="111"/>
      <c r="C298" s="35"/>
      <c r="D298" s="103"/>
      <c r="E298" s="5"/>
      <c r="F298" s="4" t="s">
        <v>1149</v>
      </c>
      <c r="G298" s="17" t="s">
        <v>680</v>
      </c>
      <c r="H298" s="4"/>
      <c r="I298" s="4"/>
      <c r="J298" s="74" t="str" cm="1">
        <f t="array" ref="J298">IF(ISBLANK(I298), IF(ISBLANK(H298), "N/A", _xlfn.IFS(K298="AS", H298+15, K298="NCR", H298+30, K298="submitted", H298+30, TRUE, "N/A")), _xlfn.IFS(K298="AS", I298+15, K298="NCR", I298+30, K298="submitted", I298+30, TRUE, "N/A"))</f>
        <v>N/A</v>
      </c>
      <c r="K298" s="18"/>
      <c r="L298" s="318"/>
      <c r="M298" s="750"/>
    </row>
    <row r="299" spans="1:13" ht="15" customHeight="1">
      <c r="A299" s="4"/>
      <c r="B299" s="111"/>
      <c r="C299" s="35"/>
      <c r="D299" s="103"/>
      <c r="E299" s="5"/>
      <c r="F299" s="4" t="s">
        <v>1159</v>
      </c>
      <c r="G299" s="17" t="s">
        <v>1160</v>
      </c>
      <c r="H299" s="4"/>
      <c r="I299" s="4"/>
      <c r="J299" s="74" t="str" cm="1">
        <f t="array" ref="J299">IF(ISBLANK(I299), IF(ISBLANK(H299), "N/A", _xlfn.IFS(K299="AS", H299+15, K299="NCR", H299+30, K299="submitted", H299+30, TRUE, "N/A")), _xlfn.IFS(K299="AS", I299+15, K299="NCR", I299+30, K299="submitted", I299+30, TRUE, "N/A"))</f>
        <v>N/A</v>
      </c>
      <c r="K299" s="18"/>
      <c r="L299" s="318"/>
      <c r="M299" s="750"/>
    </row>
    <row r="300" spans="1:13" ht="15" customHeight="1">
      <c r="A300" s="4"/>
      <c r="B300" s="111"/>
      <c r="C300" s="35"/>
      <c r="D300" s="103"/>
      <c r="E300" s="5"/>
      <c r="F300" s="4" t="s">
        <v>1161</v>
      </c>
      <c r="G300" s="17" t="s">
        <v>1162</v>
      </c>
      <c r="H300" s="4"/>
      <c r="I300" s="4"/>
      <c r="J300" s="74" t="str" cm="1">
        <f t="array" ref="J300">IF(ISBLANK(I300), IF(ISBLANK(H300), "N/A", _xlfn.IFS(K300="AS", H300+15, K300="NCR", H300+30, K300="submitted", H300+30, TRUE, "N/A")), _xlfn.IFS(K300="AS", I300+15, K300="NCR", I300+30, K300="submitted", I300+30, TRUE, "N/A"))</f>
        <v>N/A</v>
      </c>
      <c r="K300" s="18"/>
      <c r="L300" s="318"/>
      <c r="M300" s="750"/>
    </row>
    <row r="301" spans="1:13" ht="15" customHeight="1">
      <c r="A301" s="4"/>
      <c r="B301" s="111"/>
      <c r="C301" s="35"/>
      <c r="D301" s="103"/>
      <c r="E301" s="5"/>
      <c r="F301" s="4" t="s">
        <v>1163</v>
      </c>
      <c r="G301" s="17" t="s">
        <v>1164</v>
      </c>
      <c r="H301" s="4"/>
      <c r="I301" s="4"/>
      <c r="J301" s="74" t="str" cm="1">
        <f t="array" ref="J301">IF(ISBLANK(I301), IF(ISBLANK(H301), "N/A", _xlfn.IFS(K301="AS", H301+15, K301="NCR", H301+30, K301="submitted", H301+30, TRUE, "N/A")), _xlfn.IFS(K301="AS", I301+15, K301="NCR", I301+30, K301="submitted", I301+30, TRUE, "N/A"))</f>
        <v>N/A</v>
      </c>
      <c r="K301" s="18"/>
      <c r="L301" s="319"/>
      <c r="M301" s="750"/>
    </row>
    <row r="302" spans="1:13" ht="15" customHeight="1">
      <c r="A302" s="4"/>
      <c r="B302" s="111"/>
      <c r="C302" s="35"/>
      <c r="D302" s="103"/>
      <c r="E302" s="5"/>
      <c r="F302" s="4" t="s">
        <v>1165</v>
      </c>
      <c r="G302" s="17" t="s">
        <v>1166</v>
      </c>
      <c r="H302" s="4"/>
      <c r="I302" s="4"/>
      <c r="J302" s="74" t="str" cm="1">
        <f t="array" ref="J302">IF(ISBLANK(I302), IF(ISBLANK(H302), "N/A", _xlfn.IFS(K302="AS", H302+15, K302="NCR", H302+30, K302="submitted", H302+30, TRUE, "N/A")), _xlfn.IFS(K302="AS", I302+15, K302="NCR", I302+30, K302="submitted", I302+30, TRUE, "N/A"))</f>
        <v>N/A</v>
      </c>
      <c r="K302" s="18"/>
      <c r="L302" s="318"/>
      <c r="M302" s="750"/>
    </row>
    <row r="303" spans="1:13" ht="15" customHeight="1">
      <c r="A303" s="4"/>
      <c r="B303" s="111"/>
      <c r="C303" s="35"/>
      <c r="D303" s="103"/>
      <c r="E303" s="5"/>
      <c r="F303" s="4" t="s">
        <v>1167</v>
      </c>
      <c r="G303" s="17" t="s">
        <v>1168</v>
      </c>
      <c r="H303" s="4"/>
      <c r="I303" s="4"/>
      <c r="J303" s="74" t="str" cm="1">
        <f t="array" ref="J303">IF(ISBLANK(I303), IF(ISBLANK(H303), "N/A", _xlfn.IFS(K303="AS", H303+15, K303="NCR", H303+30, K303="submitted", H303+30, TRUE, "N/A")), _xlfn.IFS(K303="AS", I303+15, K303="NCR", I303+30, K303="submitted", I303+30, TRUE, "N/A"))</f>
        <v>N/A</v>
      </c>
      <c r="K303" s="18"/>
      <c r="L303" s="318"/>
      <c r="M303" s="750"/>
    </row>
    <row r="304" spans="1:13" ht="15" customHeight="1">
      <c r="A304" s="4"/>
      <c r="B304" s="111"/>
      <c r="C304" s="35"/>
      <c r="D304" s="103"/>
      <c r="E304" s="5"/>
      <c r="F304" s="4" t="s">
        <v>1169</v>
      </c>
      <c r="G304" s="17" t="s">
        <v>1170</v>
      </c>
      <c r="H304" s="4"/>
      <c r="I304" s="4"/>
      <c r="J304" s="74" t="str" cm="1">
        <f t="array" ref="J304">IF(ISBLANK(I304), IF(ISBLANK(H304), "N/A", _xlfn.IFS(K304="AS", H304+15, K304="NCR", H304+30, K304="submitted", H304+30, TRUE, "N/A")), _xlfn.IFS(K304="AS", I304+15, K304="NCR", I304+30, K304="submitted", I304+30, TRUE, "N/A"))</f>
        <v>N/A</v>
      </c>
      <c r="K304" s="18"/>
      <c r="L304" s="318"/>
      <c r="M304" s="750"/>
    </row>
    <row r="305" spans="1:11" ht="15" customHeight="1">
      <c r="A305" s="4"/>
      <c r="B305" s="111"/>
      <c r="C305" s="35"/>
      <c r="D305" s="103"/>
      <c r="E305" s="5"/>
      <c r="F305" s="4" t="s">
        <v>1171</v>
      </c>
      <c r="G305" s="17" t="s">
        <v>1172</v>
      </c>
      <c r="H305" s="4"/>
      <c r="I305" s="4"/>
      <c r="J305" s="74" t="str" cm="1">
        <f t="array" ref="J305">IF(ISBLANK(I305), IF(ISBLANK(H305), "N/A", _xlfn.IFS(K305="AS", H305+15, K305="NCR", H305+30, K305="submitted", H305+30, TRUE, "N/A")), _xlfn.IFS(K305="AS", I305+15, K305="NCR", I305+30, K305="submitted", I305+30, TRUE, "N/A"))</f>
        <v>N/A</v>
      </c>
      <c r="K305" s="18"/>
    </row>
    <row r="306" spans="1:11" ht="15" customHeight="1">
      <c r="A306" s="4"/>
      <c r="B306" s="111"/>
      <c r="C306" s="35"/>
      <c r="D306" s="103"/>
      <c r="E306" s="5"/>
      <c r="F306" s="4" t="s">
        <v>1173</v>
      </c>
      <c r="G306" s="17" t="s">
        <v>1174</v>
      </c>
      <c r="H306" s="4"/>
      <c r="I306" s="4"/>
      <c r="J306" s="74" t="str" cm="1">
        <f t="array" ref="J306">IF(ISBLANK(I306), IF(ISBLANK(H306), "N/A", _xlfn.IFS(K306="AS", H306+15, K306="NCR", H306+30, K306="submitted", H306+30, TRUE, "N/A")), _xlfn.IFS(K306="AS", I306+15, K306="NCR", I306+30, K306="submitted", I306+30, TRUE, "N/A"))</f>
        <v>N/A</v>
      </c>
      <c r="K306" s="18"/>
    </row>
    <row r="307" spans="1:11" ht="15" customHeight="1">
      <c r="A307" s="4"/>
      <c r="B307" s="111"/>
      <c r="C307" s="35"/>
      <c r="D307" s="103"/>
      <c r="E307" s="5"/>
      <c r="F307" s="4" t="s">
        <v>1175</v>
      </c>
      <c r="G307" s="17" t="s">
        <v>1176</v>
      </c>
      <c r="H307" s="4"/>
      <c r="I307" s="4"/>
      <c r="J307" s="74" t="str" cm="1">
        <f t="array" ref="J307">IF(ISBLANK(I307), IF(ISBLANK(H307), "N/A", _xlfn.IFS(K307="AS", H307+15, K307="NCR", H307+30, K307="submitted", H307+30, TRUE, "N/A")), _xlfn.IFS(K307="AS", I307+15, K307="NCR", I307+30, K307="submitted", I307+30, TRUE, "N/A"))</f>
        <v>N/A</v>
      </c>
      <c r="K307" s="18"/>
    </row>
    <row r="308" spans="1:11" ht="15" customHeight="1">
      <c r="A308" s="4"/>
      <c r="B308" s="111"/>
      <c r="C308" s="35"/>
      <c r="D308" s="103"/>
      <c r="E308" s="5"/>
      <c r="F308" s="4" t="s">
        <v>1177</v>
      </c>
      <c r="G308" s="17" t="s">
        <v>1178</v>
      </c>
      <c r="H308" s="4"/>
      <c r="I308" s="4"/>
      <c r="J308" s="74" t="str" cm="1">
        <f t="array" ref="J308">IF(ISBLANK(I308), IF(ISBLANK(H308), "N/A", _xlfn.IFS(K308="AS", H308+15, K308="NCR", H308+30, K308="submitted", H308+30, TRUE, "N/A")), _xlfn.IFS(K308="AS", I308+15, K308="NCR", I308+30, K308="submitted", I308+30, TRUE, "N/A"))</f>
        <v>N/A</v>
      </c>
      <c r="K308" s="18"/>
    </row>
    <row r="309" spans="1:11" ht="15" customHeight="1">
      <c r="A309" s="4"/>
      <c r="B309" s="111"/>
      <c r="C309" s="35"/>
      <c r="D309" s="103"/>
      <c r="E309" s="5"/>
      <c r="F309" s="4" t="s">
        <v>1179</v>
      </c>
      <c r="G309" s="3" t="s">
        <v>1180</v>
      </c>
      <c r="H309" s="4"/>
      <c r="I309" s="4"/>
      <c r="J309" s="74" t="str" cm="1">
        <f t="array" ref="J309">IF(ISBLANK(I309), IF(ISBLANK(H309), "N/A", _xlfn.IFS(K309="AS", H309+15, K309="NCR", H309+30, K309="submitted", H309+30, TRUE, "N/A")), _xlfn.IFS(K309="AS", I309+15, K309="NCR", I309+30, K309="submitted", I309+30, TRUE, "N/A"))</f>
        <v>N/A</v>
      </c>
      <c r="K309" s="18"/>
    </row>
    <row r="310" spans="1:11" ht="27" customHeight="1">
      <c r="A310" s="4"/>
      <c r="B310" s="111"/>
      <c r="C310" s="35"/>
      <c r="D310" s="103"/>
      <c r="E310" s="5"/>
      <c r="F310" s="4" t="s">
        <v>850</v>
      </c>
      <c r="G310" s="3" t="s">
        <v>1181</v>
      </c>
      <c r="H310" s="4"/>
      <c r="I310" s="4"/>
      <c r="J310" s="74" t="str" cm="1">
        <f t="array" ref="J310">IF(ISBLANK(I310), IF(ISBLANK(H310), "N/A", _xlfn.IFS(K310="AS", H310+15, K310="NCR", H310+30, K310="submitted", H310+30, TRUE, "N/A")), _xlfn.IFS(K310="AS", I310+15, K310="NCR", I310+30, K310="submitted", I310+30, TRUE, "N/A"))</f>
        <v>N/A</v>
      </c>
      <c r="K310" s="18"/>
    </row>
    <row r="311" spans="1:11" ht="15" customHeight="1">
      <c r="A311" s="4"/>
      <c r="B311" s="111"/>
      <c r="C311" s="35"/>
      <c r="D311" s="103"/>
      <c r="E311" s="5"/>
      <c r="F311" s="4" t="s">
        <v>489</v>
      </c>
      <c r="G311" s="3" t="s">
        <v>685</v>
      </c>
      <c r="H311" s="4"/>
      <c r="I311" s="4"/>
      <c r="J311" s="74" t="str" cm="1">
        <f t="array" ref="J311">IF(ISBLANK(I311), IF(ISBLANK(H311), "N/A", _xlfn.IFS(K311="AS", H311+15, K311="NCR", H311+30, K311="submitted", H311+30, TRUE, "N/A")), _xlfn.IFS(K311="AS", I311+15, K311="NCR", I311+30, K311="submitted", I311+30, TRUE, "N/A"))</f>
        <v>N/A</v>
      </c>
      <c r="K311" s="18"/>
    </row>
    <row r="312" spans="1:11" ht="15" customHeight="1">
      <c r="A312" s="4"/>
      <c r="B312" s="111"/>
      <c r="C312" s="35"/>
      <c r="D312" s="103"/>
      <c r="E312" s="5"/>
      <c r="F312" s="4" t="s">
        <v>1182</v>
      </c>
      <c r="G312" s="3" t="s">
        <v>1183</v>
      </c>
      <c r="H312" s="4"/>
      <c r="I312" s="4"/>
      <c r="J312" s="74" t="str" cm="1">
        <f t="array" ref="J312">IF(ISBLANK(I312), IF(ISBLANK(H312), "N/A", _xlfn.IFS(K312="AS", H312+15, K312="NCR", H312+30, K312="submitted", H312+30, TRUE, "N/A")), _xlfn.IFS(K312="AS", I312+15, K312="NCR", I312+30, K312="submitted", I312+30, TRUE, "N/A"))</f>
        <v>N/A</v>
      </c>
      <c r="K312" s="18"/>
    </row>
    <row r="313" spans="1:11" ht="15" customHeight="1">
      <c r="A313" s="4"/>
      <c r="B313" s="111"/>
      <c r="C313" s="35"/>
      <c r="D313" s="103"/>
      <c r="E313" s="5"/>
      <c r="F313" s="4" t="s">
        <v>1184</v>
      </c>
      <c r="G313" s="3" t="s">
        <v>1185</v>
      </c>
      <c r="H313" s="4"/>
      <c r="I313" s="4"/>
      <c r="J313" s="74" t="str" cm="1">
        <f t="array" ref="J313">IF(ISBLANK(I313), IF(ISBLANK(H313), "N/A", _xlfn.IFS(K313="AS", H313+15, K313="NCR", H313+30, K313="submitted", H313+30, TRUE, "N/A")), _xlfn.IFS(K313="AS", I313+15, K313="NCR", I313+30, K313="submitted", I313+30, TRUE, "N/A"))</f>
        <v>N/A</v>
      </c>
      <c r="K313" s="18"/>
    </row>
    <row r="314" spans="1:11" ht="27" customHeight="1">
      <c r="A314" s="4"/>
      <c r="B314" s="111"/>
      <c r="C314" s="35"/>
      <c r="D314" s="103"/>
      <c r="E314" s="5"/>
      <c r="F314" s="4" t="s">
        <v>853</v>
      </c>
      <c r="G314" s="3" t="s">
        <v>1186</v>
      </c>
      <c r="H314" s="4"/>
      <c r="I314" s="4"/>
      <c r="J314" s="74" t="str" cm="1">
        <f t="array" ref="J314">IF(ISBLANK(I314), IF(ISBLANK(H314), "N/A", _xlfn.IFS(K314="AS", H314+15, K314="NCR", H314+30, K314="submitted", H314+30, TRUE, "N/A")), _xlfn.IFS(K314="AS", I314+15, K314="NCR", I314+30, K314="submitted", I314+30, TRUE, "N/A"))</f>
        <v>N/A</v>
      </c>
      <c r="K314" s="18"/>
    </row>
    <row r="315" spans="1:11" ht="15" customHeight="1">
      <c r="A315" s="4"/>
      <c r="B315" s="95"/>
      <c r="C315" s="36"/>
      <c r="D315" s="103"/>
      <c r="E315" s="5"/>
      <c r="F315" s="4" t="s">
        <v>1187</v>
      </c>
      <c r="G315" s="3" t="s">
        <v>1188</v>
      </c>
      <c r="H315" s="4"/>
      <c r="I315" s="4"/>
      <c r="J315" s="74" t="str" cm="1">
        <f t="array" ref="J315">IF(ISBLANK(I315), IF(ISBLANK(H315), "N/A", _xlfn.IFS(K315="AS", H315+15, K315="NCR", H315+30, K315="submitted", H315+30, TRUE, "N/A")), _xlfn.IFS(K315="AS", I315+15, K315="NCR", I315+30, K315="submitted", I315+30, TRUE, "N/A"))</f>
        <v>N/A</v>
      </c>
      <c r="K315" s="18"/>
    </row>
    <row r="316" spans="1:11" ht="15" customHeight="1">
      <c r="A316" s="9"/>
      <c r="B316" s="32" t="s">
        <v>1189</v>
      </c>
      <c r="C316" s="37" t="s">
        <v>1190</v>
      </c>
      <c r="D316" s="20"/>
      <c r="E316" s="1"/>
      <c r="F316" s="9" t="s">
        <v>478</v>
      </c>
      <c r="G316" s="7" t="s">
        <v>1191</v>
      </c>
      <c r="H316" s="9"/>
      <c r="I316" s="9"/>
      <c r="J316" s="74" t="str" cm="1">
        <f t="array" ref="J316">IF(ISBLANK(I316), IF(ISBLANK(H316), "N/A", _xlfn.IFS(K316="AS", H316+15, K316="NCR", H316+30, K316="submitted", H316+30, TRUE, "N/A")), _xlfn.IFS(K316="AS", I316+15, K316="NCR", I316+30, K316="submitted", I316+30, TRUE, "N/A"))</f>
        <v>N/A</v>
      </c>
      <c r="K316" s="14"/>
    </row>
    <row r="317" spans="1:11" ht="15" customHeight="1">
      <c r="A317" s="9"/>
      <c r="B317" s="33"/>
      <c r="C317" s="39"/>
      <c r="D317" s="20"/>
      <c r="E317" s="1"/>
      <c r="F317" s="22" t="s">
        <v>850</v>
      </c>
      <c r="G317" s="28" t="s">
        <v>1192</v>
      </c>
      <c r="H317" s="9"/>
      <c r="I317" s="9"/>
      <c r="J317" s="74" t="str" cm="1">
        <f t="array" ref="J317">IF(ISBLANK(I317), IF(ISBLANK(H317), "N/A", _xlfn.IFS(K317="AS", H317+15, K317="NCR", H317+30, K317="submitted", H317+30, TRUE, "N/A")), _xlfn.IFS(K317="AS", I317+15, K317="NCR", I317+30, K317="submitted", I317+30, TRUE, "N/A"))</f>
        <v>N/A</v>
      </c>
      <c r="K317" s="14"/>
    </row>
    <row r="318" spans="1:11" ht="15" customHeight="1">
      <c r="A318" s="9"/>
      <c r="B318" s="33"/>
      <c r="C318" s="39"/>
      <c r="D318" s="20"/>
      <c r="E318" s="1"/>
      <c r="F318" s="22" t="s">
        <v>489</v>
      </c>
      <c r="G318" s="28" t="s">
        <v>1193</v>
      </c>
      <c r="H318" s="9"/>
      <c r="I318" s="9"/>
      <c r="J318" s="74" t="str" cm="1">
        <f t="array" ref="J318">IF(ISBLANK(I318), IF(ISBLANK(H318), "N/A", _xlfn.IFS(K318="AS", H318+15, K318="NCR", H318+30, K318="submitted", H318+30, TRUE, "N/A")), _xlfn.IFS(K318="AS", I318+15, K318="NCR", I318+30, K318="submitted", I318+30, TRUE, "N/A"))</f>
        <v>N/A</v>
      </c>
      <c r="K318" s="14"/>
    </row>
    <row r="319" spans="1:11" ht="15" customHeight="1">
      <c r="A319" s="9"/>
      <c r="B319" s="33"/>
      <c r="C319" s="39"/>
      <c r="D319" s="20"/>
      <c r="E319" s="1"/>
      <c r="F319" s="9" t="s">
        <v>481</v>
      </c>
      <c r="G319" s="7" t="s">
        <v>1194</v>
      </c>
      <c r="H319" s="9"/>
      <c r="I319" s="9"/>
      <c r="J319" s="74" t="str" cm="1">
        <f t="array" ref="J319">IF(ISBLANK(I319), IF(ISBLANK(H319), "N/A", _xlfn.IFS(K319="AS", H319+15, K319="NCR", H319+30, K319="submitted", H319+30, TRUE, "N/A")), _xlfn.IFS(K319="AS", I319+15, K319="NCR", I319+30, K319="submitted", I319+30, TRUE, "N/A"))</f>
        <v>N/A</v>
      </c>
      <c r="K319" s="14"/>
    </row>
    <row r="320" spans="1:11" ht="15" customHeight="1">
      <c r="A320" s="9"/>
      <c r="B320" s="33"/>
      <c r="C320" s="39"/>
      <c r="D320" s="20"/>
      <c r="E320" s="1"/>
      <c r="F320" s="9" t="s">
        <v>853</v>
      </c>
      <c r="G320" s="7" t="s">
        <v>1195</v>
      </c>
      <c r="H320" s="9"/>
      <c r="I320" s="9"/>
      <c r="J320" s="74" t="str" cm="1">
        <f t="array" ref="J320">IF(ISBLANK(I320), IF(ISBLANK(H320), "N/A", _xlfn.IFS(K320="AS", H320+15, K320="NCR", H320+30, K320="submitted", H320+30, TRUE, "N/A")), _xlfn.IFS(K320="AS", I320+15, K320="NCR", I320+30, K320="submitted", I320+30, TRUE, "N/A"))</f>
        <v>N/A</v>
      </c>
      <c r="K320" s="14"/>
    </row>
    <row r="321" spans="1:11" ht="15" customHeight="1">
      <c r="A321" s="9"/>
      <c r="B321" s="33"/>
      <c r="C321" s="39"/>
      <c r="D321" s="20"/>
      <c r="E321" s="1"/>
      <c r="F321" s="9" t="s">
        <v>1187</v>
      </c>
      <c r="G321" s="7" t="s">
        <v>1196</v>
      </c>
      <c r="H321" s="9"/>
      <c r="I321" s="9"/>
      <c r="J321" s="74" t="str" cm="1">
        <f t="array" ref="J321">IF(ISBLANK(I321), IF(ISBLANK(H321), "N/A", _xlfn.IFS(K321="AS", H321+15, K321="NCR", H321+30, K321="submitted", H321+30, TRUE, "N/A")), _xlfn.IFS(K321="AS", I321+15, K321="NCR", I321+30, K321="submitted", I321+30, TRUE, "N/A"))</f>
        <v>N/A</v>
      </c>
      <c r="K321" s="14"/>
    </row>
    <row r="322" spans="1:11" ht="15" customHeight="1">
      <c r="A322" s="9"/>
      <c r="B322" s="33"/>
      <c r="C322" s="39"/>
      <c r="D322" s="20"/>
      <c r="E322" s="1"/>
      <c r="F322" s="9" t="s">
        <v>1197</v>
      </c>
      <c r="G322" s="7" t="s">
        <v>1198</v>
      </c>
      <c r="H322" s="9"/>
      <c r="I322" s="9"/>
      <c r="J322" s="74" t="str" cm="1">
        <f t="array" ref="J322">IF(ISBLANK(I322), IF(ISBLANK(H322), "N/A", _xlfn.IFS(K322="AS", H322+15, K322="NCR", H322+30, K322="submitted", H322+30, TRUE, "N/A")), _xlfn.IFS(K322="AS", I322+15, K322="NCR", I322+30, K322="submitted", I322+30, TRUE, "N/A"))</f>
        <v>N/A</v>
      </c>
      <c r="K322" s="14"/>
    </row>
    <row r="323" spans="1:11" ht="27" customHeight="1">
      <c r="A323" s="9"/>
      <c r="B323" s="33"/>
      <c r="C323" s="39"/>
      <c r="D323" s="20"/>
      <c r="E323" s="1"/>
      <c r="F323" s="9" t="s">
        <v>1199</v>
      </c>
      <c r="G323" s="7" t="s">
        <v>1200</v>
      </c>
      <c r="H323" s="9"/>
      <c r="I323" s="9"/>
      <c r="J323" s="74" t="str" cm="1">
        <f t="array" ref="J323">IF(ISBLANK(I323), IF(ISBLANK(H323), "N/A", _xlfn.IFS(K323="AS", H323+15, K323="NCR", H323+30, K323="submitted", H323+30, TRUE, "N/A")), _xlfn.IFS(K323="AS", I323+15, K323="NCR", I323+30, K323="submitted", I323+30, TRUE, "N/A"))</f>
        <v>N/A</v>
      </c>
      <c r="K323" s="14"/>
    </row>
    <row r="324" spans="1:11" ht="15" customHeight="1">
      <c r="A324" s="9"/>
      <c r="B324" s="33"/>
      <c r="C324" s="39"/>
      <c r="D324" s="20"/>
      <c r="E324" s="1"/>
      <c r="F324" s="22" t="s">
        <v>1201</v>
      </c>
      <c r="G324" s="28" t="s">
        <v>1202</v>
      </c>
      <c r="H324" s="9"/>
      <c r="I324" s="9"/>
      <c r="J324" s="74" t="str" cm="1">
        <f t="array" ref="J324">IF(ISBLANK(I324), IF(ISBLANK(H324), "N/A", _xlfn.IFS(K324="AS", H324+15, K324="NCR", H324+30, K324="submitted", H324+30, TRUE, "N/A")), _xlfn.IFS(K324="AS", I324+15, K324="NCR", I324+30, K324="submitted", I324+30, TRUE, "N/A"))</f>
        <v>N/A</v>
      </c>
      <c r="K324" s="14"/>
    </row>
    <row r="325" spans="1:11" ht="15" customHeight="1">
      <c r="A325" s="9"/>
      <c r="B325" s="33"/>
      <c r="C325" s="39"/>
      <c r="D325" s="20"/>
      <c r="E325" s="1"/>
      <c r="F325" s="9" t="s">
        <v>1203</v>
      </c>
      <c r="G325" s="7" t="s">
        <v>482</v>
      </c>
      <c r="H325" s="9"/>
      <c r="I325" s="9"/>
      <c r="J325" s="74" t="str" cm="1">
        <f t="array" ref="J325">IF(ISBLANK(I325), IF(ISBLANK(H325), "N/A", _xlfn.IFS(K325="AS", H325+15, K325="NCR", H325+30, K325="submitted", H325+30, TRUE, "N/A")), _xlfn.IFS(K325="AS", I325+15, K325="NCR", I325+30, K325="submitted", I325+30, TRUE, "N/A"))</f>
        <v>N/A</v>
      </c>
      <c r="K325" s="14"/>
    </row>
    <row r="326" spans="1:11" ht="27" customHeight="1">
      <c r="A326" s="9"/>
      <c r="B326" s="33"/>
      <c r="C326" s="39"/>
      <c r="D326" s="20"/>
      <c r="E326" s="1"/>
      <c r="F326" s="9" t="s">
        <v>1204</v>
      </c>
      <c r="G326" s="7" t="s">
        <v>1205</v>
      </c>
      <c r="H326" s="9"/>
      <c r="I326" s="9"/>
      <c r="J326" s="74" t="str" cm="1">
        <f t="array" ref="J326">IF(ISBLANK(I326), IF(ISBLANK(H326), "N/A", _xlfn.IFS(K326="AS", H326+15, K326="NCR", H326+30, K326="submitted", H326+30, TRUE, "N/A")), _xlfn.IFS(K326="AS", I326+15, K326="NCR", I326+30, K326="submitted", I326+30, TRUE, "N/A"))</f>
        <v>N/A</v>
      </c>
      <c r="K326" s="14"/>
    </row>
    <row r="327" spans="1:11" ht="15" customHeight="1">
      <c r="A327" s="9"/>
      <c r="B327" s="33"/>
      <c r="C327" s="39"/>
      <c r="D327" s="20"/>
      <c r="E327" s="1"/>
      <c r="F327" s="9" t="s">
        <v>1206</v>
      </c>
      <c r="G327" s="7" t="s">
        <v>1026</v>
      </c>
      <c r="H327" s="9"/>
      <c r="I327" s="9"/>
      <c r="J327" s="74" t="str" cm="1">
        <f t="array" ref="J327">IF(ISBLANK(I327), IF(ISBLANK(H327), "N/A", _xlfn.IFS(K327="AS", H327+15, K327="NCR", H327+30, K327="submitted", H327+30, TRUE, "N/A")), _xlfn.IFS(K327="AS", I327+15, K327="NCR", I327+30, K327="submitted", I327+30, TRUE, "N/A"))</f>
        <v>N/A</v>
      </c>
      <c r="K327" s="14"/>
    </row>
    <row r="328" spans="1:11" ht="27" customHeight="1">
      <c r="A328" s="9"/>
      <c r="B328" s="33"/>
      <c r="C328" s="39"/>
      <c r="D328" s="20"/>
      <c r="E328" s="1"/>
      <c r="F328" s="9" t="s">
        <v>1207</v>
      </c>
      <c r="G328" s="7" t="s">
        <v>1208</v>
      </c>
      <c r="H328" s="9"/>
      <c r="I328" s="9"/>
      <c r="J328" s="74" t="str" cm="1">
        <f t="array" ref="J328">IF(ISBLANK(I328), IF(ISBLANK(H328), "N/A", _xlfn.IFS(K328="AS", H328+15, K328="NCR", H328+30, K328="submitted", H328+30, TRUE, "N/A")), _xlfn.IFS(K328="AS", I328+15, K328="NCR", I328+30, K328="submitted", I328+30, TRUE, "N/A"))</f>
        <v>N/A</v>
      </c>
      <c r="K328" s="14"/>
    </row>
    <row r="329" spans="1:11" ht="15" customHeight="1">
      <c r="A329" s="9"/>
      <c r="B329" s="33"/>
      <c r="C329" s="39"/>
      <c r="D329" s="20"/>
      <c r="E329" s="1"/>
      <c r="F329" s="9" t="s">
        <v>1209</v>
      </c>
      <c r="G329" s="7" t="s">
        <v>1210</v>
      </c>
      <c r="H329" s="9"/>
      <c r="I329" s="9"/>
      <c r="J329" s="74" t="str" cm="1">
        <f t="array" ref="J329">IF(ISBLANK(I329), IF(ISBLANK(H329), "N/A", _xlfn.IFS(K329="AS", H329+15, K329="NCR", H329+30, K329="submitted", H329+30, TRUE, "N/A")), _xlfn.IFS(K329="AS", I329+15, K329="NCR", I329+30, K329="submitted", I329+30, TRUE, "N/A"))</f>
        <v>N/A</v>
      </c>
      <c r="K329" s="14"/>
    </row>
    <row r="330" spans="1:11" ht="27" customHeight="1">
      <c r="A330" s="9"/>
      <c r="B330" s="97"/>
      <c r="C330" s="46"/>
      <c r="D330" s="20"/>
      <c r="E330" s="1"/>
      <c r="F330" s="9" t="s">
        <v>1211</v>
      </c>
      <c r="G330" s="7" t="s">
        <v>1212</v>
      </c>
      <c r="H330" s="9"/>
      <c r="I330" s="9"/>
      <c r="J330" s="74" t="str" cm="1">
        <f t="array" ref="J330">IF(ISBLANK(I330), IF(ISBLANK(H330), "N/A", _xlfn.IFS(K330="AS", H330+15, K330="NCR", H330+30, K330="submitted", H330+30, TRUE, "N/A")), _xlfn.IFS(K330="AS", I330+15, K330="NCR", I330+30, K330="submitted", I330+30, TRUE, "N/A"))</f>
        <v>N/A</v>
      </c>
      <c r="K330" s="14"/>
    </row>
    <row r="331" spans="1:11" ht="15" customHeight="1">
      <c r="A331" s="4" t="s">
        <v>1213</v>
      </c>
      <c r="B331" s="15" t="s">
        <v>1214</v>
      </c>
      <c r="C331" s="17" t="s">
        <v>1215</v>
      </c>
      <c r="D331" s="103"/>
      <c r="E331" s="126" t="s">
        <v>798</v>
      </c>
      <c r="F331" s="142" t="s">
        <v>205</v>
      </c>
      <c r="G331" s="34" t="s">
        <v>476</v>
      </c>
      <c r="H331" s="14">
        <v>45904</v>
      </c>
      <c r="I331" s="9"/>
      <c r="J331" s="74" cm="1">
        <f t="array" ref="J331">IF(ISBLANK(I331), IF(ISBLANK(H331), "N/A", _xlfn.IFS(K331="AS", H331+15, K331="NCR", H331+30, K331="submitted", H331+30, TRUE, "N/A")), _xlfn.IFS(K331="AS", I331+15, K331="NCR", I331+30, K331="submitted", I331+30, TRUE, "N/A"))</f>
        <v>45934</v>
      </c>
      <c r="K331" s="14" t="s">
        <v>311</v>
      </c>
    </row>
    <row r="332" spans="1:11" s="149" customFormat="1" ht="15" customHeight="1">
      <c r="A332" s="147" t="s">
        <v>76</v>
      </c>
      <c r="B332" s="427" t="s">
        <v>1216</v>
      </c>
      <c r="C332" s="232" t="s">
        <v>1217</v>
      </c>
      <c r="D332" s="579"/>
      <c r="E332" s="150"/>
      <c r="F332" s="541" t="s">
        <v>210</v>
      </c>
      <c r="G332" s="168" t="s">
        <v>1218</v>
      </c>
      <c r="H332" s="542">
        <v>45825</v>
      </c>
      <c r="I332" s="234">
        <v>45903</v>
      </c>
      <c r="J332" s="74" cm="1">
        <f t="array" ref="J332">IF(ISBLANK(I332), IF(ISBLANK(H332), "N/A", _xlfn.IFS(K332="AS", H332+15, K332="NCR", H332+30, K332="submitted", H332+30, TRUE, "N/A")), _xlfn.IFS(K332="AS", I332+15, K332="NCR", I332+30, K332="submitted", I332+30, TRUE, "N/A"))</f>
        <v>45918</v>
      </c>
      <c r="K332" s="234" t="s">
        <v>741</v>
      </c>
    </row>
    <row r="333" spans="1:11" ht="15" customHeight="1">
      <c r="A333" s="140"/>
      <c r="B333" s="32" t="s">
        <v>1216</v>
      </c>
      <c r="C333" s="39"/>
      <c r="D333" s="20"/>
      <c r="E333" s="1"/>
      <c r="F333" s="9" t="s">
        <v>234</v>
      </c>
      <c r="G333" s="13" t="s">
        <v>1219</v>
      </c>
      <c r="H333" s="9"/>
      <c r="I333" s="9"/>
      <c r="J333" s="74" t="str" cm="1">
        <f t="array" ref="J333">IF(ISBLANK(I333), IF(ISBLANK(H333), "N/A", _xlfn.IFS(K333="AS", H333+15, K333="NCR", H333+30, K333="submitted", H333+30, TRUE, "N/A")), _xlfn.IFS(K333="AS", I333+15, K333="NCR", I333+30, K333="submitted", I333+30, TRUE, "N/A"))</f>
        <v>N/A</v>
      </c>
      <c r="K333" s="14"/>
    </row>
    <row r="334" spans="1:11" s="149" customFormat="1" ht="27" customHeight="1">
      <c r="A334" s="541" t="s">
        <v>76</v>
      </c>
      <c r="B334" s="427" t="s">
        <v>1216</v>
      </c>
      <c r="C334" s="232" t="s">
        <v>1217</v>
      </c>
      <c r="D334" s="579"/>
      <c r="E334" s="150"/>
      <c r="F334" s="147" t="s">
        <v>236</v>
      </c>
      <c r="G334" s="194" t="s">
        <v>1220</v>
      </c>
      <c r="H334" s="542">
        <v>45825</v>
      </c>
      <c r="I334" s="234">
        <v>45903</v>
      </c>
      <c r="J334" s="74" cm="1">
        <f t="array" ref="J334">IF(ISBLANK(I334), IF(ISBLANK(H334), "N/A", _xlfn.IFS(K334="AS", H334+15, K334="NCR", H334+30, K334="submitted", H334+30, TRUE, "N/A")), _xlfn.IFS(K334="AS", I334+15, K334="NCR", I334+30, K334="submitted", I334+30, TRUE, "N/A"))</f>
        <v>45918</v>
      </c>
      <c r="K334" s="234" t="s">
        <v>741</v>
      </c>
    </row>
    <row r="335" spans="1:11" ht="53.25">
      <c r="A335" s="21"/>
      <c r="B335" s="32" t="s">
        <v>1216</v>
      </c>
      <c r="C335" s="39"/>
      <c r="D335" s="20"/>
      <c r="E335" s="1"/>
      <c r="F335" s="9" t="s">
        <v>1221</v>
      </c>
      <c r="G335" s="7" t="s">
        <v>1222</v>
      </c>
      <c r="H335" s="9"/>
      <c r="I335" s="9"/>
      <c r="J335" s="74" t="str" cm="1">
        <f t="array" ref="J335">IF(ISBLANK(I335), IF(ISBLANK(H335), "N/A", _xlfn.IFS(K335="AS", H335+15, K335="NCR", H335+30, K335="submitted", H335+30, TRUE, "N/A")), _xlfn.IFS(K335="AS", I335+15, K335="NCR", I335+30, K335="submitted", I335+30, TRUE, "N/A"))</f>
        <v>N/A</v>
      </c>
      <c r="K335" s="14"/>
    </row>
    <row r="336" spans="1:11" ht="27" customHeight="1">
      <c r="A336" s="9"/>
      <c r="B336" s="32" t="s">
        <v>1216</v>
      </c>
      <c r="C336" s="39"/>
      <c r="D336" s="20"/>
      <c r="E336" s="1"/>
      <c r="F336" s="9" t="s">
        <v>1223</v>
      </c>
      <c r="G336" s="7" t="s">
        <v>1224</v>
      </c>
      <c r="H336" s="9"/>
      <c r="I336" s="9"/>
      <c r="J336" s="74" t="str" cm="1">
        <f t="array" ref="J336">IF(ISBLANK(I336), IF(ISBLANK(H336), "N/A", _xlfn.IFS(K336="AS", H336+15, K336="NCR", H336+30, K336="submitted", H336+30, TRUE, "N/A")), _xlfn.IFS(K336="AS", I336+15, K336="NCR", I336+30, K336="submitted", I336+30, TRUE, "N/A"))</f>
        <v>N/A</v>
      </c>
      <c r="K336" s="14"/>
    </row>
    <row r="337" spans="1:11" ht="15" customHeight="1">
      <c r="A337" s="9"/>
      <c r="B337" s="32" t="s">
        <v>1216</v>
      </c>
      <c r="C337" s="39"/>
      <c r="D337" s="20"/>
      <c r="E337" s="1"/>
      <c r="F337" s="9" t="s">
        <v>1225</v>
      </c>
      <c r="G337" s="13" t="s">
        <v>1226</v>
      </c>
      <c r="H337" s="9"/>
      <c r="I337" s="9"/>
      <c r="J337" s="74" t="str" cm="1">
        <f t="array" ref="J337">IF(ISBLANK(I337), IF(ISBLANK(H337), "N/A", _xlfn.IFS(K337="AS", H337+15, K337="NCR", H337+30, K337="submitted", H337+30, TRUE, "N/A")), _xlfn.IFS(K337="AS", I337+15, K337="NCR", I337+30, K337="submitted", I337+30, TRUE, "N/A"))</f>
        <v>N/A</v>
      </c>
      <c r="K337" s="14"/>
    </row>
    <row r="338" spans="1:11" ht="27" customHeight="1">
      <c r="A338" s="9"/>
      <c r="B338" s="32" t="s">
        <v>1216</v>
      </c>
      <c r="C338" s="39"/>
      <c r="D338" s="20"/>
      <c r="E338" s="1"/>
      <c r="F338" s="9" t="s">
        <v>1227</v>
      </c>
      <c r="G338" s="7" t="s">
        <v>1228</v>
      </c>
      <c r="H338" s="9"/>
      <c r="I338" s="9"/>
      <c r="J338" s="74" t="str" cm="1">
        <f t="array" ref="J338">IF(ISBLANK(I338), IF(ISBLANK(H338), "N/A", _xlfn.IFS(K338="AS", H338+15, K338="NCR", H338+30, K338="submitted", H338+30, TRUE, "N/A")), _xlfn.IFS(K338="AS", I338+15, K338="NCR", I338+30, K338="submitted", I338+30, TRUE, "N/A"))</f>
        <v>N/A</v>
      </c>
      <c r="K338" s="14"/>
    </row>
    <row r="339" spans="1:11" ht="40.5" customHeight="1">
      <c r="A339" s="9"/>
      <c r="B339" s="32" t="s">
        <v>1216</v>
      </c>
      <c r="C339" s="39"/>
      <c r="D339" s="20"/>
      <c r="E339" s="1"/>
      <c r="F339" s="9" t="s">
        <v>1229</v>
      </c>
      <c r="G339" s="7" t="s">
        <v>1230</v>
      </c>
      <c r="H339" s="9"/>
      <c r="I339" s="9"/>
      <c r="J339" s="74" t="str" cm="1">
        <f t="array" ref="J339">IF(ISBLANK(I339), IF(ISBLANK(H339), "N/A", _xlfn.IFS(K339="AS", H339+15, K339="NCR", H339+30, K339="submitted", H339+30, TRUE, "N/A")), _xlfn.IFS(K339="AS", I339+15, K339="NCR", I339+30, K339="submitted", I339+30, TRUE, "N/A"))</f>
        <v>N/A</v>
      </c>
      <c r="K339" s="14"/>
    </row>
    <row r="340" spans="1:11" ht="15" customHeight="1">
      <c r="A340" s="9"/>
      <c r="B340" s="32" t="s">
        <v>1216</v>
      </c>
      <c r="C340" s="39"/>
      <c r="D340" s="20"/>
      <c r="E340" s="1"/>
      <c r="F340" s="9" t="s">
        <v>1231</v>
      </c>
      <c r="G340" s="13" t="s">
        <v>1232</v>
      </c>
      <c r="H340" s="9"/>
      <c r="I340" s="9"/>
      <c r="J340" s="74" t="str" cm="1">
        <f t="array" ref="J340">IF(ISBLANK(I340), IF(ISBLANK(H340), "N/A", _xlfn.IFS(K340="AS", H340+15, K340="NCR", H340+30, K340="submitted", H340+30, TRUE, "N/A")), _xlfn.IFS(K340="AS", I340+15, K340="NCR", I340+30, K340="submitted", I340+30, TRUE, "N/A"))</f>
        <v>N/A</v>
      </c>
      <c r="K340" s="14"/>
    </row>
    <row r="341" spans="1:11" ht="27" customHeight="1">
      <c r="A341" s="9"/>
      <c r="B341" s="32" t="s">
        <v>1216</v>
      </c>
      <c r="C341" s="39"/>
      <c r="D341" s="20"/>
      <c r="E341" s="1"/>
      <c r="F341" s="9" t="s">
        <v>1233</v>
      </c>
      <c r="G341" s="7" t="s">
        <v>1234</v>
      </c>
      <c r="H341" s="9"/>
      <c r="I341" s="9"/>
      <c r="J341" s="74" t="str" cm="1">
        <f t="array" ref="J341">IF(ISBLANK(I341), IF(ISBLANK(H341), "N/A", _xlfn.IFS(K341="AS", H341+15, K341="NCR", H341+30, K341="submitted", H341+30, TRUE, "N/A")), _xlfn.IFS(K341="AS", I341+15, K341="NCR", I341+30, K341="submitted", I341+30, TRUE, "N/A"))</f>
        <v>N/A</v>
      </c>
      <c r="K341" s="14"/>
    </row>
    <row r="342" spans="1:11" ht="15" customHeight="1">
      <c r="A342" s="9"/>
      <c r="B342" s="32" t="s">
        <v>1216</v>
      </c>
      <c r="C342" s="39"/>
      <c r="D342" s="20"/>
      <c r="E342" s="1"/>
      <c r="F342" s="9" t="s">
        <v>1235</v>
      </c>
      <c r="G342" s="13" t="s">
        <v>1236</v>
      </c>
      <c r="H342" s="9"/>
      <c r="I342" s="9"/>
      <c r="J342" s="74" t="str" cm="1">
        <f t="array" ref="J342">IF(ISBLANK(I342), IF(ISBLANK(H342), "N/A", _xlfn.IFS(K342="AS", H342+15, K342="NCR", H342+30, K342="submitted", H342+30, TRUE, "N/A")), _xlfn.IFS(K342="AS", I342+15, K342="NCR", I342+30, K342="submitted", I342+30, TRUE, "N/A"))</f>
        <v>N/A</v>
      </c>
      <c r="K342" s="14"/>
    </row>
    <row r="343" spans="1:11" ht="27" customHeight="1">
      <c r="A343" s="9"/>
      <c r="B343" s="32" t="s">
        <v>1216</v>
      </c>
      <c r="C343" s="39"/>
      <c r="D343" s="20"/>
      <c r="E343" s="1"/>
      <c r="F343" s="9" t="s">
        <v>1237</v>
      </c>
      <c r="G343" s="7" t="s">
        <v>1238</v>
      </c>
      <c r="H343" s="9"/>
      <c r="I343" s="9"/>
      <c r="J343" s="74" t="str" cm="1">
        <f t="array" ref="J343">IF(ISBLANK(I343), IF(ISBLANK(H343), "N/A", _xlfn.IFS(K343="AS", H343+15, K343="NCR", H343+30, K343="submitted", H343+30, TRUE, "N/A")), _xlfn.IFS(K343="AS", I343+15, K343="NCR", I343+30, K343="submitted", I343+30, TRUE, "N/A"))</f>
        <v>N/A</v>
      </c>
      <c r="K343" s="14"/>
    </row>
    <row r="344" spans="1:11" ht="15" customHeight="1">
      <c r="A344" s="9"/>
      <c r="B344" s="32" t="s">
        <v>1216</v>
      </c>
      <c r="C344" s="39"/>
      <c r="D344" s="20"/>
      <c r="E344" s="1"/>
      <c r="F344" s="9" t="s">
        <v>1239</v>
      </c>
      <c r="G344" s="7" t="s">
        <v>1240</v>
      </c>
      <c r="H344" s="9"/>
      <c r="I344" s="9"/>
      <c r="J344" s="74" t="str" cm="1">
        <f t="array" ref="J344">IF(ISBLANK(I344), IF(ISBLANK(H344), "N/A", _xlfn.IFS(K344="AS", H344+15, K344="NCR", H344+30, K344="submitted", H344+30, TRUE, "N/A")), _xlfn.IFS(K344="AS", I344+15, K344="NCR", I344+30, K344="submitted", I344+30, TRUE, "N/A"))</f>
        <v>N/A</v>
      </c>
      <c r="K344" s="14"/>
    </row>
    <row r="345" spans="1:11" ht="27" customHeight="1">
      <c r="A345" s="9"/>
      <c r="B345" s="32" t="s">
        <v>1216</v>
      </c>
      <c r="C345" s="39"/>
      <c r="D345" s="20"/>
      <c r="E345" s="1"/>
      <c r="F345" s="9" t="s">
        <v>1241</v>
      </c>
      <c r="G345" s="7" t="s">
        <v>1242</v>
      </c>
      <c r="H345" s="9"/>
      <c r="I345" s="9"/>
      <c r="J345" s="74" t="str" cm="1">
        <f t="array" ref="J345">IF(ISBLANK(I345), IF(ISBLANK(H345), "N/A", _xlfn.IFS(K345="AS", H345+15, K345="NCR", H345+30, K345="submitted", H345+30, TRUE, "N/A")), _xlfn.IFS(K345="AS", I345+15, K345="NCR", I345+30, K345="submitted", I345+30, TRUE, "N/A"))</f>
        <v>N/A</v>
      </c>
      <c r="K345" s="14"/>
    </row>
    <row r="346" spans="1:11" ht="15" customHeight="1">
      <c r="A346" s="9"/>
      <c r="B346" s="32" t="s">
        <v>1216</v>
      </c>
      <c r="C346" s="39"/>
      <c r="D346" s="20"/>
      <c r="E346" s="1"/>
      <c r="F346" s="9" t="s">
        <v>1243</v>
      </c>
      <c r="G346" s="13" t="s">
        <v>1244</v>
      </c>
      <c r="H346" s="9"/>
      <c r="I346" s="9"/>
      <c r="J346" s="74" t="str" cm="1">
        <f t="array" ref="J346">IF(ISBLANK(I346), IF(ISBLANK(H346), "N/A", _xlfn.IFS(K346="AS", H346+15, K346="NCR", H346+30, K346="submitted", H346+30, TRUE, "N/A")), _xlfn.IFS(K346="AS", I346+15, K346="NCR", I346+30, K346="submitted", I346+30, TRUE, "N/A"))</f>
        <v>N/A</v>
      </c>
      <c r="K346" s="14"/>
    </row>
    <row r="347" spans="1:11" ht="40.5" customHeight="1">
      <c r="A347" s="9"/>
      <c r="B347" s="32" t="s">
        <v>1216</v>
      </c>
      <c r="C347" s="39"/>
      <c r="D347" s="20"/>
      <c r="E347" s="1"/>
      <c r="F347" s="9" t="s">
        <v>1245</v>
      </c>
      <c r="G347" s="7" t="s">
        <v>1246</v>
      </c>
      <c r="H347" s="9"/>
      <c r="I347" s="9"/>
      <c r="J347" s="74" t="str" cm="1">
        <f t="array" ref="J347">IF(ISBLANK(I347), IF(ISBLANK(H347), "N/A", _xlfn.IFS(K347="AS", H347+15, K347="NCR", H347+30, K347="submitted", H347+30, TRUE, "N/A")), _xlfn.IFS(K347="AS", I347+15, K347="NCR", I347+30, K347="submitted", I347+30, TRUE, "N/A"))</f>
        <v>N/A</v>
      </c>
      <c r="K347" s="14"/>
    </row>
    <row r="348" spans="1:11" ht="27" customHeight="1">
      <c r="A348" s="9"/>
      <c r="B348" s="32" t="s">
        <v>1216</v>
      </c>
      <c r="C348" s="39"/>
      <c r="D348" s="20"/>
      <c r="E348" s="1"/>
      <c r="F348" s="9" t="s">
        <v>1247</v>
      </c>
      <c r="G348" s="7" t="s">
        <v>1248</v>
      </c>
      <c r="H348" s="9"/>
      <c r="I348" s="9"/>
      <c r="J348" s="74" t="str" cm="1">
        <f t="array" ref="J348">IF(ISBLANK(I348), IF(ISBLANK(H348), "N/A", _xlfn.IFS(K348="AS", H348+15, K348="NCR", H348+30, K348="submitted", H348+30, TRUE, "N/A")), _xlfn.IFS(K348="AS", I348+15, K348="NCR", I348+30, K348="submitted", I348+30, TRUE, "N/A"))</f>
        <v>N/A</v>
      </c>
      <c r="K348" s="14"/>
    </row>
    <row r="349" spans="1:11" ht="27" customHeight="1">
      <c r="A349" s="9"/>
      <c r="B349" s="32" t="s">
        <v>1216</v>
      </c>
      <c r="C349" s="39"/>
      <c r="D349" s="20"/>
      <c r="E349" s="1"/>
      <c r="F349" s="9" t="s">
        <v>1249</v>
      </c>
      <c r="G349" s="7" t="s">
        <v>1250</v>
      </c>
      <c r="H349" s="9"/>
      <c r="I349" s="9"/>
      <c r="J349" s="74" t="str" cm="1">
        <f t="array" ref="J349">IF(ISBLANK(I349), IF(ISBLANK(H349), "N/A", _xlfn.IFS(K349="AS", H349+15, K349="NCR", H349+30, K349="submitted", H349+30, TRUE, "N/A")), _xlfn.IFS(K349="AS", I349+15, K349="NCR", I349+30, K349="submitted", I349+30, TRUE, "N/A"))</f>
        <v>N/A</v>
      </c>
      <c r="K349" s="14"/>
    </row>
    <row r="350" spans="1:11" ht="15" customHeight="1">
      <c r="A350" s="9"/>
      <c r="B350" s="32" t="s">
        <v>1216</v>
      </c>
      <c r="C350" s="39"/>
      <c r="D350" s="20"/>
      <c r="E350" s="1"/>
      <c r="F350" s="9" t="s">
        <v>1251</v>
      </c>
      <c r="G350" s="13" t="s">
        <v>1252</v>
      </c>
      <c r="H350" s="9"/>
      <c r="I350" s="9"/>
      <c r="J350" s="74" t="str" cm="1">
        <f t="array" ref="J350">IF(ISBLANK(I350), IF(ISBLANK(H350), "N/A", _xlfn.IFS(K350="AS", H350+15, K350="NCR", H350+30, K350="submitted", H350+30, TRUE, "N/A")), _xlfn.IFS(K350="AS", I350+15, K350="NCR", I350+30, K350="submitted", I350+30, TRUE, "N/A"))</f>
        <v>N/A</v>
      </c>
      <c r="K350" s="14"/>
    </row>
    <row r="351" spans="1:11" ht="27" customHeight="1">
      <c r="A351" s="9"/>
      <c r="B351" s="32" t="s">
        <v>1216</v>
      </c>
      <c r="C351" s="39"/>
      <c r="D351" s="20"/>
      <c r="E351" s="1"/>
      <c r="F351" s="9" t="s">
        <v>330</v>
      </c>
      <c r="G351" s="7" t="s">
        <v>1253</v>
      </c>
      <c r="H351" s="9"/>
      <c r="I351" s="9"/>
      <c r="J351" s="74" t="str" cm="1">
        <f t="array" ref="J351">IF(ISBLANK(I351), IF(ISBLANK(H351), "N/A", _xlfn.IFS(K351="AS", H351+15, K351="NCR", H351+30, K351="submitted", H351+30, TRUE, "N/A")), _xlfn.IFS(K351="AS", I351+15, K351="NCR", I351+30, K351="submitted", I351+30, TRUE, "N/A"))</f>
        <v>N/A</v>
      </c>
      <c r="K351" s="14"/>
    </row>
    <row r="352" spans="1:11" ht="15" customHeight="1">
      <c r="A352" s="9"/>
      <c r="B352" s="32" t="s">
        <v>1216</v>
      </c>
      <c r="C352" s="39"/>
      <c r="D352" s="20"/>
      <c r="E352" s="1"/>
      <c r="F352" s="9" t="s">
        <v>1254</v>
      </c>
      <c r="G352" s="7" t="s">
        <v>1255</v>
      </c>
      <c r="H352" s="9"/>
      <c r="I352" s="9"/>
      <c r="J352" s="74" t="str" cm="1">
        <f t="array" ref="J352">IF(ISBLANK(I352), IF(ISBLANK(H352), "N/A", _xlfn.IFS(K352="AS", H352+15, K352="NCR", H352+30, K352="submitted", H352+30, TRUE, "N/A")), _xlfn.IFS(K352="AS", I352+15, K352="NCR", I352+30, K352="submitted", I352+30, TRUE, "N/A"))</f>
        <v>N/A</v>
      </c>
      <c r="K352" s="14"/>
    </row>
    <row r="353" spans="1:11" ht="15" customHeight="1">
      <c r="A353" s="9"/>
      <c r="B353" s="32" t="s">
        <v>1216</v>
      </c>
      <c r="C353" s="39"/>
      <c r="D353" s="20"/>
      <c r="E353" s="1"/>
      <c r="F353" s="9" t="s">
        <v>1256</v>
      </c>
      <c r="G353" s="13" t="s">
        <v>1257</v>
      </c>
      <c r="H353" s="9"/>
      <c r="I353" s="9"/>
      <c r="J353" s="74" t="str" cm="1">
        <f t="array" ref="J353">IF(ISBLANK(I353), IF(ISBLANK(H353), "N/A", _xlfn.IFS(K353="AS", H353+15, K353="NCR", H353+30, K353="submitted", H353+30, TRUE, "N/A")), _xlfn.IFS(K353="AS", I353+15, K353="NCR", I353+30, K353="submitted", I353+30, TRUE, "N/A"))</f>
        <v>N/A</v>
      </c>
      <c r="K353" s="14"/>
    </row>
    <row r="354" spans="1:11" ht="15" customHeight="1">
      <c r="A354" s="9"/>
      <c r="B354" s="32" t="s">
        <v>1216</v>
      </c>
      <c r="C354" s="39"/>
      <c r="D354" s="20"/>
      <c r="E354" s="1"/>
      <c r="F354" s="9" t="s">
        <v>1258</v>
      </c>
      <c r="G354" s="13" t="s">
        <v>1259</v>
      </c>
      <c r="H354" s="9"/>
      <c r="I354" s="9"/>
      <c r="J354" s="74" t="str" cm="1">
        <f t="array" ref="J354">IF(ISBLANK(I354), IF(ISBLANK(H354), "N/A", _xlfn.IFS(K354="AS", H354+15, K354="NCR", H354+30, K354="submitted", H354+30, TRUE, "N/A")), _xlfn.IFS(K354="AS", I354+15, K354="NCR", I354+30, K354="submitted", I354+30, TRUE, "N/A"))</f>
        <v>N/A</v>
      </c>
      <c r="K354" s="14"/>
    </row>
    <row r="355" spans="1:11" ht="27" customHeight="1">
      <c r="A355" s="9"/>
      <c r="B355" s="32" t="s">
        <v>1216</v>
      </c>
      <c r="C355" s="39"/>
      <c r="D355" s="20"/>
      <c r="E355" s="1"/>
      <c r="F355" s="9" t="s">
        <v>397</v>
      </c>
      <c r="G355" s="7" t="s">
        <v>1260</v>
      </c>
      <c r="H355" s="9"/>
      <c r="I355" s="9"/>
      <c r="J355" s="74" t="str" cm="1">
        <f t="array" ref="J355">IF(ISBLANK(I355), IF(ISBLANK(H355), "N/A", _xlfn.IFS(K355="AS", H355+15, K355="NCR", H355+30, K355="submitted", H355+30, TRUE, "N/A")), _xlfn.IFS(K355="AS", I355+15, K355="NCR", I355+30, K355="submitted", I355+30, TRUE, "N/A"))</f>
        <v>N/A</v>
      </c>
      <c r="K355" s="14"/>
    </row>
    <row r="356" spans="1:11" ht="27" customHeight="1">
      <c r="A356" s="9"/>
      <c r="B356" s="32" t="s">
        <v>1216</v>
      </c>
      <c r="C356" s="39"/>
      <c r="D356" s="20"/>
      <c r="E356" s="1"/>
      <c r="F356" s="9" t="s">
        <v>398</v>
      </c>
      <c r="G356" s="7" t="s">
        <v>1261</v>
      </c>
      <c r="H356" s="9"/>
      <c r="I356" s="9"/>
      <c r="J356" s="74" t="str" cm="1">
        <f t="array" ref="J356">IF(ISBLANK(I356), IF(ISBLANK(H356), "N/A", _xlfn.IFS(K356="AS", H356+15, K356="NCR", H356+30, K356="submitted", H356+30, TRUE, "N/A")), _xlfn.IFS(K356="AS", I356+15, K356="NCR", I356+30, K356="submitted", I356+30, TRUE, "N/A"))</f>
        <v>N/A</v>
      </c>
      <c r="K356" s="14"/>
    </row>
    <row r="357" spans="1:11" ht="15" customHeight="1">
      <c r="A357" s="22" t="s">
        <v>76</v>
      </c>
      <c r="B357" s="311" t="s">
        <v>1216</v>
      </c>
      <c r="C357" s="76" t="s">
        <v>1217</v>
      </c>
      <c r="D357" s="576"/>
      <c r="E357" s="26"/>
      <c r="F357" s="22" t="s">
        <v>400</v>
      </c>
      <c r="G357" s="24" t="s">
        <v>1262</v>
      </c>
      <c r="H357" s="252">
        <v>45825</v>
      </c>
      <c r="I357" s="22"/>
      <c r="J357" s="74" cm="1">
        <f t="array" ref="J357">IF(ISBLANK(I357), IF(ISBLANK(H357), "N/A", _xlfn.IFS(K357="AS", H357+15, K357="NCR", H357+30, K357="submitted", H357+30, TRUE, "N/A")), _xlfn.IFS(K357="AS", I357+15, K357="NCR", I357+30, K357="submitted", I357+30, TRUE, "N/A"))</f>
        <v>45855</v>
      </c>
      <c r="K357" s="25" t="s">
        <v>154</v>
      </c>
    </row>
    <row r="358" spans="1:11" ht="15" customHeight="1">
      <c r="A358" s="1"/>
      <c r="B358" s="32" t="s">
        <v>1216</v>
      </c>
      <c r="C358" s="46"/>
      <c r="D358" s="20"/>
      <c r="E358" s="1"/>
      <c r="F358" s="9" t="s">
        <v>433</v>
      </c>
      <c r="G358" s="13" t="s">
        <v>1263</v>
      </c>
      <c r="H358" s="9"/>
      <c r="I358" s="9"/>
      <c r="J358" s="74" t="str" cm="1">
        <f t="array" ref="J358">IF(ISBLANK(I358), IF(ISBLANK(H358), "N/A", _xlfn.IFS(K358="AS", H358+15, K358="NCR", H358+30, K358="submitted", H358+30, TRUE, "N/A")), _xlfn.IFS(K358="AS", I358+15, K358="NCR", I358+30, K358="submitted", I358+30, TRUE, "N/A"))</f>
        <v>N/A</v>
      </c>
      <c r="K358" s="14"/>
    </row>
    <row r="359" spans="1:11" s="139" customFormat="1" ht="27" customHeight="1">
      <c r="A359" s="152" t="s">
        <v>1264</v>
      </c>
      <c r="B359" s="240" t="s">
        <v>1265</v>
      </c>
      <c r="C359" s="169" t="s">
        <v>1266</v>
      </c>
      <c r="D359" s="626" t="s">
        <v>1267</v>
      </c>
      <c r="E359" s="138" t="s">
        <v>798</v>
      </c>
      <c r="F359" s="152" t="s">
        <v>234</v>
      </c>
      <c r="G359" s="154" t="s">
        <v>1268</v>
      </c>
      <c r="H359" s="262">
        <v>45902</v>
      </c>
      <c r="I359" s="262">
        <v>45912</v>
      </c>
      <c r="J359" s="74" t="str" cm="1">
        <f t="array" ref="J359">IF(ISBLANK(I359), IF(ISBLANK(H359), "N/A", _xlfn.IFS(K359="AS", H359+15, K359="NCR", H359+30, K359="submitted", H359+30, TRUE, "N/A")), _xlfn.IFS(K359="AS", I359+15, K359="NCR", I359+30, K359="submitted", I359+30, TRUE, "N/A"))</f>
        <v>N/A</v>
      </c>
      <c r="K359" s="262" t="s">
        <v>150</v>
      </c>
    </row>
    <row r="360" spans="1:11" s="139" customFormat="1" ht="27" customHeight="1">
      <c r="A360" s="152" t="s">
        <v>1264</v>
      </c>
      <c r="B360" s="240" t="s">
        <v>1265</v>
      </c>
      <c r="C360" s="169" t="s">
        <v>1266</v>
      </c>
      <c r="D360" s="626" t="s">
        <v>1267</v>
      </c>
      <c r="E360" s="138" t="s">
        <v>798</v>
      </c>
      <c r="F360" s="152" t="s">
        <v>236</v>
      </c>
      <c r="G360" s="154" t="s">
        <v>1220</v>
      </c>
      <c r="H360" s="262">
        <v>45902</v>
      </c>
      <c r="I360" s="262">
        <v>45912</v>
      </c>
      <c r="J360" s="74" t="str" cm="1">
        <f t="array" ref="J360">IF(ISBLANK(I360), IF(ISBLANK(H360), "N/A", _xlfn.IFS(K360="AS", H360+15, K360="NCR", H360+30, K360="submitted", H360+30, TRUE, "N/A")), _xlfn.IFS(K360="AS", I360+15, K360="NCR", I360+30, K360="submitted", I360+30, TRUE, "N/A"))</f>
        <v>N/A</v>
      </c>
      <c r="K360" s="262" t="s">
        <v>150</v>
      </c>
    </row>
    <row r="361" spans="1:11" s="139" customFormat="1" ht="53.25">
      <c r="A361" s="152" t="s">
        <v>1264</v>
      </c>
      <c r="B361" s="240" t="s">
        <v>1265</v>
      </c>
      <c r="C361" s="169" t="s">
        <v>1266</v>
      </c>
      <c r="D361" s="626" t="s">
        <v>1267</v>
      </c>
      <c r="E361" s="138" t="s">
        <v>798</v>
      </c>
      <c r="F361" s="152" t="s">
        <v>1221</v>
      </c>
      <c r="G361" s="154" t="s">
        <v>1222</v>
      </c>
      <c r="H361" s="262">
        <v>45902</v>
      </c>
      <c r="I361" s="262">
        <v>45912</v>
      </c>
      <c r="J361" s="74" t="str" cm="1">
        <f t="array" ref="J361">IF(ISBLANK(I361), IF(ISBLANK(H361), "N/A", _xlfn.IFS(K361="AS", H361+15, K361="NCR", H361+30, K361="submitted", H361+30, TRUE, "N/A")), _xlfn.IFS(K361="AS", I361+15, K361="NCR", I361+30, K361="submitted", I361+30, TRUE, "N/A"))</f>
        <v>N/A</v>
      </c>
      <c r="K361" s="262" t="s">
        <v>150</v>
      </c>
    </row>
    <row r="362" spans="1:11" s="139" customFormat="1" ht="27" customHeight="1">
      <c r="A362" s="152" t="s">
        <v>1264</v>
      </c>
      <c r="B362" s="240" t="s">
        <v>1265</v>
      </c>
      <c r="C362" s="169" t="s">
        <v>1266</v>
      </c>
      <c r="D362" s="626" t="s">
        <v>1267</v>
      </c>
      <c r="E362" s="138" t="s">
        <v>798</v>
      </c>
      <c r="F362" s="152" t="s">
        <v>1223</v>
      </c>
      <c r="G362" s="154" t="s">
        <v>1224</v>
      </c>
      <c r="H362" s="262">
        <v>45902</v>
      </c>
      <c r="I362" s="262">
        <v>45912</v>
      </c>
      <c r="J362" s="74" t="str" cm="1">
        <f t="array" ref="J362">IF(ISBLANK(I362), IF(ISBLANK(H362), "N/A", _xlfn.IFS(K362="AS", H362+15, K362="NCR", H362+30, K362="submitted", H362+30, TRUE, "N/A")), _xlfn.IFS(K362="AS", I362+15, K362="NCR", I362+30, K362="submitted", I362+30, TRUE, "N/A"))</f>
        <v>N/A</v>
      </c>
      <c r="K362" s="262" t="s">
        <v>150</v>
      </c>
    </row>
    <row r="363" spans="1:11" s="139" customFormat="1" ht="15" customHeight="1">
      <c r="A363" s="152" t="s">
        <v>1264</v>
      </c>
      <c r="B363" s="240" t="s">
        <v>1265</v>
      </c>
      <c r="C363" s="169" t="s">
        <v>1266</v>
      </c>
      <c r="D363" s="626" t="s">
        <v>1267</v>
      </c>
      <c r="E363" s="138" t="s">
        <v>798</v>
      </c>
      <c r="F363" s="152" t="s">
        <v>1225</v>
      </c>
      <c r="G363" s="153" t="s">
        <v>1226</v>
      </c>
      <c r="H363" s="262">
        <v>45902</v>
      </c>
      <c r="I363" s="262">
        <v>45912</v>
      </c>
      <c r="J363" s="74" t="str" cm="1">
        <f t="array" ref="J363">IF(ISBLANK(I363), IF(ISBLANK(H363), "N/A", _xlfn.IFS(K363="AS", H363+15, K363="NCR", H363+30, K363="submitted", H363+30, TRUE, "N/A")), _xlfn.IFS(K363="AS", I363+15, K363="NCR", I363+30, K363="submitted", I363+30, TRUE, "N/A"))</f>
        <v>N/A</v>
      </c>
      <c r="K363" s="262" t="s">
        <v>150</v>
      </c>
    </row>
    <row r="364" spans="1:11" s="139" customFormat="1" ht="27" customHeight="1">
      <c r="A364" s="152" t="s">
        <v>1264</v>
      </c>
      <c r="B364" s="240" t="s">
        <v>1265</v>
      </c>
      <c r="C364" s="169" t="s">
        <v>1266</v>
      </c>
      <c r="D364" s="626" t="s">
        <v>1267</v>
      </c>
      <c r="E364" s="138" t="s">
        <v>798</v>
      </c>
      <c r="F364" s="152" t="s">
        <v>1227</v>
      </c>
      <c r="G364" s="154" t="s">
        <v>1228</v>
      </c>
      <c r="H364" s="262">
        <v>45902</v>
      </c>
      <c r="I364" s="262">
        <v>45912</v>
      </c>
      <c r="J364" s="74" t="str" cm="1">
        <f t="array" ref="J364">IF(ISBLANK(I364), IF(ISBLANK(H364), "N/A", _xlfn.IFS(K364="AS", H364+15, K364="NCR", H364+30, K364="submitted", H364+30, TRUE, "N/A")), _xlfn.IFS(K364="AS", I364+15, K364="NCR", I364+30, K364="submitted", I364+30, TRUE, "N/A"))</f>
        <v>N/A</v>
      </c>
      <c r="K364" s="262" t="s">
        <v>150</v>
      </c>
    </row>
    <row r="365" spans="1:11" s="139" customFormat="1" ht="40.5" customHeight="1">
      <c r="A365" s="152" t="s">
        <v>1264</v>
      </c>
      <c r="B365" s="240" t="s">
        <v>1265</v>
      </c>
      <c r="C365" s="169" t="s">
        <v>1266</v>
      </c>
      <c r="D365" s="626" t="s">
        <v>1267</v>
      </c>
      <c r="E365" s="138" t="s">
        <v>798</v>
      </c>
      <c r="F365" s="152" t="s">
        <v>1229</v>
      </c>
      <c r="G365" s="154" t="s">
        <v>1230</v>
      </c>
      <c r="H365" s="262">
        <v>45902</v>
      </c>
      <c r="I365" s="262">
        <v>45912</v>
      </c>
      <c r="J365" s="74" t="str" cm="1">
        <f t="array" ref="J365">IF(ISBLANK(I365), IF(ISBLANK(H365), "N/A", _xlfn.IFS(K365="AS", H365+15, K365="NCR", H365+30, K365="submitted", H365+30, TRUE, "N/A")), _xlfn.IFS(K365="AS", I365+15, K365="NCR", I365+30, K365="submitted", I365+30, TRUE, "N/A"))</f>
        <v>N/A</v>
      </c>
      <c r="K365" s="262" t="s">
        <v>150</v>
      </c>
    </row>
    <row r="366" spans="1:11" s="139" customFormat="1" ht="15" customHeight="1">
      <c r="A366" s="152" t="s">
        <v>1264</v>
      </c>
      <c r="B366" s="240" t="s">
        <v>1265</v>
      </c>
      <c r="C366" s="169" t="s">
        <v>1266</v>
      </c>
      <c r="D366" s="626" t="s">
        <v>1267</v>
      </c>
      <c r="E366" s="138" t="s">
        <v>798</v>
      </c>
      <c r="F366" s="152" t="s">
        <v>1231</v>
      </c>
      <c r="G366" s="153" t="s">
        <v>1269</v>
      </c>
      <c r="H366" s="262">
        <v>45902</v>
      </c>
      <c r="I366" s="262">
        <v>45912</v>
      </c>
      <c r="J366" s="74" t="str" cm="1">
        <f t="array" ref="J366">IF(ISBLANK(I366), IF(ISBLANK(H366), "N/A", _xlfn.IFS(K366="AS", H366+15, K366="NCR", H366+30, K366="submitted", H366+30, TRUE, "N/A")), _xlfn.IFS(K366="AS", I366+15, K366="NCR", I366+30, K366="submitted", I366+30, TRUE, "N/A"))</f>
        <v>N/A</v>
      </c>
      <c r="K366" s="262" t="s">
        <v>150</v>
      </c>
    </row>
    <row r="367" spans="1:11" s="139" customFormat="1" ht="27" customHeight="1">
      <c r="A367" s="152" t="s">
        <v>1264</v>
      </c>
      <c r="B367" s="240" t="s">
        <v>1265</v>
      </c>
      <c r="C367" s="169" t="s">
        <v>1266</v>
      </c>
      <c r="D367" s="626" t="s">
        <v>1267</v>
      </c>
      <c r="E367" s="138" t="s">
        <v>798</v>
      </c>
      <c r="F367" s="152" t="s">
        <v>1233</v>
      </c>
      <c r="G367" s="154" t="s">
        <v>1234</v>
      </c>
      <c r="H367" s="262">
        <v>45902</v>
      </c>
      <c r="I367" s="262">
        <v>45912</v>
      </c>
      <c r="J367" s="74" t="str" cm="1">
        <f t="array" ref="J367">IF(ISBLANK(I367), IF(ISBLANK(H367), "N/A", _xlfn.IFS(K367="AS", H367+15, K367="NCR", H367+30, K367="submitted", H367+30, TRUE, "N/A")), _xlfn.IFS(K367="AS", I367+15, K367="NCR", I367+30, K367="submitted", I367+30, TRUE, "N/A"))</f>
        <v>N/A</v>
      </c>
      <c r="K367" s="262" t="s">
        <v>150</v>
      </c>
    </row>
    <row r="368" spans="1:11" s="139" customFormat="1" ht="15" customHeight="1">
      <c r="A368" s="152" t="s">
        <v>1264</v>
      </c>
      <c r="B368" s="240" t="s">
        <v>1265</v>
      </c>
      <c r="C368" s="169" t="s">
        <v>1266</v>
      </c>
      <c r="D368" s="626" t="s">
        <v>1267</v>
      </c>
      <c r="E368" s="138" t="s">
        <v>798</v>
      </c>
      <c r="F368" s="152" t="s">
        <v>1235</v>
      </c>
      <c r="G368" s="153" t="s">
        <v>1270</v>
      </c>
      <c r="H368" s="262">
        <v>45902</v>
      </c>
      <c r="I368" s="262">
        <v>45912</v>
      </c>
      <c r="J368" s="74" t="str" cm="1">
        <f t="array" ref="J368">IF(ISBLANK(I368), IF(ISBLANK(H368), "N/A", _xlfn.IFS(K368="AS", H368+15, K368="NCR", H368+30, K368="submitted", H368+30, TRUE, "N/A")), _xlfn.IFS(K368="AS", I368+15, K368="NCR", I368+30, K368="submitted", I368+30, TRUE, "N/A"))</f>
        <v>N/A</v>
      </c>
      <c r="K368" s="262" t="s">
        <v>150</v>
      </c>
    </row>
    <row r="369" spans="1:16" s="139" customFormat="1" ht="27" customHeight="1">
      <c r="A369" s="152" t="s">
        <v>1264</v>
      </c>
      <c r="B369" s="240" t="s">
        <v>1265</v>
      </c>
      <c r="C369" s="169" t="s">
        <v>1266</v>
      </c>
      <c r="D369" s="626" t="s">
        <v>1267</v>
      </c>
      <c r="E369" s="138" t="s">
        <v>798</v>
      </c>
      <c r="F369" s="152" t="s">
        <v>1237</v>
      </c>
      <c r="G369" s="154" t="s">
        <v>1271</v>
      </c>
      <c r="H369" s="262">
        <v>45902</v>
      </c>
      <c r="I369" s="262">
        <v>45912</v>
      </c>
      <c r="J369" s="74" t="str" cm="1">
        <f t="array" ref="J369">IF(ISBLANK(I369), IF(ISBLANK(H369), "N/A", _xlfn.IFS(K369="AS", H369+15, K369="NCR", H369+30, K369="submitted", H369+30, TRUE, "N/A")), _xlfn.IFS(K369="AS", I369+15, K369="NCR", I369+30, K369="submitted", I369+30, TRUE, "N/A"))</f>
        <v>N/A</v>
      </c>
      <c r="K369" s="262" t="s">
        <v>150</v>
      </c>
      <c r="M369" s="381"/>
      <c r="N369" s="382"/>
      <c r="O369" s="382"/>
      <c r="P369" s="383"/>
    </row>
    <row r="370" spans="1:16" s="139" customFormat="1" ht="15" customHeight="1">
      <c r="A370" s="152" t="s">
        <v>1264</v>
      </c>
      <c r="B370" s="240" t="s">
        <v>1265</v>
      </c>
      <c r="C370" s="169" t="s">
        <v>1266</v>
      </c>
      <c r="D370" s="626" t="s">
        <v>1267</v>
      </c>
      <c r="E370" s="138" t="s">
        <v>798</v>
      </c>
      <c r="F370" s="152" t="s">
        <v>1239</v>
      </c>
      <c r="G370" s="153" t="s">
        <v>1272</v>
      </c>
      <c r="H370" s="262">
        <v>45902</v>
      </c>
      <c r="I370" s="262">
        <v>45912</v>
      </c>
      <c r="J370" s="74" t="str" cm="1">
        <f t="array" ref="J370">IF(ISBLANK(I370), IF(ISBLANK(H370), "N/A", _xlfn.IFS(K370="AS", H370+15, K370="NCR", H370+30, K370="submitted", H370+30, TRUE, "N/A")), _xlfn.IFS(K370="AS", I370+15, K370="NCR", I370+30, K370="submitted", I370+30, TRUE, "N/A"))</f>
        <v>N/A</v>
      </c>
      <c r="K370" s="262" t="s">
        <v>150</v>
      </c>
      <c r="M370" s="381"/>
      <c r="N370" s="382"/>
      <c r="O370" s="382"/>
      <c r="P370" s="383"/>
    </row>
    <row r="371" spans="1:16" s="139" customFormat="1" ht="27" customHeight="1">
      <c r="A371" s="152" t="s">
        <v>1264</v>
      </c>
      <c r="B371" s="240" t="s">
        <v>1265</v>
      </c>
      <c r="C371" s="169" t="s">
        <v>1266</v>
      </c>
      <c r="D371" s="626" t="s">
        <v>1267</v>
      </c>
      <c r="E371" s="138" t="s">
        <v>798</v>
      </c>
      <c r="F371" s="152" t="s">
        <v>1241</v>
      </c>
      <c r="G371" s="154" t="s">
        <v>1273</v>
      </c>
      <c r="H371" s="262">
        <v>45902</v>
      </c>
      <c r="I371" s="262">
        <v>45912</v>
      </c>
      <c r="J371" s="74" t="str" cm="1">
        <f t="array" ref="J371">IF(ISBLANK(I371), IF(ISBLANK(H371), "N/A", _xlfn.IFS(K371="AS", H371+15, K371="NCR", H371+30, K371="submitted", H371+30, TRUE, "N/A")), _xlfn.IFS(K371="AS", I371+15, K371="NCR", I371+30, K371="submitted", I371+30, TRUE, "N/A"))</f>
        <v>N/A</v>
      </c>
      <c r="K371" s="262" t="s">
        <v>150</v>
      </c>
      <c r="M371" s="381"/>
      <c r="N371" s="382"/>
      <c r="O371" s="382"/>
      <c r="P371" s="383"/>
    </row>
    <row r="372" spans="1:16" s="139" customFormat="1" ht="15" customHeight="1">
      <c r="A372" s="152" t="s">
        <v>1264</v>
      </c>
      <c r="B372" s="240" t="s">
        <v>1265</v>
      </c>
      <c r="C372" s="169" t="s">
        <v>1266</v>
      </c>
      <c r="D372" s="626" t="s">
        <v>1267</v>
      </c>
      <c r="E372" s="138" t="s">
        <v>798</v>
      </c>
      <c r="F372" s="152" t="s">
        <v>1243</v>
      </c>
      <c r="G372" s="153" t="s">
        <v>1274</v>
      </c>
      <c r="H372" s="262">
        <v>45902</v>
      </c>
      <c r="I372" s="262">
        <v>45912</v>
      </c>
      <c r="J372" s="74" t="str" cm="1">
        <f t="array" ref="J372">IF(ISBLANK(I372), IF(ISBLANK(H372), "N/A", _xlfn.IFS(K372="AS", H372+15, K372="NCR", H372+30, K372="submitted", H372+30, TRUE, "N/A")), _xlfn.IFS(K372="AS", I372+15, K372="NCR", I372+30, K372="submitted", I372+30, TRUE, "N/A"))</f>
        <v>N/A</v>
      </c>
      <c r="K372" s="262" t="s">
        <v>150</v>
      </c>
      <c r="M372" s="381"/>
      <c r="N372" s="382"/>
      <c r="O372" s="382"/>
      <c r="P372" s="383"/>
    </row>
    <row r="373" spans="1:16" s="139" customFormat="1" ht="40.5" customHeight="1">
      <c r="A373" s="152" t="s">
        <v>1264</v>
      </c>
      <c r="B373" s="240" t="s">
        <v>1265</v>
      </c>
      <c r="C373" s="169" t="s">
        <v>1266</v>
      </c>
      <c r="D373" s="626" t="s">
        <v>1267</v>
      </c>
      <c r="E373" s="138" t="s">
        <v>798</v>
      </c>
      <c r="F373" s="152" t="s">
        <v>1245</v>
      </c>
      <c r="G373" s="154" t="s">
        <v>1275</v>
      </c>
      <c r="H373" s="262">
        <v>45902</v>
      </c>
      <c r="I373" s="262">
        <v>45912</v>
      </c>
      <c r="J373" s="74" t="str" cm="1">
        <f t="array" ref="J373">IF(ISBLANK(I373), IF(ISBLANK(H373), "N/A", _xlfn.IFS(K373="AS", H373+15, K373="NCR", H373+30, K373="submitted", H373+30, TRUE, "N/A")), _xlfn.IFS(K373="AS", I373+15, K373="NCR", I373+30, K373="submitted", I373+30, TRUE, "N/A"))</f>
        <v>N/A</v>
      </c>
      <c r="K373" s="262" t="s">
        <v>150</v>
      </c>
      <c r="M373" s="381"/>
      <c r="N373" s="382"/>
      <c r="O373" s="382"/>
      <c r="P373" s="383"/>
    </row>
    <row r="374" spans="1:16" s="139" customFormat="1" ht="40.5" customHeight="1">
      <c r="A374" s="152" t="s">
        <v>1264</v>
      </c>
      <c r="B374" s="240" t="s">
        <v>1265</v>
      </c>
      <c r="C374" s="169" t="s">
        <v>1266</v>
      </c>
      <c r="D374" s="626" t="s">
        <v>1267</v>
      </c>
      <c r="E374" s="138" t="s">
        <v>798</v>
      </c>
      <c r="F374" s="152" t="s">
        <v>1247</v>
      </c>
      <c r="G374" s="154" t="s">
        <v>1276</v>
      </c>
      <c r="H374" s="262">
        <v>45902</v>
      </c>
      <c r="I374" s="262">
        <v>45912</v>
      </c>
      <c r="J374" s="74" t="str" cm="1">
        <f t="array" ref="J374">IF(ISBLANK(I374), IF(ISBLANK(H374), "N/A", _xlfn.IFS(K374="AS", H374+15, K374="NCR", H374+30, K374="submitted", H374+30, TRUE, "N/A")), _xlfn.IFS(K374="AS", I374+15, K374="NCR", I374+30, K374="submitted", I374+30, TRUE, "N/A"))</f>
        <v>N/A</v>
      </c>
      <c r="K374" s="262" t="s">
        <v>150</v>
      </c>
      <c r="M374" s="381"/>
      <c r="N374" s="382"/>
      <c r="O374" s="382"/>
      <c r="P374" s="383"/>
    </row>
    <row r="375" spans="1:16" s="139" customFormat="1" ht="27">
      <c r="A375" s="152" t="s">
        <v>1264</v>
      </c>
      <c r="B375" s="240" t="s">
        <v>1265</v>
      </c>
      <c r="C375" s="169" t="s">
        <v>1266</v>
      </c>
      <c r="D375" s="626" t="s">
        <v>1267</v>
      </c>
      <c r="E375" s="138" t="s">
        <v>798</v>
      </c>
      <c r="F375" s="152" t="s">
        <v>1249</v>
      </c>
      <c r="G375" s="154" t="s">
        <v>1277</v>
      </c>
      <c r="H375" s="262">
        <v>45902</v>
      </c>
      <c r="I375" s="262">
        <v>45912</v>
      </c>
      <c r="J375" s="74" t="str" cm="1">
        <f t="array" ref="J375">IF(ISBLANK(I375), IF(ISBLANK(H375), "N/A", _xlfn.IFS(K375="AS", H375+15, K375="NCR", H375+30, K375="submitted", H375+30, TRUE, "N/A")), _xlfn.IFS(K375="AS", I375+15, K375="NCR", I375+30, K375="submitted", I375+30, TRUE, "N/A"))</f>
        <v>N/A</v>
      </c>
      <c r="K375" s="262" t="s">
        <v>150</v>
      </c>
      <c r="M375" s="816" t="s">
        <v>132</v>
      </c>
      <c r="N375" s="817"/>
      <c r="O375" s="817"/>
      <c r="P375" s="818"/>
    </row>
    <row r="376" spans="1:16" s="139" customFormat="1">
      <c r="A376" s="152" t="s">
        <v>1264</v>
      </c>
      <c r="B376" s="614"/>
      <c r="C376" s="169" t="s">
        <v>1266</v>
      </c>
      <c r="D376" s="626" t="s">
        <v>1267</v>
      </c>
      <c r="E376" s="138" t="s">
        <v>798</v>
      </c>
      <c r="F376" s="152" t="s">
        <v>1251</v>
      </c>
      <c r="G376" s="153" t="s">
        <v>1252</v>
      </c>
      <c r="H376" s="262">
        <v>45902</v>
      </c>
      <c r="I376" s="262">
        <v>45912</v>
      </c>
      <c r="J376" s="74" t="str" cm="1">
        <f t="array" ref="J376">IF(ISBLANK(I376), IF(ISBLANK(H376), "N/A", _xlfn.IFS(K376="AS", H376+15, K376="NCR", H376+30, K376="submitted", H376+30, TRUE, "N/A")), _xlfn.IFS(K376="AS", I376+15, K376="NCR", I376+30, K376="submitted", I376+30, TRUE, "N/A"))</f>
        <v>N/A</v>
      </c>
      <c r="K376" s="262" t="s">
        <v>150</v>
      </c>
      <c r="M376" s="819"/>
      <c r="N376" s="820"/>
      <c r="O376" s="820"/>
      <c r="P376" s="821"/>
    </row>
    <row r="377" spans="1:16" ht="27">
      <c r="A377" s="4"/>
      <c r="B377" s="111"/>
      <c r="C377" s="35"/>
      <c r="D377" s="103"/>
      <c r="E377" s="5"/>
      <c r="F377" s="4" t="s">
        <v>330</v>
      </c>
      <c r="G377" s="3" t="s">
        <v>1253</v>
      </c>
      <c r="H377" s="4"/>
      <c r="I377" s="4"/>
      <c r="J377" s="74" t="str" cm="1">
        <f t="array" ref="J377">IF(ISBLANK(I377), IF(ISBLANK(H377), "N/A", _xlfn.IFS(K377="AS", H377+15, K377="NCR", H377+30, K377="submitted", H377+30, TRUE, "N/A")), _xlfn.IFS(K377="AS", I377+15, K377="NCR", I377+30, K377="submitted", I377+30, TRUE, "N/A"))</f>
        <v>N/A</v>
      </c>
      <c r="K377" s="18"/>
      <c r="L377" s="318"/>
      <c r="M377" s="819"/>
      <c r="N377" s="820"/>
      <c r="O377" s="820"/>
      <c r="P377" s="821"/>
    </row>
    <row r="378" spans="1:16">
      <c r="A378" s="4"/>
      <c r="B378" s="111"/>
      <c r="C378" s="35"/>
      <c r="D378" s="103"/>
      <c r="E378" s="5"/>
      <c r="F378" s="4" t="s">
        <v>1254</v>
      </c>
      <c r="G378" s="3" t="s">
        <v>1255</v>
      </c>
      <c r="H378" s="4"/>
      <c r="I378" s="4"/>
      <c r="J378" s="74" t="str" cm="1">
        <f t="array" ref="J378">IF(ISBLANK(I378), IF(ISBLANK(H378), "N/A", _xlfn.IFS(K378="AS", H378+15, K378="NCR", H378+30, K378="submitted", H378+30, TRUE, "N/A")), _xlfn.IFS(K378="AS", I378+15, K378="NCR", I378+30, K378="submitted", I378+30, TRUE, "N/A"))</f>
        <v>N/A</v>
      </c>
      <c r="K378" s="18"/>
      <c r="L378" s="318"/>
      <c r="M378" s="819"/>
      <c r="N378" s="820"/>
      <c r="O378" s="820"/>
      <c r="P378" s="821"/>
    </row>
    <row r="379" spans="1:16">
      <c r="A379" s="4"/>
      <c r="B379" s="111"/>
      <c r="C379" s="35"/>
      <c r="D379" s="103"/>
      <c r="E379" s="5"/>
      <c r="F379" s="4" t="s">
        <v>1256</v>
      </c>
      <c r="G379" s="17" t="s">
        <v>1278</v>
      </c>
      <c r="H379" s="4"/>
      <c r="I379" s="4"/>
      <c r="J379" s="74" t="str" cm="1">
        <f t="array" ref="J379">IF(ISBLANK(I379), IF(ISBLANK(H379), "N/A", _xlfn.IFS(K379="AS", H379+15, K379="NCR", H379+30, K379="submitted", H379+30, TRUE, "N/A")), _xlfn.IFS(K379="AS", I379+15, K379="NCR", I379+30, K379="submitted", I379+30, TRUE, "N/A"))</f>
        <v>N/A</v>
      </c>
      <c r="K379" s="18"/>
      <c r="L379" s="318"/>
      <c r="M379" s="819"/>
      <c r="N379" s="820"/>
      <c r="O379" s="820"/>
      <c r="P379" s="821"/>
    </row>
    <row r="380" spans="1:16">
      <c r="A380" s="4"/>
      <c r="B380" s="111"/>
      <c r="C380" s="35"/>
      <c r="D380" s="103"/>
      <c r="E380" s="5"/>
      <c r="F380" s="4" t="s">
        <v>1258</v>
      </c>
      <c r="G380" s="17" t="s">
        <v>1259</v>
      </c>
      <c r="H380" s="4"/>
      <c r="I380" s="4"/>
      <c r="J380" s="74" t="str" cm="1">
        <f t="array" ref="J380">IF(ISBLANK(I380), IF(ISBLANK(H380), "N/A", _xlfn.IFS(K380="AS", H380+15, K380="NCR", H380+30, K380="submitted", H380+30, TRUE, "N/A")), _xlfn.IFS(K380="AS", I380+15, K380="NCR", I380+30, K380="submitted", I380+30, TRUE, "N/A"))</f>
        <v>N/A</v>
      </c>
      <c r="K380" s="18"/>
      <c r="L380" s="318"/>
      <c r="M380" s="819"/>
      <c r="N380" s="820"/>
      <c r="O380" s="820"/>
      <c r="P380" s="821"/>
    </row>
    <row r="381" spans="1:16" ht="27">
      <c r="A381" s="4"/>
      <c r="B381" s="111"/>
      <c r="C381" s="35"/>
      <c r="D381" s="103"/>
      <c r="E381" s="5"/>
      <c r="F381" s="4" t="s">
        <v>397</v>
      </c>
      <c r="G381" s="3" t="s">
        <v>1260</v>
      </c>
      <c r="H381" s="4"/>
      <c r="I381" s="4"/>
      <c r="J381" s="74" t="str" cm="1">
        <f t="array" ref="J381">IF(ISBLANK(I381), IF(ISBLANK(H381), "N/A", _xlfn.IFS(K381="AS", H381+15, K381="NCR", H381+30, K381="submitted", H381+30, TRUE, "N/A")), _xlfn.IFS(K381="AS", I381+15, K381="NCR", I381+30, K381="submitted", I381+30, TRUE, "N/A"))</f>
        <v>N/A</v>
      </c>
      <c r="K381" s="18"/>
      <c r="L381" s="318"/>
      <c r="M381" s="819"/>
      <c r="N381" s="820"/>
      <c r="O381" s="820"/>
      <c r="P381" s="821"/>
    </row>
    <row r="382" spans="1:16" ht="27">
      <c r="A382" s="4"/>
      <c r="B382" s="111"/>
      <c r="C382" s="35"/>
      <c r="D382" s="103"/>
      <c r="E382" s="5"/>
      <c r="F382" s="4" t="s">
        <v>398</v>
      </c>
      <c r="G382" s="3" t="s">
        <v>1279</v>
      </c>
      <c r="H382" s="4"/>
      <c r="I382" s="4"/>
      <c r="J382" s="74" t="str" cm="1">
        <f t="array" ref="J382">IF(ISBLANK(I382), IF(ISBLANK(H382), "N/A", _xlfn.IFS(K382="AS", H382+15, K382="NCR", H382+30, K382="submitted", H382+30, TRUE, "N/A")), _xlfn.IFS(K382="AS", I382+15, K382="NCR", I382+30, K382="submitted", I382+30, TRUE, "N/A"))</f>
        <v>N/A</v>
      </c>
      <c r="K382" s="18"/>
      <c r="L382" s="318"/>
      <c r="M382" s="819"/>
      <c r="N382" s="820"/>
      <c r="O382" s="820"/>
      <c r="P382" s="821"/>
    </row>
    <row r="383" spans="1:16">
      <c r="A383" s="4"/>
      <c r="B383" s="111"/>
      <c r="C383" s="35"/>
      <c r="D383" s="103"/>
      <c r="E383" s="5"/>
      <c r="F383" s="4" t="s">
        <v>400</v>
      </c>
      <c r="G383" s="17" t="s">
        <v>1262</v>
      </c>
      <c r="H383" s="4"/>
      <c r="I383" s="4"/>
      <c r="J383" s="74" t="str" cm="1">
        <f t="array" ref="J383">IF(ISBLANK(I383), IF(ISBLANK(H383), "N/A", _xlfn.IFS(K383="AS", H383+15, K383="NCR", H383+30, K383="submitted", H383+30, TRUE, "N/A")), _xlfn.IFS(K383="AS", I383+15, K383="NCR", I383+30, K383="submitted", I383+30, TRUE, "N/A"))</f>
        <v>N/A</v>
      </c>
      <c r="K383" s="18"/>
      <c r="L383" s="318"/>
      <c r="M383" s="822" t="s">
        <v>147</v>
      </c>
      <c r="N383" s="823"/>
      <c r="O383" s="823"/>
      <c r="P383" s="824"/>
    </row>
    <row r="384" spans="1:16">
      <c r="A384" s="4"/>
      <c r="B384" s="95"/>
      <c r="C384" s="36"/>
      <c r="D384" s="103"/>
      <c r="E384" s="5"/>
      <c r="F384" s="4" t="s">
        <v>433</v>
      </c>
      <c r="G384" s="17" t="s">
        <v>1263</v>
      </c>
      <c r="H384" s="4"/>
      <c r="I384" s="4"/>
      <c r="J384" s="74" t="str" cm="1">
        <f t="array" ref="J384">IF(ISBLANK(I384), IF(ISBLANK(H384), "N/A", _xlfn.IFS(K384="AS", H384+15, K384="NCR", H384+30, K384="submitted", H384+30, TRUE, "N/A")), _xlfn.IFS(K384="AS", I384+15, K384="NCR", I384+30, K384="submitted", I384+30, TRUE, "N/A"))</f>
        <v>N/A</v>
      </c>
      <c r="K384" s="18"/>
      <c r="L384" s="318"/>
      <c r="M384" s="822"/>
      <c r="N384" s="823"/>
      <c r="O384" s="823"/>
      <c r="P384" s="824"/>
    </row>
    <row r="385" spans="1:16" s="149" customFormat="1" ht="27">
      <c r="A385" s="147" t="s">
        <v>1280</v>
      </c>
      <c r="B385" s="427" t="s">
        <v>1281</v>
      </c>
      <c r="C385" s="232" t="s">
        <v>1282</v>
      </c>
      <c r="D385" s="579"/>
      <c r="E385" s="150"/>
      <c r="F385" s="147" t="s">
        <v>234</v>
      </c>
      <c r="G385" s="194" t="s">
        <v>1283</v>
      </c>
      <c r="H385" s="234">
        <v>45902</v>
      </c>
      <c r="I385" s="234">
        <v>45910</v>
      </c>
      <c r="J385" s="74" t="str" cm="1">
        <f t="array" ref="J385">IF(ISBLANK(I385), IF(ISBLANK(H385), "N/A", _xlfn.IFS(K385="AS", H385+15, K385="NCR", H385+30, K385="submitted", H385+30, TRUE, "N/A")), _xlfn.IFS(K385="AS", I385+15, K385="NCR", I385+30, K385="submitted", I385+30, TRUE, "N/A"))</f>
        <v>N/A</v>
      </c>
      <c r="K385" s="232" t="s">
        <v>146</v>
      </c>
      <c r="M385" s="822"/>
      <c r="N385" s="823"/>
      <c r="O385" s="823"/>
      <c r="P385" s="824"/>
    </row>
    <row r="386" spans="1:16" s="149" customFormat="1">
      <c r="A386" s="147" t="s">
        <v>1280</v>
      </c>
      <c r="B386" s="427" t="s">
        <v>1281</v>
      </c>
      <c r="C386" s="232" t="s">
        <v>1282</v>
      </c>
      <c r="D386" s="579"/>
      <c r="E386" s="150"/>
      <c r="F386" s="147" t="s">
        <v>236</v>
      </c>
      <c r="G386" s="194" t="s">
        <v>1284</v>
      </c>
      <c r="H386" s="234">
        <v>45902</v>
      </c>
      <c r="I386" s="234">
        <v>45910</v>
      </c>
      <c r="J386" s="74" t="str" cm="1">
        <f t="array" ref="J386">IF(ISBLANK(I386), IF(ISBLANK(H386), "N/A", _xlfn.IFS(K386="AS", H386+15, K386="NCR", H386+30, K386="submitted", H386+30, TRUE, "N/A")), _xlfn.IFS(K386="AS", I386+15, K386="NCR", I386+30, K386="submitted", I386+30, TRUE, "N/A"))</f>
        <v>N/A</v>
      </c>
      <c r="K386" s="232" t="s">
        <v>146</v>
      </c>
      <c r="M386" s="822"/>
      <c r="N386" s="823"/>
      <c r="O386" s="823"/>
      <c r="P386" s="824"/>
    </row>
    <row r="387" spans="1:16" s="149" customFormat="1" ht="67.5">
      <c r="A387" s="147" t="s">
        <v>1280</v>
      </c>
      <c r="B387" s="427" t="s">
        <v>1281</v>
      </c>
      <c r="C387" s="232" t="s">
        <v>1282</v>
      </c>
      <c r="D387" s="579"/>
      <c r="E387" s="150"/>
      <c r="F387" s="147" t="s">
        <v>1221</v>
      </c>
      <c r="G387" s="194" t="s">
        <v>1285</v>
      </c>
      <c r="H387" s="234">
        <v>45902</v>
      </c>
      <c r="I387" s="234">
        <v>45910</v>
      </c>
      <c r="J387" s="74" t="str" cm="1">
        <f t="array" ref="J387">IF(ISBLANK(I387), IF(ISBLANK(H387), "N/A", _xlfn.IFS(K387="AS", H387+15, K387="NCR", H387+30, K387="submitted", H387+30, TRUE, "N/A")), _xlfn.IFS(K387="AS", I387+15, K387="NCR", I387+30, K387="submitted", I387+30, TRUE, "N/A"))</f>
        <v>N/A</v>
      </c>
      <c r="K387" s="232" t="s">
        <v>146</v>
      </c>
      <c r="M387" s="822"/>
      <c r="N387" s="823"/>
      <c r="O387" s="823"/>
      <c r="P387" s="824"/>
    </row>
    <row r="388" spans="1:16" s="149" customFormat="1">
      <c r="A388" s="147" t="s">
        <v>1280</v>
      </c>
      <c r="B388" s="427" t="s">
        <v>1281</v>
      </c>
      <c r="C388" s="232" t="s">
        <v>1282</v>
      </c>
      <c r="D388" s="579"/>
      <c r="E388" s="150"/>
      <c r="F388" s="147" t="s">
        <v>1223</v>
      </c>
      <c r="G388" s="194" t="s">
        <v>1286</v>
      </c>
      <c r="H388" s="234">
        <v>45902</v>
      </c>
      <c r="I388" s="234">
        <v>45910</v>
      </c>
      <c r="J388" s="74" t="str" cm="1">
        <f t="array" ref="J388">IF(ISBLANK(I388), IF(ISBLANK(H388), "N/A", _xlfn.IFS(K388="AS", H388+15, K388="NCR", H388+30, K388="submitted", H388+30, TRUE, "N/A")), _xlfn.IFS(K388="AS", I388+15, K388="NCR", I388+30, K388="submitted", I388+30, TRUE, "N/A"))</f>
        <v>N/A</v>
      </c>
      <c r="K388" s="232" t="s">
        <v>146</v>
      </c>
      <c r="L388" s="612"/>
      <c r="M388" s="822"/>
      <c r="N388" s="823"/>
      <c r="O388" s="823"/>
      <c r="P388" s="824"/>
    </row>
    <row r="389" spans="1:16" s="149" customFormat="1">
      <c r="A389" s="147" t="s">
        <v>1280</v>
      </c>
      <c r="B389" s="427" t="s">
        <v>1281</v>
      </c>
      <c r="C389" s="232" t="s">
        <v>1282</v>
      </c>
      <c r="D389" s="579"/>
      <c r="E389" s="150"/>
      <c r="F389" s="147" t="s">
        <v>1225</v>
      </c>
      <c r="G389" s="194" t="s">
        <v>1287</v>
      </c>
      <c r="H389" s="234">
        <v>45902</v>
      </c>
      <c r="I389" s="234">
        <v>45910</v>
      </c>
      <c r="J389" s="74" t="str" cm="1">
        <f t="array" ref="J389">IF(ISBLANK(I389), IF(ISBLANK(H389), "N/A", _xlfn.IFS(K389="AS", H389+15, K389="NCR", H389+30, K389="submitted", H389+30, TRUE, "N/A")), _xlfn.IFS(K389="AS", I389+15, K389="NCR", I389+30, K389="submitted", I389+30, TRUE, "N/A"))</f>
        <v>N/A</v>
      </c>
      <c r="K389" s="232" t="s">
        <v>146</v>
      </c>
      <c r="M389" s="822"/>
      <c r="N389" s="823"/>
      <c r="O389" s="823"/>
      <c r="P389" s="824"/>
    </row>
    <row r="390" spans="1:16" s="149" customFormat="1">
      <c r="A390" s="147" t="s">
        <v>1280</v>
      </c>
      <c r="B390" s="427" t="s">
        <v>1281</v>
      </c>
      <c r="C390" s="232" t="s">
        <v>1282</v>
      </c>
      <c r="D390" s="579"/>
      <c r="E390" s="150"/>
      <c r="F390" s="602" t="s">
        <v>1227</v>
      </c>
      <c r="G390" s="194" t="s">
        <v>1288</v>
      </c>
      <c r="H390" s="234">
        <v>45902</v>
      </c>
      <c r="I390" s="234">
        <v>45910</v>
      </c>
      <c r="J390" s="74" t="str" cm="1">
        <f t="array" ref="J390">IF(ISBLANK(I390), IF(ISBLANK(H390), "N/A", _xlfn.IFS(K390="AS", H390+15, K390="NCR", H390+30, K390="submitted", H390+30, TRUE, "N/A")), _xlfn.IFS(K390="AS", I390+15, K390="NCR", I390+30, K390="submitted", I390+30, TRUE, "N/A"))</f>
        <v>N/A</v>
      </c>
      <c r="K390" s="232" t="s">
        <v>146</v>
      </c>
      <c r="M390" s="822"/>
      <c r="N390" s="823"/>
      <c r="O390" s="823"/>
      <c r="P390" s="824"/>
    </row>
    <row r="391" spans="1:16" s="149" customFormat="1" ht="27">
      <c r="A391" s="147" t="s">
        <v>1280</v>
      </c>
      <c r="B391" s="427" t="s">
        <v>1281</v>
      </c>
      <c r="C391" s="232" t="s">
        <v>1282</v>
      </c>
      <c r="D391" s="579"/>
      <c r="E391" s="150"/>
      <c r="F391" s="541" t="s">
        <v>1229</v>
      </c>
      <c r="G391" s="629" t="s">
        <v>1289</v>
      </c>
      <c r="H391" s="234">
        <v>45902</v>
      </c>
      <c r="I391" s="234">
        <v>45910</v>
      </c>
      <c r="J391" s="74" t="str" cm="1">
        <f t="array" ref="J391">IF(ISBLANK(I391), IF(ISBLANK(H391), "N/A", _xlfn.IFS(K391="AS", H391+15, K391="NCR", H391+30, K391="submitted", H391+30, TRUE, "N/A")), _xlfn.IFS(K391="AS", I391+15, K391="NCR", I391+30, K391="submitted", I391+30, TRUE, "N/A"))</f>
        <v>N/A</v>
      </c>
      <c r="K391" s="232" t="s">
        <v>146</v>
      </c>
      <c r="M391" s="822"/>
      <c r="N391" s="823"/>
      <c r="O391" s="823"/>
      <c r="P391" s="824"/>
    </row>
    <row r="392" spans="1:16" s="149" customFormat="1">
      <c r="A392" s="147" t="s">
        <v>1280</v>
      </c>
      <c r="B392" s="427" t="s">
        <v>1281</v>
      </c>
      <c r="C392" s="232" t="s">
        <v>1282</v>
      </c>
      <c r="D392" s="579"/>
      <c r="E392" s="150"/>
      <c r="F392" s="541" t="s">
        <v>1231</v>
      </c>
      <c r="G392" s="629" t="s">
        <v>1269</v>
      </c>
      <c r="H392" s="234">
        <v>45902</v>
      </c>
      <c r="I392" s="234">
        <v>45910</v>
      </c>
      <c r="J392" s="74" t="str" cm="1">
        <f t="array" ref="J392">IF(ISBLANK(I392), IF(ISBLANK(H392), "N/A", _xlfn.IFS(K392="AS", H392+15, K392="NCR", H392+30, K392="submitted", H392+30, TRUE, "N/A")), _xlfn.IFS(K392="AS", I392+15, K392="NCR", I392+30, K392="submitted", I392+30, TRUE, "N/A"))</f>
        <v>N/A</v>
      </c>
      <c r="K392" s="232" t="s">
        <v>146</v>
      </c>
      <c r="M392" s="822"/>
      <c r="N392" s="823"/>
      <c r="O392" s="823"/>
      <c r="P392" s="824"/>
    </row>
    <row r="393" spans="1:16" s="149" customFormat="1" ht="27">
      <c r="A393" s="147" t="s">
        <v>1280</v>
      </c>
      <c r="B393" s="427" t="s">
        <v>1281</v>
      </c>
      <c r="C393" s="232" t="s">
        <v>1282</v>
      </c>
      <c r="D393" s="579"/>
      <c r="E393" s="150"/>
      <c r="F393" s="541" t="s">
        <v>1233</v>
      </c>
      <c r="G393" s="629" t="s">
        <v>1290</v>
      </c>
      <c r="H393" s="234">
        <v>45902</v>
      </c>
      <c r="I393" s="234">
        <v>45910</v>
      </c>
      <c r="J393" s="74" t="str" cm="1">
        <f t="array" ref="J393">IF(ISBLANK(I393), IF(ISBLANK(H393), "N/A", _xlfn.IFS(K393="AS", H393+15, K393="NCR", H393+30, K393="submitted", H393+30, TRUE, "N/A")), _xlfn.IFS(K393="AS", I393+15, K393="NCR", I393+30, K393="submitted", I393+30, TRUE, "N/A"))</f>
        <v>N/A</v>
      </c>
      <c r="K393" s="232" t="s">
        <v>146</v>
      </c>
      <c r="M393" s="822"/>
      <c r="N393" s="823"/>
      <c r="O393" s="823"/>
      <c r="P393" s="824"/>
    </row>
    <row r="394" spans="1:16" s="149" customFormat="1">
      <c r="A394" s="147" t="s">
        <v>1280</v>
      </c>
      <c r="B394" s="427" t="s">
        <v>1281</v>
      </c>
      <c r="C394" s="232" t="s">
        <v>1282</v>
      </c>
      <c r="D394" s="579"/>
      <c r="E394" s="150"/>
      <c r="F394" s="541" t="s">
        <v>1235</v>
      </c>
      <c r="G394" s="629" t="s">
        <v>1270</v>
      </c>
      <c r="H394" s="234">
        <v>45902</v>
      </c>
      <c r="I394" s="234">
        <v>45910</v>
      </c>
      <c r="J394" s="74" t="str" cm="1">
        <f t="array" ref="J394">IF(ISBLANK(I394), IF(ISBLANK(H394), "N/A", _xlfn.IFS(K394="AS", H394+15, K394="NCR", H394+30, K394="submitted", H394+30, TRUE, "N/A")), _xlfn.IFS(K394="AS", I394+15, K394="NCR", I394+30, K394="submitted", I394+30, TRUE, "N/A"))</f>
        <v>N/A</v>
      </c>
      <c r="K394" s="232" t="s">
        <v>146</v>
      </c>
      <c r="M394" s="822"/>
      <c r="N394" s="823"/>
      <c r="O394" s="823"/>
      <c r="P394" s="824"/>
    </row>
    <row r="395" spans="1:16" s="149" customFormat="1" ht="27">
      <c r="A395" s="147" t="s">
        <v>1280</v>
      </c>
      <c r="B395" s="427" t="s">
        <v>1281</v>
      </c>
      <c r="C395" s="232" t="s">
        <v>1282</v>
      </c>
      <c r="D395" s="579"/>
      <c r="E395" s="150"/>
      <c r="F395" s="541" t="s">
        <v>1237</v>
      </c>
      <c r="G395" s="629" t="s">
        <v>1238</v>
      </c>
      <c r="H395" s="234">
        <v>45902</v>
      </c>
      <c r="I395" s="234">
        <v>45910</v>
      </c>
      <c r="J395" s="74" t="str" cm="1">
        <f t="array" ref="J395">IF(ISBLANK(I395), IF(ISBLANK(H395), "N/A", _xlfn.IFS(K395="AS", H395+15, K395="NCR", H395+30, K395="submitted", H395+30, TRUE, "N/A")), _xlfn.IFS(K395="AS", I395+15, K395="NCR", I395+30, K395="submitted", I395+30, TRUE, "N/A"))</f>
        <v>N/A</v>
      </c>
      <c r="K395" s="232" t="s">
        <v>146</v>
      </c>
      <c r="M395" s="822"/>
      <c r="N395" s="823"/>
      <c r="O395" s="823"/>
      <c r="P395" s="824"/>
    </row>
    <row r="396" spans="1:16" s="149" customFormat="1">
      <c r="A396" s="147" t="s">
        <v>1280</v>
      </c>
      <c r="B396" s="427" t="s">
        <v>1281</v>
      </c>
      <c r="C396" s="232" t="s">
        <v>1282</v>
      </c>
      <c r="D396" s="579"/>
      <c r="E396" s="150"/>
      <c r="F396" s="541" t="s">
        <v>1239</v>
      </c>
      <c r="G396" s="629" t="s">
        <v>1272</v>
      </c>
      <c r="H396" s="234">
        <v>45902</v>
      </c>
      <c r="I396" s="234">
        <v>45910</v>
      </c>
      <c r="J396" s="74" t="str" cm="1">
        <f t="array" ref="J396">IF(ISBLANK(I396), IF(ISBLANK(H396), "N/A", _xlfn.IFS(K396="AS", H396+15, K396="NCR", H396+30, K396="submitted", H396+30, TRUE, "N/A")), _xlfn.IFS(K396="AS", I396+15, K396="NCR", I396+30, K396="submitted", I396+30, TRUE, "N/A"))</f>
        <v>N/A</v>
      </c>
      <c r="K396" s="232" t="s">
        <v>146</v>
      </c>
      <c r="M396" s="822"/>
      <c r="N396" s="823"/>
      <c r="O396" s="823"/>
      <c r="P396" s="824"/>
    </row>
    <row r="397" spans="1:16" s="149" customFormat="1">
      <c r="A397" s="147" t="s">
        <v>1280</v>
      </c>
      <c r="B397" s="427" t="s">
        <v>1281</v>
      </c>
      <c r="C397" s="232" t="s">
        <v>1282</v>
      </c>
      <c r="D397" s="579"/>
      <c r="E397" s="150"/>
      <c r="F397" s="541" t="s">
        <v>1241</v>
      </c>
      <c r="G397" s="629" t="s">
        <v>1291</v>
      </c>
      <c r="H397" s="234">
        <v>45902</v>
      </c>
      <c r="I397" s="234">
        <v>45910</v>
      </c>
      <c r="J397" s="74" t="str" cm="1">
        <f t="array" ref="J397">IF(ISBLANK(I397), IF(ISBLANK(H397), "N/A", _xlfn.IFS(K397="AS", H397+15, K397="NCR", H397+30, K397="submitted", H397+30, TRUE, "N/A")), _xlfn.IFS(K397="AS", I397+15, K397="NCR", I397+30, K397="submitted", I397+30, TRUE, "N/A"))</f>
        <v>N/A</v>
      </c>
      <c r="K397" s="232" t="s">
        <v>146</v>
      </c>
      <c r="M397" s="822"/>
      <c r="N397" s="823"/>
      <c r="O397" s="823"/>
      <c r="P397" s="824"/>
    </row>
    <row r="398" spans="1:16" s="149" customFormat="1">
      <c r="A398" s="147" t="s">
        <v>1280</v>
      </c>
      <c r="B398" s="427" t="s">
        <v>1281</v>
      </c>
      <c r="C398" s="232" t="s">
        <v>1282</v>
      </c>
      <c r="D398" s="579"/>
      <c r="E398" s="150"/>
      <c r="F398" s="541" t="s">
        <v>1243</v>
      </c>
      <c r="G398" s="629" t="s">
        <v>1244</v>
      </c>
      <c r="H398" s="234">
        <v>45902</v>
      </c>
      <c r="I398" s="234">
        <v>45910</v>
      </c>
      <c r="J398" s="74" t="str" cm="1">
        <f t="array" ref="J398">IF(ISBLANK(I398), IF(ISBLANK(H398), "N/A", _xlfn.IFS(K398="AS", H398+15, K398="NCR", H398+30, K398="submitted", H398+30, TRUE, "N/A")), _xlfn.IFS(K398="AS", I398+15, K398="NCR", I398+30, K398="submitted", I398+30, TRUE, "N/A"))</f>
        <v>N/A</v>
      </c>
      <c r="K398" s="232" t="s">
        <v>146</v>
      </c>
      <c r="M398" s="822"/>
      <c r="N398" s="823"/>
      <c r="O398" s="823"/>
      <c r="P398" s="824"/>
    </row>
    <row r="399" spans="1:16" s="149" customFormat="1" ht="27">
      <c r="A399" s="147" t="s">
        <v>1280</v>
      </c>
      <c r="B399" s="427" t="s">
        <v>1281</v>
      </c>
      <c r="C399" s="232" t="s">
        <v>1282</v>
      </c>
      <c r="D399" s="579"/>
      <c r="E399" s="150"/>
      <c r="F399" s="541" t="s">
        <v>1245</v>
      </c>
      <c r="G399" s="629" t="s">
        <v>1292</v>
      </c>
      <c r="H399" s="234">
        <v>45902</v>
      </c>
      <c r="I399" s="234">
        <v>45910</v>
      </c>
      <c r="J399" s="74" t="str" cm="1">
        <f t="array" ref="J399">IF(ISBLANK(I399), IF(ISBLANK(H399), "N/A", _xlfn.IFS(K399="AS", H399+15, K399="NCR", H399+30, K399="submitted", H399+30, TRUE, "N/A")), _xlfn.IFS(K399="AS", I399+15, K399="NCR", I399+30, K399="submitted", I399+30, TRUE, "N/A"))</f>
        <v>N/A</v>
      </c>
      <c r="K399" s="232" t="s">
        <v>146</v>
      </c>
      <c r="M399" s="822"/>
      <c r="N399" s="823"/>
      <c r="O399" s="823"/>
      <c r="P399" s="824"/>
    </row>
    <row r="400" spans="1:16" s="149" customFormat="1" ht="27">
      <c r="A400" s="147" t="s">
        <v>1280</v>
      </c>
      <c r="B400" s="427" t="s">
        <v>1281</v>
      </c>
      <c r="C400" s="232" t="s">
        <v>1282</v>
      </c>
      <c r="D400" s="579"/>
      <c r="E400" s="150"/>
      <c r="F400" s="541" t="s">
        <v>1247</v>
      </c>
      <c r="G400" s="629" t="s">
        <v>1293</v>
      </c>
      <c r="H400" s="234">
        <v>45902</v>
      </c>
      <c r="I400" s="234">
        <v>45910</v>
      </c>
      <c r="J400" s="74" t="str" cm="1">
        <f t="array" ref="J400">IF(ISBLANK(I400), IF(ISBLANK(H400), "N/A", _xlfn.IFS(K400="AS", H400+15, K400="NCR", H400+30, K400="submitted", H400+30, TRUE, "N/A")), _xlfn.IFS(K400="AS", I400+15, K400="NCR", I400+30, K400="submitted", I400+30, TRUE, "N/A"))</f>
        <v>N/A</v>
      </c>
      <c r="K400" s="232" t="s">
        <v>146</v>
      </c>
      <c r="M400" s="822"/>
      <c r="N400" s="823"/>
      <c r="O400" s="823"/>
      <c r="P400" s="824"/>
    </row>
    <row r="401" spans="1:16" s="149" customFormat="1" ht="27">
      <c r="A401" s="147" t="s">
        <v>1280</v>
      </c>
      <c r="B401" s="427" t="s">
        <v>1281</v>
      </c>
      <c r="C401" s="232" t="s">
        <v>1282</v>
      </c>
      <c r="D401" s="579"/>
      <c r="E401" s="150"/>
      <c r="F401" s="541" t="s">
        <v>1249</v>
      </c>
      <c r="G401" s="629" t="s">
        <v>1294</v>
      </c>
      <c r="H401" s="234">
        <v>45902</v>
      </c>
      <c r="I401" s="234">
        <v>45910</v>
      </c>
      <c r="J401" s="74" t="str" cm="1">
        <f t="array" ref="J401">IF(ISBLANK(I401), IF(ISBLANK(H401), "N/A", _xlfn.IFS(K401="AS", H401+15, K401="NCR", H401+30, K401="submitted", H401+30, TRUE, "N/A")), _xlfn.IFS(K401="AS", I401+15, K401="NCR", I401+30, K401="submitted", I401+30, TRUE, "N/A"))</f>
        <v>N/A</v>
      </c>
      <c r="K401" s="232" t="s">
        <v>146</v>
      </c>
      <c r="M401" s="822"/>
      <c r="N401" s="823"/>
      <c r="O401" s="823"/>
      <c r="P401" s="824"/>
    </row>
    <row r="402" spans="1:16" s="531" customFormat="1" ht="27">
      <c r="A402" s="526" t="s">
        <v>1295</v>
      </c>
      <c r="B402" s="540" t="s">
        <v>1281</v>
      </c>
      <c r="C402" s="527" t="s">
        <v>1282</v>
      </c>
      <c r="D402" s="578" t="s">
        <v>1296</v>
      </c>
      <c r="E402" s="528"/>
      <c r="F402" s="526" t="s">
        <v>234</v>
      </c>
      <c r="G402" s="543" t="s">
        <v>1283</v>
      </c>
      <c r="H402" s="536">
        <v>45924</v>
      </c>
      <c r="I402" s="536"/>
      <c r="J402" s="74" cm="1">
        <f t="array" ref="J402">IF(ISBLANK(I402), IF(ISBLANK(H402), "N/A", _xlfn.IFS(K402="AS", H402+15, K402="NCR", H402+30, K402="submitted", H402+30, TRUE, "N/A")), _xlfn.IFS(K402="AS", I402+15, K402="NCR", I402+30, K402="submitted", I402+30, TRUE, "N/A"))</f>
        <v>45954</v>
      </c>
      <c r="K402" s="527" t="s">
        <v>154</v>
      </c>
      <c r="M402" s="822"/>
      <c r="N402" s="823"/>
      <c r="O402" s="823"/>
      <c r="P402" s="824"/>
    </row>
    <row r="403" spans="1:16" s="531" customFormat="1">
      <c r="A403" s="526" t="s">
        <v>1295</v>
      </c>
      <c r="B403" s="540" t="s">
        <v>1281</v>
      </c>
      <c r="C403" s="527" t="s">
        <v>1282</v>
      </c>
      <c r="D403" s="578" t="s">
        <v>1296</v>
      </c>
      <c r="E403" s="528"/>
      <c r="F403" s="526" t="s">
        <v>236</v>
      </c>
      <c r="G403" s="543" t="s">
        <v>1284</v>
      </c>
      <c r="H403" s="536">
        <v>45924</v>
      </c>
      <c r="I403" s="536"/>
      <c r="J403" s="74" cm="1">
        <f t="array" ref="J403">IF(ISBLANK(I403), IF(ISBLANK(H403), "N/A", _xlfn.IFS(K403="AS", H403+15, K403="NCR", H403+30, K403="submitted", H403+30, TRUE, "N/A")), _xlfn.IFS(K403="AS", I403+15, K403="NCR", I403+30, K403="submitted", I403+30, TRUE, "N/A"))</f>
        <v>45954</v>
      </c>
      <c r="K403" s="527" t="s">
        <v>154</v>
      </c>
      <c r="M403" s="822"/>
      <c r="N403" s="823"/>
      <c r="O403" s="823"/>
      <c r="P403" s="824"/>
    </row>
    <row r="404" spans="1:16" s="531" customFormat="1" ht="67.5">
      <c r="A404" s="526" t="s">
        <v>1295</v>
      </c>
      <c r="B404" s="540" t="s">
        <v>1281</v>
      </c>
      <c r="C404" s="527" t="s">
        <v>1282</v>
      </c>
      <c r="D404" s="578" t="s">
        <v>1296</v>
      </c>
      <c r="E404" s="528"/>
      <c r="F404" s="526" t="s">
        <v>1221</v>
      </c>
      <c r="G404" s="543" t="s">
        <v>1285</v>
      </c>
      <c r="H404" s="536">
        <v>45924</v>
      </c>
      <c r="I404" s="536"/>
      <c r="J404" s="74" cm="1">
        <f t="array" ref="J404">IF(ISBLANK(I404), IF(ISBLANK(H404), "N/A", _xlfn.IFS(K404="AS", H404+15, K404="NCR", H404+30, K404="submitted", H404+30, TRUE, "N/A")), _xlfn.IFS(K404="AS", I404+15, K404="NCR", I404+30, K404="submitted", I404+30, TRUE, "N/A"))</f>
        <v>45954</v>
      </c>
      <c r="K404" s="527" t="s">
        <v>154</v>
      </c>
      <c r="M404" s="822"/>
      <c r="N404" s="823"/>
      <c r="O404" s="823"/>
      <c r="P404" s="824"/>
    </row>
    <row r="405" spans="1:16" s="531" customFormat="1">
      <c r="A405" s="526" t="s">
        <v>1295</v>
      </c>
      <c r="B405" s="540" t="s">
        <v>1281</v>
      </c>
      <c r="C405" s="527" t="s">
        <v>1282</v>
      </c>
      <c r="D405" s="578" t="s">
        <v>1296</v>
      </c>
      <c r="E405" s="528"/>
      <c r="F405" s="526" t="s">
        <v>1223</v>
      </c>
      <c r="G405" s="543" t="s">
        <v>1286</v>
      </c>
      <c r="H405" s="536">
        <v>45924</v>
      </c>
      <c r="I405" s="536"/>
      <c r="J405" s="74" cm="1">
        <f t="array" ref="J405">IF(ISBLANK(I405), IF(ISBLANK(H405), "N/A", _xlfn.IFS(K405="AS", H405+15, K405="NCR", H405+30, K405="submitted", H405+30, TRUE, "N/A")), _xlfn.IFS(K405="AS", I405+15, K405="NCR", I405+30, K405="submitted", I405+30, TRUE, "N/A"))</f>
        <v>45954</v>
      </c>
      <c r="K405" s="527" t="s">
        <v>154</v>
      </c>
      <c r="L405" s="701"/>
      <c r="M405" s="822"/>
      <c r="N405" s="823"/>
      <c r="O405" s="823"/>
      <c r="P405" s="824"/>
    </row>
    <row r="406" spans="1:16" s="531" customFormat="1">
      <c r="A406" s="526" t="s">
        <v>1295</v>
      </c>
      <c r="B406" s="540" t="s">
        <v>1281</v>
      </c>
      <c r="C406" s="527" t="s">
        <v>1282</v>
      </c>
      <c r="D406" s="578" t="s">
        <v>1296</v>
      </c>
      <c r="E406" s="528"/>
      <c r="F406" s="526" t="s">
        <v>1225</v>
      </c>
      <c r="G406" s="543" t="s">
        <v>1287</v>
      </c>
      <c r="H406" s="536">
        <v>45924</v>
      </c>
      <c r="I406" s="536"/>
      <c r="J406" s="74" cm="1">
        <f t="array" ref="J406">IF(ISBLANK(I406), IF(ISBLANK(H406), "N/A", _xlfn.IFS(K406="AS", H406+15, K406="NCR", H406+30, K406="submitted", H406+30, TRUE, "N/A")), _xlfn.IFS(K406="AS", I406+15, K406="NCR", I406+30, K406="submitted", I406+30, TRUE, "N/A"))</f>
        <v>45954</v>
      </c>
      <c r="K406" s="527" t="s">
        <v>154</v>
      </c>
      <c r="M406" s="822"/>
      <c r="N406" s="823"/>
      <c r="O406" s="823"/>
      <c r="P406" s="824"/>
    </row>
    <row r="407" spans="1:16" s="531" customFormat="1">
      <c r="A407" s="526" t="s">
        <v>1295</v>
      </c>
      <c r="B407" s="540" t="s">
        <v>1281</v>
      </c>
      <c r="C407" s="527" t="s">
        <v>1282</v>
      </c>
      <c r="D407" s="578" t="s">
        <v>1296</v>
      </c>
      <c r="E407" s="528"/>
      <c r="F407" s="615" t="s">
        <v>1227</v>
      </c>
      <c r="G407" s="543" t="s">
        <v>1288</v>
      </c>
      <c r="H407" s="536">
        <v>45924</v>
      </c>
      <c r="I407" s="536"/>
      <c r="J407" s="74" cm="1">
        <f t="array" ref="J407">IF(ISBLANK(I407), IF(ISBLANK(H407), "N/A", _xlfn.IFS(K407="AS", H407+15, K407="NCR", H407+30, K407="submitted", H407+30, TRUE, "N/A")), _xlfn.IFS(K407="AS", I407+15, K407="NCR", I407+30, K407="submitted", I407+30, TRUE, "N/A"))</f>
        <v>45954</v>
      </c>
      <c r="K407" s="527" t="s">
        <v>154</v>
      </c>
      <c r="M407" s="822"/>
      <c r="N407" s="823"/>
      <c r="O407" s="823"/>
      <c r="P407" s="824"/>
    </row>
    <row r="408" spans="1:16" s="531" customFormat="1" ht="27">
      <c r="A408" s="526" t="s">
        <v>1295</v>
      </c>
      <c r="B408" s="540" t="s">
        <v>1281</v>
      </c>
      <c r="C408" s="527" t="s">
        <v>1282</v>
      </c>
      <c r="D408" s="578" t="s">
        <v>1296</v>
      </c>
      <c r="E408" s="528"/>
      <c r="F408" s="658" t="s">
        <v>1229</v>
      </c>
      <c r="G408" s="702" t="s">
        <v>1289</v>
      </c>
      <c r="H408" s="536">
        <v>45924</v>
      </c>
      <c r="I408" s="536"/>
      <c r="J408" s="74" cm="1">
        <f t="array" ref="J408">IF(ISBLANK(I408), IF(ISBLANK(H408), "N/A", _xlfn.IFS(K408="AS", H408+15, K408="NCR", H408+30, K408="submitted", H408+30, TRUE, "N/A")), _xlfn.IFS(K408="AS", I408+15, K408="NCR", I408+30, K408="submitted", I408+30, TRUE, "N/A"))</f>
        <v>45954</v>
      </c>
      <c r="K408" s="527" t="s">
        <v>154</v>
      </c>
      <c r="M408" s="822"/>
      <c r="N408" s="823"/>
      <c r="O408" s="823"/>
      <c r="P408" s="824"/>
    </row>
    <row r="409" spans="1:16" s="531" customFormat="1">
      <c r="A409" s="526" t="s">
        <v>1295</v>
      </c>
      <c r="B409" s="540" t="s">
        <v>1281</v>
      </c>
      <c r="C409" s="527" t="s">
        <v>1282</v>
      </c>
      <c r="D409" s="578" t="s">
        <v>1296</v>
      </c>
      <c r="E409" s="528"/>
      <c r="F409" s="658" t="s">
        <v>1231</v>
      </c>
      <c r="G409" s="702" t="s">
        <v>1269</v>
      </c>
      <c r="H409" s="536">
        <v>45924</v>
      </c>
      <c r="I409" s="536"/>
      <c r="J409" s="74" cm="1">
        <f t="array" ref="J409">IF(ISBLANK(I409), IF(ISBLANK(H409), "N/A", _xlfn.IFS(K409="AS", H409+15, K409="NCR", H409+30, K409="submitted", H409+30, TRUE, "N/A")), _xlfn.IFS(K409="AS", I409+15, K409="NCR", I409+30, K409="submitted", I409+30, TRUE, "N/A"))</f>
        <v>45954</v>
      </c>
      <c r="K409" s="527" t="s">
        <v>154</v>
      </c>
      <c r="M409" s="822"/>
      <c r="N409" s="823"/>
      <c r="O409" s="823"/>
      <c r="P409" s="824"/>
    </row>
    <row r="410" spans="1:16" s="531" customFormat="1" ht="27">
      <c r="A410" s="526" t="s">
        <v>1295</v>
      </c>
      <c r="B410" s="540" t="s">
        <v>1281</v>
      </c>
      <c r="C410" s="527" t="s">
        <v>1282</v>
      </c>
      <c r="D410" s="578" t="s">
        <v>1296</v>
      </c>
      <c r="E410" s="528"/>
      <c r="F410" s="658" t="s">
        <v>1233</v>
      </c>
      <c r="G410" s="702" t="s">
        <v>1290</v>
      </c>
      <c r="H410" s="536">
        <v>45924</v>
      </c>
      <c r="I410" s="536"/>
      <c r="J410" s="74" cm="1">
        <f t="array" ref="J410">IF(ISBLANK(I410), IF(ISBLANK(H410), "N/A", _xlfn.IFS(K410="AS", H410+15, K410="NCR", H410+30, K410="submitted", H410+30, TRUE, "N/A")), _xlfn.IFS(K410="AS", I410+15, K410="NCR", I410+30, K410="submitted", I410+30, TRUE, "N/A"))</f>
        <v>45954</v>
      </c>
      <c r="K410" s="527" t="s">
        <v>154</v>
      </c>
      <c r="M410" s="822"/>
      <c r="N410" s="823"/>
      <c r="O410" s="823"/>
      <c r="P410" s="824"/>
    </row>
    <row r="411" spans="1:16" s="531" customFormat="1">
      <c r="A411" s="526" t="s">
        <v>1295</v>
      </c>
      <c r="B411" s="540" t="s">
        <v>1281</v>
      </c>
      <c r="C411" s="527" t="s">
        <v>1282</v>
      </c>
      <c r="D411" s="578" t="s">
        <v>1296</v>
      </c>
      <c r="E411" s="528"/>
      <c r="F411" s="658" t="s">
        <v>1235</v>
      </c>
      <c r="G411" s="702" t="s">
        <v>1270</v>
      </c>
      <c r="H411" s="536">
        <v>45924</v>
      </c>
      <c r="I411" s="536"/>
      <c r="J411" s="74" cm="1">
        <f t="array" ref="J411">IF(ISBLANK(I411), IF(ISBLANK(H411), "N/A", _xlfn.IFS(K411="AS", H411+15, K411="NCR", H411+30, K411="submitted", H411+30, TRUE, "N/A")), _xlfn.IFS(K411="AS", I411+15, K411="NCR", I411+30, K411="submitted", I411+30, TRUE, "N/A"))</f>
        <v>45954</v>
      </c>
      <c r="K411" s="527" t="s">
        <v>154</v>
      </c>
      <c r="M411" s="822"/>
      <c r="N411" s="823"/>
      <c r="O411" s="823"/>
      <c r="P411" s="824"/>
    </row>
    <row r="412" spans="1:16" s="531" customFormat="1" ht="27">
      <c r="A412" s="526" t="s">
        <v>1295</v>
      </c>
      <c r="B412" s="540" t="s">
        <v>1281</v>
      </c>
      <c r="C412" s="527" t="s">
        <v>1282</v>
      </c>
      <c r="D412" s="578" t="s">
        <v>1296</v>
      </c>
      <c r="E412" s="528"/>
      <c r="F412" s="658" t="s">
        <v>1237</v>
      </c>
      <c r="G412" s="702" t="s">
        <v>1238</v>
      </c>
      <c r="H412" s="536">
        <v>45924</v>
      </c>
      <c r="I412" s="536"/>
      <c r="J412" s="74" cm="1">
        <f t="array" ref="J412">IF(ISBLANK(I412), IF(ISBLANK(H412), "N/A", _xlfn.IFS(K412="AS", H412+15, K412="NCR", H412+30, K412="submitted", H412+30, TRUE, "N/A")), _xlfn.IFS(K412="AS", I412+15, K412="NCR", I412+30, K412="submitted", I412+30, TRUE, "N/A"))</f>
        <v>45954</v>
      </c>
      <c r="K412" s="527" t="s">
        <v>154</v>
      </c>
      <c r="M412" s="822"/>
      <c r="N412" s="823"/>
      <c r="O412" s="823"/>
      <c r="P412" s="824"/>
    </row>
    <row r="413" spans="1:16" s="531" customFormat="1">
      <c r="A413" s="526" t="s">
        <v>1295</v>
      </c>
      <c r="B413" s="540" t="s">
        <v>1281</v>
      </c>
      <c r="C413" s="527" t="s">
        <v>1282</v>
      </c>
      <c r="D413" s="578" t="s">
        <v>1296</v>
      </c>
      <c r="E413" s="528"/>
      <c r="F413" s="658" t="s">
        <v>1239</v>
      </c>
      <c r="G413" s="702" t="s">
        <v>1272</v>
      </c>
      <c r="H413" s="536">
        <v>45924</v>
      </c>
      <c r="I413" s="536"/>
      <c r="J413" s="74" cm="1">
        <f t="array" ref="J413">IF(ISBLANK(I413), IF(ISBLANK(H413), "N/A", _xlfn.IFS(K413="AS", H413+15, K413="NCR", H413+30, K413="submitted", H413+30, TRUE, "N/A")), _xlfn.IFS(K413="AS", I413+15, K413="NCR", I413+30, K413="submitted", I413+30, TRUE, "N/A"))</f>
        <v>45954</v>
      </c>
      <c r="K413" s="527" t="s">
        <v>154</v>
      </c>
      <c r="M413" s="822"/>
      <c r="N413" s="823"/>
      <c r="O413" s="823"/>
      <c r="P413" s="824"/>
    </row>
    <row r="414" spans="1:16" s="531" customFormat="1">
      <c r="A414" s="526" t="s">
        <v>1295</v>
      </c>
      <c r="B414" s="540" t="s">
        <v>1281</v>
      </c>
      <c r="C414" s="527" t="s">
        <v>1282</v>
      </c>
      <c r="D414" s="578" t="s">
        <v>1296</v>
      </c>
      <c r="E414" s="528"/>
      <c r="F414" s="658" t="s">
        <v>1241</v>
      </c>
      <c r="G414" s="702" t="s">
        <v>1291</v>
      </c>
      <c r="H414" s="536">
        <v>45924</v>
      </c>
      <c r="I414" s="536"/>
      <c r="J414" s="74" cm="1">
        <f t="array" ref="J414">IF(ISBLANK(I414), IF(ISBLANK(H414), "N/A", _xlfn.IFS(K414="AS", H414+15, K414="NCR", H414+30, K414="submitted", H414+30, TRUE, "N/A")), _xlfn.IFS(K414="AS", I414+15, K414="NCR", I414+30, K414="submitted", I414+30, TRUE, "N/A"))</f>
        <v>45954</v>
      </c>
      <c r="K414" s="527" t="s">
        <v>154</v>
      </c>
      <c r="M414" s="822"/>
      <c r="N414" s="823"/>
      <c r="O414" s="823"/>
      <c r="P414" s="824"/>
    </row>
    <row r="415" spans="1:16" s="531" customFormat="1">
      <c r="A415" s="526" t="s">
        <v>1295</v>
      </c>
      <c r="B415" s="540" t="s">
        <v>1281</v>
      </c>
      <c r="C415" s="527" t="s">
        <v>1282</v>
      </c>
      <c r="D415" s="578" t="s">
        <v>1296</v>
      </c>
      <c r="E415" s="528"/>
      <c r="F415" s="658" t="s">
        <v>1243</v>
      </c>
      <c r="G415" s="702" t="s">
        <v>1244</v>
      </c>
      <c r="H415" s="536">
        <v>45924</v>
      </c>
      <c r="I415" s="536"/>
      <c r="J415" s="74" cm="1">
        <f t="array" ref="J415">IF(ISBLANK(I415), IF(ISBLANK(H415), "N/A", _xlfn.IFS(K415="AS", H415+15, K415="NCR", H415+30, K415="submitted", H415+30, TRUE, "N/A")), _xlfn.IFS(K415="AS", I415+15, K415="NCR", I415+30, K415="submitted", I415+30, TRUE, "N/A"))</f>
        <v>45954</v>
      </c>
      <c r="K415" s="527" t="s">
        <v>154</v>
      </c>
      <c r="M415" s="822"/>
      <c r="N415" s="823"/>
      <c r="O415" s="823"/>
      <c r="P415" s="824"/>
    </row>
    <row r="416" spans="1:16" s="531" customFormat="1" ht="27">
      <c r="A416" s="526" t="s">
        <v>1295</v>
      </c>
      <c r="B416" s="540" t="s">
        <v>1281</v>
      </c>
      <c r="C416" s="527" t="s">
        <v>1282</v>
      </c>
      <c r="D416" s="578" t="s">
        <v>1296</v>
      </c>
      <c r="E416" s="528"/>
      <c r="F416" s="658" t="s">
        <v>1245</v>
      </c>
      <c r="G416" s="702" t="s">
        <v>1292</v>
      </c>
      <c r="H416" s="536">
        <v>45924</v>
      </c>
      <c r="I416" s="536"/>
      <c r="J416" s="74" cm="1">
        <f t="array" ref="J416">IF(ISBLANK(I416), IF(ISBLANK(H416), "N/A", _xlfn.IFS(K416="AS", H416+15, K416="NCR", H416+30, K416="submitted", H416+30, TRUE, "N/A")), _xlfn.IFS(K416="AS", I416+15, K416="NCR", I416+30, K416="submitted", I416+30, TRUE, "N/A"))</f>
        <v>45954</v>
      </c>
      <c r="K416" s="527" t="s">
        <v>154</v>
      </c>
      <c r="M416" s="822"/>
      <c r="N416" s="823"/>
      <c r="O416" s="823"/>
      <c r="P416" s="824"/>
    </row>
    <row r="417" spans="1:16" s="531" customFormat="1" ht="27">
      <c r="A417" s="526" t="s">
        <v>1295</v>
      </c>
      <c r="B417" s="540" t="s">
        <v>1281</v>
      </c>
      <c r="C417" s="527" t="s">
        <v>1282</v>
      </c>
      <c r="D417" s="578" t="s">
        <v>1296</v>
      </c>
      <c r="E417" s="528"/>
      <c r="F417" s="658" t="s">
        <v>1247</v>
      </c>
      <c r="G417" s="702" t="s">
        <v>1293</v>
      </c>
      <c r="H417" s="536">
        <v>45924</v>
      </c>
      <c r="I417" s="536"/>
      <c r="J417" s="74" cm="1">
        <f t="array" ref="J417">IF(ISBLANK(I417), IF(ISBLANK(H417), "N/A", _xlfn.IFS(K417="AS", H417+15, K417="NCR", H417+30, K417="submitted", H417+30, TRUE, "N/A")), _xlfn.IFS(K417="AS", I417+15, K417="NCR", I417+30, K417="submitted", I417+30, TRUE, "N/A"))</f>
        <v>45954</v>
      </c>
      <c r="K417" s="527" t="s">
        <v>154</v>
      </c>
      <c r="M417" s="822"/>
      <c r="N417" s="823"/>
      <c r="O417" s="823"/>
      <c r="P417" s="824"/>
    </row>
    <row r="418" spans="1:16" s="531" customFormat="1" ht="27">
      <c r="A418" s="526" t="s">
        <v>1295</v>
      </c>
      <c r="B418" s="540" t="s">
        <v>1281</v>
      </c>
      <c r="C418" s="527" t="s">
        <v>1282</v>
      </c>
      <c r="D418" s="578" t="s">
        <v>1296</v>
      </c>
      <c r="E418" s="528"/>
      <c r="F418" s="658" t="s">
        <v>1249</v>
      </c>
      <c r="G418" s="702" t="s">
        <v>1294</v>
      </c>
      <c r="H418" s="536">
        <v>45924</v>
      </c>
      <c r="I418" s="536"/>
      <c r="J418" s="74" cm="1">
        <f t="array" ref="J418">IF(ISBLANK(I418), IF(ISBLANK(H418), "N/A", _xlfn.IFS(K418="AS", H418+15, K418="NCR", H418+30, K418="submitted", H418+30, TRUE, "N/A")), _xlfn.IFS(K418="AS", I418+15, K418="NCR", I418+30, K418="submitted", I418+30, TRUE, "N/A"))</f>
        <v>45954</v>
      </c>
      <c r="K418" s="527" t="s">
        <v>154</v>
      </c>
      <c r="M418" s="822"/>
      <c r="N418" s="823"/>
      <c r="O418" s="823"/>
      <c r="P418" s="824"/>
    </row>
    <row r="419" spans="1:16">
      <c r="A419" s="9"/>
      <c r="B419" s="311" t="s">
        <v>1281</v>
      </c>
      <c r="C419" s="76" t="s">
        <v>1282</v>
      </c>
      <c r="D419" s="20"/>
      <c r="E419" s="1" t="s">
        <v>1297</v>
      </c>
      <c r="F419" s="21" t="s">
        <v>1251</v>
      </c>
      <c r="G419" s="7" t="s">
        <v>1252</v>
      </c>
      <c r="H419" s="9"/>
      <c r="I419" s="9"/>
      <c r="J419" s="74" t="str" cm="1">
        <f t="array" ref="J419">IF(ISBLANK(I419), IF(ISBLANK(H419), "N/A", _xlfn.IFS(K419="AS", H419+15, K419="NCR", H419+30, K419="submitted", H419+30, TRUE, "N/A")), _xlfn.IFS(K419="AS", I419+15, K419="NCR", I419+30, K419="submitted", I419+30, TRUE, "N/A"))</f>
        <v>N/A</v>
      </c>
      <c r="K419" s="14"/>
      <c r="L419" s="318"/>
      <c r="M419" s="822"/>
      <c r="N419" s="823"/>
      <c r="O419" s="823"/>
      <c r="P419" s="824"/>
    </row>
    <row r="420" spans="1:16" ht="27">
      <c r="A420" s="9"/>
      <c r="B420" s="311" t="s">
        <v>1281</v>
      </c>
      <c r="C420" s="76" t="s">
        <v>1282</v>
      </c>
      <c r="D420" s="20"/>
      <c r="E420" s="1" t="s">
        <v>158</v>
      </c>
      <c r="F420" s="9" t="s">
        <v>330</v>
      </c>
      <c r="G420" s="7" t="s">
        <v>1298</v>
      </c>
      <c r="H420" s="9"/>
      <c r="I420" s="9"/>
      <c r="J420" s="74" t="str" cm="1">
        <f t="array" ref="J420">IF(ISBLANK(I420), IF(ISBLANK(H420), "N/A", _xlfn.IFS(K420="AS", H420+15, K420="NCR", H420+30, K420="submitted", H420+30, TRUE, "N/A")), _xlfn.IFS(K420="AS", I420+15, K420="NCR", I420+30, K420="submitted", I420+30, TRUE, "N/A"))</f>
        <v>N/A</v>
      </c>
      <c r="K420" s="14"/>
      <c r="L420" s="318"/>
      <c r="M420" s="822"/>
      <c r="N420" s="823"/>
      <c r="O420" s="823"/>
      <c r="P420" s="824"/>
    </row>
    <row r="421" spans="1:16">
      <c r="A421" s="9"/>
      <c r="B421" s="311" t="s">
        <v>1281</v>
      </c>
      <c r="C421" s="76" t="s">
        <v>1282</v>
      </c>
      <c r="D421" s="20"/>
      <c r="E421" s="1" t="s">
        <v>158</v>
      </c>
      <c r="F421" s="9" t="s">
        <v>1254</v>
      </c>
      <c r="G421" s="7" t="s">
        <v>1255</v>
      </c>
      <c r="H421" s="9"/>
      <c r="I421" s="9"/>
      <c r="J421" s="74" t="str" cm="1">
        <f t="array" ref="J421">IF(ISBLANK(I421), IF(ISBLANK(H421), "N/A", _xlfn.IFS(K421="AS", H421+15, K421="NCR", H421+30, K421="submitted", H421+30, TRUE, "N/A")), _xlfn.IFS(K421="AS", I421+15, K421="NCR", I421+30, K421="submitted", I421+30, TRUE, "N/A"))</f>
        <v>N/A</v>
      </c>
      <c r="K421" s="14"/>
      <c r="L421" s="318"/>
      <c r="M421" s="822"/>
      <c r="N421" s="823"/>
      <c r="O421" s="823"/>
      <c r="P421" s="824"/>
    </row>
    <row r="422" spans="1:16">
      <c r="A422" s="9"/>
      <c r="B422" s="311" t="s">
        <v>1281</v>
      </c>
      <c r="C422" s="76" t="s">
        <v>1282</v>
      </c>
      <c r="D422" s="20"/>
      <c r="E422" s="1" t="s">
        <v>158</v>
      </c>
      <c r="F422" s="9" t="s">
        <v>1256</v>
      </c>
      <c r="G422" s="13" t="s">
        <v>1278</v>
      </c>
      <c r="H422" s="9"/>
      <c r="I422" s="9"/>
      <c r="J422" s="74" t="str" cm="1">
        <f t="array" ref="J422">IF(ISBLANK(I422), IF(ISBLANK(H422), "N/A", _xlfn.IFS(K422="AS", H422+15, K422="NCR", H422+30, K422="submitted", H422+30, TRUE, "N/A")), _xlfn.IFS(K422="AS", I422+15, K422="NCR", I422+30, K422="submitted", I422+30, TRUE, "N/A"))</f>
        <v>N/A</v>
      </c>
      <c r="K422" s="14"/>
      <c r="L422" s="318"/>
      <c r="M422" s="822"/>
      <c r="N422" s="823"/>
      <c r="O422" s="823"/>
      <c r="P422" s="824"/>
    </row>
    <row r="423" spans="1:16">
      <c r="A423" s="9"/>
      <c r="B423" s="311" t="s">
        <v>1281</v>
      </c>
      <c r="C423" s="76" t="s">
        <v>1282</v>
      </c>
      <c r="D423" s="20"/>
      <c r="E423" s="1" t="s">
        <v>158</v>
      </c>
      <c r="F423" s="9" t="s">
        <v>1258</v>
      </c>
      <c r="G423" s="13" t="s">
        <v>1259</v>
      </c>
      <c r="H423" s="9"/>
      <c r="I423" s="9"/>
      <c r="J423" s="74" t="str" cm="1">
        <f t="array" ref="J423">IF(ISBLANK(I423), IF(ISBLANK(H423), "N/A", _xlfn.IFS(K423="AS", H423+15, K423="NCR", H423+30, K423="submitted", H423+30, TRUE, "N/A")), _xlfn.IFS(K423="AS", I423+15, K423="NCR", I423+30, K423="submitted", I423+30, TRUE, "N/A"))</f>
        <v>N/A</v>
      </c>
      <c r="K423" s="14"/>
      <c r="L423" s="318"/>
      <c r="M423" s="822"/>
      <c r="N423" s="823"/>
      <c r="O423" s="823"/>
      <c r="P423" s="824"/>
    </row>
    <row r="424" spans="1:16" ht="27">
      <c r="A424" s="9"/>
      <c r="B424" s="311" t="s">
        <v>1281</v>
      </c>
      <c r="C424" s="76" t="s">
        <v>1282</v>
      </c>
      <c r="D424" s="20"/>
      <c r="E424" s="1"/>
      <c r="F424" s="9" t="s">
        <v>397</v>
      </c>
      <c r="G424" s="7" t="s">
        <v>1260</v>
      </c>
      <c r="H424" s="9"/>
      <c r="I424" s="9"/>
      <c r="J424" s="74" t="str" cm="1">
        <f t="array" ref="J424">IF(ISBLANK(I424), IF(ISBLANK(H424), "N/A", _xlfn.IFS(K424="AS", H424+15, K424="NCR", H424+30, K424="submitted", H424+30, TRUE, "N/A")), _xlfn.IFS(K424="AS", I424+15, K424="NCR", I424+30, K424="submitted", I424+30, TRUE, "N/A"))</f>
        <v>N/A</v>
      </c>
      <c r="K424" s="14"/>
      <c r="L424" s="318"/>
      <c r="M424" s="822"/>
      <c r="N424" s="823"/>
      <c r="O424" s="823"/>
      <c r="P424" s="824"/>
    </row>
    <row r="425" spans="1:16" ht="27">
      <c r="A425" s="9"/>
      <c r="B425" s="311" t="s">
        <v>1281</v>
      </c>
      <c r="C425" s="76" t="s">
        <v>1282</v>
      </c>
      <c r="D425" s="20"/>
      <c r="E425" s="1"/>
      <c r="F425" s="9" t="s">
        <v>398</v>
      </c>
      <c r="G425" s="7" t="s">
        <v>1279</v>
      </c>
      <c r="H425" s="9"/>
      <c r="I425" s="9"/>
      <c r="J425" s="74" t="str" cm="1">
        <f t="array" ref="J425">IF(ISBLANK(I425), IF(ISBLANK(H425), "N/A", _xlfn.IFS(K425="AS", H425+15, K425="NCR", H425+30, K425="submitted", H425+30, TRUE, "N/A")), _xlfn.IFS(K425="AS", I425+15, K425="NCR", I425+30, K425="submitted", I425+30, TRUE, "N/A"))</f>
        <v>N/A</v>
      </c>
      <c r="K425" s="14"/>
      <c r="L425" s="318"/>
      <c r="M425" s="822"/>
      <c r="N425" s="823"/>
      <c r="O425" s="823"/>
      <c r="P425" s="824"/>
    </row>
    <row r="426" spans="1:16">
      <c r="A426" s="9"/>
      <c r="B426" s="311" t="s">
        <v>1281</v>
      </c>
      <c r="C426" s="76" t="s">
        <v>1282</v>
      </c>
      <c r="D426" s="20"/>
      <c r="E426" s="1"/>
      <c r="F426" s="9" t="s">
        <v>400</v>
      </c>
      <c r="G426" s="13" t="s">
        <v>1262</v>
      </c>
      <c r="H426" s="9"/>
      <c r="I426" s="9"/>
      <c r="J426" s="74" t="str" cm="1">
        <f t="array" ref="J426">IF(ISBLANK(I426), IF(ISBLANK(H426), "N/A", _xlfn.IFS(K426="AS", H426+15, K426="NCR", H426+30, K426="submitted", H426+30, TRUE, "N/A")), _xlfn.IFS(K426="AS", I426+15, K426="NCR", I426+30, K426="submitted", I426+30, TRUE, "N/A"))</f>
        <v>N/A</v>
      </c>
      <c r="K426" s="14"/>
      <c r="L426" s="318"/>
      <c r="M426" s="822"/>
      <c r="N426" s="823"/>
      <c r="O426" s="823"/>
      <c r="P426" s="824"/>
    </row>
    <row r="427" spans="1:16">
      <c r="A427" s="9"/>
      <c r="B427" s="311" t="s">
        <v>1281</v>
      </c>
      <c r="C427" s="76" t="s">
        <v>1282</v>
      </c>
      <c r="D427" s="20"/>
      <c r="E427" s="1"/>
      <c r="F427" s="9" t="s">
        <v>433</v>
      </c>
      <c r="G427" s="13" t="s">
        <v>1299</v>
      </c>
      <c r="H427" s="9"/>
      <c r="I427" s="9"/>
      <c r="J427" s="74" t="str" cm="1">
        <f t="array" ref="J427">IF(ISBLANK(I427), IF(ISBLANK(H427), "N/A", _xlfn.IFS(K427="AS", H427+15, K427="NCR", H427+30, K427="submitted", H427+30, TRUE, "N/A")), _xlfn.IFS(K427="AS", I427+15, K427="NCR", I427+30, K427="submitted", I427+30, TRUE, "N/A"))</f>
        <v>N/A</v>
      </c>
      <c r="K427" s="14"/>
      <c r="L427" s="318"/>
      <c r="M427" s="822"/>
      <c r="N427" s="823"/>
      <c r="O427" s="823"/>
      <c r="P427" s="824"/>
    </row>
    <row r="428" spans="1:16" s="151" customFormat="1">
      <c r="A428" s="22" t="s">
        <v>1300</v>
      </c>
      <c r="B428" s="311" t="s">
        <v>1301</v>
      </c>
      <c r="C428" s="76" t="s">
        <v>1302</v>
      </c>
      <c r="D428" s="576" t="s">
        <v>1303</v>
      </c>
      <c r="E428" s="26" t="s">
        <v>1304</v>
      </c>
      <c r="F428" s="22" t="s">
        <v>275</v>
      </c>
      <c r="G428" s="24" t="s">
        <v>1305</v>
      </c>
      <c r="H428" s="25">
        <v>45902</v>
      </c>
      <c r="I428" s="22"/>
      <c r="J428" s="74" cm="1">
        <f t="array" ref="J428">IF(ISBLANK(I428), IF(ISBLANK(H428), "N/A", _xlfn.IFS(K428="AS", H428+15, K428="NCR", H428+30, K428="submitted", H428+30, TRUE, "N/A")), _xlfn.IFS(K428="AS", I428+15, K428="NCR", I428+30, K428="submitted", I428+30, TRUE, "N/A"))</f>
        <v>45932</v>
      </c>
      <c r="K428" s="25" t="s">
        <v>154</v>
      </c>
      <c r="M428" s="822"/>
      <c r="N428" s="823"/>
      <c r="O428" s="823"/>
      <c r="P428" s="824"/>
    </row>
    <row r="429" spans="1:16" s="151" customFormat="1">
      <c r="A429" s="22" t="s">
        <v>1300</v>
      </c>
      <c r="B429" s="311" t="s">
        <v>1301</v>
      </c>
      <c r="C429" s="76" t="s">
        <v>1302</v>
      </c>
      <c r="D429" s="576" t="s">
        <v>1303</v>
      </c>
      <c r="E429" s="26" t="s">
        <v>1304</v>
      </c>
      <c r="F429" s="22" t="s">
        <v>263</v>
      </c>
      <c r="G429" s="24" t="s">
        <v>276</v>
      </c>
      <c r="H429" s="25">
        <v>45902</v>
      </c>
      <c r="I429" s="22"/>
      <c r="J429" s="74" cm="1">
        <f t="array" ref="J429">IF(ISBLANK(I429), IF(ISBLANK(H429), "N/A", _xlfn.IFS(K429="AS", H429+15, K429="NCR", H429+30, K429="submitted", H429+30, TRUE, "N/A")), _xlfn.IFS(K429="AS", I429+15, K429="NCR", I429+30, K429="submitted", I429+30, TRUE, "N/A"))</f>
        <v>45932</v>
      </c>
      <c r="K429" s="25" t="s">
        <v>154</v>
      </c>
      <c r="M429" s="822"/>
      <c r="N429" s="823"/>
      <c r="O429" s="823"/>
      <c r="P429" s="824"/>
    </row>
    <row r="430" spans="1:16">
      <c r="A430" s="4"/>
      <c r="B430" s="86" t="s">
        <v>1301</v>
      </c>
      <c r="C430" s="34" t="s">
        <v>1302</v>
      </c>
      <c r="D430" s="103" t="s">
        <v>1303</v>
      </c>
      <c r="E430" s="5"/>
      <c r="F430" s="4" t="s">
        <v>253</v>
      </c>
      <c r="G430" s="17" t="s">
        <v>345</v>
      </c>
      <c r="H430" s="4"/>
      <c r="I430" s="4"/>
      <c r="J430" s="74" t="str" cm="1">
        <f t="array" ref="J430">IF(ISBLANK(I430), IF(ISBLANK(H430), "N/A", _xlfn.IFS(K430="AS", H430+15, K430="NCR", H430+30, K430="submitted", H430+30, TRUE, "N/A")), _xlfn.IFS(K430="AS", I430+15, K430="NCR", I430+30, K430="submitted", I430+30, TRUE, "N/A"))</f>
        <v>N/A</v>
      </c>
      <c r="K430" s="18"/>
      <c r="L430" s="318"/>
      <c r="M430" s="822"/>
      <c r="N430" s="823"/>
      <c r="O430" s="823"/>
      <c r="P430" s="824"/>
    </row>
    <row r="431" spans="1:16" s="151" customFormat="1">
      <c r="A431" s="22" t="s">
        <v>1300</v>
      </c>
      <c r="B431" s="311" t="s">
        <v>1301</v>
      </c>
      <c r="C431" s="76" t="s">
        <v>1302</v>
      </c>
      <c r="D431" s="576" t="s">
        <v>1303</v>
      </c>
      <c r="E431" s="26" t="s">
        <v>1304</v>
      </c>
      <c r="F431" s="22" t="s">
        <v>344</v>
      </c>
      <c r="G431" s="24" t="s">
        <v>1306</v>
      </c>
      <c r="H431" s="25">
        <v>45902</v>
      </c>
      <c r="I431" s="22"/>
      <c r="J431" s="74" cm="1">
        <f t="array" ref="J431">IF(ISBLANK(I431), IF(ISBLANK(H431), "N/A", _xlfn.IFS(K431="AS", H431+15, K431="NCR", H431+30, K431="submitted", H431+30, TRUE, "N/A")), _xlfn.IFS(K431="AS", I431+15, K431="NCR", I431+30, K431="submitted", I431+30, TRUE, "N/A"))</f>
        <v>45932</v>
      </c>
      <c r="K431" s="25" t="s">
        <v>154</v>
      </c>
      <c r="M431" s="822"/>
      <c r="N431" s="823"/>
      <c r="O431" s="823"/>
      <c r="P431" s="824"/>
    </row>
    <row r="432" spans="1:16">
      <c r="A432" s="4"/>
      <c r="B432" s="86" t="s">
        <v>1301</v>
      </c>
      <c r="C432" s="34" t="s">
        <v>1302</v>
      </c>
      <c r="D432" s="103" t="s">
        <v>1303</v>
      </c>
      <c r="E432" s="5"/>
      <c r="F432" s="4" t="s">
        <v>346</v>
      </c>
      <c r="G432" s="17" t="s">
        <v>1307</v>
      </c>
      <c r="H432" s="4"/>
      <c r="I432" s="4"/>
      <c r="J432" s="74" t="str" cm="1">
        <f t="array" ref="J432">IF(ISBLANK(I432), IF(ISBLANK(H432), "N/A", _xlfn.IFS(K432="AS", H432+15, K432="NCR", H432+30, K432="submitted", H432+30, TRUE, "N/A")), _xlfn.IFS(K432="AS", I432+15, K432="NCR", I432+30, K432="submitted", I432+30, TRUE, "N/A"))</f>
        <v>N/A</v>
      </c>
      <c r="K432" s="18"/>
      <c r="L432" s="318"/>
      <c r="M432" s="822"/>
      <c r="N432" s="823"/>
      <c r="O432" s="823"/>
      <c r="P432" s="824"/>
    </row>
    <row r="433" spans="1:16">
      <c r="A433" s="4"/>
      <c r="B433" s="86" t="s">
        <v>1301</v>
      </c>
      <c r="C433" s="34" t="s">
        <v>1302</v>
      </c>
      <c r="D433" s="103" t="s">
        <v>1303</v>
      </c>
      <c r="E433" s="5"/>
      <c r="F433" s="4" t="s">
        <v>348</v>
      </c>
      <c r="G433" s="17" t="s">
        <v>696</v>
      </c>
      <c r="H433" s="4"/>
      <c r="I433" s="4"/>
      <c r="J433" s="74" t="str" cm="1">
        <f t="array" ref="J433">IF(ISBLANK(I433), IF(ISBLANK(H433), "N/A", _xlfn.IFS(K433="AS", H433+15, K433="NCR", H433+30, K433="submitted", H433+30, TRUE, "N/A")), _xlfn.IFS(K433="AS", I433+15, K433="NCR", I433+30, K433="submitted", I433+30, TRUE, "N/A"))</f>
        <v>N/A</v>
      </c>
      <c r="K433" s="18"/>
      <c r="L433" s="318"/>
      <c r="M433" s="822"/>
      <c r="N433" s="823"/>
      <c r="O433" s="823"/>
      <c r="P433" s="824"/>
    </row>
    <row r="434" spans="1:16">
      <c r="A434" s="4"/>
      <c r="B434" s="86" t="s">
        <v>1301</v>
      </c>
      <c r="C434" s="34" t="s">
        <v>1302</v>
      </c>
      <c r="D434" s="103" t="s">
        <v>1303</v>
      </c>
      <c r="E434" s="5"/>
      <c r="F434" s="4" t="s">
        <v>350</v>
      </c>
      <c r="G434" s="17" t="s">
        <v>372</v>
      </c>
      <c r="H434" s="4"/>
      <c r="I434" s="4"/>
      <c r="J434" s="74" t="str" cm="1">
        <f t="array" ref="J434">IF(ISBLANK(I434), IF(ISBLANK(H434), "N/A", _xlfn.IFS(K434="AS", H434+15, K434="NCR", H434+30, K434="submitted", H434+30, TRUE, "N/A")), _xlfn.IFS(K434="AS", I434+15, K434="NCR", I434+30, K434="submitted", I434+30, TRUE, "N/A"))</f>
        <v>N/A</v>
      </c>
      <c r="K434" s="18"/>
      <c r="L434" s="318"/>
      <c r="M434" s="822"/>
      <c r="N434" s="823"/>
      <c r="O434" s="823"/>
      <c r="P434" s="824"/>
    </row>
    <row r="435" spans="1:16">
      <c r="A435" s="4"/>
      <c r="B435" s="86" t="s">
        <v>1301</v>
      </c>
      <c r="C435" s="34" t="s">
        <v>1302</v>
      </c>
      <c r="D435" s="103" t="s">
        <v>1303</v>
      </c>
      <c r="E435" s="5"/>
      <c r="F435" s="4" t="s">
        <v>1308</v>
      </c>
      <c r="G435" s="3" t="s">
        <v>375</v>
      </c>
      <c r="H435" s="4"/>
      <c r="I435" s="4"/>
      <c r="J435" s="74" t="str" cm="1">
        <f t="array" ref="J435">IF(ISBLANK(I435), IF(ISBLANK(H435), "N/A", _xlfn.IFS(K435="AS", H435+15, K435="NCR", H435+30, K435="submitted", H435+30, TRUE, "N/A")), _xlfn.IFS(K435="AS", I435+15, K435="NCR", I435+30, K435="submitted", I435+30, TRUE, "N/A"))</f>
        <v>N/A</v>
      </c>
      <c r="K435" s="18"/>
      <c r="L435" s="318"/>
      <c r="M435" s="822"/>
      <c r="N435" s="823"/>
      <c r="O435" s="823"/>
      <c r="P435" s="824"/>
    </row>
    <row r="436" spans="1:16" ht="27">
      <c r="A436" s="4"/>
      <c r="B436" s="86" t="s">
        <v>1301</v>
      </c>
      <c r="C436" s="34" t="s">
        <v>1302</v>
      </c>
      <c r="D436" s="103" t="s">
        <v>1303</v>
      </c>
      <c r="E436" s="5"/>
      <c r="F436" s="4" t="s">
        <v>1309</v>
      </c>
      <c r="G436" s="3" t="s">
        <v>377</v>
      </c>
      <c r="H436" s="4"/>
      <c r="I436" s="4"/>
      <c r="J436" s="74" t="str" cm="1">
        <f t="array" ref="J436">IF(ISBLANK(I436), IF(ISBLANK(H436), "N/A", _xlfn.IFS(K436="AS", H436+15, K436="NCR", H436+30, K436="submitted", H436+30, TRUE, "N/A")), _xlfn.IFS(K436="AS", I436+15, K436="NCR", I436+30, K436="submitted", I436+30, TRUE, "N/A"))</f>
        <v>N/A</v>
      </c>
      <c r="K436" s="18"/>
      <c r="L436" s="318"/>
      <c r="M436" s="822"/>
      <c r="N436" s="823"/>
      <c r="O436" s="823"/>
      <c r="P436" s="824"/>
    </row>
    <row r="437" spans="1:16" ht="27">
      <c r="A437" s="4"/>
      <c r="B437" s="86" t="s">
        <v>1301</v>
      </c>
      <c r="C437" s="34" t="s">
        <v>1302</v>
      </c>
      <c r="D437" s="103" t="s">
        <v>1303</v>
      </c>
      <c r="E437" s="5"/>
      <c r="F437" s="4" t="s">
        <v>1310</v>
      </c>
      <c r="G437" s="3" t="s">
        <v>472</v>
      </c>
      <c r="H437" s="4"/>
      <c r="I437" s="4"/>
      <c r="J437" s="74" t="str" cm="1">
        <f t="array" ref="J437">IF(ISBLANK(I437), IF(ISBLANK(H437), "N/A", _xlfn.IFS(K437="AS", H437+15, K437="NCR", H437+30, K437="submitted", H437+30, TRUE, "N/A")), _xlfn.IFS(K437="AS", I437+15, K437="NCR", I437+30, K437="submitted", I437+30, TRUE, "N/A"))</f>
        <v>N/A</v>
      </c>
      <c r="K437" s="18"/>
      <c r="L437" s="318"/>
      <c r="M437" s="822"/>
      <c r="N437" s="823"/>
      <c r="O437" s="823"/>
      <c r="P437" s="824"/>
    </row>
    <row r="438" spans="1:16" s="151" customFormat="1" ht="53.25">
      <c r="A438" s="22" t="s">
        <v>1311</v>
      </c>
      <c r="B438" s="311" t="s">
        <v>1312</v>
      </c>
      <c r="C438" s="76" t="s">
        <v>1313</v>
      </c>
      <c r="D438" s="576" t="s">
        <v>1314</v>
      </c>
      <c r="E438" s="26" t="s">
        <v>798</v>
      </c>
      <c r="F438" s="22" t="s">
        <v>220</v>
      </c>
      <c r="G438" s="28" t="s">
        <v>1315</v>
      </c>
      <c r="H438" s="25">
        <v>45904</v>
      </c>
      <c r="I438" s="22"/>
      <c r="J438" s="74" cm="1">
        <f t="array" ref="J438">IF(ISBLANK(I438), IF(ISBLANK(H438), "N/A", _xlfn.IFS(K438="AS", H438+15, K438="NCR", H438+30, K438="submitted", H438+30, TRUE, "N/A")), _xlfn.IFS(K438="AS", I438+15, K438="NCR", I438+30, K438="submitted", I438+30, TRUE, "N/A"))</f>
        <v>45934</v>
      </c>
      <c r="K438" s="25" t="s">
        <v>311</v>
      </c>
      <c r="M438" s="822"/>
      <c r="N438" s="823"/>
      <c r="O438" s="823"/>
      <c r="P438" s="824"/>
    </row>
    <row r="439" spans="1:16">
      <c r="A439" s="9"/>
      <c r="B439" s="33"/>
      <c r="C439" s="39"/>
      <c r="D439" s="20"/>
      <c r="E439" s="1"/>
      <c r="F439" s="9" t="s">
        <v>535</v>
      </c>
      <c r="G439" s="13" t="s">
        <v>1316</v>
      </c>
      <c r="H439" s="9"/>
      <c r="I439" s="9"/>
      <c r="J439" s="74" t="str" cm="1">
        <f t="array" ref="J439">IF(ISBLANK(I439), IF(ISBLANK(H439), "N/A", _xlfn.IFS(K439="AS", H439+15, K439="NCR", H439+30, K439="submitted", H439+30, TRUE, "N/A")), _xlfn.IFS(K439="AS", I439+15, K439="NCR", I439+30, K439="submitted", I439+30, TRUE, "N/A"))</f>
        <v>N/A</v>
      </c>
      <c r="K439" s="14"/>
      <c r="L439" s="318"/>
      <c r="M439" s="822"/>
      <c r="N439" s="823"/>
      <c r="O439" s="823"/>
      <c r="P439" s="824"/>
    </row>
    <row r="440" spans="1:16">
      <c r="A440" s="9"/>
      <c r="B440" s="33"/>
      <c r="C440" s="39"/>
      <c r="D440" s="20"/>
      <c r="E440" s="1"/>
      <c r="F440" s="9" t="s">
        <v>537</v>
      </c>
      <c r="G440" s="13" t="s">
        <v>1317</v>
      </c>
      <c r="H440" s="9"/>
      <c r="I440" s="9"/>
      <c r="J440" s="74" t="str" cm="1">
        <f t="array" ref="J440">IF(ISBLANK(I440), IF(ISBLANK(H440), "N/A", _xlfn.IFS(K440="AS", H440+15, K440="NCR", H440+30, K440="submitted", H440+30, TRUE, "N/A")), _xlfn.IFS(K440="AS", I440+15, K440="NCR", I440+30, K440="submitted", I440+30, TRUE, "N/A"))</f>
        <v>N/A</v>
      </c>
      <c r="K440" s="14"/>
      <c r="L440" s="318"/>
      <c r="M440" s="822"/>
      <c r="N440" s="823"/>
      <c r="O440" s="823"/>
      <c r="P440" s="824"/>
    </row>
    <row r="441" spans="1:16">
      <c r="A441" s="9"/>
      <c r="B441" s="33"/>
      <c r="C441" s="39"/>
      <c r="D441" s="20"/>
      <c r="E441" s="1"/>
      <c r="F441" s="9" t="s">
        <v>682</v>
      </c>
      <c r="G441" s="7" t="s">
        <v>1318</v>
      </c>
      <c r="H441" s="9"/>
      <c r="I441" s="9"/>
      <c r="J441" s="74" t="str" cm="1">
        <f t="array" ref="J441">IF(ISBLANK(I441), IF(ISBLANK(H441), "N/A", _xlfn.IFS(K441="AS", H441+15, K441="NCR", H441+30, K441="submitted", H441+30, TRUE, "N/A")), _xlfn.IFS(K441="AS", I441+15, K441="NCR", I441+30, K441="submitted", I441+30, TRUE, "N/A"))</f>
        <v>N/A</v>
      </c>
      <c r="K441" s="14"/>
      <c r="L441" s="318"/>
      <c r="M441" s="822"/>
      <c r="N441" s="823"/>
      <c r="O441" s="823"/>
      <c r="P441" s="824"/>
    </row>
    <row r="442" spans="1:16" ht="27">
      <c r="A442" s="9"/>
      <c r="B442" s="33"/>
      <c r="C442" s="39"/>
      <c r="D442" s="20"/>
      <c r="E442" s="1"/>
      <c r="F442" s="9" t="s">
        <v>1319</v>
      </c>
      <c r="G442" s="7" t="s">
        <v>1320</v>
      </c>
      <c r="H442" s="9"/>
      <c r="I442" s="9"/>
      <c r="J442" s="74" t="str" cm="1">
        <f t="array" ref="J442">IF(ISBLANK(I442), IF(ISBLANK(H442), "N/A", _xlfn.IFS(K442="AS", H442+15, K442="NCR", H442+30, K442="submitted", H442+30, TRUE, "N/A")), _xlfn.IFS(K442="AS", I442+15, K442="NCR", I442+30, K442="submitted", I442+30, TRUE, "N/A"))</f>
        <v>N/A</v>
      </c>
      <c r="K442" s="14"/>
      <c r="L442" s="318"/>
      <c r="M442" s="822"/>
      <c r="N442" s="823"/>
      <c r="O442" s="823"/>
      <c r="P442" s="824"/>
    </row>
    <row r="443" spans="1:16" ht="27">
      <c r="A443" s="9"/>
      <c r="B443" s="33"/>
      <c r="C443" s="39"/>
      <c r="D443" s="20"/>
      <c r="E443" s="1"/>
      <c r="F443" s="9" t="s">
        <v>1321</v>
      </c>
      <c r="G443" s="7" t="s">
        <v>1322</v>
      </c>
      <c r="H443" s="9"/>
      <c r="I443" s="9"/>
      <c r="J443" s="74" t="str" cm="1">
        <f t="array" ref="J443">IF(ISBLANK(I443), IF(ISBLANK(H443), "N/A", _xlfn.IFS(K443="AS", H443+15, K443="NCR", H443+30, K443="submitted", H443+30, TRUE, "N/A")), _xlfn.IFS(K443="AS", I443+15, K443="NCR", I443+30, K443="submitted", I443+30, TRUE, "N/A"))</f>
        <v>N/A</v>
      </c>
      <c r="K443" s="14"/>
      <c r="L443" s="318"/>
      <c r="M443" s="822"/>
      <c r="N443" s="823"/>
      <c r="O443" s="823"/>
      <c r="P443" s="824"/>
    </row>
    <row r="444" spans="1:16">
      <c r="A444" s="9"/>
      <c r="B444" s="33"/>
      <c r="C444" s="39"/>
      <c r="D444" s="20"/>
      <c r="E444" s="1"/>
      <c r="F444" s="9" t="s">
        <v>1323</v>
      </c>
      <c r="G444" s="13" t="s">
        <v>1324</v>
      </c>
      <c r="H444" s="9"/>
      <c r="I444" s="9"/>
      <c r="J444" s="74" t="str" cm="1">
        <f t="array" ref="J444">IF(ISBLANK(I444), IF(ISBLANK(H444), "N/A", _xlfn.IFS(K444="AS", H444+15, K444="NCR", H444+30, K444="submitted", H444+30, TRUE, "N/A")), _xlfn.IFS(K444="AS", I444+15, K444="NCR", I444+30, K444="submitted", I444+30, TRUE, "N/A"))</f>
        <v>N/A</v>
      </c>
      <c r="K444" s="14"/>
      <c r="L444" s="318"/>
      <c r="M444" s="822"/>
      <c r="N444" s="823"/>
      <c r="O444" s="823"/>
      <c r="P444" s="824"/>
    </row>
    <row r="445" spans="1:16">
      <c r="A445" s="9"/>
      <c r="B445" s="33"/>
      <c r="C445" s="39"/>
      <c r="D445" s="20"/>
      <c r="E445" s="1"/>
      <c r="F445" s="9" t="s">
        <v>1325</v>
      </c>
      <c r="G445" s="13" t="s">
        <v>1326</v>
      </c>
      <c r="H445" s="9"/>
      <c r="I445" s="9"/>
      <c r="J445" s="74" t="str" cm="1">
        <f t="array" ref="J445">IF(ISBLANK(I445), IF(ISBLANK(H445), "N/A", _xlfn.IFS(K445="AS", H445+15, K445="NCR", H445+30, K445="submitted", H445+30, TRUE, "N/A")), _xlfn.IFS(K445="AS", I445+15, K445="NCR", I445+30, K445="submitted", I445+30, TRUE, "N/A"))</f>
        <v>N/A</v>
      </c>
      <c r="K445" s="14"/>
      <c r="L445" s="318"/>
      <c r="M445" s="822"/>
      <c r="N445" s="823"/>
      <c r="O445" s="823"/>
      <c r="P445" s="824"/>
    </row>
    <row r="446" spans="1:16">
      <c r="A446" s="9"/>
      <c r="B446" s="33"/>
      <c r="C446" s="39"/>
      <c r="D446" s="20"/>
      <c r="E446" s="1"/>
      <c r="F446" s="9" t="s">
        <v>1327</v>
      </c>
      <c r="G446" s="13" t="s">
        <v>1328</v>
      </c>
      <c r="H446" s="9"/>
      <c r="I446" s="9"/>
      <c r="J446" s="74" t="str" cm="1">
        <f t="array" ref="J446">IF(ISBLANK(I446), IF(ISBLANK(H446), "N/A", _xlfn.IFS(K446="AS", H446+15, K446="NCR", H446+30, K446="submitted", H446+30, TRUE, "N/A")), _xlfn.IFS(K446="AS", I446+15, K446="NCR", I446+30, K446="submitted", I446+30, TRUE, "N/A"))</f>
        <v>N/A</v>
      </c>
      <c r="K446" s="14"/>
      <c r="L446" s="318"/>
      <c r="M446" s="822"/>
      <c r="N446" s="823"/>
      <c r="O446" s="823"/>
      <c r="P446" s="824"/>
    </row>
    <row r="447" spans="1:16">
      <c r="A447" s="9"/>
      <c r="B447" s="33"/>
      <c r="C447" s="39"/>
      <c r="D447" s="20"/>
      <c r="E447" s="1"/>
      <c r="F447" s="9" t="s">
        <v>321</v>
      </c>
      <c r="G447" s="7" t="s">
        <v>1329</v>
      </c>
      <c r="H447" s="9"/>
      <c r="I447" s="9"/>
      <c r="J447" s="74" t="str" cm="1">
        <f t="array" ref="J447">IF(ISBLANK(I447), IF(ISBLANK(H447), "N/A", _xlfn.IFS(K447="AS", H447+15, K447="NCR", H447+30, K447="submitted", H447+30, TRUE, "N/A")), _xlfn.IFS(K447="AS", I447+15, K447="NCR", I447+30, K447="submitted", I447+30, TRUE, "N/A"))</f>
        <v>N/A</v>
      </c>
      <c r="K447" s="14"/>
      <c r="L447" s="318"/>
      <c r="M447" s="822"/>
      <c r="N447" s="823"/>
      <c r="O447" s="823"/>
      <c r="P447" s="824"/>
    </row>
    <row r="448" spans="1:16">
      <c r="A448" s="9"/>
      <c r="B448" s="97"/>
      <c r="C448" s="46"/>
      <c r="D448" s="20"/>
      <c r="E448" s="1"/>
      <c r="F448" s="9" t="s">
        <v>592</v>
      </c>
      <c r="G448" s="13" t="s">
        <v>1330</v>
      </c>
      <c r="H448" s="9"/>
      <c r="I448" s="9"/>
      <c r="J448" s="74" t="str" cm="1">
        <f t="array" ref="J448">IF(ISBLANK(I448), IF(ISBLANK(H448), "N/A", _xlfn.IFS(K448="AS", H448+15, K448="NCR", H448+30, K448="submitted", H448+30, TRUE, "N/A")), _xlfn.IFS(K448="AS", I448+15, K448="NCR", I448+30, K448="submitted", I448+30, TRUE, "N/A"))</f>
        <v>N/A</v>
      </c>
      <c r="K448" s="14"/>
      <c r="L448" s="318"/>
      <c r="M448" s="822"/>
      <c r="N448" s="823"/>
      <c r="O448" s="823"/>
      <c r="P448" s="824"/>
    </row>
    <row r="449" spans="1:16">
      <c r="A449" s="4"/>
      <c r="B449" s="15" t="s">
        <v>1331</v>
      </c>
      <c r="C449" s="17" t="s">
        <v>1332</v>
      </c>
      <c r="D449" s="103"/>
      <c r="E449" s="5"/>
      <c r="F449" s="4" t="s">
        <v>478</v>
      </c>
      <c r="G449" s="17" t="s">
        <v>1333</v>
      </c>
      <c r="H449" s="4"/>
      <c r="I449" s="4"/>
      <c r="J449" s="74" t="str" cm="1">
        <f t="array" ref="J449">IF(ISBLANK(I449), IF(ISBLANK(H449), "N/A", _xlfn.IFS(K449="AS", H449+15, K449="NCR", H449+30, K449="submitted", H449+30, TRUE, "N/A")), _xlfn.IFS(K449="AS", I449+15, K449="NCR", I449+30, K449="submitted", I449+30, TRUE, "N/A"))</f>
        <v>N/A</v>
      </c>
      <c r="K449" s="18"/>
      <c r="L449" s="318"/>
      <c r="M449" s="822"/>
      <c r="N449" s="823"/>
      <c r="O449" s="823"/>
      <c r="P449" s="824"/>
    </row>
    <row r="450" spans="1:16" ht="40.5">
      <c r="A450" s="9"/>
      <c r="B450" s="32" t="s">
        <v>1334</v>
      </c>
      <c r="C450" s="37" t="s">
        <v>1335</v>
      </c>
      <c r="D450" s="20"/>
      <c r="E450" s="1"/>
      <c r="F450" s="9" t="s">
        <v>747</v>
      </c>
      <c r="G450" s="7" t="s">
        <v>1336</v>
      </c>
      <c r="H450" s="9"/>
      <c r="I450" s="9"/>
      <c r="J450" s="74" t="str" cm="1">
        <f t="array" ref="J450">IF(ISBLANK(I450), IF(ISBLANK(H450), "N/A", _xlfn.IFS(K450="AS", H450+15, K450="NCR", H450+30, K450="submitted", H450+30, TRUE, "N/A")), _xlfn.IFS(K450="AS", I450+15, K450="NCR", I450+30, K450="submitted", I450+30, TRUE, "N/A"))</f>
        <v>N/A</v>
      </c>
      <c r="K450" s="14"/>
      <c r="L450" s="318"/>
      <c r="M450" s="822"/>
      <c r="N450" s="823"/>
      <c r="O450" s="823"/>
      <c r="P450" s="824"/>
    </row>
    <row r="451" spans="1:16">
      <c r="A451" s="38"/>
      <c r="B451" s="33"/>
      <c r="C451" s="39"/>
      <c r="D451" s="20"/>
      <c r="E451" s="1"/>
      <c r="F451" s="38" t="s">
        <v>857</v>
      </c>
      <c r="G451" s="37" t="s">
        <v>1337</v>
      </c>
      <c r="H451" s="38"/>
      <c r="I451" s="38"/>
      <c r="J451" s="74" t="str" cm="1">
        <f t="array" ref="J451">IF(ISBLANK(I451), IF(ISBLANK(H451), "N/A", _xlfn.IFS(K451="AS", H451+15, K451="NCR", H451+30, K451="submitted", H451+30, TRUE, "N/A")), _xlfn.IFS(K451="AS", I451+15, K451="NCR", I451+30, K451="submitted", I451+30, TRUE, "N/A"))</f>
        <v>N/A</v>
      </c>
      <c r="K451" s="41"/>
      <c r="L451" s="318"/>
      <c r="M451" s="822"/>
      <c r="N451" s="823"/>
      <c r="O451" s="823"/>
      <c r="P451" s="824"/>
    </row>
    <row r="452" spans="1:16">
      <c r="A452" s="38"/>
      <c r="B452" s="33"/>
      <c r="C452" s="39"/>
      <c r="D452" s="20"/>
      <c r="E452" s="1"/>
      <c r="F452" s="38" t="s">
        <v>859</v>
      </c>
      <c r="G452" s="37" t="s">
        <v>1338</v>
      </c>
      <c r="H452" s="38"/>
      <c r="I452" s="38"/>
      <c r="J452" s="74" t="str" cm="1">
        <f t="array" ref="J452">IF(ISBLANK(I452), IF(ISBLANK(H452), "N/A", _xlfn.IFS(K452="AS", H452+15, K452="NCR", H452+30, K452="submitted", H452+30, TRUE, "N/A")), _xlfn.IFS(K452="AS", I452+15, K452="NCR", I452+30, K452="submitted", I452+30, TRUE, "N/A"))</f>
        <v>N/A</v>
      </c>
      <c r="K452" s="41"/>
      <c r="L452" s="318"/>
      <c r="M452" s="822"/>
      <c r="N452" s="823"/>
      <c r="O452" s="823"/>
      <c r="P452" s="824"/>
    </row>
    <row r="453" spans="1:16">
      <c r="A453" s="38"/>
      <c r="B453" s="33"/>
      <c r="C453" s="39"/>
      <c r="D453" s="20"/>
      <c r="E453" s="1"/>
      <c r="F453" s="38" t="s">
        <v>861</v>
      </c>
      <c r="G453" s="37" t="s">
        <v>1339</v>
      </c>
      <c r="H453" s="38"/>
      <c r="I453" s="38"/>
      <c r="J453" s="74" t="str" cm="1">
        <f t="array" ref="J453">IF(ISBLANK(I453), IF(ISBLANK(H453), "N/A", _xlfn.IFS(K453="AS", H453+15, K453="NCR", H453+30, K453="submitted", H453+30, TRUE, "N/A")), _xlfn.IFS(K453="AS", I453+15, K453="NCR", I453+30, K453="submitted", I453+30, TRUE, "N/A"))</f>
        <v>N/A</v>
      </c>
      <c r="K453" s="41"/>
      <c r="L453" s="318"/>
      <c r="M453" s="822"/>
      <c r="N453" s="823"/>
      <c r="O453" s="823"/>
      <c r="P453" s="824"/>
    </row>
    <row r="454" spans="1:16" ht="27">
      <c r="A454" s="38"/>
      <c r="B454" s="33"/>
      <c r="C454" s="39"/>
      <c r="D454" s="20"/>
      <c r="E454" s="1"/>
      <c r="F454" s="38" t="s">
        <v>863</v>
      </c>
      <c r="G454" s="40" t="s">
        <v>1340</v>
      </c>
      <c r="H454" s="38"/>
      <c r="I454" s="38"/>
      <c r="J454" s="74" t="str" cm="1">
        <f t="array" ref="J454">IF(ISBLANK(I454), IF(ISBLANK(H454), "N/A", _xlfn.IFS(K454="AS", H454+15, K454="NCR", H454+30, K454="submitted", H454+30, TRUE, "N/A")), _xlfn.IFS(K454="AS", I454+15, K454="NCR", I454+30, K454="submitted", I454+30, TRUE, "N/A"))</f>
        <v>N/A</v>
      </c>
      <c r="K454" s="41"/>
      <c r="L454" s="318"/>
      <c r="M454" s="822"/>
      <c r="N454" s="823"/>
      <c r="O454" s="823"/>
      <c r="P454" s="824"/>
    </row>
    <row r="455" spans="1:16" ht="40.5">
      <c r="A455" s="38"/>
      <c r="B455" s="33"/>
      <c r="C455" s="39"/>
      <c r="D455" s="20"/>
      <c r="E455" s="1"/>
      <c r="F455" s="38" t="s">
        <v>1341</v>
      </c>
      <c r="G455" s="40" t="s">
        <v>1342</v>
      </c>
      <c r="H455" s="38"/>
      <c r="I455" s="38"/>
      <c r="J455" s="74" t="str" cm="1">
        <f t="array" ref="J455">IF(ISBLANK(I455), IF(ISBLANK(H455), "N/A", _xlfn.IFS(K455="AS", H455+15, K455="NCR", H455+30, K455="submitted", H455+30, TRUE, "N/A")), _xlfn.IFS(K455="AS", I455+15, K455="NCR", I455+30, K455="submitted", I455+30, TRUE, "N/A"))</f>
        <v>N/A</v>
      </c>
      <c r="K455" s="41"/>
      <c r="L455" s="318"/>
      <c r="M455" s="822"/>
      <c r="N455" s="823"/>
      <c r="O455" s="823"/>
      <c r="P455" s="824"/>
    </row>
    <row r="456" spans="1:16">
      <c r="A456" s="38"/>
      <c r="B456" s="33"/>
      <c r="C456" s="39"/>
      <c r="D456" s="20"/>
      <c r="E456" s="1"/>
      <c r="F456" s="38" t="s">
        <v>1343</v>
      </c>
      <c r="G456" s="37" t="s">
        <v>1344</v>
      </c>
      <c r="H456" s="38"/>
      <c r="I456" s="38"/>
      <c r="J456" s="74" t="str" cm="1">
        <f t="array" ref="J456">IF(ISBLANK(I456), IF(ISBLANK(H456), "N/A", _xlfn.IFS(K456="AS", H456+15, K456="NCR", H456+30, K456="submitted", H456+30, TRUE, "N/A")), _xlfn.IFS(K456="AS", I456+15, K456="NCR", I456+30, K456="submitted", I456+30, TRUE, "N/A"))</f>
        <v>N/A</v>
      </c>
      <c r="K456" s="41"/>
      <c r="L456" s="318"/>
      <c r="M456" s="822"/>
      <c r="N456" s="823"/>
      <c r="O456" s="823"/>
      <c r="P456" s="824"/>
    </row>
    <row r="457" spans="1:16" ht="27">
      <c r="A457" s="38"/>
      <c r="B457" s="33"/>
      <c r="C457" s="39"/>
      <c r="D457" s="20"/>
      <c r="E457" s="1"/>
      <c r="F457" s="38" t="s">
        <v>1345</v>
      </c>
      <c r="G457" s="40" t="s">
        <v>1346</v>
      </c>
      <c r="H457" s="38"/>
      <c r="I457" s="38"/>
      <c r="J457" s="74" t="str" cm="1">
        <f t="array" ref="J457">IF(ISBLANK(I457), IF(ISBLANK(H457), "N/A", _xlfn.IFS(K457="AS", H457+15, K457="NCR", H457+30, K457="submitted", H457+30, TRUE, "N/A")), _xlfn.IFS(K457="AS", I457+15, K457="NCR", I457+30, K457="submitted", I457+30, TRUE, "N/A"))</f>
        <v>N/A</v>
      </c>
      <c r="K457" s="41"/>
      <c r="L457" s="318"/>
      <c r="M457" s="822"/>
      <c r="N457" s="823"/>
      <c r="O457" s="823"/>
      <c r="P457" s="824"/>
    </row>
    <row r="458" spans="1:16" ht="27">
      <c r="A458" s="38"/>
      <c r="B458" s="33"/>
      <c r="C458" s="39"/>
      <c r="D458" s="20"/>
      <c r="E458" s="1"/>
      <c r="F458" s="38" t="s">
        <v>1347</v>
      </c>
      <c r="G458" s="40" t="s">
        <v>1348</v>
      </c>
      <c r="H458" s="38"/>
      <c r="I458" s="38"/>
      <c r="J458" s="74" t="str" cm="1">
        <f t="array" ref="J458">IF(ISBLANK(I458), IF(ISBLANK(H458), "N/A", _xlfn.IFS(K458="AS", H458+15, K458="NCR", H458+30, K458="submitted", H458+30, TRUE, "N/A")), _xlfn.IFS(K458="AS", I458+15, K458="NCR", I458+30, K458="submitted", I458+30, TRUE, "N/A"))</f>
        <v>N/A</v>
      </c>
      <c r="K458" s="41"/>
      <c r="L458" s="318"/>
      <c r="M458" s="822"/>
      <c r="N458" s="823"/>
      <c r="O458" s="823"/>
      <c r="P458" s="824"/>
    </row>
    <row r="459" spans="1:16" ht="27">
      <c r="A459" s="38"/>
      <c r="B459" s="33"/>
      <c r="C459" s="39"/>
      <c r="D459" s="20"/>
      <c r="E459" s="1"/>
      <c r="F459" s="38" t="s">
        <v>1349</v>
      </c>
      <c r="G459" s="40" t="s">
        <v>1350</v>
      </c>
      <c r="H459" s="38"/>
      <c r="I459" s="38"/>
      <c r="J459" s="74" t="str" cm="1">
        <f t="array" ref="J459">IF(ISBLANK(I459), IF(ISBLANK(H459), "N/A", _xlfn.IFS(K459="AS", H459+15, K459="NCR", H459+30, K459="submitted", H459+30, TRUE, "N/A")), _xlfn.IFS(K459="AS", I459+15, K459="NCR", I459+30, K459="submitted", I459+30, TRUE, "N/A"))</f>
        <v>N/A</v>
      </c>
      <c r="K459" s="41"/>
      <c r="L459" s="318"/>
      <c r="M459" s="822"/>
      <c r="N459" s="823"/>
      <c r="O459" s="823"/>
      <c r="P459" s="824"/>
    </row>
    <row r="460" spans="1:16" ht="27">
      <c r="A460" s="38"/>
      <c r="B460" s="33"/>
      <c r="C460" s="39"/>
      <c r="D460" s="20"/>
      <c r="E460" s="1"/>
      <c r="F460" s="38" t="s">
        <v>1351</v>
      </c>
      <c r="G460" s="40" t="s">
        <v>1352</v>
      </c>
      <c r="H460" s="38"/>
      <c r="I460" s="38"/>
      <c r="J460" s="74" t="str" cm="1">
        <f t="array" ref="J460">IF(ISBLANK(I460), IF(ISBLANK(H460), "N/A", _xlfn.IFS(K460="AS", H460+15, K460="NCR", H460+30, K460="submitted", H460+30, TRUE, "N/A")), _xlfn.IFS(K460="AS", I460+15, K460="NCR", I460+30, K460="submitted", I460+30, TRUE, "N/A"))</f>
        <v>N/A</v>
      </c>
      <c r="K460" s="41"/>
      <c r="L460" s="318"/>
      <c r="M460" s="822"/>
      <c r="N460" s="823"/>
      <c r="O460" s="823"/>
      <c r="P460" s="824"/>
    </row>
    <row r="461" spans="1:16">
      <c r="A461" s="38"/>
      <c r="B461" s="33"/>
      <c r="C461" s="39"/>
      <c r="D461" s="20"/>
      <c r="E461" s="1"/>
      <c r="F461" s="38" t="s">
        <v>865</v>
      </c>
      <c r="G461" s="40" t="s">
        <v>1353</v>
      </c>
      <c r="H461" s="38"/>
      <c r="I461" s="38"/>
      <c r="J461" s="74" t="str" cm="1">
        <f t="array" ref="J461">IF(ISBLANK(I461), IF(ISBLANK(H461), "N/A", _xlfn.IFS(K461="AS", H461+15, K461="NCR", H461+30, K461="submitted", H461+30, TRUE, "N/A")), _xlfn.IFS(K461="AS", I461+15, K461="NCR", I461+30, K461="submitted", I461+30, TRUE, "N/A"))</f>
        <v>N/A</v>
      </c>
      <c r="K461" s="41"/>
      <c r="L461" s="318"/>
      <c r="M461" s="822"/>
      <c r="N461" s="823"/>
      <c r="O461" s="823"/>
      <c r="P461" s="824"/>
    </row>
    <row r="462" spans="1:16">
      <c r="A462" s="38"/>
      <c r="B462" s="33"/>
      <c r="C462" s="39"/>
      <c r="D462" s="20"/>
      <c r="E462" s="1"/>
      <c r="F462" s="38" t="s">
        <v>1149</v>
      </c>
      <c r="G462" s="40" t="s">
        <v>1354</v>
      </c>
      <c r="H462" s="38"/>
      <c r="I462" s="38"/>
      <c r="J462" s="74" t="str" cm="1">
        <f t="array" ref="J462">IF(ISBLANK(I462), IF(ISBLANK(H462), "N/A", _xlfn.IFS(K462="AS", H462+15, K462="NCR", H462+30, K462="submitted", H462+30, TRUE, "N/A")), _xlfn.IFS(K462="AS", I462+15, K462="NCR", I462+30, K462="submitted", I462+30, TRUE, "N/A"))</f>
        <v>N/A</v>
      </c>
      <c r="K462" s="41"/>
      <c r="L462" s="318"/>
      <c r="M462" s="822"/>
      <c r="N462" s="823"/>
      <c r="O462" s="823"/>
      <c r="P462" s="824"/>
    </row>
    <row r="463" spans="1:16" ht="27">
      <c r="A463" s="38"/>
      <c r="B463" s="33"/>
      <c r="C463" s="39"/>
      <c r="D463" s="20"/>
      <c r="E463" s="1"/>
      <c r="F463" s="38" t="s">
        <v>1159</v>
      </c>
      <c r="G463" s="40" t="s">
        <v>1355</v>
      </c>
      <c r="H463" s="38"/>
      <c r="I463" s="38"/>
      <c r="J463" s="74" t="str" cm="1">
        <f t="array" ref="J463">IF(ISBLANK(I463), IF(ISBLANK(H463), "N/A", _xlfn.IFS(K463="AS", H463+15, K463="NCR", H463+30, K463="submitted", H463+30, TRUE, "N/A")), _xlfn.IFS(K463="AS", I463+15, K463="NCR", I463+30, K463="submitted", I463+30, TRUE, "N/A"))</f>
        <v>N/A</v>
      </c>
      <c r="K463" s="41"/>
      <c r="L463" s="318"/>
      <c r="M463" s="822"/>
      <c r="N463" s="823"/>
      <c r="O463" s="823"/>
      <c r="P463" s="824"/>
    </row>
    <row r="464" spans="1:16" ht="27">
      <c r="A464" s="636" t="s">
        <v>21</v>
      </c>
      <c r="B464" s="634" t="s">
        <v>1356</v>
      </c>
      <c r="C464" s="638" t="s">
        <v>1357</v>
      </c>
      <c r="D464" s="631" t="s">
        <v>1358</v>
      </c>
      <c r="E464" s="630"/>
      <c r="F464" s="632" t="s">
        <v>328</v>
      </c>
      <c r="G464" s="344" t="s">
        <v>1359</v>
      </c>
      <c r="H464" s="345">
        <v>45782</v>
      </c>
      <c r="I464" s="345">
        <v>45799</v>
      </c>
      <c r="J464" s="74" t="str" cm="1">
        <f t="array" ref="J464">IF(ISBLANK(I464), IF(ISBLANK(H464), "N/A", _xlfn.IFS(K464="AS", H464+15, K464="NCR", H464+30, K464="submitted", H464+30, TRUE, "N/A")), _xlfn.IFS(K464="AS", I464+15, K464="NCR", I464+30, K464="submitted", I464+30, TRUE, "N/A"))</f>
        <v>N/A</v>
      </c>
      <c r="K464" s="345" t="s">
        <v>146</v>
      </c>
      <c r="L464" s="318"/>
      <c r="M464" s="822"/>
      <c r="N464" s="823"/>
      <c r="O464" s="823"/>
      <c r="P464" s="824"/>
    </row>
    <row r="465" spans="1:16">
      <c r="A465" s="636" t="s">
        <v>21</v>
      </c>
      <c r="B465" s="634" t="s">
        <v>1356</v>
      </c>
      <c r="C465" s="638" t="s">
        <v>1357</v>
      </c>
      <c r="D465" s="631" t="s">
        <v>1358</v>
      </c>
      <c r="E465" s="630"/>
      <c r="F465" s="632" t="s">
        <v>329</v>
      </c>
      <c r="G465" s="344" t="s">
        <v>268</v>
      </c>
      <c r="H465" s="345">
        <v>45782</v>
      </c>
      <c r="I465" s="345">
        <v>45799</v>
      </c>
      <c r="J465" s="74" t="str" cm="1">
        <f t="array" ref="J465">IF(ISBLANK(I465), IF(ISBLANK(H465), "N/A", _xlfn.IFS(K465="AS", H465+15, K465="NCR", H465+30, K465="submitted", H465+30, TRUE, "N/A")), _xlfn.IFS(K465="AS", I465+15, K465="NCR", I465+30, K465="submitted", I465+30, TRUE, "N/A"))</f>
        <v>N/A</v>
      </c>
      <c r="K465" s="345" t="s">
        <v>146</v>
      </c>
      <c r="L465" s="318"/>
      <c r="M465" s="822"/>
      <c r="N465" s="823"/>
      <c r="O465" s="823"/>
      <c r="P465" s="824"/>
    </row>
    <row r="466" spans="1:16" s="531" customFormat="1" ht="27">
      <c r="A466" s="637" t="s">
        <v>1360</v>
      </c>
      <c r="B466" s="635" t="s">
        <v>1356</v>
      </c>
      <c r="C466" s="640" t="s">
        <v>1357</v>
      </c>
      <c r="D466" s="639" t="s">
        <v>1358</v>
      </c>
      <c r="E466" s="642"/>
      <c r="F466" s="633" t="s">
        <v>328</v>
      </c>
      <c r="G466" s="616" t="s">
        <v>1359</v>
      </c>
      <c r="H466" s="617">
        <v>45912</v>
      </c>
      <c r="I466" s="617"/>
      <c r="J466" s="74" cm="1">
        <f t="array" ref="J466">IF(ISBLANK(I466), IF(ISBLANK(H466), "N/A", _xlfn.IFS(K466="AS", H466+15, K466="NCR", H466+30, K466="submitted", H466+30, TRUE, "N/A")), _xlfn.IFS(K466="AS", I466+15, K466="NCR", I466+30, K466="submitted", I466+30, TRUE, "N/A"))</f>
        <v>45942</v>
      </c>
      <c r="K466" s="617" t="s">
        <v>311</v>
      </c>
      <c r="M466" s="822"/>
      <c r="N466" s="823"/>
      <c r="O466" s="823"/>
      <c r="P466" s="824"/>
    </row>
    <row r="467" spans="1:16" s="531" customFormat="1">
      <c r="A467" s="637" t="s">
        <v>1360</v>
      </c>
      <c r="B467" s="635" t="s">
        <v>1356</v>
      </c>
      <c r="C467" s="640" t="s">
        <v>1357</v>
      </c>
      <c r="D467" s="639" t="s">
        <v>1358</v>
      </c>
      <c r="E467" s="642"/>
      <c r="F467" s="633" t="s">
        <v>329</v>
      </c>
      <c r="G467" s="616" t="s">
        <v>268</v>
      </c>
      <c r="H467" s="617">
        <v>45912</v>
      </c>
      <c r="I467" s="617"/>
      <c r="J467" s="74" cm="1">
        <f t="array" ref="J467">IF(ISBLANK(I467), IF(ISBLANK(H467), "N/A", _xlfn.IFS(K467="AS", H467+15, K467="NCR", H467+30, K467="submitted", H467+30, TRUE, "N/A")), _xlfn.IFS(K467="AS", I467+15, K467="NCR", I467+30, K467="submitted", I467+30, TRUE, "N/A"))</f>
        <v>45942</v>
      </c>
      <c r="K467" s="617" t="s">
        <v>311</v>
      </c>
      <c r="M467" s="822"/>
      <c r="N467" s="823"/>
      <c r="O467" s="823"/>
      <c r="P467" s="824"/>
    </row>
    <row r="468" spans="1:16">
      <c r="A468" s="636"/>
      <c r="B468" s="634"/>
      <c r="C468" s="641" t="s">
        <v>1357</v>
      </c>
      <c r="D468" s="630"/>
      <c r="E468" s="643"/>
      <c r="F468" s="632" t="s">
        <v>396</v>
      </c>
      <c r="G468" s="344" t="s">
        <v>345</v>
      </c>
      <c r="H468" s="345"/>
      <c r="I468" s="345"/>
      <c r="J468" s="74" t="str" cm="1">
        <f t="array" ref="J468">IF(ISBLANK(I468), IF(ISBLANK(H468), "N/A", _xlfn.IFS(K468="AS", H468+15, K468="NCR", H468+30, K468="submitted", H468+30, TRUE, "N/A")), _xlfn.IFS(K468="AS", I468+15, K468="NCR", I468+30, K468="submitted", I468+30, TRUE, "N/A"))</f>
        <v>N/A</v>
      </c>
      <c r="K468" s="345"/>
      <c r="L468" s="318"/>
      <c r="M468" s="822"/>
      <c r="N468" s="823"/>
      <c r="O468" s="823"/>
      <c r="P468" s="824"/>
    </row>
    <row r="469" spans="1:16" ht="27">
      <c r="A469" s="636"/>
      <c r="B469" s="634"/>
      <c r="C469" s="641" t="s">
        <v>1357</v>
      </c>
      <c r="D469" s="630"/>
      <c r="E469" s="643"/>
      <c r="F469" s="632" t="s">
        <v>332</v>
      </c>
      <c r="G469" s="344" t="s">
        <v>1361</v>
      </c>
      <c r="H469" s="345"/>
      <c r="I469" s="345"/>
      <c r="J469" s="74" t="str" cm="1">
        <f t="array" ref="J469">IF(ISBLANK(I469), IF(ISBLANK(H469), "N/A", _xlfn.IFS(K469="AS", H469+15, K469="NCR", H469+30, K469="submitted", H469+30, TRUE, "N/A")), _xlfn.IFS(K469="AS", I469+15, K469="NCR", I469+30, K469="submitted", I469+30, TRUE, "N/A"))</f>
        <v>N/A</v>
      </c>
      <c r="K469" s="345"/>
      <c r="L469" s="318"/>
      <c r="M469" s="822"/>
      <c r="N469" s="823"/>
      <c r="O469" s="823"/>
      <c r="P469" s="824"/>
    </row>
    <row r="470" spans="1:16">
      <c r="A470" s="636"/>
      <c r="B470" s="634"/>
      <c r="C470" s="641" t="s">
        <v>1357</v>
      </c>
      <c r="D470" s="630"/>
      <c r="E470" s="643"/>
      <c r="F470" s="632" t="s">
        <v>338</v>
      </c>
      <c r="G470" s="344" t="s">
        <v>819</v>
      </c>
      <c r="H470" s="345"/>
      <c r="I470" s="345"/>
      <c r="J470" s="74" t="str" cm="1">
        <f t="array" ref="J470">IF(ISBLANK(I470), IF(ISBLANK(H470), "N/A", _xlfn.IFS(K470="AS", H470+15, K470="NCR", H470+30, K470="submitted", H470+30, TRUE, "N/A")), _xlfn.IFS(K470="AS", I470+15, K470="NCR", I470+30, K470="submitted", I470+30, TRUE, "N/A"))</f>
        <v>N/A</v>
      </c>
      <c r="K470" s="345"/>
      <c r="L470" s="318"/>
      <c r="M470" s="822"/>
      <c r="N470" s="823"/>
      <c r="O470" s="823"/>
      <c r="P470" s="824"/>
    </row>
    <row r="471" spans="1:16" ht="27">
      <c r="A471" s="636"/>
      <c r="B471" s="634"/>
      <c r="C471" s="641" t="s">
        <v>1357</v>
      </c>
      <c r="D471" s="630"/>
      <c r="E471" s="643"/>
      <c r="F471" s="632" t="s">
        <v>734</v>
      </c>
      <c r="G471" s="344" t="s">
        <v>820</v>
      </c>
      <c r="H471" s="345"/>
      <c r="I471" s="345"/>
      <c r="J471" s="74" t="str" cm="1">
        <f t="array" ref="J471">IF(ISBLANK(I471), IF(ISBLANK(H471), "N/A", _xlfn.IFS(K471="AS", H471+15, K471="NCR", H471+30, K471="submitted", H471+30, TRUE, "N/A")), _xlfn.IFS(K471="AS", I471+15, K471="NCR", I471+30, K471="submitted", I471+30, TRUE, "N/A"))</f>
        <v>N/A</v>
      </c>
      <c r="K471" s="345"/>
      <c r="L471" s="318"/>
      <c r="M471" s="822"/>
      <c r="N471" s="823"/>
      <c r="O471" s="823"/>
      <c r="P471" s="824"/>
    </row>
    <row r="472" spans="1:16" ht="27">
      <c r="A472" s="636"/>
      <c r="B472" s="634"/>
      <c r="C472" s="641" t="s">
        <v>1357</v>
      </c>
      <c r="D472" s="630"/>
      <c r="E472" s="643"/>
      <c r="F472" s="632" t="s">
        <v>735</v>
      </c>
      <c r="G472" s="344" t="s">
        <v>472</v>
      </c>
      <c r="H472" s="345"/>
      <c r="I472" s="345"/>
      <c r="J472" s="74" t="str" cm="1">
        <f t="array" ref="J472">IF(ISBLANK(I472), IF(ISBLANK(H472), "N/A", _xlfn.IFS(K472="AS", H472+15, K472="NCR", H472+30, K472="submitted", H472+30, TRUE, "N/A")), _xlfn.IFS(K472="AS", I472+15, K472="NCR", I472+30, K472="submitted", I472+30, TRUE, "N/A"))</f>
        <v>N/A</v>
      </c>
      <c r="K472" s="345"/>
      <c r="L472" s="318"/>
      <c r="M472" s="822"/>
      <c r="N472" s="823"/>
      <c r="O472" s="823"/>
      <c r="P472" s="824"/>
    </row>
    <row r="473" spans="1:16">
      <c r="A473" s="377" t="s">
        <v>1362</v>
      </c>
      <c r="B473" s="811">
        <v>11635</v>
      </c>
      <c r="C473" s="813" t="s">
        <v>1363</v>
      </c>
      <c r="D473" s="570"/>
      <c r="E473" s="571"/>
      <c r="F473" s="377"/>
      <c r="G473" s="301"/>
      <c r="H473" s="379"/>
      <c r="I473" s="379"/>
      <c r="J473" s="74" t="str" cm="1">
        <f t="array" ref="J473">IF(ISBLANK(I473), IF(ISBLANK(H473), "N/A", _xlfn.IFS(K473="AS", H473+15, K473="NCR", H473+30, K473="submitted", H473+30, TRUE, "N/A")), _xlfn.IFS(K473="AS", I473+15, K473="NCR", I473+30, K473="submitted", I473+30, TRUE, "N/A"))</f>
        <v>N/A</v>
      </c>
      <c r="K473" s="379"/>
      <c r="L473" s="380"/>
      <c r="M473" s="822"/>
      <c r="N473" s="823"/>
      <c r="O473" s="823"/>
      <c r="P473" s="824"/>
    </row>
    <row r="474" spans="1:16">
      <c r="A474" s="377"/>
      <c r="B474" s="811"/>
      <c r="C474" s="814"/>
      <c r="D474" s="570"/>
      <c r="E474" s="378"/>
      <c r="F474" s="377"/>
      <c r="G474" s="301"/>
      <c r="H474" s="379"/>
      <c r="I474" s="379"/>
      <c r="J474" s="74" t="str" cm="1">
        <f t="array" ref="J474">IF(ISBLANK(I474), IF(ISBLANK(H474), "N/A", _xlfn.IFS(K474="AS", H474+15, K474="NCR", H474+30, K474="submitted", H474+30, TRUE, "N/A")), _xlfn.IFS(K474="AS", I474+15, K474="NCR", I474+30, K474="submitted", I474+30, TRUE, "N/A"))</f>
        <v>N/A</v>
      </c>
      <c r="K474" s="379"/>
      <c r="L474" s="380"/>
      <c r="M474" s="822"/>
      <c r="N474" s="823"/>
      <c r="O474" s="823"/>
      <c r="P474" s="824"/>
    </row>
    <row r="475" spans="1:16">
      <c r="A475" s="377"/>
      <c r="B475" s="811"/>
      <c r="C475" s="814"/>
      <c r="D475" s="570"/>
      <c r="E475" s="378"/>
      <c r="F475" s="377"/>
      <c r="G475" s="301"/>
      <c r="H475" s="379"/>
      <c r="I475" s="379"/>
      <c r="J475" s="74" t="str" cm="1">
        <f t="array" ref="J475">IF(ISBLANK(I475), IF(ISBLANK(H475), "N/A", _xlfn.IFS(K475="AS", H475+15, K475="NCR", H475+30, K475="submitted", H475+30, TRUE, "N/A")), _xlfn.IFS(K475="AS", I475+15, K475="NCR", I475+30, K475="submitted", I475+30, TRUE, "N/A"))</f>
        <v>N/A</v>
      </c>
      <c r="K475" s="379"/>
      <c r="L475" s="380"/>
      <c r="M475" s="822"/>
      <c r="N475" s="823"/>
      <c r="O475" s="823"/>
      <c r="P475" s="824"/>
    </row>
    <row r="476" spans="1:16">
      <c r="A476" s="377"/>
      <c r="B476" s="812"/>
      <c r="C476" s="815"/>
      <c r="D476" s="571"/>
      <c r="E476" s="378"/>
      <c r="F476" s="377"/>
      <c r="G476" s="301"/>
      <c r="H476" s="379"/>
      <c r="I476" s="379"/>
      <c r="J476" s="74" t="str" cm="1">
        <f t="array" ref="J476">IF(ISBLANK(I476), IF(ISBLANK(H476), "N/A", _xlfn.IFS(K476="AS", H476+15, K476="NCR", H476+30, K476="submitted", H476+30, TRUE, "N/A")), _xlfn.IFS(K476="AS", I476+15, K476="NCR", I476+30, K476="submitted", I476+30, TRUE, "N/A"))</f>
        <v>N/A</v>
      </c>
      <c r="K476" s="379"/>
      <c r="L476" s="380"/>
      <c r="M476" s="822"/>
      <c r="N476" s="823"/>
      <c r="O476" s="823"/>
      <c r="P476" s="824"/>
    </row>
  </sheetData>
  <mergeCells count="14">
    <mergeCell ref="M128:P202"/>
    <mergeCell ref="M203:P210"/>
    <mergeCell ref="B473:B476"/>
    <mergeCell ref="C473:C476"/>
    <mergeCell ref="A1:G1"/>
    <mergeCell ref="B118:B120"/>
    <mergeCell ref="C118:C120"/>
    <mergeCell ref="M375:P382"/>
    <mergeCell ref="M383:P476"/>
    <mergeCell ref="M3:P6"/>
    <mergeCell ref="M7:P39"/>
    <mergeCell ref="M40:P47"/>
    <mergeCell ref="M48:P119"/>
    <mergeCell ref="M120:P127"/>
  </mergeCells>
  <conditionalFormatting sqref="A333:A343 B333:B358 C333:H343 C357:D357 E359:E376 A332:H332 A121:I243 I332:I343 A244:H244 A3:K3 E385:E418 K121:K343 J4:J476 K4:K117 A4:I117 A245:I331">
    <cfRule type="expression" dxfId="198" priority="31">
      <formula>$K3="Submitted"</formula>
    </cfRule>
    <cfRule type="expression" dxfId="197" priority="32">
      <formula>$K3="Rejected"</formula>
    </cfRule>
    <cfRule type="expression" dxfId="196" priority="33">
      <formula>$K3="accepted"</formula>
    </cfRule>
  </conditionalFormatting>
  <conditionalFormatting sqref="H357">
    <cfRule type="expression" dxfId="195" priority="28">
      <formula>$K357="Submitted"</formula>
    </cfRule>
    <cfRule type="expression" dxfId="194" priority="29">
      <formula>$K357="Rejected"</formula>
    </cfRule>
    <cfRule type="expression" dxfId="193" priority="30">
      <formula>$K357="accepted"</formula>
    </cfRule>
  </conditionalFormatting>
  <conditionalFormatting sqref="H359:I376 K359:K376">
    <cfRule type="expression" dxfId="192" priority="16">
      <formula>$K359="Submitted"</formula>
    </cfRule>
    <cfRule type="expression" dxfId="191" priority="17">
      <formula>$K359="Rejected"</formula>
    </cfRule>
    <cfRule type="expression" dxfId="190" priority="18">
      <formula>$K359="accepted"</formula>
    </cfRule>
  </conditionalFormatting>
  <conditionalFormatting sqref="K385:K418">
    <cfRule type="expression" dxfId="189" priority="10">
      <formula>$K385="Submitted"</formula>
    </cfRule>
    <cfRule type="expression" dxfId="188" priority="11">
      <formula>$K385="Rejected"</formula>
    </cfRule>
    <cfRule type="expression" dxfId="187" priority="12">
      <formula>$K385="accepted"</formula>
    </cfRule>
  </conditionalFormatting>
  <conditionalFormatting sqref="H438:I438 K438">
    <cfRule type="expression" dxfId="186" priority="7">
      <formula>$K438="Submitted"</formula>
    </cfRule>
    <cfRule type="expression" dxfId="185" priority="8">
      <formula>$K438="Rejected"</formula>
    </cfRule>
    <cfRule type="expression" dxfId="184" priority="9">
      <formula>$K438="accepted"</formula>
    </cfRule>
  </conditionalFormatting>
  <conditionalFormatting sqref="A474:A476 A118:G120 A468:D473 E468:G476 A464:G467">
    <cfRule type="expression" dxfId="183" priority="25">
      <formula>#REF!="IN PROGRESS"</formula>
    </cfRule>
    <cfRule type="expression" dxfId="182" priority="26">
      <formula>#REF!="N"</formula>
    </cfRule>
    <cfRule type="expression" dxfId="181" priority="27">
      <formula>#REF!="Y"</formula>
    </cfRule>
  </conditionalFormatting>
  <conditionalFormatting sqref="I244">
    <cfRule type="expression" dxfId="180" priority="1">
      <formula>$K244="Submitted"</formula>
    </cfRule>
    <cfRule type="expression" dxfId="179" priority="2">
      <formula>$K244="Rejected"</formula>
    </cfRule>
    <cfRule type="expression" dxfId="178" priority="3">
      <formula>$K244="accepted"</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3A2BA9-1FB2-4A24-B0D8-EDB2CC0BE6EC}">
  <dimension ref="A1:Q296"/>
  <sheetViews>
    <sheetView zoomScale="70" zoomScaleNormal="70" workbookViewId="0">
      <pane ySplit="2" topLeftCell="D77" activePane="bottomLeft" state="frozen"/>
      <selection pane="bottomLeft" activeCell="J3" sqref="J3"/>
    </sheetView>
  </sheetViews>
  <sheetFormatPr defaultRowHeight="15"/>
  <cols>
    <col min="1" max="1" width="11" bestFit="1" customWidth="1"/>
    <col min="3" max="3" width="47.85546875" bestFit="1" customWidth="1"/>
    <col min="4" max="4" width="48.140625" customWidth="1"/>
    <col min="6" max="6" width="11.85546875" bestFit="1" customWidth="1"/>
    <col min="7" max="7" width="75" customWidth="1"/>
    <col min="8" max="8" width="12.42578125" customWidth="1"/>
    <col min="9" max="9" width="12.42578125" style="511" customWidth="1"/>
    <col min="10" max="10" width="11.42578125" bestFit="1" customWidth="1"/>
    <col min="12" max="12" width="1.5703125" style="318" customWidth="1"/>
    <col min="13" max="13" width="9.140625" style="313"/>
    <col min="16" max="16" width="9.140625" style="314"/>
    <col min="17" max="17" width="1.85546875" style="318" customWidth="1"/>
  </cols>
  <sheetData>
    <row r="1" spans="1:16" ht="32.450000000000003" customHeight="1">
      <c r="A1" s="775" t="s">
        <v>1364</v>
      </c>
      <c r="B1" s="776"/>
      <c r="C1" s="776"/>
      <c r="D1" s="776"/>
      <c r="E1" s="776"/>
      <c r="F1" s="776"/>
      <c r="G1" s="776"/>
      <c r="H1" s="155"/>
      <c r="I1" s="501"/>
      <c r="K1" s="155"/>
      <c r="M1" s="315"/>
      <c r="N1" s="316"/>
      <c r="O1" s="316"/>
      <c r="P1" s="317"/>
    </row>
    <row r="2" spans="1:16" ht="40.5">
      <c r="A2" s="283" t="s">
        <v>112</v>
      </c>
      <c r="B2" s="284" t="s">
        <v>113</v>
      </c>
      <c r="C2" s="284" t="s">
        <v>114</v>
      </c>
      <c r="D2" s="286" t="s">
        <v>115</v>
      </c>
      <c r="E2" s="286" t="s">
        <v>116</v>
      </c>
      <c r="F2" s="286" t="s">
        <v>117</v>
      </c>
      <c r="G2" s="286" t="s">
        <v>118</v>
      </c>
      <c r="H2" s="291" t="s">
        <v>119</v>
      </c>
      <c r="I2" s="502" t="s">
        <v>120</v>
      </c>
      <c r="J2" s="291" t="s">
        <v>121</v>
      </c>
      <c r="K2" s="285" t="s">
        <v>122</v>
      </c>
      <c r="L2" s="320"/>
      <c r="M2" s="312" t="s">
        <v>123</v>
      </c>
      <c r="N2" s="294" t="s">
        <v>124</v>
      </c>
      <c r="O2" s="295" t="s">
        <v>125</v>
      </c>
      <c r="P2" s="296" t="s">
        <v>126</v>
      </c>
    </row>
    <row r="3" spans="1:16" s="138" customFormat="1" ht="15" customHeight="1">
      <c r="A3" s="133" t="s">
        <v>1365</v>
      </c>
      <c r="B3" s="791" t="s">
        <v>1366</v>
      </c>
      <c r="C3" s="848" t="s">
        <v>1367</v>
      </c>
      <c r="D3" s="164"/>
      <c r="E3" s="279" t="s">
        <v>1368</v>
      </c>
      <c r="F3" s="181" t="s">
        <v>1369</v>
      </c>
      <c r="G3" s="280" t="s">
        <v>1370</v>
      </c>
      <c r="H3" s="281">
        <v>45763</v>
      </c>
      <c r="I3" s="282">
        <v>45769</v>
      </c>
      <c r="J3" s="700" t="str" cm="1">
        <f t="array" ref="J3">IF(ISBLANK(I3), IF(ISBLANK(H3), "N/A", _xlfn.IFS(K3="AS", H3+15, K3="NCR", H3+30, K3="submitted", H3+30, TRUE, "N/A")), _xlfn.IFS(K3="AS", I3+15, K3="NCR", I3+30, K3="submitted", I3+30, TRUE, "N/A"))</f>
        <v>N/A</v>
      </c>
      <c r="K3" s="133" t="s">
        <v>150</v>
      </c>
      <c r="L3" s="318"/>
      <c r="M3" s="766" t="s">
        <v>132</v>
      </c>
      <c r="N3" s="767"/>
      <c r="O3" s="767"/>
      <c r="P3" s="768"/>
    </row>
    <row r="4" spans="1:16" s="150" customFormat="1" ht="15" customHeight="1">
      <c r="A4" s="122"/>
      <c r="B4" s="777"/>
      <c r="C4" s="849"/>
      <c r="D4" s="162"/>
      <c r="E4" s="143" t="s">
        <v>54</v>
      </c>
      <c r="F4" s="141" t="s">
        <v>135</v>
      </c>
      <c r="G4" s="13" t="s">
        <v>1371</v>
      </c>
      <c r="H4" s="201"/>
      <c r="I4" s="503"/>
      <c r="J4" s="700" t="str" cm="1">
        <f t="array" ref="J4">IF(ISBLANK(I4), IF(ISBLANK(H4), "N/A", _xlfn.IFS(K4="AS", H4+15, K4="NCR", H4+30, K4="submitted", H4+30, TRUE, "N/A")), _xlfn.IFS(K4="AS", I4+15, K4="NCR", I4+30, K4="submitted", I4+30, TRUE, "N/A"))</f>
        <v>N/A</v>
      </c>
      <c r="K4" s="13"/>
      <c r="L4" s="318"/>
      <c r="M4" s="769"/>
      <c r="N4" s="770"/>
      <c r="O4" s="770"/>
      <c r="P4" s="771"/>
    </row>
    <row r="5" spans="1:16" s="5" customFormat="1" ht="27" customHeight="1">
      <c r="A5" s="147" t="s">
        <v>1372</v>
      </c>
      <c r="B5" s="193" t="s">
        <v>1373</v>
      </c>
      <c r="C5" s="212" t="s">
        <v>1374</v>
      </c>
      <c r="D5" s="213" t="s">
        <v>1375</v>
      </c>
      <c r="E5" s="214" t="s">
        <v>54</v>
      </c>
      <c r="F5" s="180" t="s">
        <v>205</v>
      </c>
      <c r="G5" s="215" t="s">
        <v>1376</v>
      </c>
      <c r="H5" s="216"/>
      <c r="I5" s="339"/>
      <c r="J5" s="700" t="str" cm="1">
        <f t="array" ref="J5">IF(ISBLANK(I5), IF(ISBLANK(H5), "N/A", _xlfn.IFS(K5="AS", H5+15, K5="NCR", H5+30, K5="submitted", H5+30, TRUE, "N/A")), _xlfn.IFS(K5="AS", I5+15, K5="NCR", I5+30, K5="submitted", I5+30, TRUE, "N/A"))</f>
        <v>N/A</v>
      </c>
      <c r="K5" s="147" t="s">
        <v>1377</v>
      </c>
      <c r="L5" s="318"/>
      <c r="M5" s="769"/>
      <c r="N5" s="770"/>
      <c r="O5" s="770"/>
      <c r="P5" s="771"/>
    </row>
    <row r="6" spans="1:16" s="1" customFormat="1" ht="12.75" customHeight="1">
      <c r="A6" s="9"/>
      <c r="B6" s="790" t="s">
        <v>1378</v>
      </c>
      <c r="C6" s="845" t="s">
        <v>1379</v>
      </c>
      <c r="D6" s="165"/>
      <c r="E6" s="160" t="s">
        <v>54</v>
      </c>
      <c r="F6" s="141" t="s">
        <v>475</v>
      </c>
      <c r="G6" s="162" t="s">
        <v>276</v>
      </c>
      <c r="H6" s="197"/>
      <c r="I6" s="504"/>
      <c r="J6" s="700" t="str" cm="1">
        <f t="array" ref="J6">IF(ISBLANK(I6), IF(ISBLANK(H6), "N/A", _xlfn.IFS(K6="AS", H6+15, K6="NCR", H6+30, K6="submitted", H6+30, TRUE, "N/A")), _xlfn.IFS(K6="AS", I6+15, K6="NCR", I6+30, K6="submitted", I6+30, TRUE, "N/A"))</f>
        <v>N/A</v>
      </c>
      <c r="K6" s="7"/>
      <c r="L6" s="318"/>
      <c r="M6" s="769"/>
      <c r="N6" s="770"/>
      <c r="O6" s="770"/>
      <c r="P6" s="771"/>
    </row>
    <row r="7" spans="1:16" s="138" customFormat="1" ht="15" hidden="1" customHeight="1">
      <c r="A7" s="138" t="s">
        <v>1380</v>
      </c>
      <c r="B7" s="791"/>
      <c r="C7" s="846"/>
      <c r="D7" s="157"/>
      <c r="E7" s="156"/>
      <c r="F7" s="179" t="s">
        <v>865</v>
      </c>
      <c r="G7" s="163" t="s">
        <v>1381</v>
      </c>
      <c r="H7" s="198"/>
      <c r="I7" s="505"/>
      <c r="J7" s="700" t="str" cm="1">
        <f t="array" ref="J7">IF(ISBLANK(I7), IF(ISBLANK(H7), "N/A", _xlfn.IFS(K7="AS", H7+15, K7="NCR", H7+30, K7="submitted", H7+30, TRUE, "N/A")), _xlfn.IFS(K7="AS", I7+15, K7="NCR", I7+30, K7="submitted", I7+30, TRUE, "N/A"))</f>
        <v>N/A</v>
      </c>
      <c r="K7" s="154"/>
      <c r="L7" s="318"/>
      <c r="M7" s="772" t="s">
        <v>147</v>
      </c>
      <c r="N7" s="773"/>
      <c r="O7" s="773"/>
      <c r="P7" s="774"/>
    </row>
    <row r="8" spans="1:16" s="1" customFormat="1" ht="15" hidden="1" customHeight="1">
      <c r="A8" s="9"/>
      <c r="B8" s="791"/>
      <c r="C8" s="846"/>
      <c r="D8" s="165"/>
      <c r="E8" s="248" t="s">
        <v>54</v>
      </c>
      <c r="F8" s="226" t="s">
        <v>1149</v>
      </c>
      <c r="G8" s="224" t="s">
        <v>1382</v>
      </c>
      <c r="H8" s="197"/>
      <c r="I8" s="504"/>
      <c r="J8" s="700" t="str" cm="1">
        <f t="array" ref="J8">IF(ISBLANK(I8), IF(ISBLANK(H8), "N/A", _xlfn.IFS(K8="AS", H8+15, K8="NCR", H8+30, K8="submitted", H8+30, TRUE, "N/A")), _xlfn.IFS(K8="AS", I8+15, K8="NCR", I8+30, K8="submitted", I8+30, TRUE, "N/A"))</f>
        <v>N/A</v>
      </c>
      <c r="K8" s="7"/>
      <c r="L8" s="318"/>
      <c r="M8" s="772"/>
      <c r="N8" s="773"/>
      <c r="O8" s="773"/>
      <c r="P8" s="774"/>
    </row>
    <row r="9" spans="1:16" s="138" customFormat="1" ht="15" customHeight="1">
      <c r="A9" s="152" t="s">
        <v>1383</v>
      </c>
      <c r="B9" s="791"/>
      <c r="C9" s="846"/>
      <c r="D9" s="157" t="s">
        <v>1384</v>
      </c>
      <c r="E9" s="156"/>
      <c r="F9" s="179" t="s">
        <v>1159</v>
      </c>
      <c r="G9" s="163" t="s">
        <v>1385</v>
      </c>
      <c r="H9" s="275">
        <v>45796</v>
      </c>
      <c r="I9" s="217">
        <v>45800</v>
      </c>
      <c r="J9" s="700" t="str" cm="1">
        <f t="array" ref="J9">IF(ISBLANK(I9), IF(ISBLANK(H9), "N/A", _xlfn.IFS(K9="AS", H9+15, K9="NCR", H9+30, K9="submitted", H9+30, TRUE, "N/A")), _xlfn.IFS(K9="AS", I9+15, K9="NCR", I9+30, K9="submitted", I9+30, TRUE, "N/A"))</f>
        <v>N/A</v>
      </c>
      <c r="K9" s="236" t="s">
        <v>1386</v>
      </c>
      <c r="L9" s="318"/>
      <c r="M9" s="772"/>
      <c r="N9" s="773"/>
      <c r="O9" s="773"/>
      <c r="P9" s="774"/>
    </row>
    <row r="10" spans="1:16" s="1" customFormat="1" ht="15" customHeight="1">
      <c r="A10" s="9"/>
      <c r="B10" s="791"/>
      <c r="C10" s="846"/>
      <c r="D10" s="165"/>
      <c r="E10" s="160" t="s">
        <v>54</v>
      </c>
      <c r="F10" s="141" t="s">
        <v>1161</v>
      </c>
      <c r="G10" s="162" t="s">
        <v>1387</v>
      </c>
      <c r="H10" s="197"/>
      <c r="I10" s="504"/>
      <c r="J10" s="700" t="str" cm="1">
        <f t="array" ref="J10">IF(ISBLANK(I10), IF(ISBLANK(H10), "N/A", _xlfn.IFS(K10="AS", H10+15, K10="NCR", H10+30, K10="submitted", H10+30, TRUE, "N/A")), _xlfn.IFS(K10="AS", I10+15, K10="NCR", I10+30, K10="submitted", I10+30, TRUE, "N/A"))</f>
        <v>N/A</v>
      </c>
      <c r="K10" s="7"/>
      <c r="L10" s="318"/>
      <c r="M10" s="772"/>
      <c r="N10" s="773"/>
      <c r="O10" s="773"/>
      <c r="P10" s="774"/>
    </row>
    <row r="11" spans="1:16" s="1" customFormat="1" ht="15" customHeight="1">
      <c r="A11" s="9"/>
      <c r="B11" s="777"/>
      <c r="C11" s="847"/>
      <c r="D11" s="165"/>
      <c r="E11" s="160" t="s">
        <v>54</v>
      </c>
      <c r="F11" s="141" t="s">
        <v>1163</v>
      </c>
      <c r="G11" s="162" t="s">
        <v>1388</v>
      </c>
      <c r="H11" s="197"/>
      <c r="I11" s="504"/>
      <c r="J11" s="700" t="str" cm="1">
        <f t="array" ref="J11">IF(ISBLANK(I11), IF(ISBLANK(H11), "N/A", _xlfn.IFS(K11="AS", H11+15, K11="NCR", H11+30, K11="submitted", H11+30, TRUE, "N/A")), _xlfn.IFS(K11="AS", I11+15, K11="NCR", I11+30, K11="submitted", I11+30, TRUE, "N/A"))</f>
        <v>N/A</v>
      </c>
      <c r="K11" s="7"/>
      <c r="L11" s="318"/>
      <c r="M11" s="772"/>
      <c r="N11" s="773"/>
      <c r="O11" s="773"/>
      <c r="P11" s="774"/>
    </row>
    <row r="12" spans="1:16" s="1" customFormat="1" ht="15" customHeight="1">
      <c r="A12" s="4"/>
      <c r="B12" s="54" t="s">
        <v>1389</v>
      </c>
      <c r="C12" s="16" t="s">
        <v>1390</v>
      </c>
      <c r="D12" s="16" t="s">
        <v>1391</v>
      </c>
      <c r="E12" s="17" t="s">
        <v>1392</v>
      </c>
      <c r="F12" s="4" t="s">
        <v>205</v>
      </c>
      <c r="G12" s="3" t="s">
        <v>1393</v>
      </c>
      <c r="H12" s="197"/>
      <c r="I12" s="504"/>
      <c r="J12" s="700" t="str" cm="1">
        <f t="array" ref="J12">IF(ISBLANK(I12), IF(ISBLANK(H12), "N/A", _xlfn.IFS(K12="AS", H12+15, K12="NCR", H12+30, K12="submitted", H12+30, TRUE, "N/A")), _xlfn.IFS(K12="AS", I12+15, K12="NCR", I12+30, K12="submitted", I12+30, TRUE, "N/A"))</f>
        <v>N/A</v>
      </c>
      <c r="K12" s="16"/>
      <c r="L12" s="319"/>
      <c r="M12" s="772"/>
      <c r="N12" s="773"/>
      <c r="O12" s="773"/>
      <c r="P12" s="774"/>
    </row>
    <row r="13" spans="1:16" s="1" customFormat="1" ht="15" customHeight="1">
      <c r="A13" s="4"/>
      <c r="B13" s="54" t="s">
        <v>1389</v>
      </c>
      <c r="C13" s="16" t="s">
        <v>1390</v>
      </c>
      <c r="D13" s="16"/>
      <c r="E13" s="17" t="s">
        <v>280</v>
      </c>
      <c r="F13" s="4" t="s">
        <v>275</v>
      </c>
      <c r="G13" s="17" t="s">
        <v>1394</v>
      </c>
      <c r="H13" s="197"/>
      <c r="I13" s="504"/>
      <c r="J13" s="700" t="str" cm="1">
        <f t="array" ref="J13">IF(ISBLANK(I13), IF(ISBLANK(H13), "N/A", _xlfn.IFS(K13="AS", H13+15, K13="NCR", H13+30, K13="submitted", H13+30, TRUE, "N/A")), _xlfn.IFS(K13="AS", I13+15, K13="NCR", I13+30, K13="submitted", I13+30, TRUE, "N/A"))</f>
        <v>N/A</v>
      </c>
      <c r="K13" s="16"/>
      <c r="L13" s="318"/>
      <c r="M13" s="772"/>
      <c r="N13" s="773"/>
      <c r="O13" s="773"/>
      <c r="P13" s="774"/>
    </row>
    <row r="14" spans="1:16" s="1" customFormat="1" ht="15" customHeight="1">
      <c r="A14" s="4"/>
      <c r="B14" s="54" t="s">
        <v>1389</v>
      </c>
      <c r="C14" s="16" t="s">
        <v>1390</v>
      </c>
      <c r="D14" s="16"/>
      <c r="E14" s="17" t="s">
        <v>280</v>
      </c>
      <c r="F14" s="4" t="s">
        <v>263</v>
      </c>
      <c r="G14" s="17" t="s">
        <v>1395</v>
      </c>
      <c r="H14" s="197"/>
      <c r="I14" s="504"/>
      <c r="J14" s="700" t="str" cm="1">
        <f t="array" ref="J14">IF(ISBLANK(I14), IF(ISBLANK(H14), "N/A", _xlfn.IFS(K14="AS", H14+15, K14="NCR", H14+30, K14="submitted", H14+30, TRUE, "N/A")), _xlfn.IFS(K14="AS", I14+15, K14="NCR", I14+30, K14="submitted", I14+30, TRUE, "N/A"))</f>
        <v>N/A</v>
      </c>
      <c r="K14" s="16"/>
      <c r="L14" s="318"/>
      <c r="M14" s="772"/>
      <c r="N14" s="773"/>
      <c r="O14" s="773"/>
      <c r="P14" s="774"/>
    </row>
    <row r="15" spans="1:16" s="1" customFormat="1" ht="15" customHeight="1">
      <c r="A15" s="4"/>
      <c r="B15" s="54" t="s">
        <v>1389</v>
      </c>
      <c r="C15" s="16" t="s">
        <v>1390</v>
      </c>
      <c r="D15" s="17"/>
      <c r="E15" s="17"/>
      <c r="F15" s="4" t="s">
        <v>253</v>
      </c>
      <c r="G15" s="17" t="s">
        <v>1396</v>
      </c>
      <c r="H15" s="197"/>
      <c r="I15" s="504"/>
      <c r="J15" s="700" t="str" cm="1">
        <f t="array" ref="J15">IF(ISBLANK(I15), IF(ISBLANK(H15), "N/A", _xlfn.IFS(K15="AS", H15+15, K15="NCR", H15+30, K15="submitted", H15+30, TRUE, "N/A")), _xlfn.IFS(K15="AS", I15+15, K15="NCR", I15+30, K15="submitted", I15+30, TRUE, "N/A"))</f>
        <v>N/A</v>
      </c>
      <c r="K15" s="16"/>
      <c r="L15" s="318"/>
      <c r="M15" s="772"/>
      <c r="N15" s="773"/>
      <c r="O15" s="773"/>
      <c r="P15" s="774"/>
    </row>
    <row r="16" spans="1:16" s="138" customFormat="1" ht="15" customHeight="1">
      <c r="A16" s="133" t="s">
        <v>1397</v>
      </c>
      <c r="B16" s="134" t="s">
        <v>1398</v>
      </c>
      <c r="C16" s="135" t="s">
        <v>1399</v>
      </c>
      <c r="D16" s="174" t="s">
        <v>1400</v>
      </c>
      <c r="E16" s="159" t="s">
        <v>1368</v>
      </c>
      <c r="F16" s="181" t="s">
        <v>1401</v>
      </c>
      <c r="G16" s="164" t="s">
        <v>1402</v>
      </c>
      <c r="H16" s="275">
        <v>45762</v>
      </c>
      <c r="I16" s="217">
        <v>45764</v>
      </c>
      <c r="J16" s="700" t="str" cm="1">
        <f t="array" ref="J16">IF(ISBLANK(I16), IF(ISBLANK(H16), "N/A", _xlfn.IFS(K16="AS", H16+15, K16="NCR", H16+30, K16="submitted", H16+30, TRUE, "N/A")), _xlfn.IFS(K16="AS", I16+15, K16="NCR", I16+30, K16="submitted", I16+30, TRUE, "N/A"))</f>
        <v>N/A</v>
      </c>
      <c r="K16" s="136" t="s">
        <v>146</v>
      </c>
      <c r="L16" s="318"/>
      <c r="M16" s="772"/>
      <c r="N16" s="773"/>
      <c r="O16" s="773"/>
      <c r="P16" s="774"/>
    </row>
    <row r="17" spans="1:16" s="138" customFormat="1" ht="15" customHeight="1">
      <c r="A17" s="133" t="s">
        <v>1403</v>
      </c>
      <c r="B17" s="134" t="s">
        <v>1398</v>
      </c>
      <c r="C17" s="135" t="s">
        <v>1399</v>
      </c>
      <c r="D17" s="174" t="s">
        <v>1400</v>
      </c>
      <c r="E17" s="159" t="s">
        <v>1368</v>
      </c>
      <c r="F17" s="181" t="s">
        <v>1401</v>
      </c>
      <c r="G17" s="164" t="s">
        <v>1402</v>
      </c>
      <c r="H17" s="275">
        <v>45807</v>
      </c>
      <c r="I17" s="217">
        <v>45813</v>
      </c>
      <c r="J17" s="700" t="str" cm="1">
        <f t="array" ref="J17">IF(ISBLANK(I17), IF(ISBLANK(H17), "N/A", _xlfn.IFS(K17="AS", H17+15, K17="NCR", H17+30, K17="submitted", H17+30, TRUE, "N/A")), _xlfn.IFS(K17="AS", I17+15, K17="NCR", I17+30, K17="submitted", I17+30, TRUE, "N/A"))</f>
        <v>N/A</v>
      </c>
      <c r="K17" s="136" t="s">
        <v>645</v>
      </c>
      <c r="L17" s="318"/>
      <c r="M17" s="772"/>
      <c r="N17" s="773"/>
      <c r="O17" s="773"/>
      <c r="P17" s="774"/>
    </row>
    <row r="18" spans="1:16" s="5" customFormat="1" ht="15" customHeight="1">
      <c r="A18" s="4"/>
      <c r="B18" s="794" t="s">
        <v>1404</v>
      </c>
      <c r="C18" s="796" t="s">
        <v>1405</v>
      </c>
      <c r="D18" s="130"/>
      <c r="E18" s="144" t="s">
        <v>1368</v>
      </c>
      <c r="F18" s="146" t="s">
        <v>275</v>
      </c>
      <c r="G18" s="132" t="s">
        <v>276</v>
      </c>
      <c r="H18" s="200"/>
      <c r="I18" s="506"/>
      <c r="J18" s="700" t="str" cm="1">
        <f t="array" ref="J18">IF(ISBLANK(I18), IF(ISBLANK(H18), "N/A", _xlfn.IFS(K18="AS", H18+15, K18="NCR", H18+30, K18="submitted", H18+30, TRUE, "N/A")), _xlfn.IFS(K18="AS", I18+15, K18="NCR", I18+30, K18="submitted", I18+30, TRUE, "N/A"))</f>
        <v>N/A</v>
      </c>
      <c r="K18" s="34"/>
      <c r="L18" s="318"/>
      <c r="M18" s="772"/>
      <c r="N18" s="773"/>
      <c r="O18" s="773"/>
      <c r="P18" s="774"/>
    </row>
    <row r="19" spans="1:16" s="5" customFormat="1" ht="27" customHeight="1">
      <c r="A19" s="4"/>
      <c r="B19" s="795"/>
      <c r="C19" s="797"/>
      <c r="D19" s="145"/>
      <c r="E19" s="144" t="s">
        <v>1368</v>
      </c>
      <c r="F19" s="146" t="s">
        <v>263</v>
      </c>
      <c r="G19" s="161" t="s">
        <v>1406</v>
      </c>
      <c r="H19" s="196"/>
      <c r="I19" s="300"/>
      <c r="J19" s="700" t="str" cm="1">
        <f t="array" ref="J19">IF(ISBLANK(I19), IF(ISBLANK(H19), "N/A", _xlfn.IFS(K19="AS", H19+15, K19="NCR", H19+30, K19="submitted", H19+30, TRUE, "N/A")), _xlfn.IFS(K19="AS", I19+15, K19="NCR", I19+30, K19="submitted", I19+30, TRUE, "N/A"))</f>
        <v>N/A</v>
      </c>
      <c r="K19" s="36"/>
      <c r="L19" s="318"/>
      <c r="M19" s="772"/>
      <c r="N19" s="773"/>
      <c r="O19" s="773"/>
      <c r="P19" s="774"/>
    </row>
    <row r="20" spans="1:16" s="229" customFormat="1" ht="15" customHeight="1">
      <c r="A20" s="222"/>
      <c r="B20" s="230" t="s">
        <v>1407</v>
      </c>
      <c r="C20" s="231" t="s">
        <v>1408</v>
      </c>
      <c r="D20" s="224"/>
      <c r="E20" s="225" t="s">
        <v>54</v>
      </c>
      <c r="F20" s="226" t="s">
        <v>130</v>
      </c>
      <c r="G20" s="224" t="s">
        <v>1409</v>
      </c>
      <c r="H20" s="227"/>
      <c r="I20" s="507"/>
      <c r="J20" s="700" t="str" cm="1">
        <f t="array" ref="J20">IF(ISBLANK(I20), IF(ISBLANK(H20), "N/A", _xlfn.IFS(K20="AS", H20+15, K20="NCR", H20+30, K20="submitted", H20+30, TRUE, "N/A")), _xlfn.IFS(K20="AS", I20+15, K20="NCR", I20+30, K20="submitted", I20+30, TRUE, "N/A"))</f>
        <v>N/A</v>
      </c>
      <c r="K20" s="223"/>
      <c r="L20" s="318"/>
      <c r="M20" s="772"/>
      <c r="N20" s="773"/>
      <c r="O20" s="773"/>
      <c r="P20" s="774"/>
    </row>
    <row r="21" spans="1:16" s="138" customFormat="1" ht="31.5" customHeight="1">
      <c r="A21" s="152" t="s">
        <v>1410</v>
      </c>
      <c r="B21" s="170" t="s">
        <v>1411</v>
      </c>
      <c r="C21" s="261" t="s">
        <v>1412</v>
      </c>
      <c r="D21" s="428" t="s">
        <v>1413</v>
      </c>
      <c r="E21" s="159" t="s">
        <v>158</v>
      </c>
      <c r="F21" s="179" t="s">
        <v>275</v>
      </c>
      <c r="G21" s="157" t="s">
        <v>1414</v>
      </c>
      <c r="H21" s="359">
        <v>45835</v>
      </c>
      <c r="I21" s="303">
        <v>45887</v>
      </c>
      <c r="J21" s="700" t="str" cm="1">
        <f t="array" ref="J21">IF(ISBLANK(I21), IF(ISBLANK(H21), "N/A", _xlfn.IFS(K21="AS", H21+15, K21="NCR", H21+30, K21="submitted", H21+30, TRUE, "N/A")), _xlfn.IFS(K21="AS", I21+15, K21="NCR", I21+30, K21="submitted", I21+30, TRUE, "N/A"))</f>
        <v>N/A</v>
      </c>
      <c r="K21" s="169" t="s">
        <v>150</v>
      </c>
      <c r="L21" s="318"/>
      <c r="M21" s="772"/>
      <c r="N21" s="773"/>
      <c r="O21" s="773"/>
      <c r="P21" s="774"/>
    </row>
    <row r="22" spans="1:16" s="150" customFormat="1" ht="15" customHeight="1">
      <c r="A22" s="147" t="s">
        <v>55</v>
      </c>
      <c r="B22" s="246" t="s">
        <v>1411</v>
      </c>
      <c r="C22" s="333" t="s">
        <v>1412</v>
      </c>
      <c r="D22" s="221" t="s">
        <v>1415</v>
      </c>
      <c r="E22" s="168" t="s">
        <v>54</v>
      </c>
      <c r="F22" s="180" t="s">
        <v>263</v>
      </c>
      <c r="G22" s="167" t="s">
        <v>1416</v>
      </c>
      <c r="H22" s="276">
        <v>45867</v>
      </c>
      <c r="I22" s="235">
        <v>45895</v>
      </c>
      <c r="J22" s="700" t="str" cm="1">
        <f t="array" ref="J22">IF(ISBLANK(I22), IF(ISBLANK(H22), "N/A", _xlfn.IFS(K22="AS", H22+15, K22="NCR", H22+30, K22="submitted", H22+30, TRUE, "N/A")), _xlfn.IFS(K22="AS", I22+15, K22="NCR", I22+30, K22="submitted", I22+30, TRUE, "N/A"))</f>
        <v>N/A</v>
      </c>
      <c r="K22" s="220" t="s">
        <v>146</v>
      </c>
      <c r="L22" s="318"/>
      <c r="M22" s="772"/>
      <c r="N22" s="773"/>
      <c r="O22" s="773"/>
      <c r="P22" s="774"/>
    </row>
    <row r="23" spans="1:16" s="5" customFormat="1" ht="15" customHeight="1">
      <c r="A23" s="4"/>
      <c r="B23" s="54" t="s">
        <v>1411</v>
      </c>
      <c r="C23" s="55" t="s">
        <v>1412</v>
      </c>
      <c r="D23" s="145"/>
      <c r="E23" s="144" t="s">
        <v>158</v>
      </c>
      <c r="F23" s="146" t="s">
        <v>253</v>
      </c>
      <c r="G23" s="132" t="s">
        <v>1417</v>
      </c>
      <c r="H23" s="200"/>
      <c r="I23" s="506"/>
      <c r="J23" s="700" t="str" cm="1">
        <f t="array" ref="J23">IF(ISBLANK(I23), IF(ISBLANK(H23), "N/A", _xlfn.IFS(K23="AS", H23+15, K23="NCR", H23+30, K23="submitted", H23+30, TRUE, "N/A")), _xlfn.IFS(K23="AS", I23+15, K23="NCR", I23+30, K23="submitted", I23+30, TRUE, "N/A"))</f>
        <v>N/A</v>
      </c>
      <c r="K23" s="36"/>
      <c r="L23" s="318"/>
      <c r="M23" s="772"/>
      <c r="N23" s="773"/>
      <c r="O23" s="773"/>
      <c r="P23" s="774"/>
    </row>
    <row r="24" spans="1:16" s="1" customFormat="1" ht="15" customHeight="1">
      <c r="A24" s="9"/>
      <c r="B24" s="790" t="s">
        <v>1418</v>
      </c>
      <c r="C24" s="2" t="s">
        <v>1419</v>
      </c>
      <c r="D24" s="175"/>
      <c r="E24" s="143" t="s">
        <v>1368</v>
      </c>
      <c r="F24" s="141" t="s">
        <v>210</v>
      </c>
      <c r="G24" s="162" t="s">
        <v>1420</v>
      </c>
      <c r="H24" s="197"/>
      <c r="I24" s="504"/>
      <c r="J24" s="700" t="str" cm="1">
        <f t="array" ref="J24">IF(ISBLANK(I24), IF(ISBLANK(H24), "N/A", _xlfn.IFS(K24="AS", H24+15, K24="NCR", H24+30, K24="submitted", H24+30, TRUE, "N/A")), _xlfn.IFS(K24="AS", I24+15, K24="NCR", I24+30, K24="submitted", I24+30, TRUE, "N/A"))</f>
        <v>N/A</v>
      </c>
      <c r="K24" s="37"/>
      <c r="L24" s="318"/>
      <c r="M24" s="772"/>
      <c r="N24" s="773"/>
      <c r="O24" s="773"/>
      <c r="P24" s="774"/>
    </row>
    <row r="25" spans="1:16" s="1" customFormat="1" ht="27" customHeight="1">
      <c r="A25" s="22"/>
      <c r="B25" s="791"/>
      <c r="C25" s="2" t="s">
        <v>1419</v>
      </c>
      <c r="D25" s="202"/>
      <c r="E25" s="143" t="s">
        <v>1368</v>
      </c>
      <c r="F25" s="141" t="s">
        <v>228</v>
      </c>
      <c r="G25" s="165" t="s">
        <v>1421</v>
      </c>
      <c r="H25" s="201"/>
      <c r="I25" s="503"/>
      <c r="J25" s="700" t="str" cm="1">
        <f t="array" ref="J25">IF(ISBLANK(I25), IF(ISBLANK(H25), "N/A", _xlfn.IFS(K25="AS", H25+15, K25="NCR", H25+30, K25="submitted", H25+30, TRUE, "N/A")), _xlfn.IFS(K25="AS", I25+15, K25="NCR", I25+30, K25="submitted", I25+30, TRUE, "N/A"))</f>
        <v>N/A</v>
      </c>
      <c r="K25" s="39"/>
      <c r="L25" s="318"/>
      <c r="M25" s="772"/>
      <c r="N25" s="773"/>
      <c r="O25" s="773"/>
      <c r="P25" s="774"/>
    </row>
    <row r="26" spans="1:16" s="1" customFormat="1" ht="15" customHeight="1">
      <c r="A26" s="9"/>
      <c r="B26" s="791"/>
      <c r="C26" s="2" t="s">
        <v>1419</v>
      </c>
      <c r="D26" s="176"/>
      <c r="E26" s="143" t="s">
        <v>1368</v>
      </c>
      <c r="F26" s="141" t="s">
        <v>230</v>
      </c>
      <c r="G26" s="162" t="s">
        <v>1422</v>
      </c>
      <c r="H26" s="197"/>
      <c r="I26" s="504"/>
      <c r="J26" s="700" t="str" cm="1">
        <f t="array" ref="J26">IF(ISBLANK(I26), IF(ISBLANK(H26), "N/A", _xlfn.IFS(K26="AS", H26+15, K26="NCR", H26+30, K26="submitted", H26+30, TRUE, "N/A")), _xlfn.IFS(K26="AS", I26+15, K26="NCR", I26+30, K26="submitted", I26+30, TRUE, "N/A"))</f>
        <v>N/A</v>
      </c>
      <c r="K26" s="39"/>
      <c r="L26" s="318"/>
      <c r="M26" s="772"/>
      <c r="N26" s="773"/>
      <c r="O26" s="773"/>
      <c r="P26" s="774"/>
    </row>
    <row r="27" spans="1:16" s="1" customFormat="1" ht="15" customHeight="1">
      <c r="A27" s="9"/>
      <c r="B27" s="791"/>
      <c r="C27" s="2" t="s">
        <v>1419</v>
      </c>
      <c r="D27" s="176"/>
      <c r="E27" s="143" t="s">
        <v>1368</v>
      </c>
      <c r="F27" s="141" t="s">
        <v>329</v>
      </c>
      <c r="G27" s="162" t="s">
        <v>1423</v>
      </c>
      <c r="H27" s="197"/>
      <c r="I27" s="504"/>
      <c r="J27" s="700" t="str" cm="1">
        <f t="array" ref="J27">IF(ISBLANK(I27), IF(ISBLANK(H27), "N/A", _xlfn.IFS(K27="AS", H27+15, K27="NCR", H27+30, K27="submitted", H27+30, TRUE, "N/A")), _xlfn.IFS(K27="AS", I27+15, K27="NCR", I27+30, K27="submitted", I27+30, TRUE, "N/A"))</f>
        <v>N/A</v>
      </c>
      <c r="K27" s="39"/>
      <c r="L27" s="318"/>
      <c r="M27" s="772"/>
      <c r="N27" s="773"/>
      <c r="O27" s="773"/>
      <c r="P27" s="774"/>
    </row>
    <row r="28" spans="1:16" s="138" customFormat="1" ht="15" customHeight="1">
      <c r="A28" s="152" t="s">
        <v>57</v>
      </c>
      <c r="B28" s="791"/>
      <c r="C28" s="261" t="s">
        <v>1419</v>
      </c>
      <c r="D28" s="358" t="s">
        <v>58</v>
      </c>
      <c r="E28" s="159" t="s">
        <v>1368</v>
      </c>
      <c r="F28" s="179" t="s">
        <v>330</v>
      </c>
      <c r="G28" s="163" t="s">
        <v>1424</v>
      </c>
      <c r="H28" s="275">
        <v>45841</v>
      </c>
      <c r="I28" s="217">
        <v>45891</v>
      </c>
      <c r="J28" s="700" t="str" cm="1">
        <f t="array" ref="J28">IF(ISBLANK(I28), IF(ISBLANK(H28), "N/A", _xlfn.IFS(K28="AS", H28+15, K28="NCR", H28+30, K28="submitted", H28+30, TRUE, "N/A")), _xlfn.IFS(K28="AS", I28+15, K28="NCR", I28+30, K28="submitted", I28+30, TRUE, "N/A"))</f>
        <v>N/A</v>
      </c>
      <c r="K28" s="169" t="s">
        <v>150</v>
      </c>
      <c r="L28" s="318"/>
      <c r="M28" s="772"/>
      <c r="N28" s="773"/>
      <c r="O28" s="773"/>
      <c r="P28" s="774"/>
    </row>
    <row r="29" spans="1:16" s="138" customFormat="1" ht="15" customHeight="1">
      <c r="A29" s="152" t="s">
        <v>57</v>
      </c>
      <c r="B29" s="791"/>
      <c r="C29" s="261" t="s">
        <v>1419</v>
      </c>
      <c r="D29" s="358" t="s">
        <v>58</v>
      </c>
      <c r="E29" s="159" t="s">
        <v>1368</v>
      </c>
      <c r="F29" s="179" t="s">
        <v>1254</v>
      </c>
      <c r="G29" s="163" t="s">
        <v>1425</v>
      </c>
      <c r="H29" s="275">
        <v>45841</v>
      </c>
      <c r="I29" s="217">
        <v>45891</v>
      </c>
      <c r="J29" s="700" t="str" cm="1">
        <f t="array" ref="J29">IF(ISBLANK(I29), IF(ISBLANK(H29), "N/A", _xlfn.IFS(K29="AS", H29+15, K29="NCR", H29+30, K29="submitted", H29+30, TRUE, "N/A")), _xlfn.IFS(K29="AS", I29+15, K29="NCR", I29+30, K29="submitted", I29+30, TRUE, "N/A"))</f>
        <v>N/A</v>
      </c>
      <c r="K29" s="169" t="s">
        <v>150</v>
      </c>
      <c r="L29" s="318"/>
      <c r="M29" s="772"/>
      <c r="N29" s="773"/>
      <c r="O29" s="773"/>
      <c r="P29" s="774"/>
    </row>
    <row r="30" spans="1:16" s="486" customFormat="1" ht="15" customHeight="1">
      <c r="A30" s="350" t="s">
        <v>59</v>
      </c>
      <c r="B30" s="791"/>
      <c r="C30" s="353" t="s">
        <v>1419</v>
      </c>
      <c r="D30" s="515" t="s">
        <v>1426</v>
      </c>
      <c r="E30" s="516" t="s">
        <v>158</v>
      </c>
      <c r="F30" s="517" t="s">
        <v>1256</v>
      </c>
      <c r="G30" s="355" t="s">
        <v>1427</v>
      </c>
      <c r="H30" s="518">
        <v>45873</v>
      </c>
      <c r="I30" s="356">
        <v>45894</v>
      </c>
      <c r="J30" s="700" t="str" cm="1">
        <f t="array" ref="J30">IF(ISBLANK(I30), IF(ISBLANK(H30), "N/A", _xlfn.IFS(K30="AS", H30+15, K30="NCR", H30+30, K30="submitted", H30+30, TRUE, "N/A")), _xlfn.IFS(K30="AS", I30+15, K30="NCR", I30+30, K30="submitted", I30+30, TRUE, "N/A"))</f>
        <v>N/A</v>
      </c>
      <c r="K30" s="169" t="s">
        <v>150</v>
      </c>
      <c r="L30" s="318"/>
      <c r="M30" s="772"/>
      <c r="N30" s="773"/>
      <c r="O30" s="773"/>
      <c r="P30" s="774"/>
    </row>
    <row r="31" spans="1:16" s="1" customFormat="1" ht="27" customHeight="1">
      <c r="A31" s="9"/>
      <c r="B31" s="777"/>
      <c r="C31" s="2" t="s">
        <v>1419</v>
      </c>
      <c r="D31" s="176"/>
      <c r="E31" s="143" t="s">
        <v>1368</v>
      </c>
      <c r="F31" s="141" t="s">
        <v>398</v>
      </c>
      <c r="G31" s="165" t="s">
        <v>1428</v>
      </c>
      <c r="H31" s="201"/>
      <c r="I31" s="503"/>
      <c r="J31" s="700" t="str" cm="1">
        <f t="array" ref="J31">IF(ISBLANK(I31), IF(ISBLANK(H31), "N/A", _xlfn.IFS(K31="AS", H31+15, K31="NCR", H31+30, K31="submitted", H31+30, TRUE, "N/A")), _xlfn.IFS(K31="AS", I31+15, K31="NCR", I31+30, K31="submitted", I31+30, TRUE, "N/A"))</f>
        <v>N/A</v>
      </c>
      <c r="K31" s="46"/>
      <c r="L31" s="318"/>
      <c r="M31" s="772"/>
      <c r="N31" s="773"/>
      <c r="O31" s="773"/>
      <c r="P31" s="774"/>
    </row>
    <row r="32" spans="1:16" s="211" customFormat="1" ht="15" customHeight="1">
      <c r="A32" s="205"/>
      <c r="B32" s="794" t="s">
        <v>1429</v>
      </c>
      <c r="C32" s="842" t="s">
        <v>1430</v>
      </c>
      <c r="D32" s="207"/>
      <c r="E32" s="587" t="s">
        <v>1368</v>
      </c>
      <c r="F32" s="208" t="s">
        <v>383</v>
      </c>
      <c r="G32" s="209" t="s">
        <v>276</v>
      </c>
      <c r="H32" s="210"/>
      <c r="I32" s="508"/>
      <c r="J32" s="700" t="str" cm="1">
        <f t="array" ref="J32">IF(ISBLANK(I32), IF(ISBLANK(H32), "N/A", _xlfn.IFS(K32="AS", H32+15, K32="NCR", H32+30, K32="submitted", H32+30, TRUE, "N/A")), _xlfn.IFS(K32="AS", I32+15, K32="NCR", I32+30, K32="submitted", I32+30, TRUE, "N/A"))</f>
        <v>N/A</v>
      </c>
      <c r="K32" s="206"/>
      <c r="L32" s="318"/>
      <c r="M32" s="772"/>
      <c r="N32" s="773"/>
      <c r="O32" s="773"/>
      <c r="P32" s="774"/>
    </row>
    <row r="33" spans="1:16" s="150" customFormat="1" ht="27" customHeight="1">
      <c r="A33" s="147" t="s">
        <v>1431</v>
      </c>
      <c r="B33" s="798"/>
      <c r="C33" s="843"/>
      <c r="D33" s="168" t="s">
        <v>1432</v>
      </c>
      <c r="E33" s="588" t="s">
        <v>1368</v>
      </c>
      <c r="F33" s="180" t="s">
        <v>1433</v>
      </c>
      <c r="G33" s="215" t="s">
        <v>1434</v>
      </c>
      <c r="H33" s="278">
        <v>45820</v>
      </c>
      <c r="I33" s="339">
        <f>30+H33</f>
        <v>45850</v>
      </c>
      <c r="J33" s="700" t="str" cm="1">
        <f t="array" ref="J33">IF(ISBLANK(I33), IF(ISBLANK(H33), "N/A", _xlfn.IFS(K33="AS", H33+15, K33="NCR", H33+30, K33="submitted", H33+30, TRUE, "N/A")), _xlfn.IFS(K33="AS", I33+15, K33="NCR", I33+30, K33="submitted", I33+30, TRUE, "N/A"))</f>
        <v>N/A</v>
      </c>
      <c r="K33" s="220" t="s">
        <v>146</v>
      </c>
      <c r="L33" s="318"/>
      <c r="M33" s="772"/>
      <c r="N33" s="773"/>
      <c r="O33" s="773"/>
      <c r="P33" s="774"/>
    </row>
    <row r="34" spans="1:16" s="150" customFormat="1" ht="28.5" customHeight="1">
      <c r="A34" s="147" t="s">
        <v>1431</v>
      </c>
      <c r="B34" s="795"/>
      <c r="C34" s="844"/>
      <c r="D34" s="168" t="s">
        <v>1432</v>
      </c>
      <c r="E34" s="588" t="s">
        <v>1368</v>
      </c>
      <c r="F34" s="180" t="s">
        <v>1435</v>
      </c>
      <c r="G34" s="215" t="s">
        <v>1436</v>
      </c>
      <c r="H34" s="278">
        <v>45820</v>
      </c>
      <c r="I34" s="339">
        <f>30+H34</f>
        <v>45850</v>
      </c>
      <c r="J34" s="700" t="str" cm="1">
        <f t="array" ref="J34">IF(ISBLANK(I34), IF(ISBLANK(H34), "N/A", _xlfn.IFS(K34="AS", H34+15, K34="NCR", H34+30, K34="submitted", H34+30, TRUE, "N/A")), _xlfn.IFS(K34="AS", I34+15, K34="NCR", I34+30, K34="submitted", I34+30, TRUE, "N/A"))</f>
        <v>N/A</v>
      </c>
      <c r="K34" s="220" t="s">
        <v>146</v>
      </c>
      <c r="L34" s="318"/>
      <c r="M34" s="772"/>
      <c r="N34" s="773"/>
      <c r="O34" s="773"/>
      <c r="P34" s="774"/>
    </row>
    <row r="35" spans="1:16" s="1" customFormat="1" ht="27" customHeight="1">
      <c r="A35" s="9"/>
      <c r="B35" s="47" t="s">
        <v>1437</v>
      </c>
      <c r="C35" s="2" t="s">
        <v>1438</v>
      </c>
      <c r="D35" s="176"/>
      <c r="E35" s="143" t="s">
        <v>1439</v>
      </c>
      <c r="F35" s="141" t="s">
        <v>210</v>
      </c>
      <c r="G35" s="165" t="s">
        <v>1440</v>
      </c>
      <c r="H35" s="201"/>
      <c r="I35" s="503"/>
      <c r="J35" s="700" t="str" cm="1">
        <f t="array" ref="J35">IF(ISBLANK(I35), IF(ISBLANK(H35), "N/A", _xlfn.IFS(K35="AS", H35+15, K35="NCR", H35+30, K35="submitted", H35+30, TRUE, "N/A")), _xlfn.IFS(K35="AS", I35+15, K35="NCR", I35+30, K35="submitted", I35+30, TRUE, "N/A"))</f>
        <v>N/A</v>
      </c>
      <c r="K35" s="37"/>
      <c r="L35" s="318"/>
      <c r="M35" s="772"/>
      <c r="N35" s="773"/>
      <c r="O35" s="773"/>
      <c r="P35" s="774"/>
    </row>
    <row r="36" spans="1:16" s="138" customFormat="1" ht="30" customHeight="1">
      <c r="A36" s="152" t="s">
        <v>1441</v>
      </c>
      <c r="B36" s="170" t="s">
        <v>1437</v>
      </c>
      <c r="C36" s="261" t="s">
        <v>1438</v>
      </c>
      <c r="D36" s="358" t="s">
        <v>1442</v>
      </c>
      <c r="E36" s="159" t="s">
        <v>158</v>
      </c>
      <c r="F36" s="179" t="s">
        <v>328</v>
      </c>
      <c r="G36" s="157" t="s">
        <v>1443</v>
      </c>
      <c r="H36" s="359">
        <v>45826</v>
      </c>
      <c r="I36" s="303">
        <v>45869</v>
      </c>
      <c r="J36" s="700" t="str" cm="1">
        <f t="array" ref="J36">IF(ISBLANK(I36), IF(ISBLANK(H36), "N/A", _xlfn.IFS(K36="AS", H36+15, K36="NCR", H36+30, K36="submitted", H36+30, TRUE, "N/A")), _xlfn.IFS(K36="AS", I36+15, K36="NCR", I36+30, K36="submitted", I36+30, TRUE, "N/A"))</f>
        <v>N/A</v>
      </c>
      <c r="K36" s="348" t="s">
        <v>150</v>
      </c>
      <c r="L36" s="318"/>
      <c r="M36" s="772"/>
      <c r="N36" s="773"/>
      <c r="O36" s="773"/>
      <c r="P36" s="774"/>
    </row>
    <row r="37" spans="1:16" s="1" customFormat="1" ht="27" customHeight="1">
      <c r="A37" s="9" t="s">
        <v>1444</v>
      </c>
      <c r="B37" s="47" t="s">
        <v>1437</v>
      </c>
      <c r="C37" s="2" t="s">
        <v>1438</v>
      </c>
      <c r="D37" s="176" t="s">
        <v>1445</v>
      </c>
      <c r="E37" s="143" t="s">
        <v>158</v>
      </c>
      <c r="F37" s="141" t="s">
        <v>234</v>
      </c>
      <c r="G37" s="165" t="s">
        <v>1446</v>
      </c>
      <c r="H37" s="201"/>
      <c r="I37" s="503"/>
      <c r="J37" s="700" t="str" cm="1">
        <f t="array" ref="J37">IF(ISBLANK(I37), IF(ISBLANK(H37), "N/A", _xlfn.IFS(K37="AS", H37+15, K37="NCR", H37+30, K37="submitted", H37+30, TRUE, "N/A")), _xlfn.IFS(K37="AS", I37+15, K37="NCR", I37+30, K37="submitted", I37+30, TRUE, "N/A"))</f>
        <v>N/A</v>
      </c>
      <c r="K37" s="39" t="s">
        <v>200</v>
      </c>
      <c r="L37" s="318"/>
      <c r="M37" s="772"/>
      <c r="N37" s="773"/>
      <c r="O37" s="773"/>
      <c r="P37" s="774"/>
    </row>
    <row r="38" spans="1:16" s="1" customFormat="1" ht="40.5" customHeight="1">
      <c r="A38" s="9"/>
      <c r="B38" s="47" t="s">
        <v>1437</v>
      </c>
      <c r="C38" s="2" t="s">
        <v>1438</v>
      </c>
      <c r="D38" s="178"/>
      <c r="E38" s="143" t="s">
        <v>1439</v>
      </c>
      <c r="F38" s="141" t="s">
        <v>396</v>
      </c>
      <c r="G38" s="165" t="s">
        <v>1447</v>
      </c>
      <c r="H38" s="201"/>
      <c r="I38" s="503"/>
      <c r="J38" s="700" t="str" cm="1">
        <f t="array" ref="J38">IF(ISBLANK(I38), IF(ISBLANK(H38), "N/A", _xlfn.IFS(K38="AS", H38+15, K38="NCR", H38+30, K38="submitted", H38+30, TRUE, "N/A")), _xlfn.IFS(K38="AS", I38+15, K38="NCR", I38+30, K38="submitted", I38+30, TRUE, "N/A"))</f>
        <v>N/A</v>
      </c>
      <c r="K38" s="46"/>
      <c r="L38" s="318"/>
      <c r="M38" s="772"/>
      <c r="N38" s="773"/>
      <c r="O38" s="773"/>
      <c r="P38" s="774"/>
    </row>
    <row r="39" spans="1:16" s="150" customFormat="1" ht="27" customHeight="1">
      <c r="A39" s="333" t="s">
        <v>42</v>
      </c>
      <c r="B39" s="54" t="s">
        <v>1448</v>
      </c>
      <c r="C39" s="333" t="s">
        <v>1449</v>
      </c>
      <c r="D39" s="177" t="s">
        <v>1450</v>
      </c>
      <c r="E39" s="168" t="s">
        <v>1368</v>
      </c>
      <c r="F39" s="180" t="s">
        <v>205</v>
      </c>
      <c r="G39" s="215" t="s">
        <v>1451</v>
      </c>
      <c r="H39" s="278">
        <v>45866</v>
      </c>
      <c r="I39" s="339">
        <v>45888</v>
      </c>
      <c r="J39" s="700" cm="1">
        <f t="array" ref="J39">IF(ISBLANK(I39), IF(ISBLANK(H39), "N/A", _xlfn.IFS(K39="AS", H39+15, K39="NCR", H39+30, K39="submitted", H39+30, TRUE, "N/A")), _xlfn.IFS(K39="AS", I39+15, K39="NCR", I39+30, K39="submitted", I39+30, TRUE, "N/A"))</f>
        <v>45918</v>
      </c>
      <c r="K39" s="148" t="s">
        <v>207</v>
      </c>
      <c r="L39" s="318"/>
      <c r="M39" s="781"/>
      <c r="N39" s="782"/>
      <c r="O39" s="782"/>
      <c r="P39" s="783"/>
    </row>
    <row r="40" spans="1:16" s="5" customFormat="1" ht="15" customHeight="1">
      <c r="A40" s="4"/>
      <c r="B40" s="54" t="s">
        <v>1448</v>
      </c>
      <c r="C40" s="31"/>
      <c r="E40" s="144" t="s">
        <v>158</v>
      </c>
      <c r="F40" s="146" t="s">
        <v>535</v>
      </c>
      <c r="G40" s="161" t="s">
        <v>1452</v>
      </c>
      <c r="H40" s="196"/>
      <c r="I40" s="300"/>
      <c r="J40" s="700" t="str" cm="1">
        <f t="array" ref="J40">IF(ISBLANK(I40), IF(ISBLANK(H40), "N/A", _xlfn.IFS(K40="AS", H40+15, K40="NCR", H40+30, K40="submitted", H40+30, TRUE, "N/A")), _xlfn.IFS(K40="AS", I40+15, K40="NCR", I40+30, K40="submitted", I40+30, TRUE, "N/A"))</f>
        <v>N/A</v>
      </c>
      <c r="K40" s="17"/>
      <c r="L40" s="318"/>
      <c r="M40" s="766" t="s">
        <v>132</v>
      </c>
      <c r="N40" s="767"/>
      <c r="O40" s="767"/>
      <c r="P40" s="768"/>
    </row>
    <row r="41" spans="1:16" s="1" customFormat="1" ht="15" customHeight="1">
      <c r="A41" s="9"/>
      <c r="B41" s="790" t="s">
        <v>1453</v>
      </c>
      <c r="C41" s="792" t="s">
        <v>1454</v>
      </c>
      <c r="E41" s="143" t="s">
        <v>1368</v>
      </c>
      <c r="F41" s="141" t="s">
        <v>205</v>
      </c>
      <c r="G41" s="162" t="s">
        <v>1455</v>
      </c>
      <c r="H41" s="197"/>
      <c r="I41" s="504"/>
      <c r="J41" s="700" t="str" cm="1">
        <f t="array" ref="J41">IF(ISBLANK(I41), IF(ISBLANK(H41), "N/A", _xlfn.IFS(K41="AS", H41+15, K41="NCR", H41+30, K41="submitted", H41+30, TRUE, "N/A")), _xlfn.IFS(K41="AS", I41+15, K41="NCR", I41+30, K41="submitted", I41+30, TRUE, "N/A"))</f>
        <v>N/A</v>
      </c>
      <c r="K41" s="37"/>
      <c r="L41" s="318"/>
      <c r="M41" s="769"/>
      <c r="N41" s="770"/>
      <c r="O41" s="770"/>
      <c r="P41" s="771"/>
    </row>
    <row r="42" spans="1:16" s="1" customFormat="1" ht="15" customHeight="1">
      <c r="A42" s="9"/>
      <c r="B42" s="791"/>
      <c r="C42" s="793"/>
      <c r="E42" s="143" t="s">
        <v>1368</v>
      </c>
      <c r="F42" s="141" t="s">
        <v>275</v>
      </c>
      <c r="G42" s="162" t="s">
        <v>1456</v>
      </c>
      <c r="H42" s="197"/>
      <c r="I42" s="504"/>
      <c r="J42" s="700" t="str" cm="1">
        <f t="array" ref="J42">IF(ISBLANK(I42), IF(ISBLANK(H42), "N/A", _xlfn.IFS(K42="AS", H42+15, K42="NCR", H42+30, K42="submitted", H42+30, TRUE, "N/A")), _xlfn.IFS(K42="AS", I42+15, K42="NCR", I42+30, K42="submitted", I42+30, TRUE, "N/A"))</f>
        <v>N/A</v>
      </c>
      <c r="K42" s="39"/>
      <c r="L42" s="318"/>
      <c r="M42" s="769"/>
      <c r="N42" s="770"/>
      <c r="O42" s="770"/>
      <c r="P42" s="771"/>
    </row>
    <row r="43" spans="1:16" s="1" customFormat="1" ht="15" customHeight="1">
      <c r="A43" s="9"/>
      <c r="B43" s="777"/>
      <c r="C43" s="779"/>
      <c r="E43" s="143" t="s">
        <v>158</v>
      </c>
      <c r="F43" s="141" t="s">
        <v>263</v>
      </c>
      <c r="G43" s="162" t="s">
        <v>953</v>
      </c>
      <c r="H43" s="197"/>
      <c r="I43" s="504"/>
      <c r="J43" s="700" t="str" cm="1">
        <f t="array" ref="J43">IF(ISBLANK(I43), IF(ISBLANK(H43), "N/A", _xlfn.IFS(K43="AS", H43+15, K43="NCR", H43+30, K43="submitted", H43+30, TRUE, "N/A")), _xlfn.IFS(K43="AS", I43+15, K43="NCR", I43+30, K43="submitted", I43+30, TRUE, "N/A"))</f>
        <v>N/A</v>
      </c>
      <c r="K43" s="46"/>
      <c r="L43" s="318"/>
      <c r="M43" s="769"/>
      <c r="N43" s="770"/>
      <c r="O43" s="770"/>
      <c r="P43" s="771"/>
    </row>
    <row r="44" spans="1:16" s="5" customFormat="1" ht="15" customHeight="1">
      <c r="A44" s="4"/>
      <c r="B44" s="794" t="s">
        <v>1457</v>
      </c>
      <c r="C44" s="796" t="s">
        <v>1458</v>
      </c>
      <c r="D44" s="130"/>
      <c r="E44" s="144" t="s">
        <v>1368</v>
      </c>
      <c r="F44" s="146" t="s">
        <v>328</v>
      </c>
      <c r="G44" s="132" t="s">
        <v>1459</v>
      </c>
      <c r="H44" s="200"/>
      <c r="I44" s="506"/>
      <c r="J44" s="700" t="str" cm="1">
        <f t="array" ref="J44">IF(ISBLANK(I44), IF(ISBLANK(H44), "N/A", _xlfn.IFS(K44="AS", H44+15, K44="NCR", H44+30, K44="submitted", H44+30, TRUE, "N/A")), _xlfn.IFS(K44="AS", I44+15, K44="NCR", I44+30, K44="submitted", I44+30, TRUE, "N/A"))</f>
        <v>N/A</v>
      </c>
      <c r="K44" s="34"/>
      <c r="L44" s="318"/>
      <c r="M44" s="769"/>
      <c r="N44" s="770"/>
      <c r="O44" s="770"/>
      <c r="P44" s="771"/>
    </row>
    <row r="45" spans="1:16" s="5" customFormat="1" ht="15" customHeight="1">
      <c r="A45" s="4"/>
      <c r="B45" s="798"/>
      <c r="C45" s="799"/>
      <c r="D45" s="131"/>
      <c r="E45" s="144" t="s">
        <v>1368</v>
      </c>
      <c r="F45" s="146" t="s">
        <v>234</v>
      </c>
      <c r="G45" s="132" t="s">
        <v>1460</v>
      </c>
      <c r="H45" s="200"/>
      <c r="I45" s="506"/>
      <c r="J45" s="700" t="str" cm="1">
        <f t="array" ref="J45">IF(ISBLANK(I45), IF(ISBLANK(H45), "N/A", _xlfn.IFS(K45="AS", H45+15, K45="NCR", H45+30, K45="submitted", H45+30, TRUE, "N/A")), _xlfn.IFS(K45="AS", I45+15, K45="NCR", I45+30, K45="submitted", I45+30, TRUE, "N/A"))</f>
        <v>N/A</v>
      </c>
      <c r="K45" s="35"/>
      <c r="L45" s="318"/>
      <c r="M45" s="769"/>
      <c r="N45" s="770"/>
      <c r="O45" s="770"/>
      <c r="P45" s="771"/>
    </row>
    <row r="46" spans="1:16" s="5" customFormat="1" ht="15" customHeight="1">
      <c r="A46" s="4"/>
      <c r="B46" s="798"/>
      <c r="C46" s="799"/>
      <c r="D46" s="131"/>
      <c r="E46" s="144" t="s">
        <v>158</v>
      </c>
      <c r="F46" s="146" t="s">
        <v>330</v>
      </c>
      <c r="G46" s="132" t="s">
        <v>1461</v>
      </c>
      <c r="H46" s="200"/>
      <c r="I46" s="506"/>
      <c r="J46" s="700" t="str" cm="1">
        <f t="array" ref="J46">IF(ISBLANK(I46), IF(ISBLANK(H46), "N/A", _xlfn.IFS(K46="AS", H46+15, K46="NCR", H46+30, K46="submitted", H46+30, TRUE, "N/A")), _xlfn.IFS(K46="AS", I46+15, K46="NCR", I46+30, K46="submitted", I46+30, TRUE, "N/A"))</f>
        <v>N/A</v>
      </c>
      <c r="K46" s="35"/>
      <c r="L46" s="318"/>
      <c r="M46" s="769"/>
      <c r="N46" s="770"/>
      <c r="O46" s="770"/>
      <c r="P46" s="771"/>
    </row>
    <row r="47" spans="1:16" s="5" customFormat="1" ht="15" customHeight="1">
      <c r="A47" s="4"/>
      <c r="B47" s="795"/>
      <c r="C47" s="797"/>
      <c r="D47" s="145"/>
      <c r="E47" s="144" t="s">
        <v>158</v>
      </c>
      <c r="F47" s="146" t="s">
        <v>1254</v>
      </c>
      <c r="G47" s="132" t="s">
        <v>1462</v>
      </c>
      <c r="H47" s="200"/>
      <c r="I47" s="506"/>
      <c r="J47" s="700" t="str" cm="1">
        <f t="array" ref="J47">IF(ISBLANK(I47), IF(ISBLANK(H47), "N/A", _xlfn.IFS(K47="AS", H47+15, K47="NCR", H47+30, K47="submitted", H47+30, TRUE, "N/A")), _xlfn.IFS(K47="AS", I47+15, K47="NCR", I47+30, K47="submitted", I47+30, TRUE, "N/A"))</f>
        <v>N/A</v>
      </c>
      <c r="K47" s="36"/>
      <c r="L47" s="318"/>
      <c r="M47" s="769"/>
      <c r="N47" s="770"/>
      <c r="O47" s="770"/>
      <c r="P47" s="771"/>
    </row>
    <row r="48" spans="1:16" s="138" customFormat="1" ht="21" customHeight="1">
      <c r="A48" s="152" t="s">
        <v>1463</v>
      </c>
      <c r="B48" s="173" t="s">
        <v>1464</v>
      </c>
      <c r="C48" s="153" t="s">
        <v>1465</v>
      </c>
      <c r="D48" s="163"/>
      <c r="E48" s="159" t="s">
        <v>1368</v>
      </c>
      <c r="F48" s="179" t="s">
        <v>130</v>
      </c>
      <c r="G48" s="163" t="s">
        <v>1466</v>
      </c>
      <c r="H48" s="275">
        <v>45761</v>
      </c>
      <c r="I48" s="217">
        <v>45762</v>
      </c>
      <c r="J48" s="700" t="str" cm="1">
        <f t="array" ref="J48">IF(ISBLANK(I48), IF(ISBLANK(H48), "N/A", _xlfn.IFS(K48="AS", H48+15, K48="NCR", H48+30, K48="submitted", H48+30, TRUE, "N/A")), _xlfn.IFS(K48="AS", I48+15, K48="NCR", I48+30, K48="submitted", I48+30, TRUE, "N/A"))</f>
        <v>N/A</v>
      </c>
      <c r="K48" s="432" t="s">
        <v>146</v>
      </c>
      <c r="L48" s="318"/>
      <c r="M48" s="772" t="s">
        <v>147</v>
      </c>
      <c r="N48" s="773"/>
      <c r="O48" s="773"/>
      <c r="P48" s="774"/>
    </row>
    <row r="49" spans="1:16" s="138" customFormat="1" ht="21" customHeight="1">
      <c r="A49" s="152" t="s">
        <v>61</v>
      </c>
      <c r="B49" s="173" t="s">
        <v>1464</v>
      </c>
      <c r="C49" s="153" t="s">
        <v>1465</v>
      </c>
      <c r="D49" s="428"/>
      <c r="E49" s="159" t="s">
        <v>1368</v>
      </c>
      <c r="F49" s="179" t="s">
        <v>130</v>
      </c>
      <c r="G49" s="163" t="s">
        <v>1466</v>
      </c>
      <c r="H49" s="275">
        <v>45845</v>
      </c>
      <c r="I49" s="217">
        <v>45884</v>
      </c>
      <c r="J49" s="700" t="str" cm="1">
        <f t="array" ref="J49">IF(ISBLANK(I49), IF(ISBLANK(H49), "N/A", _xlfn.IFS(K49="AS", H49+15, K49="NCR", H49+30, K49="submitted", H49+30, TRUE, "N/A")), _xlfn.IFS(K49="AS", I49+15, K49="NCR", I49+30, K49="submitted", I49+30, TRUE, "N/A"))</f>
        <v>N/A</v>
      </c>
      <c r="K49" s="153" t="s">
        <v>150</v>
      </c>
      <c r="L49" s="318"/>
      <c r="M49" s="772"/>
      <c r="N49" s="773"/>
      <c r="O49" s="773"/>
      <c r="P49" s="774"/>
    </row>
    <row r="50" spans="1:16" s="528" customFormat="1" ht="15" customHeight="1">
      <c r="A50" s="526" t="s">
        <v>1467</v>
      </c>
      <c r="B50" s="794" t="s">
        <v>1468</v>
      </c>
      <c r="C50" s="796" t="s">
        <v>1469</v>
      </c>
      <c r="D50" s="703" t="s">
        <v>1469</v>
      </c>
      <c r="E50" s="529" t="s">
        <v>1368</v>
      </c>
      <c r="F50" s="530" t="s">
        <v>275</v>
      </c>
      <c r="G50" s="704" t="s">
        <v>276</v>
      </c>
      <c r="H50" s="705">
        <v>45924</v>
      </c>
      <c r="I50" s="706"/>
      <c r="J50" s="700" cm="1">
        <f t="array" ref="J50">IF(ISBLANK(I50), IF(ISBLANK(H50), "N/A", _xlfn.IFS(K50="AS", H50+15, K50="NCR", H50+30, K50="submitted", H50+30, TRUE, "N/A")), _xlfn.IFS(K50="AS", I50+15, K50="NCR", I50+30, K50="submitted", I50+30, TRUE, "N/A"))</f>
        <v>45954</v>
      </c>
      <c r="K50" s="527" t="s">
        <v>154</v>
      </c>
      <c r="L50" s="318"/>
      <c r="M50" s="772"/>
      <c r="N50" s="773"/>
      <c r="O50" s="773"/>
      <c r="P50" s="774"/>
    </row>
    <row r="51" spans="1:16" s="5" customFormat="1" ht="27" customHeight="1">
      <c r="A51" s="4"/>
      <c r="B51" s="798"/>
      <c r="C51" s="799"/>
      <c r="D51" s="131"/>
      <c r="E51" s="144" t="s">
        <v>1368</v>
      </c>
      <c r="F51" s="146" t="s">
        <v>263</v>
      </c>
      <c r="G51" s="161" t="s">
        <v>1470</v>
      </c>
      <c r="H51" s="196"/>
      <c r="I51" s="300"/>
      <c r="J51" s="700" t="str" cm="1">
        <f t="array" ref="J51">IF(ISBLANK(I51), IF(ISBLANK(H51), "N/A", _xlfn.IFS(K51="AS", H51+15, K51="NCR", H51+30, K51="submitted", H51+30, TRUE, "N/A")), _xlfn.IFS(K51="AS", I51+15, K51="NCR", I51+30, K51="submitted", I51+30, TRUE, "N/A"))</f>
        <v>N/A</v>
      </c>
      <c r="K51" s="35"/>
      <c r="L51" s="318"/>
      <c r="M51" s="772"/>
      <c r="N51" s="773"/>
      <c r="O51" s="773"/>
      <c r="P51" s="774"/>
    </row>
    <row r="52" spans="1:16" s="5" customFormat="1" ht="27" customHeight="1">
      <c r="A52" s="4"/>
      <c r="B52" s="798"/>
      <c r="C52" s="799"/>
      <c r="D52" s="131"/>
      <c r="E52" s="144" t="s">
        <v>1368</v>
      </c>
      <c r="F52" s="146" t="s">
        <v>253</v>
      </c>
      <c r="G52" s="161" t="s">
        <v>1471</v>
      </c>
      <c r="H52" s="196"/>
      <c r="I52" s="300"/>
      <c r="J52" s="700" t="str" cm="1">
        <f t="array" ref="J52">IF(ISBLANK(I52), IF(ISBLANK(H52), "N/A", _xlfn.IFS(K52="AS", H52+15, K52="NCR", H52+30, K52="submitted", H52+30, TRUE, "N/A")), _xlfn.IFS(K52="AS", I52+15, K52="NCR", I52+30, K52="submitted", I52+30, TRUE, "N/A"))</f>
        <v>N/A</v>
      </c>
      <c r="K52" s="35"/>
      <c r="L52" s="318"/>
      <c r="M52" s="772"/>
      <c r="N52" s="773"/>
      <c r="O52" s="773"/>
      <c r="P52" s="774"/>
    </row>
    <row r="53" spans="1:16" s="5" customFormat="1" ht="27" customHeight="1">
      <c r="A53" s="4"/>
      <c r="B53" s="798"/>
      <c r="C53" s="799"/>
      <c r="D53" s="131"/>
      <c r="E53" s="144" t="s">
        <v>1368</v>
      </c>
      <c r="F53" s="146" t="s">
        <v>1472</v>
      </c>
      <c r="G53" s="161" t="s">
        <v>1473</v>
      </c>
      <c r="H53" s="196"/>
      <c r="I53" s="300"/>
      <c r="J53" s="700" t="str" cm="1">
        <f t="array" ref="J53">IF(ISBLANK(I53), IF(ISBLANK(H53), "N/A", _xlfn.IFS(K53="AS", H53+15, K53="NCR", H53+30, K53="submitted", H53+30, TRUE, "N/A")), _xlfn.IFS(K53="AS", I53+15, K53="NCR", I53+30, K53="submitted", I53+30, TRUE, "N/A"))</f>
        <v>N/A</v>
      </c>
      <c r="K53" s="35"/>
      <c r="L53" s="319"/>
      <c r="M53" s="772"/>
      <c r="N53" s="773"/>
      <c r="O53" s="773"/>
      <c r="P53" s="774"/>
    </row>
    <row r="54" spans="1:16" s="5" customFormat="1" ht="27" customHeight="1">
      <c r="A54" s="4"/>
      <c r="B54" s="798"/>
      <c r="C54" s="799"/>
      <c r="D54" s="131"/>
      <c r="E54" s="144" t="s">
        <v>1368</v>
      </c>
      <c r="F54" s="146" t="s">
        <v>374</v>
      </c>
      <c r="G54" s="161" t="s">
        <v>1474</v>
      </c>
      <c r="H54" s="196"/>
      <c r="I54" s="300"/>
      <c r="J54" s="700" t="str" cm="1">
        <f t="array" ref="J54">IF(ISBLANK(I54), IF(ISBLANK(H54), "N/A", _xlfn.IFS(K54="AS", H54+15, K54="NCR", H54+30, K54="submitted", H54+30, TRUE, "N/A")), _xlfn.IFS(K54="AS", I54+15, K54="NCR", I54+30, K54="submitted", I54+30, TRUE, "N/A"))</f>
        <v>N/A</v>
      </c>
      <c r="K54" s="35"/>
      <c r="L54" s="318"/>
      <c r="M54" s="772"/>
      <c r="N54" s="773"/>
      <c r="O54" s="773"/>
      <c r="P54" s="774"/>
    </row>
    <row r="55" spans="1:16" s="5" customFormat="1" ht="15" customHeight="1">
      <c r="A55" s="4"/>
      <c r="B55" s="795"/>
      <c r="C55" s="797"/>
      <c r="D55" s="131"/>
      <c r="E55" s="144" t="s">
        <v>1368</v>
      </c>
      <c r="F55" s="146" t="s">
        <v>376</v>
      </c>
      <c r="G55" s="132" t="s">
        <v>1475</v>
      </c>
      <c r="H55" s="200"/>
      <c r="I55" s="506"/>
      <c r="J55" s="700" t="str" cm="1">
        <f t="array" ref="J55">IF(ISBLANK(I55), IF(ISBLANK(H55), "N/A", _xlfn.IFS(K55="AS", H55+15, K55="NCR", H55+30, K55="submitted", H55+30, TRUE, "N/A")), _xlfn.IFS(K55="AS", I55+15, K55="NCR", I55+30, K55="submitted", I55+30, TRUE, "N/A"))</f>
        <v>N/A</v>
      </c>
      <c r="K55" s="36"/>
      <c r="L55" s="318"/>
      <c r="M55" s="772"/>
      <c r="N55" s="773"/>
      <c r="O55" s="773"/>
      <c r="P55" s="774"/>
    </row>
    <row r="56" spans="1:16" s="138" customFormat="1" ht="15" customHeight="1">
      <c r="A56" s="298" t="s">
        <v>1476</v>
      </c>
      <c r="B56" s="828" t="s">
        <v>1477</v>
      </c>
      <c r="C56" s="825" t="s">
        <v>1478</v>
      </c>
      <c r="D56" s="838" t="s">
        <v>1479</v>
      </c>
      <c r="E56" s="841" t="s">
        <v>158</v>
      </c>
      <c r="F56" s="179" t="s">
        <v>210</v>
      </c>
      <c r="G56" s="163" t="s">
        <v>476</v>
      </c>
      <c r="H56" s="275">
        <v>45762</v>
      </c>
      <c r="I56" s="217">
        <v>45772</v>
      </c>
      <c r="J56" s="700" t="str" cm="1">
        <f t="array" ref="J56">IF(ISBLANK(I56), IF(ISBLANK(H56), "N/A", _xlfn.IFS(K56="AS", H56+15, K56="NCR", H56+30, K56="submitted", H56+30, TRUE, "N/A")), _xlfn.IFS(K56="AS", I56+15, K56="NCR", I56+30, K56="submitted", I56+30, TRUE, "N/A"))</f>
        <v>N/A</v>
      </c>
      <c r="K56" s="825" t="s">
        <v>150</v>
      </c>
      <c r="L56" s="318"/>
      <c r="M56" s="772"/>
      <c r="N56" s="773"/>
      <c r="O56" s="773"/>
      <c r="P56" s="774"/>
    </row>
    <row r="57" spans="1:16" s="138" customFormat="1" ht="15" customHeight="1">
      <c r="A57" s="299"/>
      <c r="B57" s="829"/>
      <c r="C57" s="826"/>
      <c r="D57" s="839"/>
      <c r="E57" s="837"/>
      <c r="F57" s="179" t="s">
        <v>328</v>
      </c>
      <c r="G57" s="163" t="s">
        <v>536</v>
      </c>
      <c r="H57" s="275">
        <v>45762</v>
      </c>
      <c r="I57" s="217">
        <v>45772</v>
      </c>
      <c r="J57" s="700" t="str" cm="1">
        <f t="array" ref="J57">IF(ISBLANK(I57), IF(ISBLANK(H57), "N/A", _xlfn.IFS(K57="AS", H57+15, K57="NCR", H57+30, K57="submitted", H57+30, TRUE, "N/A")), _xlfn.IFS(K57="AS", I57+15, K57="NCR", I57+30, K57="submitted", I57+30, TRUE, "N/A"))</f>
        <v>N/A</v>
      </c>
      <c r="K57" s="826"/>
      <c r="L57" s="318"/>
      <c r="M57" s="772"/>
      <c r="N57" s="773"/>
      <c r="O57" s="773"/>
      <c r="P57" s="774"/>
    </row>
    <row r="58" spans="1:16" s="138" customFormat="1" ht="15" customHeight="1">
      <c r="A58" s="299"/>
      <c r="B58" s="829"/>
      <c r="C58" s="826"/>
      <c r="D58" s="839"/>
      <c r="E58" s="837"/>
      <c r="F58" s="179" t="s">
        <v>234</v>
      </c>
      <c r="G58" s="163" t="s">
        <v>1480</v>
      </c>
      <c r="H58" s="275">
        <v>45762</v>
      </c>
      <c r="I58" s="217">
        <v>45772</v>
      </c>
      <c r="J58" s="700" t="str" cm="1">
        <f t="array" ref="J58">IF(ISBLANK(I58), IF(ISBLANK(H58), "N/A", _xlfn.IFS(K58="AS", H58+15, K58="NCR", H58+30, K58="submitted", H58+30, TRUE, "N/A")), _xlfn.IFS(K58="AS", I58+15, K58="NCR", I58+30, K58="submitted", I58+30, TRUE, "N/A"))</f>
        <v>N/A</v>
      </c>
      <c r="K58" s="826"/>
      <c r="L58" s="318"/>
      <c r="M58" s="772"/>
      <c r="N58" s="773"/>
      <c r="O58" s="773"/>
      <c r="P58" s="774"/>
    </row>
    <row r="59" spans="1:16" s="138" customFormat="1" ht="15" hidden="1" customHeight="1">
      <c r="A59" s="133"/>
      <c r="B59" s="830"/>
      <c r="C59" s="827"/>
      <c r="D59" s="840"/>
      <c r="E59" s="837"/>
      <c r="F59" s="179" t="s">
        <v>236</v>
      </c>
      <c r="G59" s="163" t="s">
        <v>1481</v>
      </c>
      <c r="H59" s="199"/>
      <c r="I59" s="217">
        <v>45772</v>
      </c>
      <c r="J59" s="700" t="str" cm="1">
        <f t="array" ref="J59">IF(ISBLANK(I59), IF(ISBLANK(H59), "N/A", _xlfn.IFS(K59="AS", H59+15, K59="NCR", H59+30, K59="submitted", H59+30, TRUE, "N/A")), _xlfn.IFS(K59="AS", I59+15, K59="NCR", I59+30, K59="submitted", I59+30, TRUE, "N/A"))</f>
        <v>N/A</v>
      </c>
      <c r="K59" s="827"/>
      <c r="L59" s="318"/>
      <c r="M59" s="772"/>
      <c r="N59" s="773"/>
      <c r="O59" s="773"/>
      <c r="P59" s="774"/>
    </row>
    <row r="60" spans="1:16" s="138" customFormat="1" ht="15" customHeight="1">
      <c r="A60" s="298" t="s">
        <v>1482</v>
      </c>
      <c r="B60" s="828" t="s">
        <v>1483</v>
      </c>
      <c r="C60" s="825" t="s">
        <v>1484</v>
      </c>
      <c r="D60" s="838" t="s">
        <v>1485</v>
      </c>
      <c r="E60" s="836" t="s">
        <v>158</v>
      </c>
      <c r="F60" s="179" t="s">
        <v>210</v>
      </c>
      <c r="G60" s="163" t="s">
        <v>476</v>
      </c>
      <c r="H60" s="275">
        <v>45762</v>
      </c>
      <c r="I60" s="217">
        <v>45772</v>
      </c>
      <c r="J60" s="700" t="str" cm="1">
        <f t="array" ref="J60">IF(ISBLANK(I60), IF(ISBLANK(H60), "N/A", _xlfn.IFS(K60="AS", H60+15, K60="NCR", H60+30, K60="submitted", H60+30, TRUE, "N/A")), _xlfn.IFS(K60="AS", I60+15, K60="NCR", I60+30, K60="submitted", I60+30, TRUE, "N/A"))</f>
        <v>N/A</v>
      </c>
      <c r="K60" s="825" t="s">
        <v>150</v>
      </c>
      <c r="L60" s="318"/>
      <c r="M60" s="772"/>
      <c r="N60" s="773"/>
      <c r="O60" s="773"/>
      <c r="P60" s="774"/>
    </row>
    <row r="61" spans="1:16" s="138" customFormat="1" ht="15" customHeight="1">
      <c r="A61" s="299"/>
      <c r="B61" s="829"/>
      <c r="C61" s="826"/>
      <c r="D61" s="839"/>
      <c r="E61" s="837"/>
      <c r="F61" s="179" t="s">
        <v>328</v>
      </c>
      <c r="G61" s="163" t="s">
        <v>536</v>
      </c>
      <c r="H61" s="275">
        <v>45762</v>
      </c>
      <c r="I61" s="217">
        <v>45772</v>
      </c>
      <c r="J61" s="700" t="str" cm="1">
        <f t="array" ref="J61">IF(ISBLANK(I61), IF(ISBLANK(H61), "N/A", _xlfn.IFS(K61="AS", H61+15, K61="NCR", H61+30, K61="submitted", H61+30, TRUE, "N/A")), _xlfn.IFS(K61="AS", I61+15, K61="NCR", I61+30, K61="submitted", I61+30, TRUE, "N/A"))</f>
        <v>N/A</v>
      </c>
      <c r="K61" s="826"/>
      <c r="L61" s="318"/>
      <c r="M61" s="772"/>
      <c r="N61" s="773"/>
      <c r="O61" s="773"/>
      <c r="P61" s="774"/>
    </row>
    <row r="62" spans="1:16" s="138" customFormat="1" ht="15" customHeight="1">
      <c r="A62" s="299"/>
      <c r="B62" s="829"/>
      <c r="C62" s="826"/>
      <c r="D62" s="839"/>
      <c r="E62" s="837"/>
      <c r="F62" s="179" t="s">
        <v>234</v>
      </c>
      <c r="G62" s="163" t="s">
        <v>1486</v>
      </c>
      <c r="H62" s="275">
        <v>45762</v>
      </c>
      <c r="I62" s="217">
        <v>45772</v>
      </c>
      <c r="J62" s="700" t="str" cm="1">
        <f t="array" ref="J62">IF(ISBLANK(I62), IF(ISBLANK(H62), "N/A", _xlfn.IFS(K62="AS", H62+15, K62="NCR", H62+30, K62="submitted", H62+30, TRUE, "N/A")), _xlfn.IFS(K62="AS", I62+15, K62="NCR", I62+30, K62="submitted", I62+30, TRUE, "N/A"))</f>
        <v>N/A</v>
      </c>
      <c r="K62" s="826"/>
      <c r="L62" s="318"/>
      <c r="M62" s="772"/>
      <c r="N62" s="773"/>
      <c r="O62" s="773"/>
      <c r="P62" s="774"/>
    </row>
    <row r="63" spans="1:16" s="138" customFormat="1" ht="15" hidden="1" customHeight="1">
      <c r="A63" s="133"/>
      <c r="B63" s="830"/>
      <c r="C63" s="827"/>
      <c r="D63" s="840"/>
      <c r="E63" s="837"/>
      <c r="F63" s="179" t="s">
        <v>236</v>
      </c>
      <c r="G63" s="163" t="s">
        <v>436</v>
      </c>
      <c r="H63" s="199"/>
      <c r="I63" s="217"/>
      <c r="J63" s="700" t="str" cm="1">
        <f t="array" ref="J63">IF(ISBLANK(I63), IF(ISBLANK(H63), "N/A", _xlfn.IFS(K63="AS", H63+15, K63="NCR", H63+30, K63="submitted", H63+30, TRUE, "N/A")), _xlfn.IFS(K63="AS", I63+15, K63="NCR", I63+30, K63="submitted", I63+30, TRUE, "N/A"))</f>
        <v>N/A</v>
      </c>
      <c r="K63" s="827"/>
      <c r="L63" s="318"/>
      <c r="M63" s="772"/>
      <c r="N63" s="773"/>
      <c r="O63" s="773"/>
      <c r="P63" s="774"/>
    </row>
    <row r="64" spans="1:16" s="5" customFormat="1" ht="15" customHeight="1">
      <c r="B64" s="794" t="s">
        <v>1487</v>
      </c>
      <c r="C64" s="796" t="s">
        <v>1488</v>
      </c>
      <c r="D64" s="130"/>
      <c r="E64" s="144" t="s">
        <v>1489</v>
      </c>
      <c r="F64" s="146" t="s">
        <v>205</v>
      </c>
      <c r="G64" s="132" t="s">
        <v>1490</v>
      </c>
      <c r="H64" s="200"/>
      <c r="I64" s="506"/>
      <c r="J64" s="700" t="str" cm="1">
        <f t="array" ref="J64">IF(ISBLANK(I64), IF(ISBLANK(H64), "N/A", _xlfn.IFS(K64="AS", H64+15, K64="NCR", H64+30, K64="submitted", H64+30, TRUE, "N/A")), _xlfn.IFS(K64="AS", I64+15, K64="NCR", I64+30, K64="submitted", I64+30, TRUE, "N/A"))</f>
        <v>N/A</v>
      </c>
      <c r="K64" s="34"/>
      <c r="L64" s="318"/>
      <c r="M64" s="772"/>
      <c r="N64" s="773"/>
      <c r="O64" s="773"/>
      <c r="P64" s="774"/>
    </row>
    <row r="65" spans="1:16" s="5" customFormat="1" ht="15" customHeight="1">
      <c r="A65" s="4"/>
      <c r="B65" s="795"/>
      <c r="C65" s="797"/>
      <c r="D65" s="145"/>
      <c r="E65" s="144" t="s">
        <v>1489</v>
      </c>
      <c r="F65" s="146" t="s">
        <v>220</v>
      </c>
      <c r="G65" s="132" t="s">
        <v>1491</v>
      </c>
      <c r="H65" s="200"/>
      <c r="I65" s="506"/>
      <c r="J65" s="700" t="str" cm="1">
        <f t="array" ref="J65">IF(ISBLANK(I65), IF(ISBLANK(H65), "N/A", _xlfn.IFS(K65="AS", H65+15, K65="NCR", H65+30, K65="submitted", H65+30, TRUE, "N/A")), _xlfn.IFS(K65="AS", I65+15, K65="NCR", I65+30, K65="submitted", I65+30, TRUE, "N/A"))</f>
        <v>N/A</v>
      </c>
      <c r="K65" s="36"/>
      <c r="L65" s="318"/>
      <c r="M65" s="772"/>
      <c r="N65" s="773"/>
      <c r="O65" s="773"/>
      <c r="P65" s="774"/>
    </row>
    <row r="66" spans="1:16" s="150" customFormat="1" ht="15" customHeight="1">
      <c r="A66" s="147" t="s">
        <v>1492</v>
      </c>
      <c r="B66" s="47" t="s">
        <v>1493</v>
      </c>
      <c r="C66" s="2" t="s">
        <v>1494</v>
      </c>
      <c r="D66" s="177" t="s">
        <v>1495</v>
      </c>
      <c r="E66" s="168" t="s">
        <v>1496</v>
      </c>
      <c r="F66" s="180" t="s">
        <v>130</v>
      </c>
      <c r="G66" s="167" t="s">
        <v>476</v>
      </c>
      <c r="H66" s="276">
        <v>45782</v>
      </c>
      <c r="I66" s="235">
        <v>45810</v>
      </c>
      <c r="J66" s="700" t="str" cm="1">
        <f t="array" ref="J66">IF(ISBLANK(I66), IF(ISBLANK(H66), "N/A", _xlfn.IFS(K66="AS", H66+15, K66="NCR", H66+30, K66="submitted", H66+30, TRUE, "N/A")), _xlfn.IFS(K66="AS", I66+15, K66="NCR", I66+30, K66="submitted", I66+30, TRUE, "N/A"))</f>
        <v>N/A</v>
      </c>
      <c r="K66" s="150" t="s">
        <v>146</v>
      </c>
      <c r="L66" s="318"/>
      <c r="M66" s="772"/>
      <c r="N66" s="773"/>
      <c r="O66" s="773"/>
      <c r="P66" s="774"/>
    </row>
    <row r="67" spans="1:16" s="26" customFormat="1" ht="15" customHeight="1">
      <c r="A67" s="22" t="s">
        <v>63</v>
      </c>
      <c r="B67" s="128" t="s">
        <v>1493</v>
      </c>
      <c r="C67" s="129" t="s">
        <v>1494</v>
      </c>
      <c r="D67" s="233" t="s">
        <v>1495</v>
      </c>
      <c r="E67" s="203" t="s">
        <v>1497</v>
      </c>
      <c r="F67" s="204" t="s">
        <v>130</v>
      </c>
      <c r="G67" s="255" t="s">
        <v>476</v>
      </c>
      <c r="H67" s="277">
        <v>45811</v>
      </c>
      <c r="I67" s="509"/>
      <c r="J67" s="700" cm="1">
        <f t="array" ref="J67">IF(ISBLANK(I67), IF(ISBLANK(H67), "N/A", _xlfn.IFS(K67="AS", H67+15, K67="NCR", H67+30, K67="submitted", H67+30, TRUE, "N/A")), _xlfn.IFS(K67="AS", I67+15, K67="NCR", I67+30, K67="submitted", I67+30, TRUE, "N/A"))</f>
        <v>45841</v>
      </c>
      <c r="K67" s="26" t="s">
        <v>154</v>
      </c>
      <c r="L67" s="318"/>
      <c r="M67" s="772"/>
      <c r="N67" s="773"/>
      <c r="O67" s="773"/>
      <c r="P67" s="774"/>
    </row>
    <row r="68" spans="1:16" s="1" customFormat="1" ht="15" customHeight="1">
      <c r="B68" s="47" t="s">
        <v>1493</v>
      </c>
      <c r="C68" s="2" t="s">
        <v>1494</v>
      </c>
      <c r="D68" s="178"/>
      <c r="E68" s="143" t="s">
        <v>1368</v>
      </c>
      <c r="F68" s="141" t="s">
        <v>133</v>
      </c>
      <c r="G68" s="162" t="s">
        <v>1498</v>
      </c>
      <c r="H68" s="197"/>
      <c r="I68" s="504"/>
      <c r="J68" s="700" t="str" cm="1">
        <f t="array" ref="J68">IF(ISBLANK(I68), IF(ISBLANK(H68), "N/A", _xlfn.IFS(K68="AS", H68+15, K68="NCR", H68+30, K68="submitted", H68+30, TRUE, "N/A")), _xlfn.IFS(K68="AS", I68+15, K68="NCR", I68+30, K68="submitted", I68+30, TRUE, "N/A"))</f>
        <v>N/A</v>
      </c>
      <c r="K68" s="46"/>
      <c r="L68" s="318"/>
      <c r="M68" s="772"/>
      <c r="N68" s="773"/>
      <c r="O68" s="773"/>
      <c r="P68" s="774"/>
    </row>
    <row r="69" spans="1:16" s="5" customFormat="1" ht="54" customHeight="1">
      <c r="A69" s="9"/>
      <c r="B69" s="794" t="s">
        <v>1499</v>
      </c>
      <c r="C69" s="796" t="s">
        <v>1500</v>
      </c>
      <c r="D69" s="130"/>
      <c r="E69" s="144" t="s">
        <v>1368</v>
      </c>
      <c r="F69" s="146" t="s">
        <v>130</v>
      </c>
      <c r="G69" s="132" t="s">
        <v>1501</v>
      </c>
      <c r="H69" s="200"/>
      <c r="I69" s="506"/>
      <c r="J69" s="700" t="str" cm="1">
        <f t="array" ref="J69">IF(ISBLANK(I69), IF(ISBLANK(H69), "N/A", _xlfn.IFS(K69="AS", H69+15, K69="NCR", H69+30, K69="submitted", H69+30, TRUE, "N/A")), _xlfn.IFS(K69="AS", I69+15, K69="NCR", I69+30, K69="submitted", I69+30, TRUE, "N/A"))</f>
        <v>N/A</v>
      </c>
      <c r="K69" s="34"/>
      <c r="L69" s="318"/>
      <c r="M69" s="772"/>
      <c r="N69" s="773"/>
      <c r="O69" s="773"/>
      <c r="P69" s="774"/>
    </row>
    <row r="70" spans="1:16" s="5" customFormat="1" ht="36" customHeight="1">
      <c r="A70" s="4"/>
      <c r="B70" s="795"/>
      <c r="C70" s="797"/>
      <c r="D70" s="145"/>
      <c r="E70" s="144" t="s">
        <v>1368</v>
      </c>
      <c r="F70" s="146" t="s">
        <v>133</v>
      </c>
      <c r="G70" s="132" t="s">
        <v>1502</v>
      </c>
      <c r="H70" s="200"/>
      <c r="I70" s="506"/>
      <c r="J70" s="700" t="str" cm="1">
        <f t="array" ref="J70">IF(ISBLANK(I70), IF(ISBLANK(H70), "N/A", _xlfn.IFS(K70="AS", H70+15, K70="NCR", H70+30, K70="submitted", H70+30, TRUE, "N/A")), _xlfn.IFS(K70="AS", I70+15, K70="NCR", I70+30, K70="submitted", I70+30, TRUE, "N/A"))</f>
        <v>N/A</v>
      </c>
      <c r="K70" s="36"/>
      <c r="L70" s="318"/>
      <c r="M70" s="772"/>
      <c r="N70" s="773"/>
      <c r="O70" s="773"/>
      <c r="P70" s="774"/>
    </row>
    <row r="71" spans="1:16" s="150" customFormat="1" ht="15" customHeight="1">
      <c r="A71" s="147" t="s">
        <v>1503</v>
      </c>
      <c r="B71" s="805" t="s">
        <v>1504</v>
      </c>
      <c r="C71" s="808" t="s">
        <v>1505</v>
      </c>
      <c r="D71" s="177"/>
      <c r="E71" s="168" t="s">
        <v>1506</v>
      </c>
      <c r="F71" s="180" t="s">
        <v>205</v>
      </c>
      <c r="G71" s="167" t="s">
        <v>1501</v>
      </c>
      <c r="H71" s="276">
        <v>45797</v>
      </c>
      <c r="I71" s="235">
        <v>45813</v>
      </c>
      <c r="J71" s="700" t="str" cm="1">
        <f t="array" ref="J71">IF(ISBLANK(I71), IF(ISBLANK(H71), "N/A", _xlfn.IFS(K71="AS", H71+15, K71="NCR", H71+30, K71="submitted", H71+30, TRUE, "N/A")), _xlfn.IFS(K71="AS", I71+15, K71="NCR", I71+30, K71="submitted", I71+30, TRUE, "N/A"))</f>
        <v>N/A</v>
      </c>
      <c r="K71" s="150" t="s">
        <v>146</v>
      </c>
      <c r="L71" s="318"/>
      <c r="M71" s="772"/>
      <c r="N71" s="773"/>
      <c r="O71" s="773"/>
      <c r="P71" s="774"/>
    </row>
    <row r="72" spans="1:16" s="150" customFormat="1" ht="15" customHeight="1">
      <c r="A72" s="147" t="s">
        <v>1503</v>
      </c>
      <c r="B72" s="806"/>
      <c r="C72" s="809"/>
      <c r="D72" s="221"/>
      <c r="E72" s="168" t="s">
        <v>1506</v>
      </c>
      <c r="F72" s="180" t="s">
        <v>275</v>
      </c>
      <c r="G72" s="167" t="s">
        <v>276</v>
      </c>
      <c r="H72" s="276">
        <v>45797</v>
      </c>
      <c r="I72" s="235">
        <v>45813</v>
      </c>
      <c r="J72" s="700" t="str" cm="1">
        <f t="array" ref="J72">IF(ISBLANK(I72), IF(ISBLANK(H72), "N/A", _xlfn.IFS(K72="AS", H72+15, K72="NCR", H72+30, K72="submitted", H72+30, TRUE, "N/A")), _xlfn.IFS(K72="AS", I72+15, K72="NCR", I72+30, K72="submitted", I72+30, TRUE, "N/A"))</f>
        <v>N/A</v>
      </c>
      <c r="K72" s="150" t="s">
        <v>146</v>
      </c>
      <c r="L72" s="318"/>
      <c r="M72" s="772"/>
      <c r="N72" s="773"/>
      <c r="O72" s="773"/>
      <c r="P72" s="774"/>
    </row>
    <row r="73" spans="1:16" s="150" customFormat="1" ht="27" customHeight="1">
      <c r="A73" s="147" t="s">
        <v>1503</v>
      </c>
      <c r="B73" s="806"/>
      <c r="C73" s="809"/>
      <c r="D73" s="221"/>
      <c r="E73" s="168" t="s">
        <v>1506</v>
      </c>
      <c r="F73" s="180" t="s">
        <v>321</v>
      </c>
      <c r="G73" s="215" t="s">
        <v>1507</v>
      </c>
      <c r="H73" s="276">
        <v>45797</v>
      </c>
      <c r="I73" s="235">
        <v>45813</v>
      </c>
      <c r="J73" s="700" t="str" cm="1">
        <f t="array" ref="J73">IF(ISBLANK(I73), IF(ISBLANK(H73), "N/A", _xlfn.IFS(K73="AS", H73+15, K73="NCR", H73+30, K73="submitted", H73+30, TRUE, "N/A")), _xlfn.IFS(K73="AS", I73+15, K73="NCR", I73+30, K73="submitted", I73+30, TRUE, "N/A"))</f>
        <v>N/A</v>
      </c>
      <c r="K73" s="150" t="s">
        <v>146</v>
      </c>
      <c r="L73" s="318"/>
      <c r="M73" s="772"/>
      <c r="N73" s="773"/>
      <c r="O73" s="773"/>
      <c r="P73" s="774"/>
    </row>
    <row r="74" spans="1:16" s="150" customFormat="1" ht="15" customHeight="1">
      <c r="A74" s="147" t="s">
        <v>1503</v>
      </c>
      <c r="B74" s="807"/>
      <c r="C74" s="810"/>
      <c r="D74" s="219"/>
      <c r="E74" s="168" t="s">
        <v>1506</v>
      </c>
      <c r="F74" s="180" t="s">
        <v>592</v>
      </c>
      <c r="G74" s="167" t="s">
        <v>1508</v>
      </c>
      <c r="H74" s="276">
        <v>45797</v>
      </c>
      <c r="I74" s="235">
        <v>45813</v>
      </c>
      <c r="J74" s="700" t="str" cm="1">
        <f t="array" ref="J74">IF(ISBLANK(I74), IF(ISBLANK(H74), "N/A", _xlfn.IFS(K74="AS", H74+15, K74="NCR", H74+30, K74="submitted", H74+30, TRUE, "N/A")), _xlfn.IFS(K74="AS", I74+15, K74="NCR", I74+30, K74="submitted", I74+30, TRUE, "N/A"))</f>
        <v>N/A</v>
      </c>
      <c r="K74" s="150" t="s">
        <v>146</v>
      </c>
      <c r="L74" s="318"/>
      <c r="M74" s="772"/>
      <c r="N74" s="773"/>
      <c r="O74" s="773"/>
      <c r="P74" s="774"/>
    </row>
    <row r="75" spans="1:16" s="150" customFormat="1" ht="15" customHeight="1">
      <c r="A75" s="147" t="s">
        <v>65</v>
      </c>
      <c r="B75" s="805" t="s">
        <v>1504</v>
      </c>
      <c r="C75" s="808" t="s">
        <v>1505</v>
      </c>
      <c r="D75" s="177"/>
      <c r="E75" s="168" t="s">
        <v>1506</v>
      </c>
      <c r="F75" s="180" t="s">
        <v>205</v>
      </c>
      <c r="G75" s="167" t="s">
        <v>1501</v>
      </c>
      <c r="H75" s="276">
        <v>45834</v>
      </c>
      <c r="I75" s="235">
        <v>45894</v>
      </c>
      <c r="J75" s="700" t="str" cm="1">
        <f t="array" ref="J75">IF(ISBLANK(I75), IF(ISBLANK(H75), "N/A", _xlfn.IFS(K75="AS", H75+15, K75="NCR", H75+30, K75="submitted", H75+30, TRUE, "N/A")), _xlfn.IFS(K75="AS", I75+15, K75="NCR", I75+30, K75="submitted", I75+30, TRUE, "N/A"))</f>
        <v>N/A</v>
      </c>
      <c r="K75" s="150" t="s">
        <v>146</v>
      </c>
      <c r="L75" s="318"/>
      <c r="M75" s="772"/>
      <c r="N75" s="773"/>
      <c r="O75" s="773"/>
      <c r="P75" s="774"/>
    </row>
    <row r="76" spans="1:16" s="150" customFormat="1" ht="15" customHeight="1">
      <c r="A76" s="147" t="s">
        <v>65</v>
      </c>
      <c r="B76" s="806"/>
      <c r="C76" s="809"/>
      <c r="D76" s="221"/>
      <c r="E76" s="168" t="s">
        <v>1506</v>
      </c>
      <c r="F76" s="180" t="s">
        <v>275</v>
      </c>
      <c r="G76" s="167" t="s">
        <v>276</v>
      </c>
      <c r="H76" s="276">
        <v>45834</v>
      </c>
      <c r="I76" s="235">
        <v>45894</v>
      </c>
      <c r="J76" s="700" t="str" cm="1">
        <f t="array" ref="J76">IF(ISBLANK(I76), IF(ISBLANK(H76), "N/A", _xlfn.IFS(K76="AS", H76+15, K76="NCR", H76+30, K76="submitted", H76+30, TRUE, "N/A")), _xlfn.IFS(K76="AS", I76+15, K76="NCR", I76+30, K76="submitted", I76+30, TRUE, "N/A"))</f>
        <v>N/A</v>
      </c>
      <c r="K76" s="150" t="s">
        <v>146</v>
      </c>
      <c r="L76" s="318"/>
      <c r="M76" s="772"/>
      <c r="N76" s="773"/>
      <c r="O76" s="773"/>
      <c r="P76" s="774"/>
    </row>
    <row r="77" spans="1:16" s="150" customFormat="1" ht="27" customHeight="1">
      <c r="A77" s="147" t="s">
        <v>65</v>
      </c>
      <c r="B77" s="806"/>
      <c r="C77" s="809"/>
      <c r="D77" s="221"/>
      <c r="E77" s="168" t="s">
        <v>1506</v>
      </c>
      <c r="F77" s="180" t="s">
        <v>321</v>
      </c>
      <c r="G77" s="215" t="s">
        <v>1507</v>
      </c>
      <c r="H77" s="278">
        <v>45834</v>
      </c>
      <c r="I77" s="235">
        <v>45894</v>
      </c>
      <c r="J77" s="700" t="str" cm="1">
        <f t="array" ref="J77">IF(ISBLANK(I77), IF(ISBLANK(H77), "N/A", _xlfn.IFS(K77="AS", H77+15, K77="NCR", H77+30, K77="submitted", H77+30, TRUE, "N/A")), _xlfn.IFS(K77="AS", I77+15, K77="NCR", I77+30, K77="submitted", I77+30, TRUE, "N/A"))</f>
        <v>N/A</v>
      </c>
      <c r="K77" s="150" t="s">
        <v>146</v>
      </c>
      <c r="L77" s="318"/>
      <c r="M77" s="772"/>
      <c r="N77" s="773"/>
      <c r="O77" s="773"/>
      <c r="P77" s="774"/>
    </row>
    <row r="78" spans="1:16" s="150" customFormat="1" ht="15" customHeight="1">
      <c r="A78" s="147" t="s">
        <v>65</v>
      </c>
      <c r="B78" s="807"/>
      <c r="C78" s="810"/>
      <c r="D78" s="219"/>
      <c r="E78" s="168" t="s">
        <v>1506</v>
      </c>
      <c r="F78" s="180" t="s">
        <v>592</v>
      </c>
      <c r="G78" s="167" t="s">
        <v>1508</v>
      </c>
      <c r="H78" s="278">
        <v>45834</v>
      </c>
      <c r="I78" s="235">
        <v>45894</v>
      </c>
      <c r="J78" s="700" t="str" cm="1">
        <f t="array" ref="J78">IF(ISBLANK(I78), IF(ISBLANK(H78), "N/A", _xlfn.IFS(K78="AS", H78+15, K78="NCR", H78+30, K78="submitted", H78+30, TRUE, "N/A")), _xlfn.IFS(K78="AS", I78+15, K78="NCR", I78+30, K78="submitted", I78+30, TRUE, "N/A"))</f>
        <v>N/A</v>
      </c>
      <c r="K78" s="150" t="s">
        <v>146</v>
      </c>
      <c r="L78" s="318"/>
      <c r="M78" s="772"/>
      <c r="N78" s="773"/>
      <c r="O78" s="773"/>
      <c r="P78" s="774"/>
    </row>
    <row r="79" spans="1:16" s="138" customFormat="1" ht="15" customHeight="1">
      <c r="A79" s="152" t="s">
        <v>1509</v>
      </c>
      <c r="B79" s="828" t="s">
        <v>1504</v>
      </c>
      <c r="C79" s="831" t="s">
        <v>1505</v>
      </c>
      <c r="D79" s="428" t="s">
        <v>1510</v>
      </c>
      <c r="E79" s="159" t="s">
        <v>1506</v>
      </c>
      <c r="F79" s="179" t="s">
        <v>205</v>
      </c>
      <c r="G79" s="163" t="s">
        <v>1501</v>
      </c>
      <c r="H79" s="275">
        <v>45896</v>
      </c>
      <c r="I79" s="217">
        <v>45919</v>
      </c>
      <c r="J79" s="700" t="str" cm="1">
        <f t="array" ref="J79">IF(ISBLANK(I79), IF(ISBLANK(H79), "N/A", _xlfn.IFS(K79="AS", H79+15, K79="NCR", H79+30, K79="submitted", H79+30, TRUE, "N/A")), _xlfn.IFS(K79="AS", I79+15, K79="NCR", I79+30, K79="submitted", I79+30, TRUE, "N/A"))</f>
        <v>N/A</v>
      </c>
      <c r="K79" s="138" t="s">
        <v>645</v>
      </c>
      <c r="L79" s="318"/>
      <c r="M79" s="772"/>
      <c r="N79" s="773"/>
      <c r="O79" s="773"/>
      <c r="P79" s="774"/>
    </row>
    <row r="80" spans="1:16" s="138" customFormat="1" ht="15" customHeight="1">
      <c r="A80" s="152" t="s">
        <v>1509</v>
      </c>
      <c r="B80" s="829"/>
      <c r="C80" s="832"/>
      <c r="D80" s="358"/>
      <c r="E80" s="159" t="s">
        <v>1506</v>
      </c>
      <c r="F80" s="179" t="s">
        <v>275</v>
      </c>
      <c r="G80" s="163" t="s">
        <v>276</v>
      </c>
      <c r="H80" s="275">
        <v>45896</v>
      </c>
      <c r="I80" s="217">
        <v>45919</v>
      </c>
      <c r="J80" s="700" t="str" cm="1">
        <f t="array" ref="J80">IF(ISBLANK(I80), IF(ISBLANK(H80), "N/A", _xlfn.IFS(K80="AS", H80+15, K80="NCR", H80+30, K80="submitted", H80+30, TRUE, "N/A")), _xlfn.IFS(K80="AS", I80+15, K80="NCR", I80+30, K80="submitted", I80+30, TRUE, "N/A"))</f>
        <v>N/A</v>
      </c>
      <c r="K80" s="138" t="s">
        <v>645</v>
      </c>
      <c r="L80" s="318"/>
      <c r="M80" s="772"/>
      <c r="N80" s="773"/>
      <c r="O80" s="773"/>
      <c r="P80" s="774"/>
    </row>
    <row r="81" spans="1:16" s="138" customFormat="1" ht="27" customHeight="1">
      <c r="A81" s="152" t="s">
        <v>1509</v>
      </c>
      <c r="B81" s="829"/>
      <c r="C81" s="832"/>
      <c r="D81" s="358"/>
      <c r="E81" s="159" t="s">
        <v>1506</v>
      </c>
      <c r="F81" s="179" t="s">
        <v>321</v>
      </c>
      <c r="G81" s="157" t="s">
        <v>1507</v>
      </c>
      <c r="H81" s="275">
        <v>45896</v>
      </c>
      <c r="I81" s="217">
        <v>45919</v>
      </c>
      <c r="J81" s="700" t="str" cm="1">
        <f t="array" ref="J81">IF(ISBLANK(I81), IF(ISBLANK(H81), "N/A", _xlfn.IFS(K81="AS", H81+15, K81="NCR", H81+30, K81="submitted", H81+30, TRUE, "N/A")), _xlfn.IFS(K81="AS", I81+15, K81="NCR", I81+30, K81="submitted", I81+30, TRUE, "N/A"))</f>
        <v>N/A</v>
      </c>
      <c r="K81" s="138" t="s">
        <v>645</v>
      </c>
      <c r="L81" s="318"/>
      <c r="M81" s="772"/>
      <c r="N81" s="773"/>
      <c r="O81" s="773"/>
      <c r="P81" s="774"/>
    </row>
    <row r="82" spans="1:16" s="138" customFormat="1" ht="15" customHeight="1">
      <c r="A82" s="152" t="s">
        <v>1509</v>
      </c>
      <c r="B82" s="830"/>
      <c r="C82" s="833"/>
      <c r="D82" s="164"/>
      <c r="E82" s="159" t="s">
        <v>1506</v>
      </c>
      <c r="F82" s="179" t="s">
        <v>592</v>
      </c>
      <c r="G82" s="163" t="s">
        <v>1508</v>
      </c>
      <c r="H82" s="275">
        <v>45896</v>
      </c>
      <c r="I82" s="217">
        <v>45919</v>
      </c>
      <c r="J82" s="700" t="str" cm="1">
        <f t="array" ref="J82">IF(ISBLANK(I82), IF(ISBLANK(H82), "N/A", _xlfn.IFS(K82="AS", H82+15, K82="NCR", H82+30, K82="submitted", H82+30, TRUE, "N/A")), _xlfn.IFS(K82="AS", I82+15, K82="NCR", I82+30, K82="submitted", I82+30, TRUE, "N/A"))</f>
        <v>N/A</v>
      </c>
      <c r="K82" s="138" t="s">
        <v>645</v>
      </c>
      <c r="L82" s="318"/>
      <c r="M82" s="772"/>
      <c r="N82" s="773"/>
      <c r="O82" s="773"/>
      <c r="P82" s="774"/>
    </row>
    <row r="83" spans="1:16" s="45" customFormat="1" ht="27" customHeight="1">
      <c r="B83" s="794" t="s">
        <v>1511</v>
      </c>
      <c r="C83" s="796" t="s">
        <v>1512</v>
      </c>
      <c r="D83" s="130"/>
      <c r="E83" s="144" t="s">
        <v>1368</v>
      </c>
      <c r="F83" s="146" t="s">
        <v>284</v>
      </c>
      <c r="G83" s="161" t="s">
        <v>1513</v>
      </c>
      <c r="H83" s="196"/>
      <c r="I83" s="300"/>
      <c r="J83" s="700" t="str" cm="1">
        <f t="array" ref="J83">IF(ISBLANK(I83), IF(ISBLANK(H83), "N/A", _xlfn.IFS(K83="AS", H83+15, K83="NCR", H83+30, K83="submitted", H83+30, TRUE, "N/A")), _xlfn.IFS(K83="AS", I83+15, K83="NCR", I83+30, K83="submitted", I83+30, TRUE, "N/A"))</f>
        <v>N/A</v>
      </c>
      <c r="K83" s="34"/>
      <c r="L83" s="318"/>
      <c r="M83" s="772"/>
      <c r="N83" s="773"/>
      <c r="O83" s="773"/>
      <c r="P83" s="774"/>
    </row>
    <row r="84" spans="1:16" s="5" customFormat="1" ht="15.75" customHeight="1">
      <c r="A84" s="4"/>
      <c r="B84" s="798"/>
      <c r="C84" s="799"/>
      <c r="D84" s="131"/>
      <c r="E84" s="144" t="s">
        <v>1368</v>
      </c>
      <c r="F84" s="146" t="s">
        <v>286</v>
      </c>
      <c r="G84" s="132" t="s">
        <v>1514</v>
      </c>
      <c r="H84" s="200"/>
      <c r="I84" s="506"/>
      <c r="J84" s="700" t="str" cm="1">
        <f t="array" ref="J84">IF(ISBLANK(I84), IF(ISBLANK(H84), "N/A", _xlfn.IFS(K84="AS", H84+15, K84="NCR", H84+30, K84="submitted", H84+30, TRUE, "N/A")), _xlfn.IFS(K84="AS", I84+15, K84="NCR", I84+30, K84="submitted", I84+30, TRUE, "N/A"))</f>
        <v>N/A</v>
      </c>
      <c r="K84" s="35"/>
      <c r="L84" s="318"/>
      <c r="M84" s="772"/>
      <c r="N84" s="773"/>
      <c r="O84" s="773"/>
      <c r="P84" s="774"/>
    </row>
    <row r="85" spans="1:16" s="45" customFormat="1" ht="15.75" customHeight="1">
      <c r="A85" s="4"/>
      <c r="B85" s="834"/>
      <c r="C85" s="835"/>
      <c r="D85" s="131"/>
      <c r="E85" s="144" t="s">
        <v>1368</v>
      </c>
      <c r="F85" s="182" t="s">
        <v>1515</v>
      </c>
      <c r="G85" s="166" t="s">
        <v>1516</v>
      </c>
      <c r="H85" s="200"/>
      <c r="I85" s="506"/>
      <c r="J85" s="700" t="str" cm="1">
        <f t="array" ref="J85">IF(ISBLANK(I85), IF(ISBLANK(H85), "N/A", _xlfn.IFS(K85="AS", H85+15, K85="NCR", H85+30, K85="submitted", H85+30, TRUE, "N/A")), _xlfn.IFS(K85="AS", I85+15, K85="NCR", I85+30, K85="submitted", I85+30, TRUE, "N/A"))</f>
        <v>N/A</v>
      </c>
      <c r="K85" s="49"/>
      <c r="L85" s="318"/>
      <c r="M85" s="772"/>
      <c r="N85" s="773"/>
      <c r="O85" s="773"/>
      <c r="P85" s="774"/>
    </row>
    <row r="86" spans="1:16" s="318" customFormat="1">
      <c r="A86" s="321"/>
      <c r="I86" s="510"/>
      <c r="M86" s="772"/>
      <c r="N86" s="773"/>
      <c r="O86" s="773"/>
      <c r="P86" s="774"/>
    </row>
    <row r="87" spans="1:16">
      <c r="M87" s="772"/>
      <c r="N87" s="773"/>
      <c r="O87" s="773"/>
      <c r="P87" s="774"/>
    </row>
    <row r="88" spans="1:16">
      <c r="M88" s="772"/>
      <c r="N88" s="773"/>
      <c r="O88" s="773"/>
      <c r="P88" s="774"/>
    </row>
    <row r="89" spans="1:16">
      <c r="M89" s="772"/>
      <c r="N89" s="773"/>
      <c r="O89" s="773"/>
      <c r="P89" s="774"/>
    </row>
    <row r="90" spans="1:16">
      <c r="M90" s="772"/>
      <c r="N90" s="773"/>
      <c r="O90" s="773"/>
      <c r="P90" s="774"/>
    </row>
    <row r="91" spans="1:16">
      <c r="M91" s="772"/>
      <c r="N91" s="773"/>
      <c r="O91" s="773"/>
      <c r="P91" s="774"/>
    </row>
    <row r="92" spans="1:16">
      <c r="M92" s="772"/>
      <c r="N92" s="773"/>
      <c r="O92" s="773"/>
      <c r="P92" s="774"/>
    </row>
    <row r="93" spans="1:16">
      <c r="M93" s="772"/>
      <c r="N93" s="773"/>
      <c r="O93" s="773"/>
      <c r="P93" s="774"/>
    </row>
    <row r="94" spans="1:16">
      <c r="M94" s="772"/>
      <c r="N94" s="773"/>
      <c r="O94" s="773"/>
      <c r="P94" s="774"/>
    </row>
    <row r="95" spans="1:16">
      <c r="M95" s="772"/>
      <c r="N95" s="773"/>
      <c r="O95" s="773"/>
      <c r="P95" s="774"/>
    </row>
    <row r="96" spans="1:16">
      <c r="M96" s="772"/>
      <c r="N96" s="773"/>
      <c r="O96" s="773"/>
      <c r="P96" s="774"/>
    </row>
    <row r="97" spans="13:16">
      <c r="M97" s="772"/>
      <c r="N97" s="773"/>
      <c r="O97" s="773"/>
      <c r="P97" s="774"/>
    </row>
    <row r="98" spans="13:16">
      <c r="M98" s="772"/>
      <c r="N98" s="773"/>
      <c r="O98" s="773"/>
      <c r="P98" s="774"/>
    </row>
    <row r="99" spans="13:16">
      <c r="M99" s="772"/>
      <c r="N99" s="773"/>
      <c r="O99" s="773"/>
      <c r="P99" s="774"/>
    </row>
    <row r="100" spans="13:16">
      <c r="M100" s="772"/>
      <c r="N100" s="773"/>
      <c r="O100" s="773"/>
      <c r="P100" s="774"/>
    </row>
    <row r="101" spans="13:16">
      <c r="M101" s="772"/>
      <c r="N101" s="773"/>
      <c r="O101" s="773"/>
      <c r="P101" s="774"/>
    </row>
    <row r="102" spans="13:16">
      <c r="M102" s="772"/>
      <c r="N102" s="773"/>
      <c r="O102" s="773"/>
      <c r="P102" s="774"/>
    </row>
    <row r="103" spans="13:16">
      <c r="M103" s="772"/>
      <c r="N103" s="773"/>
      <c r="O103" s="773"/>
      <c r="P103" s="774"/>
    </row>
    <row r="104" spans="13:16">
      <c r="M104" s="772"/>
      <c r="N104" s="773"/>
      <c r="O104" s="773"/>
      <c r="P104" s="774"/>
    </row>
    <row r="105" spans="13:16">
      <c r="M105" s="772"/>
      <c r="N105" s="773"/>
      <c r="O105" s="773"/>
      <c r="P105" s="774"/>
    </row>
    <row r="106" spans="13:16">
      <c r="M106" s="772"/>
      <c r="N106" s="773"/>
      <c r="O106" s="773"/>
      <c r="P106" s="774"/>
    </row>
    <row r="107" spans="13:16">
      <c r="M107" s="772"/>
      <c r="N107" s="773"/>
      <c r="O107" s="773"/>
      <c r="P107" s="774"/>
    </row>
    <row r="108" spans="13:16">
      <c r="M108" s="772"/>
      <c r="N108" s="773"/>
      <c r="O108" s="773"/>
      <c r="P108" s="774"/>
    </row>
    <row r="109" spans="13:16">
      <c r="M109" s="772"/>
      <c r="N109" s="773"/>
      <c r="O109" s="773"/>
      <c r="P109" s="774"/>
    </row>
    <row r="110" spans="13:16">
      <c r="M110" s="772"/>
      <c r="N110" s="773"/>
      <c r="O110" s="773"/>
      <c r="P110" s="774"/>
    </row>
    <row r="111" spans="13:16">
      <c r="M111" s="772"/>
      <c r="N111" s="773"/>
      <c r="O111" s="773"/>
      <c r="P111" s="774"/>
    </row>
    <row r="112" spans="13:16">
      <c r="M112" s="772"/>
      <c r="N112" s="773"/>
      <c r="O112" s="773"/>
      <c r="P112" s="774"/>
    </row>
    <row r="113" spans="13:16">
      <c r="M113" s="772"/>
      <c r="N113" s="773"/>
      <c r="O113" s="773"/>
      <c r="P113" s="774"/>
    </row>
    <row r="114" spans="13:16">
      <c r="M114" s="772"/>
      <c r="N114" s="773"/>
      <c r="O114" s="773"/>
      <c r="P114" s="774"/>
    </row>
    <row r="115" spans="13:16">
      <c r="M115" s="772"/>
      <c r="N115" s="773"/>
      <c r="O115" s="773"/>
      <c r="P115" s="774"/>
    </row>
    <row r="116" spans="13:16">
      <c r="M116" s="772"/>
      <c r="N116" s="773"/>
      <c r="O116" s="773"/>
      <c r="P116" s="774"/>
    </row>
    <row r="117" spans="13:16">
      <c r="M117" s="772"/>
      <c r="N117" s="773"/>
      <c r="O117" s="773"/>
      <c r="P117" s="774"/>
    </row>
    <row r="118" spans="13:16">
      <c r="M118" s="772"/>
      <c r="N118" s="773"/>
      <c r="O118" s="773"/>
      <c r="P118" s="774"/>
    </row>
    <row r="119" spans="13:16">
      <c r="M119" s="772"/>
      <c r="N119" s="773"/>
      <c r="O119" s="773"/>
      <c r="P119" s="774"/>
    </row>
    <row r="120" spans="13:16">
      <c r="M120" s="766" t="s">
        <v>132</v>
      </c>
      <c r="N120" s="767"/>
      <c r="O120" s="767"/>
      <c r="P120" s="768"/>
    </row>
    <row r="121" spans="13:16">
      <c r="M121" s="769"/>
      <c r="N121" s="770"/>
      <c r="O121" s="770"/>
      <c r="P121" s="771"/>
    </row>
    <row r="122" spans="13:16">
      <c r="M122" s="769"/>
      <c r="N122" s="770"/>
      <c r="O122" s="770"/>
      <c r="P122" s="771"/>
    </row>
    <row r="123" spans="13:16">
      <c r="M123" s="769"/>
      <c r="N123" s="770"/>
      <c r="O123" s="770"/>
      <c r="P123" s="771"/>
    </row>
    <row r="124" spans="13:16">
      <c r="M124" s="769"/>
      <c r="N124" s="770"/>
      <c r="O124" s="770"/>
      <c r="P124" s="771"/>
    </row>
    <row r="125" spans="13:16">
      <c r="M125" s="769"/>
      <c r="N125" s="770"/>
      <c r="O125" s="770"/>
      <c r="P125" s="771"/>
    </row>
    <row r="126" spans="13:16">
      <c r="M126" s="769"/>
      <c r="N126" s="770"/>
      <c r="O126" s="770"/>
      <c r="P126" s="771"/>
    </row>
    <row r="127" spans="13:16">
      <c r="M127" s="769"/>
      <c r="N127" s="770"/>
      <c r="O127" s="770"/>
      <c r="P127" s="771"/>
    </row>
    <row r="128" spans="13:16">
      <c r="M128" s="772" t="s">
        <v>147</v>
      </c>
      <c r="N128" s="773"/>
      <c r="O128" s="773"/>
      <c r="P128" s="774"/>
    </row>
    <row r="129" spans="13:16">
      <c r="M129" s="772"/>
      <c r="N129" s="773"/>
      <c r="O129" s="773"/>
      <c r="P129" s="774"/>
    </row>
    <row r="130" spans="13:16">
      <c r="M130" s="772"/>
      <c r="N130" s="773"/>
      <c r="O130" s="773"/>
      <c r="P130" s="774"/>
    </row>
    <row r="131" spans="13:16">
      <c r="M131" s="772"/>
      <c r="N131" s="773"/>
      <c r="O131" s="773"/>
      <c r="P131" s="774"/>
    </row>
    <row r="132" spans="13:16">
      <c r="M132" s="772"/>
      <c r="N132" s="773"/>
      <c r="O132" s="773"/>
      <c r="P132" s="774"/>
    </row>
    <row r="133" spans="13:16">
      <c r="M133" s="772"/>
      <c r="N133" s="773"/>
      <c r="O133" s="773"/>
      <c r="P133" s="774"/>
    </row>
    <row r="134" spans="13:16">
      <c r="M134" s="772"/>
      <c r="N134" s="773"/>
      <c r="O134" s="773"/>
      <c r="P134" s="774"/>
    </row>
    <row r="135" spans="13:16">
      <c r="M135" s="772"/>
      <c r="N135" s="773"/>
      <c r="O135" s="773"/>
      <c r="P135" s="774"/>
    </row>
    <row r="136" spans="13:16">
      <c r="M136" s="772"/>
      <c r="N136" s="773"/>
      <c r="O136" s="773"/>
      <c r="P136" s="774"/>
    </row>
    <row r="137" spans="13:16">
      <c r="M137" s="772"/>
      <c r="N137" s="773"/>
      <c r="O137" s="773"/>
      <c r="P137" s="774"/>
    </row>
    <row r="138" spans="13:16">
      <c r="M138" s="772"/>
      <c r="N138" s="773"/>
      <c r="O138" s="773"/>
      <c r="P138" s="774"/>
    </row>
    <row r="139" spans="13:16">
      <c r="M139" s="772"/>
      <c r="N139" s="773"/>
      <c r="O139" s="773"/>
      <c r="P139" s="774"/>
    </row>
    <row r="140" spans="13:16">
      <c r="M140" s="772"/>
      <c r="N140" s="773"/>
      <c r="O140" s="773"/>
      <c r="P140" s="774"/>
    </row>
    <row r="141" spans="13:16">
      <c r="M141" s="772"/>
      <c r="N141" s="773"/>
      <c r="O141" s="773"/>
      <c r="P141" s="774"/>
    </row>
    <row r="142" spans="13:16">
      <c r="M142" s="772"/>
      <c r="N142" s="773"/>
      <c r="O142" s="773"/>
      <c r="P142" s="774"/>
    </row>
    <row r="143" spans="13:16">
      <c r="M143" s="772"/>
      <c r="N143" s="773"/>
      <c r="O143" s="773"/>
      <c r="P143" s="774"/>
    </row>
    <row r="144" spans="13:16">
      <c r="M144" s="772"/>
      <c r="N144" s="773"/>
      <c r="O144" s="773"/>
      <c r="P144" s="774"/>
    </row>
    <row r="145" spans="13:16">
      <c r="M145" s="772"/>
      <c r="N145" s="773"/>
      <c r="O145" s="773"/>
      <c r="P145" s="774"/>
    </row>
    <row r="146" spans="13:16">
      <c r="M146" s="772"/>
      <c r="N146" s="773"/>
      <c r="O146" s="773"/>
      <c r="P146" s="774"/>
    </row>
    <row r="147" spans="13:16">
      <c r="M147" s="772"/>
      <c r="N147" s="773"/>
      <c r="O147" s="773"/>
      <c r="P147" s="774"/>
    </row>
    <row r="148" spans="13:16">
      <c r="M148" s="772"/>
      <c r="N148" s="773"/>
      <c r="O148" s="773"/>
      <c r="P148" s="774"/>
    </row>
    <row r="149" spans="13:16">
      <c r="M149" s="772"/>
      <c r="N149" s="773"/>
      <c r="O149" s="773"/>
      <c r="P149" s="774"/>
    </row>
    <row r="150" spans="13:16">
      <c r="M150" s="772"/>
      <c r="N150" s="773"/>
      <c r="O150" s="773"/>
      <c r="P150" s="774"/>
    </row>
    <row r="151" spans="13:16">
      <c r="M151" s="772"/>
      <c r="N151" s="773"/>
      <c r="O151" s="773"/>
      <c r="P151" s="774"/>
    </row>
    <row r="152" spans="13:16">
      <c r="M152" s="772"/>
      <c r="N152" s="773"/>
      <c r="O152" s="773"/>
      <c r="P152" s="774"/>
    </row>
    <row r="153" spans="13:16">
      <c r="M153" s="772"/>
      <c r="N153" s="773"/>
      <c r="O153" s="773"/>
      <c r="P153" s="774"/>
    </row>
    <row r="154" spans="13:16">
      <c r="M154" s="772"/>
      <c r="N154" s="773"/>
      <c r="O154" s="773"/>
      <c r="P154" s="774"/>
    </row>
    <row r="155" spans="13:16">
      <c r="M155" s="772"/>
      <c r="N155" s="773"/>
      <c r="O155" s="773"/>
      <c r="P155" s="774"/>
    </row>
    <row r="156" spans="13:16">
      <c r="M156" s="772"/>
      <c r="N156" s="773"/>
      <c r="O156" s="773"/>
      <c r="P156" s="774"/>
    </row>
    <row r="157" spans="13:16">
      <c r="M157" s="772"/>
      <c r="N157" s="773"/>
      <c r="O157" s="773"/>
      <c r="P157" s="774"/>
    </row>
    <row r="158" spans="13:16">
      <c r="M158" s="772"/>
      <c r="N158" s="773"/>
      <c r="O158" s="773"/>
      <c r="P158" s="774"/>
    </row>
    <row r="159" spans="13:16">
      <c r="M159" s="772"/>
      <c r="N159" s="773"/>
      <c r="O159" s="773"/>
      <c r="P159" s="774"/>
    </row>
    <row r="160" spans="13:16">
      <c r="M160" s="772"/>
      <c r="N160" s="773"/>
      <c r="O160" s="773"/>
      <c r="P160" s="774"/>
    </row>
    <row r="161" spans="13:16">
      <c r="M161" s="772"/>
      <c r="N161" s="773"/>
      <c r="O161" s="773"/>
      <c r="P161" s="774"/>
    </row>
    <row r="162" spans="13:16">
      <c r="M162" s="772"/>
      <c r="N162" s="773"/>
      <c r="O162" s="773"/>
      <c r="P162" s="774"/>
    </row>
    <row r="163" spans="13:16">
      <c r="M163" s="772"/>
      <c r="N163" s="773"/>
      <c r="O163" s="773"/>
      <c r="P163" s="774"/>
    </row>
    <row r="164" spans="13:16">
      <c r="M164" s="772"/>
      <c r="N164" s="773"/>
      <c r="O164" s="773"/>
      <c r="P164" s="774"/>
    </row>
    <row r="165" spans="13:16">
      <c r="M165" s="772"/>
      <c r="N165" s="773"/>
      <c r="O165" s="773"/>
      <c r="P165" s="774"/>
    </row>
    <row r="166" spans="13:16">
      <c r="M166" s="772"/>
      <c r="N166" s="773"/>
      <c r="O166" s="773"/>
      <c r="P166" s="774"/>
    </row>
    <row r="167" spans="13:16">
      <c r="M167" s="772"/>
      <c r="N167" s="773"/>
      <c r="O167" s="773"/>
      <c r="P167" s="774"/>
    </row>
    <row r="168" spans="13:16">
      <c r="M168" s="772"/>
      <c r="N168" s="773"/>
      <c r="O168" s="773"/>
      <c r="P168" s="774"/>
    </row>
    <row r="169" spans="13:16">
      <c r="M169" s="772"/>
      <c r="N169" s="773"/>
      <c r="O169" s="773"/>
      <c r="P169" s="774"/>
    </row>
    <row r="170" spans="13:16">
      <c r="M170" s="772"/>
      <c r="N170" s="773"/>
      <c r="O170" s="773"/>
      <c r="P170" s="774"/>
    </row>
    <row r="171" spans="13:16">
      <c r="M171" s="772"/>
      <c r="N171" s="773"/>
      <c r="O171" s="773"/>
      <c r="P171" s="774"/>
    </row>
    <row r="172" spans="13:16">
      <c r="M172" s="772"/>
      <c r="N172" s="773"/>
      <c r="O172" s="773"/>
      <c r="P172" s="774"/>
    </row>
    <row r="173" spans="13:16">
      <c r="M173" s="772"/>
      <c r="N173" s="773"/>
      <c r="O173" s="773"/>
      <c r="P173" s="774"/>
    </row>
    <row r="174" spans="13:16">
      <c r="M174" s="772"/>
      <c r="N174" s="773"/>
      <c r="O174" s="773"/>
      <c r="P174" s="774"/>
    </row>
    <row r="175" spans="13:16">
      <c r="M175" s="772"/>
      <c r="N175" s="773"/>
      <c r="O175" s="773"/>
      <c r="P175" s="774"/>
    </row>
    <row r="176" spans="13:16">
      <c r="M176" s="772"/>
      <c r="N176" s="773"/>
      <c r="O176" s="773"/>
      <c r="P176" s="774"/>
    </row>
    <row r="177" spans="13:16">
      <c r="M177" s="772"/>
      <c r="N177" s="773"/>
      <c r="O177" s="773"/>
      <c r="P177" s="774"/>
    </row>
    <row r="178" spans="13:16">
      <c r="M178" s="772"/>
      <c r="N178" s="773"/>
      <c r="O178" s="773"/>
      <c r="P178" s="774"/>
    </row>
    <row r="179" spans="13:16">
      <c r="M179" s="772"/>
      <c r="N179" s="773"/>
      <c r="O179" s="773"/>
      <c r="P179" s="774"/>
    </row>
    <row r="180" spans="13:16">
      <c r="M180" s="772"/>
      <c r="N180" s="773"/>
      <c r="O180" s="773"/>
      <c r="P180" s="774"/>
    </row>
    <row r="181" spans="13:16">
      <c r="M181" s="772"/>
      <c r="N181" s="773"/>
      <c r="O181" s="773"/>
      <c r="P181" s="774"/>
    </row>
    <row r="182" spans="13:16">
      <c r="M182" s="772"/>
      <c r="N182" s="773"/>
      <c r="O182" s="773"/>
      <c r="P182" s="774"/>
    </row>
    <row r="183" spans="13:16">
      <c r="M183" s="772"/>
      <c r="N183" s="773"/>
      <c r="O183" s="773"/>
      <c r="P183" s="774"/>
    </row>
    <row r="184" spans="13:16">
      <c r="M184" s="772"/>
      <c r="N184" s="773"/>
      <c r="O184" s="773"/>
      <c r="P184" s="774"/>
    </row>
    <row r="185" spans="13:16">
      <c r="M185" s="772"/>
      <c r="N185" s="773"/>
      <c r="O185" s="773"/>
      <c r="P185" s="774"/>
    </row>
    <row r="186" spans="13:16">
      <c r="M186" s="772"/>
      <c r="N186" s="773"/>
      <c r="O186" s="773"/>
      <c r="P186" s="774"/>
    </row>
    <row r="187" spans="13:16">
      <c r="M187" s="772"/>
      <c r="N187" s="773"/>
      <c r="O187" s="773"/>
      <c r="P187" s="774"/>
    </row>
    <row r="188" spans="13:16">
      <c r="M188" s="772"/>
      <c r="N188" s="773"/>
      <c r="O188" s="773"/>
      <c r="P188" s="774"/>
    </row>
    <row r="189" spans="13:16">
      <c r="M189" s="772"/>
      <c r="N189" s="773"/>
      <c r="O189" s="773"/>
      <c r="P189" s="774"/>
    </row>
    <row r="190" spans="13:16">
      <c r="M190" s="772"/>
      <c r="N190" s="773"/>
      <c r="O190" s="773"/>
      <c r="P190" s="774"/>
    </row>
    <row r="191" spans="13:16">
      <c r="M191" s="772"/>
      <c r="N191" s="773"/>
      <c r="O191" s="773"/>
      <c r="P191" s="774"/>
    </row>
    <row r="192" spans="13:16">
      <c r="M192" s="772"/>
      <c r="N192" s="773"/>
      <c r="O192" s="773"/>
      <c r="P192" s="774"/>
    </row>
    <row r="193" spans="13:16">
      <c r="M193" s="772"/>
      <c r="N193" s="773"/>
      <c r="O193" s="773"/>
      <c r="P193" s="774"/>
    </row>
    <row r="194" spans="13:16">
      <c r="M194" s="772"/>
      <c r="N194" s="773"/>
      <c r="O194" s="773"/>
      <c r="P194" s="774"/>
    </row>
    <row r="195" spans="13:16">
      <c r="M195" s="772"/>
      <c r="N195" s="773"/>
      <c r="O195" s="773"/>
      <c r="P195" s="774"/>
    </row>
    <row r="196" spans="13:16">
      <c r="M196" s="772"/>
      <c r="N196" s="773"/>
      <c r="O196" s="773"/>
      <c r="P196" s="774"/>
    </row>
    <row r="197" spans="13:16">
      <c r="M197" s="772"/>
      <c r="N197" s="773"/>
      <c r="O197" s="773"/>
      <c r="P197" s="774"/>
    </row>
    <row r="198" spans="13:16">
      <c r="M198" s="772"/>
      <c r="N198" s="773"/>
      <c r="O198" s="773"/>
      <c r="P198" s="774"/>
    </row>
    <row r="199" spans="13:16">
      <c r="M199" s="772"/>
      <c r="N199" s="773"/>
      <c r="O199" s="773"/>
      <c r="P199" s="774"/>
    </row>
    <row r="200" spans="13:16">
      <c r="M200" s="772"/>
      <c r="N200" s="773"/>
      <c r="O200" s="773"/>
      <c r="P200" s="774"/>
    </row>
    <row r="201" spans="13:16">
      <c r="M201" s="772"/>
      <c r="N201" s="773"/>
      <c r="O201" s="773"/>
      <c r="P201" s="774"/>
    </row>
    <row r="202" spans="13:16">
      <c r="M202" s="772"/>
      <c r="N202" s="773"/>
      <c r="O202" s="773"/>
      <c r="P202" s="774"/>
    </row>
    <row r="203" spans="13:16">
      <c r="M203" s="766" t="s">
        <v>132</v>
      </c>
      <c r="N203" s="767"/>
      <c r="O203" s="767"/>
      <c r="P203" s="768"/>
    </row>
    <row r="204" spans="13:16">
      <c r="M204" s="769"/>
      <c r="N204" s="770"/>
      <c r="O204" s="770"/>
      <c r="P204" s="771"/>
    </row>
    <row r="205" spans="13:16">
      <c r="M205" s="769"/>
      <c r="N205" s="770"/>
      <c r="O205" s="770"/>
      <c r="P205" s="771"/>
    </row>
    <row r="206" spans="13:16">
      <c r="M206" s="769"/>
      <c r="N206" s="770"/>
      <c r="O206" s="770"/>
      <c r="P206" s="771"/>
    </row>
    <row r="207" spans="13:16">
      <c r="M207" s="769"/>
      <c r="N207" s="770"/>
      <c r="O207" s="770"/>
      <c r="P207" s="771"/>
    </row>
    <row r="208" spans="13:16">
      <c r="M208" s="769"/>
      <c r="N208" s="770"/>
      <c r="O208" s="770"/>
      <c r="P208" s="771"/>
    </row>
    <row r="209" spans="13:16">
      <c r="M209" s="769"/>
      <c r="N209" s="770"/>
      <c r="O209" s="770"/>
      <c r="P209" s="771"/>
    </row>
    <row r="210" spans="13:16">
      <c r="M210" s="769"/>
      <c r="N210" s="770"/>
      <c r="O210" s="770"/>
      <c r="P210" s="771"/>
    </row>
    <row r="211" spans="13:16" ht="409.6">
      <c r="M211" s="750" t="s">
        <v>147</v>
      </c>
      <c r="N211" s="751"/>
      <c r="O211" s="751"/>
      <c r="P211" s="752"/>
    </row>
    <row r="288" spans="13:13" ht="340.5">
      <c r="M288" s="748" t="s">
        <v>132</v>
      </c>
    </row>
    <row r="296" spans="13:13" ht="409.6">
      <c r="M296" s="750" t="s">
        <v>147</v>
      </c>
    </row>
  </sheetData>
  <mergeCells count="45">
    <mergeCell ref="M128:P202"/>
    <mergeCell ref="M203:P210"/>
    <mergeCell ref="M3:P6"/>
    <mergeCell ref="M7:P39"/>
    <mergeCell ref="M40:P47"/>
    <mergeCell ref="M48:P119"/>
    <mergeCell ref="M120:P127"/>
    <mergeCell ref="B24:B31"/>
    <mergeCell ref="A1:G1"/>
    <mergeCell ref="B18:B19"/>
    <mergeCell ref="C18:C19"/>
    <mergeCell ref="C6:C11"/>
    <mergeCell ref="C3:C4"/>
    <mergeCell ref="B3:B4"/>
    <mergeCell ref="B6:B11"/>
    <mergeCell ref="B44:B47"/>
    <mergeCell ref="C44:C47"/>
    <mergeCell ref="B41:B43"/>
    <mergeCell ref="C41:C43"/>
    <mergeCell ref="B32:B34"/>
    <mergeCell ref="C32:C34"/>
    <mergeCell ref="E60:E63"/>
    <mergeCell ref="D60:D63"/>
    <mergeCell ref="E56:E59"/>
    <mergeCell ref="B50:B55"/>
    <mergeCell ref="C50:C55"/>
    <mergeCell ref="B56:B59"/>
    <mergeCell ref="C56:C59"/>
    <mergeCell ref="D56:D59"/>
    <mergeCell ref="K56:K59"/>
    <mergeCell ref="K60:K63"/>
    <mergeCell ref="B79:B82"/>
    <mergeCell ref="C79:C82"/>
    <mergeCell ref="B83:B85"/>
    <mergeCell ref="C83:C85"/>
    <mergeCell ref="B64:B65"/>
    <mergeCell ref="C64:C65"/>
    <mergeCell ref="B69:B70"/>
    <mergeCell ref="C69:C70"/>
    <mergeCell ref="B75:B78"/>
    <mergeCell ref="C75:C78"/>
    <mergeCell ref="B71:B74"/>
    <mergeCell ref="C71:C74"/>
    <mergeCell ref="B60:B63"/>
    <mergeCell ref="C60:C63"/>
  </mergeCells>
  <conditionalFormatting sqref="E40:E43 D39 A39:C43 F39:I43 K39:K43">
    <cfRule type="expression" dxfId="177" priority="31">
      <formula>$R39="IN PROGRESS"</formula>
    </cfRule>
    <cfRule type="expression" dxfId="176" priority="32">
      <formula>$R39="N"</formula>
    </cfRule>
    <cfRule type="expression" dxfId="175" priority="33">
      <formula>$R39="Y"</formula>
    </cfRule>
  </conditionalFormatting>
  <conditionalFormatting sqref="A4 A8:A11 A36:A38 B37 H12:I15 A3:C3 A5:C6 D3:I11 C36:I38 A16:I35">
    <cfRule type="expression" dxfId="174" priority="94">
      <formula>#REF!="IN PROGRESS"</formula>
    </cfRule>
    <cfRule type="expression" dxfId="173" priority="95">
      <formula>#REF!="N"</formula>
    </cfRule>
    <cfRule type="expression" dxfId="172" priority="96">
      <formula>#REF!="Y"</formula>
    </cfRule>
  </conditionalFormatting>
  <conditionalFormatting sqref="B61:B63 F63:I63 F61:H62 A50 B64:I65 A44:I49 F57:G58 I58:I62 A56 A60:G60 A66:I67 K68:K70 K44:K56 K60 K83:K85 F59:H59 A71:A82 B68:I85 B50:I56">
    <cfRule type="expression" dxfId="171" priority="43">
      <formula>$S44="IN PROGRESS"</formula>
    </cfRule>
    <cfRule type="expression" dxfId="170" priority="44">
      <formula>$S44="N"</formula>
    </cfRule>
    <cfRule type="expression" dxfId="169" priority="45">
      <formula>$S44="Y"</formula>
    </cfRule>
  </conditionalFormatting>
  <conditionalFormatting sqref="B57:B59">
    <cfRule type="expression" dxfId="168" priority="40">
      <formula>$S57="IN PROGRESS"</formula>
    </cfRule>
    <cfRule type="expression" dxfId="167" priority="41">
      <formula>$S57="N"</formula>
    </cfRule>
    <cfRule type="expression" dxfId="166" priority="42">
      <formula>$S57="Y"</formula>
    </cfRule>
  </conditionalFormatting>
  <conditionalFormatting sqref="H57">
    <cfRule type="expression" dxfId="165" priority="28">
      <formula>$S57="IN PROGRESS"</formula>
    </cfRule>
    <cfRule type="expression" dxfId="164" priority="29">
      <formula>$S57="N"</formula>
    </cfRule>
    <cfRule type="expression" dxfId="163" priority="30">
      <formula>$S57="Y"</formula>
    </cfRule>
  </conditionalFormatting>
  <conditionalFormatting sqref="H58">
    <cfRule type="expression" dxfId="162" priority="25">
      <formula>$S58="IN PROGRESS"</formula>
    </cfRule>
    <cfRule type="expression" dxfId="161" priority="26">
      <formula>$S58="N"</formula>
    </cfRule>
    <cfRule type="expression" dxfId="160" priority="27">
      <formula>$S58="Y"</formula>
    </cfRule>
  </conditionalFormatting>
  <conditionalFormatting sqref="H60">
    <cfRule type="expression" dxfId="159" priority="22">
      <formula>$S60="IN PROGRESS"</formula>
    </cfRule>
    <cfRule type="expression" dxfId="158" priority="23">
      <formula>$S60="N"</formula>
    </cfRule>
    <cfRule type="expression" dxfId="157" priority="24">
      <formula>$S60="Y"</formula>
    </cfRule>
  </conditionalFormatting>
  <conditionalFormatting sqref="I57">
    <cfRule type="expression" dxfId="156" priority="19">
      <formula>$S57="IN PROGRESS"</formula>
    </cfRule>
    <cfRule type="expression" dxfId="155" priority="20">
      <formula>$S57="N"</formula>
    </cfRule>
    <cfRule type="expression" dxfId="154" priority="21">
      <formula>$S57="Y"</formula>
    </cfRule>
  </conditionalFormatting>
  <conditionalFormatting sqref="A84:A86 A51:A55 A69:A70 A65">
    <cfRule type="expression" dxfId="153" priority="365">
      <formula>$S50="IN PROGRESS"</formula>
    </cfRule>
    <cfRule type="expression" dxfId="152" priority="366">
      <formula>$S50="N"</formula>
    </cfRule>
    <cfRule type="expression" dxfId="151" priority="367">
      <formula>$S50="Y"</formula>
    </cfRule>
  </conditionalFormatting>
  <conditionalFormatting sqref="B36 B38">
    <cfRule type="expression" dxfId="150" priority="16">
      <formula>#REF!="IN PROGRESS"</formula>
    </cfRule>
    <cfRule type="expression" dxfId="149" priority="17">
      <formula>#REF!="N"</formula>
    </cfRule>
    <cfRule type="expression" dxfId="148" priority="18">
      <formula>#REF!="Y"</formula>
    </cfRule>
  </conditionalFormatting>
  <conditionalFormatting sqref="E12:G14 A12:A15 D15:G15">
    <cfRule type="expression" dxfId="147" priority="13">
      <formula>$I12="Submitted"</formula>
    </cfRule>
    <cfRule type="expression" dxfId="146" priority="14">
      <formula>$I12="Rejected"</formula>
    </cfRule>
    <cfRule type="expression" dxfId="145" priority="15">
      <formula>$I12="accepted"</formula>
    </cfRule>
  </conditionalFormatting>
  <conditionalFormatting sqref="K3:K11 K16:K38">
    <cfRule type="expression" dxfId="144" priority="10">
      <formula>#REF!="IN PROGRESS"</formula>
    </cfRule>
    <cfRule type="expression" dxfId="143" priority="11">
      <formula>#REF!="N"</formula>
    </cfRule>
    <cfRule type="expression" dxfId="142" priority="12">
      <formula>#REF!="Y"</formula>
    </cfRule>
  </conditionalFormatting>
  <conditionalFormatting sqref="K64:K65">
    <cfRule type="expression" dxfId="141" priority="7">
      <formula>$S64="IN PROGRESS"</formula>
    </cfRule>
    <cfRule type="expression" dxfId="140" priority="8">
      <formula>$S64="N"</formula>
    </cfRule>
    <cfRule type="expression" dxfId="139" priority="9">
      <formula>$S64="Y"</formula>
    </cfRule>
  </conditionalFormatting>
  <conditionalFormatting sqref="K12:K15">
    <cfRule type="expression" dxfId="138" priority="1">
      <formula>$I12="Submitted"</formula>
    </cfRule>
    <cfRule type="expression" dxfId="137" priority="2">
      <formula>$I12="Rejected"</formula>
    </cfRule>
    <cfRule type="expression" dxfId="136" priority="3">
      <formula>$I12="accepted"</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B3086-A3FB-4249-A0EE-1CA7C2DBEDCD}">
  <dimension ref="A1:P380"/>
  <sheetViews>
    <sheetView zoomScale="80" zoomScaleNormal="80" workbookViewId="0">
      <pane ySplit="2" topLeftCell="A312" activePane="bottomLeft" state="frozen"/>
      <selection pane="bottomLeft" activeCell="A57" sqref="A57"/>
    </sheetView>
  </sheetViews>
  <sheetFormatPr defaultRowHeight="15"/>
  <cols>
    <col min="1" max="1" width="11.28515625" customWidth="1"/>
    <col min="2" max="2" width="13.140625" bestFit="1" customWidth="1"/>
    <col min="3" max="3" width="43.7109375" customWidth="1"/>
    <col min="4" max="4" width="54.42578125" bestFit="1" customWidth="1"/>
    <col min="5" max="5" width="15.5703125" customWidth="1"/>
    <col min="7" max="7" width="78.140625" customWidth="1"/>
    <col min="8" max="8" width="9.7109375" customWidth="1"/>
    <col min="9" max="9" width="9.140625" style="511"/>
    <col min="10" max="10" width="11.42578125" bestFit="1" customWidth="1"/>
    <col min="12" max="12" width="2" customWidth="1"/>
    <col min="17" max="17" width="1.5703125" customWidth="1"/>
  </cols>
  <sheetData>
    <row r="1" spans="1:16" ht="47.45" customHeight="1">
      <c r="A1" s="775" t="s">
        <v>1517</v>
      </c>
      <c r="B1" s="776"/>
      <c r="C1" s="776"/>
      <c r="D1" s="776"/>
      <c r="E1" s="776"/>
      <c r="F1" s="776"/>
      <c r="G1" s="776"/>
      <c r="L1" s="318"/>
      <c r="M1" s="315"/>
      <c r="N1" s="316"/>
      <c r="O1" s="316"/>
      <c r="P1" s="317"/>
    </row>
    <row r="2" spans="1:16" ht="45.75">
      <c r="A2" s="283" t="s">
        <v>112</v>
      </c>
      <c r="B2" s="284" t="s">
        <v>113</v>
      </c>
      <c r="C2" s="284" t="s">
        <v>114</v>
      </c>
      <c r="D2" s="284" t="s">
        <v>115</v>
      </c>
      <c r="E2" s="284" t="s">
        <v>116</v>
      </c>
      <c r="F2" s="284" t="s">
        <v>117</v>
      </c>
      <c r="G2" s="285" t="s">
        <v>118</v>
      </c>
      <c r="H2" s="291" t="s">
        <v>119</v>
      </c>
      <c r="I2" s="502" t="s">
        <v>120</v>
      </c>
      <c r="J2" s="291" t="s">
        <v>121</v>
      </c>
      <c r="K2" s="292" t="s">
        <v>122</v>
      </c>
      <c r="L2" s="320"/>
      <c r="M2" s="312" t="s">
        <v>123</v>
      </c>
      <c r="N2" s="294" t="s">
        <v>124</v>
      </c>
      <c r="O2" s="295" t="s">
        <v>125</v>
      </c>
      <c r="P2" s="296" t="s">
        <v>126</v>
      </c>
    </row>
    <row r="3" spans="1:16" s="1" customFormat="1" ht="15" customHeight="1">
      <c r="A3" s="21"/>
      <c r="B3" s="48" t="s">
        <v>1518</v>
      </c>
      <c r="C3" s="877" t="s">
        <v>1519</v>
      </c>
      <c r="D3" s="10"/>
      <c r="E3" s="46"/>
      <c r="F3" s="21" t="s">
        <v>205</v>
      </c>
      <c r="G3" s="178" t="s">
        <v>276</v>
      </c>
      <c r="H3" s="287"/>
      <c r="I3" s="289"/>
      <c r="J3" s="289" t="str" cm="1">
        <f t="array" ref="J3">IF(ISBLANK(I3), IF(ISBLANK(H3), "N/A", _xlfn.IFS(K3="AS", H3+15, K3="NCR", H3+30, K3="submitted", H3+30, TRUE, "N/A")), _xlfn.IFS(K3="AS", I3+15, K3="NCR", I3+30, K3="submitted", I3+30, TRUE, "N/A"))</f>
        <v>N/A</v>
      </c>
      <c r="K3" s="287"/>
      <c r="L3" s="318"/>
      <c r="M3" s="766" t="s">
        <v>132</v>
      </c>
      <c r="N3" s="767"/>
      <c r="O3" s="767"/>
      <c r="P3" s="768"/>
    </row>
    <row r="4" spans="1:16" s="229" customFormat="1" ht="15" customHeight="1">
      <c r="A4" s="222"/>
      <c r="B4" s="414" t="s">
        <v>1518</v>
      </c>
      <c r="C4" s="877"/>
      <c r="D4" s="415"/>
      <c r="E4" s="223" t="s">
        <v>158</v>
      </c>
      <c r="F4" s="222" t="s">
        <v>275</v>
      </c>
      <c r="G4" s="224" t="s">
        <v>1520</v>
      </c>
      <c r="H4" s="416"/>
      <c r="I4" s="514"/>
      <c r="J4" s="289" t="str" cm="1">
        <f t="array" ref="J4">IF(ISBLANK(I4), IF(ISBLANK(H4), "N/A", _xlfn.IFS(K4="AS", H4+15, K4="NCR", H4+30, K4="submitted", H4+30, TRUE, "N/A")), _xlfn.IFS(K4="AS", I4+15, K4="NCR", I4+30, K4="submitted", I4+30, TRUE, "N/A"))</f>
        <v>N/A</v>
      </c>
      <c r="K4" s="416"/>
      <c r="L4" s="318"/>
      <c r="M4" s="769"/>
      <c r="N4" s="770"/>
      <c r="O4" s="770"/>
      <c r="P4" s="771"/>
    </row>
    <row r="5" spans="1:16" s="229" customFormat="1" ht="15" customHeight="1">
      <c r="A5" s="222"/>
      <c r="B5" s="414" t="s">
        <v>1518</v>
      </c>
      <c r="C5" s="877"/>
      <c r="D5" s="415"/>
      <c r="E5" s="223" t="s">
        <v>158</v>
      </c>
      <c r="F5" s="222" t="s">
        <v>321</v>
      </c>
      <c r="G5" s="224" t="s">
        <v>1521</v>
      </c>
      <c r="H5" s="416"/>
      <c r="I5" s="514"/>
      <c r="J5" s="289" t="str" cm="1">
        <f t="array" ref="J5">IF(ISBLANK(I5), IF(ISBLANK(H5), "N/A", _xlfn.IFS(K5="AS", H5+15, K5="NCR", H5+30, K5="submitted", H5+30, TRUE, "N/A")), _xlfn.IFS(K5="AS", I5+15, K5="NCR", I5+30, K5="submitted", I5+30, TRUE, "N/A"))</f>
        <v>N/A</v>
      </c>
      <c r="K5" s="416"/>
      <c r="L5" s="318"/>
      <c r="M5" s="769"/>
      <c r="N5" s="770"/>
      <c r="O5" s="770"/>
      <c r="P5" s="771"/>
    </row>
    <row r="6" spans="1:16" s="1" customFormat="1" ht="15" customHeight="1">
      <c r="A6" s="9"/>
      <c r="B6" s="48" t="s">
        <v>1518</v>
      </c>
      <c r="C6" s="878"/>
      <c r="D6" s="12"/>
      <c r="E6" s="13"/>
      <c r="F6" s="9" t="s">
        <v>592</v>
      </c>
      <c r="G6" s="162" t="s">
        <v>1522</v>
      </c>
      <c r="H6" s="239"/>
      <c r="I6" s="253"/>
      <c r="J6" s="289" t="str" cm="1">
        <f t="array" ref="J6">IF(ISBLANK(I6), IF(ISBLANK(H6), "N/A", _xlfn.IFS(K6="AS", H6+15, K6="NCR", H6+30, K6="submitted", H6+30, TRUE, "N/A")), _xlfn.IFS(K6="AS", I6+15, K6="NCR", I6+30, K6="submitted", I6+30, TRUE, "N/A"))</f>
        <v>N/A</v>
      </c>
      <c r="K6" s="239"/>
      <c r="L6" s="318"/>
      <c r="M6" s="769"/>
      <c r="N6" s="770"/>
      <c r="O6" s="770"/>
      <c r="P6" s="771"/>
    </row>
    <row r="7" spans="1:16" s="138" customFormat="1" ht="26.25" customHeight="1">
      <c r="A7" s="133" t="s">
        <v>3</v>
      </c>
      <c r="B7" s="519" t="s">
        <v>1523</v>
      </c>
      <c r="C7" s="520" t="s">
        <v>1524</v>
      </c>
      <c r="D7" s="521" t="s">
        <v>1525</v>
      </c>
      <c r="E7" s="521" t="s">
        <v>1526</v>
      </c>
      <c r="F7" s="133" t="s">
        <v>210</v>
      </c>
      <c r="G7" s="137" t="s">
        <v>1527</v>
      </c>
      <c r="H7" s="522">
        <v>45834</v>
      </c>
      <c r="I7" s="522">
        <v>45894</v>
      </c>
      <c r="J7" s="289" t="str" cm="1">
        <f t="array" ref="J7">IF(ISBLANK(I7), IF(ISBLANK(H7), "N/A", _xlfn.IFS(K7="AS", H7+15, K7="NCR", H7+30, K7="submitted", H7+30, TRUE, "N/A")), _xlfn.IFS(K7="AS", I7+15, K7="NCR", I7+30, K7="submitted", I7+30, TRUE, "N/A"))</f>
        <v>N/A</v>
      </c>
      <c r="K7" s="133" t="s">
        <v>150</v>
      </c>
      <c r="L7" s="318"/>
      <c r="M7" s="772" t="s">
        <v>147</v>
      </c>
      <c r="N7" s="773"/>
      <c r="O7" s="773"/>
      <c r="P7" s="774"/>
    </row>
    <row r="8" spans="1:16" s="1" customFormat="1" ht="27" customHeight="1">
      <c r="A8" s="21"/>
      <c r="B8" s="363" t="s">
        <v>1523</v>
      </c>
      <c r="C8" s="362" t="s">
        <v>1524</v>
      </c>
      <c r="D8" s="50"/>
      <c r="E8" s="50" t="s">
        <v>1528</v>
      </c>
      <c r="F8" s="21" t="s">
        <v>228</v>
      </c>
      <c r="G8" s="52" t="s">
        <v>1529</v>
      </c>
      <c r="H8" s="51"/>
      <c r="I8" s="51"/>
      <c r="J8" s="289" t="str" cm="1">
        <f t="array" ref="J8">IF(ISBLANK(I8), IF(ISBLANK(H8), "N/A", _xlfn.IFS(K8="AS", H8+15, K8="NCR", H8+30, K8="submitted", H8+30, TRUE, "N/A")), _xlfn.IFS(K8="AS", I8+15, K8="NCR", I8+30, K8="submitted", I8+30, TRUE, "N/A"))</f>
        <v>N/A</v>
      </c>
      <c r="K8" s="21"/>
      <c r="L8" s="318"/>
      <c r="M8" s="772"/>
      <c r="N8" s="773"/>
      <c r="O8" s="773"/>
      <c r="P8" s="774"/>
    </row>
    <row r="9" spans="1:16" s="1" customFormat="1" ht="27" customHeight="1">
      <c r="A9" s="21"/>
      <c r="B9" s="363" t="s">
        <v>1523</v>
      </c>
      <c r="C9" s="362" t="s">
        <v>1524</v>
      </c>
      <c r="D9" s="50"/>
      <c r="E9" s="50" t="s">
        <v>1526</v>
      </c>
      <c r="F9" s="21" t="s">
        <v>230</v>
      </c>
      <c r="G9" s="52" t="s">
        <v>1530</v>
      </c>
      <c r="H9" s="51"/>
      <c r="I9" s="51"/>
      <c r="J9" s="289" t="str" cm="1">
        <f t="array" ref="J9">IF(ISBLANK(I9), IF(ISBLANK(H9), "N/A", _xlfn.IFS(K9="AS", H9+15, K9="NCR", H9+30, K9="submitted", H9+30, TRUE, "N/A")), _xlfn.IFS(K9="AS", I9+15, K9="NCR", I9+30, K9="submitted", I9+30, TRUE, "N/A"))</f>
        <v>N/A</v>
      </c>
      <c r="K9" s="21"/>
      <c r="L9" s="318"/>
      <c r="M9" s="772"/>
      <c r="N9" s="773"/>
      <c r="O9" s="773"/>
      <c r="P9" s="774"/>
    </row>
    <row r="10" spans="1:16" s="1" customFormat="1" ht="27" customHeight="1">
      <c r="A10" s="21"/>
      <c r="B10" s="363" t="s">
        <v>1523</v>
      </c>
      <c r="C10" s="362" t="s">
        <v>1524</v>
      </c>
      <c r="D10" s="50"/>
      <c r="E10" s="50" t="s">
        <v>1526</v>
      </c>
      <c r="F10" s="21" t="s">
        <v>232</v>
      </c>
      <c r="G10" s="46" t="s">
        <v>1531</v>
      </c>
      <c r="H10" s="51"/>
      <c r="I10" s="51"/>
      <c r="J10" s="289" t="str" cm="1">
        <f t="array" ref="J10">IF(ISBLANK(I10), IF(ISBLANK(H10), "N/A", _xlfn.IFS(K10="AS", H10+15, K10="NCR", H10+30, K10="submitted", H10+30, TRUE, "N/A")), _xlfn.IFS(K10="AS", I10+15, K10="NCR", I10+30, K10="submitted", I10+30, TRUE, "N/A"))</f>
        <v>N/A</v>
      </c>
      <c r="K10" s="21"/>
      <c r="L10" s="318"/>
      <c r="M10" s="772"/>
      <c r="N10" s="773"/>
      <c r="O10" s="773"/>
      <c r="P10" s="774"/>
    </row>
    <row r="11" spans="1:16" s="229" customFormat="1" ht="36" customHeight="1">
      <c r="A11" s="417"/>
      <c r="B11" s="418" t="s">
        <v>1523</v>
      </c>
      <c r="C11" s="419" t="s">
        <v>1524</v>
      </c>
      <c r="D11" s="420"/>
      <c r="E11" s="420" t="s">
        <v>1532</v>
      </c>
      <c r="F11" s="417" t="s">
        <v>329</v>
      </c>
      <c r="G11" s="341" t="s">
        <v>1533</v>
      </c>
      <c r="H11" s="421"/>
      <c r="I11" s="421"/>
      <c r="J11" s="289" t="str" cm="1">
        <f t="array" ref="J11">IF(ISBLANK(I11), IF(ISBLANK(H11), "N/A", _xlfn.IFS(K11="AS", H11+15, K11="NCR", H11+30, K11="submitted", H11+30, TRUE, "N/A")), _xlfn.IFS(K11="AS", I11+15, K11="NCR", I11+30, K11="submitted", I11+30, TRUE, "N/A"))</f>
        <v>N/A</v>
      </c>
      <c r="K11" s="417"/>
      <c r="L11" s="318"/>
      <c r="M11" s="772"/>
      <c r="N11" s="773"/>
      <c r="O11" s="773"/>
      <c r="P11" s="774"/>
    </row>
    <row r="12" spans="1:16" s="486" customFormat="1" ht="27.75" customHeight="1">
      <c r="A12" s="350" t="s">
        <v>7</v>
      </c>
      <c r="B12" s="879" t="s">
        <v>1534</v>
      </c>
      <c r="C12" s="881" t="s">
        <v>1535</v>
      </c>
      <c r="D12" s="483"/>
      <c r="E12" s="483" t="s">
        <v>1526</v>
      </c>
      <c r="F12" s="350" t="s">
        <v>275</v>
      </c>
      <c r="G12" s="484" t="s">
        <v>1536</v>
      </c>
      <c r="H12" s="485">
        <v>45868</v>
      </c>
      <c r="I12" s="485">
        <v>45888</v>
      </c>
      <c r="J12" s="289" t="str" cm="1">
        <f t="array" ref="J12">IF(ISBLANK(I12), IF(ISBLANK(H12), "N/A", _xlfn.IFS(K12="AS", H12+15, K12="NCR", H12+30, K12="submitted", H12+30, TRUE, "N/A")), _xlfn.IFS(K12="AS", I12+15, K12="NCR", I12+30, K12="submitted", I12+30, TRUE, "N/A"))</f>
        <v>N/A</v>
      </c>
      <c r="K12" s="350" t="s">
        <v>150</v>
      </c>
      <c r="L12" s="319"/>
      <c r="M12" s="772"/>
      <c r="N12" s="773"/>
      <c r="O12" s="773"/>
      <c r="P12" s="774"/>
    </row>
    <row r="13" spans="1:16" s="486" customFormat="1" ht="15" customHeight="1">
      <c r="A13" s="350" t="s">
        <v>7</v>
      </c>
      <c r="B13" s="880"/>
      <c r="C13" s="882"/>
      <c r="D13" s="487"/>
      <c r="E13" s="487" t="s">
        <v>1526</v>
      </c>
      <c r="F13" s="350" t="s">
        <v>321</v>
      </c>
      <c r="G13" s="354" t="s">
        <v>333</v>
      </c>
      <c r="H13" s="485">
        <v>45868</v>
      </c>
      <c r="I13" s="485">
        <v>45888</v>
      </c>
      <c r="J13" s="289" t="str" cm="1">
        <f t="array" ref="J13">IF(ISBLANK(I13), IF(ISBLANK(H13), "N/A", _xlfn.IFS(K13="AS", H13+15, K13="NCR", H13+30, K13="submitted", H13+30, TRUE, "N/A")), _xlfn.IFS(K13="AS", I13+15, K13="NCR", I13+30, K13="submitted", I13+30, TRUE, "N/A"))</f>
        <v>N/A</v>
      </c>
      <c r="K13" s="350" t="s">
        <v>150</v>
      </c>
      <c r="L13" s="318"/>
      <c r="M13" s="772"/>
      <c r="N13" s="773"/>
      <c r="O13" s="773"/>
      <c r="P13" s="774"/>
    </row>
    <row r="14" spans="1:16" s="229" customFormat="1" ht="15" customHeight="1">
      <c r="A14" s="222"/>
      <c r="B14" s="230" t="s">
        <v>1537</v>
      </c>
      <c r="C14" s="422" t="s">
        <v>1538</v>
      </c>
      <c r="D14" s="422"/>
      <c r="E14" s="422"/>
      <c r="F14" s="222" t="s">
        <v>144</v>
      </c>
      <c r="G14" s="404"/>
      <c r="H14" s="423"/>
      <c r="I14" s="423"/>
      <c r="J14" s="289" t="str" cm="1">
        <f t="array" ref="J14">IF(ISBLANK(I14), IF(ISBLANK(H14), "N/A", _xlfn.IFS(K14="AS", H14+15, K14="NCR", H14+30, K14="submitted", H14+30, TRUE, "N/A")), _xlfn.IFS(K14="AS", I14+15, K14="NCR", I14+30, K14="submitted", I14+30, TRUE, "N/A"))</f>
        <v>N/A</v>
      </c>
      <c r="K14" s="222"/>
      <c r="L14" s="318"/>
      <c r="M14" s="772"/>
      <c r="N14" s="773"/>
      <c r="O14" s="773"/>
      <c r="P14" s="774"/>
    </row>
    <row r="15" spans="1:16" s="5" customFormat="1" ht="27" customHeight="1">
      <c r="A15" s="4"/>
      <c r="B15" s="794" t="s">
        <v>1539</v>
      </c>
      <c r="C15" s="796" t="s">
        <v>1540</v>
      </c>
      <c r="D15" s="34"/>
      <c r="E15" s="34" t="s">
        <v>1526</v>
      </c>
      <c r="F15" s="4" t="s">
        <v>224</v>
      </c>
      <c r="G15" s="3" t="s">
        <v>1541</v>
      </c>
      <c r="H15" s="18"/>
      <c r="I15" s="18"/>
      <c r="J15" s="289" t="str" cm="1">
        <f t="array" ref="J15">IF(ISBLANK(I15), IF(ISBLANK(H15), "N/A", _xlfn.IFS(K15="AS", H15+15, K15="NCR", H15+30, K15="submitted", H15+30, TRUE, "N/A")), _xlfn.IFS(K15="AS", I15+15, K15="NCR", I15+30, K15="submitted", I15+30, TRUE, "N/A"))</f>
        <v>N/A</v>
      </c>
      <c r="K15" s="4" t="s">
        <v>1542</v>
      </c>
      <c r="L15" s="318"/>
      <c r="M15" s="772"/>
      <c r="N15" s="773"/>
      <c r="O15" s="773"/>
      <c r="P15" s="774"/>
    </row>
    <row r="16" spans="1:16" s="5" customFormat="1" ht="27" customHeight="1">
      <c r="A16" s="4"/>
      <c r="B16" s="798"/>
      <c r="C16" s="799"/>
      <c r="D16" s="35"/>
      <c r="E16" s="35" t="s">
        <v>1526</v>
      </c>
      <c r="F16" s="4" t="s">
        <v>226</v>
      </c>
      <c r="G16" s="3" t="s">
        <v>1543</v>
      </c>
      <c r="H16" s="18"/>
      <c r="I16" s="18"/>
      <c r="J16" s="289" t="str" cm="1">
        <f t="array" ref="J16">IF(ISBLANK(I16), IF(ISBLANK(H16), "N/A", _xlfn.IFS(K16="AS", H16+15, K16="NCR", H16+30, K16="submitted", H16+30, TRUE, "N/A")), _xlfn.IFS(K16="AS", I16+15, K16="NCR", I16+30, K16="submitted", I16+30, TRUE, "N/A"))</f>
        <v>N/A</v>
      </c>
      <c r="K16" s="4" t="s">
        <v>1544</v>
      </c>
      <c r="L16" s="318"/>
      <c r="M16" s="772"/>
      <c r="N16" s="773"/>
      <c r="O16" s="773"/>
      <c r="P16" s="774"/>
    </row>
    <row r="17" spans="1:16" s="5" customFormat="1" ht="27" customHeight="1">
      <c r="A17" s="4"/>
      <c r="B17" s="798"/>
      <c r="C17" s="799"/>
      <c r="D17" s="35"/>
      <c r="E17" s="35" t="s">
        <v>1526</v>
      </c>
      <c r="F17" s="19" t="s">
        <v>1545</v>
      </c>
      <c r="G17" s="53" t="s">
        <v>1546</v>
      </c>
      <c r="H17" s="18"/>
      <c r="I17" s="18"/>
      <c r="J17" s="289" t="str" cm="1">
        <f t="array" ref="J17">IF(ISBLANK(I17), IF(ISBLANK(H17), "N/A", _xlfn.IFS(K17="AS", H17+15, K17="NCR", H17+30, K17="submitted", H17+30, TRUE, "N/A")), _xlfn.IFS(K17="AS", I17+15, K17="NCR", I17+30, K17="submitted", I17+30, TRUE, "N/A"))</f>
        <v>N/A</v>
      </c>
      <c r="K17" s="4" t="s">
        <v>1542</v>
      </c>
      <c r="L17" s="318"/>
      <c r="M17" s="772"/>
      <c r="N17" s="773"/>
      <c r="O17" s="773"/>
      <c r="P17" s="774"/>
    </row>
    <row r="18" spans="1:16" s="138" customFormat="1" ht="27" customHeight="1">
      <c r="A18" s="152" t="s">
        <v>11</v>
      </c>
      <c r="B18" s="828" t="s">
        <v>1547</v>
      </c>
      <c r="C18" s="831" t="s">
        <v>1548</v>
      </c>
      <c r="D18" s="532" t="s">
        <v>1549</v>
      </c>
      <c r="E18" s="169" t="s">
        <v>1550</v>
      </c>
      <c r="F18" s="152" t="s">
        <v>205</v>
      </c>
      <c r="G18" s="153" t="s">
        <v>229</v>
      </c>
      <c r="H18" s="262">
        <v>45835</v>
      </c>
      <c r="I18" s="262">
        <v>45891</v>
      </c>
      <c r="J18" s="289" t="str" cm="1">
        <f t="array" ref="J18">IF(ISBLANK(I18), IF(ISBLANK(H18), "N/A", _xlfn.IFS(K18="AS", H18+15, K18="NCR", H18+30, K18="submitted", H18+30, TRUE, "N/A")), _xlfn.IFS(K18="AS", I18+15, K18="NCR", I18+30, K18="submitted", I18+30, TRUE, "N/A"))</f>
        <v>N/A</v>
      </c>
      <c r="K18" s="152" t="s">
        <v>146</v>
      </c>
      <c r="L18" s="318"/>
      <c r="M18" s="772"/>
      <c r="N18" s="773"/>
      <c r="O18" s="773"/>
      <c r="P18" s="774"/>
    </row>
    <row r="19" spans="1:16" s="138" customFormat="1" ht="24.75" customHeight="1">
      <c r="A19" s="152" t="s">
        <v>11</v>
      </c>
      <c r="B19" s="830"/>
      <c r="C19" s="833"/>
      <c r="D19" s="523" t="s">
        <v>1549</v>
      </c>
      <c r="E19" s="137" t="s">
        <v>1551</v>
      </c>
      <c r="F19" s="152" t="s">
        <v>275</v>
      </c>
      <c r="G19" s="153" t="s">
        <v>1552</v>
      </c>
      <c r="H19" s="262">
        <v>45835</v>
      </c>
      <c r="I19" s="262">
        <v>45891</v>
      </c>
      <c r="J19" s="289" t="str" cm="1">
        <f t="array" ref="J19">IF(ISBLANK(I19), IF(ISBLANK(H19), "N/A", _xlfn.IFS(K19="AS", H19+15, K19="NCR", H19+30, K19="submitted", H19+30, TRUE, "N/A")), _xlfn.IFS(K19="AS", I19+15, K19="NCR", I19+30, K19="submitted", I19+30, TRUE, "N/A"))</f>
        <v>N/A</v>
      </c>
      <c r="K19" s="152" t="s">
        <v>146</v>
      </c>
      <c r="L19" s="318"/>
      <c r="M19" s="772"/>
      <c r="N19" s="773"/>
      <c r="O19" s="773"/>
      <c r="P19" s="774"/>
    </row>
    <row r="20" spans="1:16" s="138" customFormat="1" ht="27" customHeight="1">
      <c r="A20" s="152" t="s">
        <v>1553</v>
      </c>
      <c r="B20" s="828" t="s">
        <v>1547</v>
      </c>
      <c r="C20" s="831" t="s">
        <v>1548</v>
      </c>
      <c r="D20" s="532" t="s">
        <v>1549</v>
      </c>
      <c r="E20" s="169" t="s">
        <v>1550</v>
      </c>
      <c r="F20" s="152" t="s">
        <v>205</v>
      </c>
      <c r="G20" s="153" t="s">
        <v>229</v>
      </c>
      <c r="H20" s="262">
        <v>45916</v>
      </c>
      <c r="I20" s="262">
        <v>45922</v>
      </c>
      <c r="J20" s="289" t="str" cm="1">
        <f t="array" ref="J20">IF(ISBLANK(I20), IF(ISBLANK(H20), "N/A", _xlfn.IFS(K20="AS", H20+15, K20="NCR", H20+30, K20="submitted", H20+30, TRUE, "N/A")), _xlfn.IFS(K20="AS", I20+15, K20="NCR", I20+30, K20="submitted", I20+30, TRUE, "N/A"))</f>
        <v>N/A</v>
      </c>
      <c r="K20" s="152" t="s">
        <v>150</v>
      </c>
      <c r="L20" s="318"/>
      <c r="M20" s="772"/>
      <c r="N20" s="773"/>
      <c r="O20" s="773"/>
      <c r="P20" s="774"/>
    </row>
    <row r="21" spans="1:16" s="138" customFormat="1" ht="24.75" customHeight="1">
      <c r="A21" s="152" t="s">
        <v>1553</v>
      </c>
      <c r="B21" s="830"/>
      <c r="C21" s="833"/>
      <c r="D21" s="523" t="s">
        <v>1549</v>
      </c>
      <c r="E21" s="137" t="s">
        <v>1551</v>
      </c>
      <c r="F21" s="152" t="s">
        <v>275</v>
      </c>
      <c r="G21" s="153" t="s">
        <v>1552</v>
      </c>
      <c r="H21" s="262">
        <v>45916</v>
      </c>
      <c r="I21" s="262">
        <v>45922</v>
      </c>
      <c r="J21" s="289" t="str" cm="1">
        <f t="array" ref="J21">IF(ISBLANK(I21), IF(ISBLANK(H21), "N/A", _xlfn.IFS(K21="AS", H21+15, K21="NCR", H21+30, K21="submitted", H21+30, TRUE, "N/A")), _xlfn.IFS(K21="AS", I21+15, K21="NCR", I21+30, K21="submitted", I21+30, TRUE, "N/A"))</f>
        <v>N/A</v>
      </c>
      <c r="K21" s="152" t="s">
        <v>150</v>
      </c>
      <c r="L21" s="318"/>
      <c r="M21" s="772"/>
      <c r="N21" s="773"/>
      <c r="O21" s="773"/>
      <c r="P21" s="774"/>
    </row>
    <row r="22" spans="1:16" s="150" customFormat="1" ht="27" customHeight="1">
      <c r="A22" s="147" t="s">
        <v>15</v>
      </c>
      <c r="B22" s="864" t="s">
        <v>1547</v>
      </c>
      <c r="C22" s="865" t="s">
        <v>1548</v>
      </c>
      <c r="D22" s="512" t="s">
        <v>1549</v>
      </c>
      <c r="E22" s="232" t="s">
        <v>1550</v>
      </c>
      <c r="F22" s="147" t="s">
        <v>205</v>
      </c>
      <c r="G22" s="148" t="s">
        <v>229</v>
      </c>
      <c r="H22" s="234">
        <v>45835</v>
      </c>
      <c r="I22" s="234">
        <v>45894</v>
      </c>
      <c r="J22" s="289" t="str" cm="1">
        <f t="array" ref="J22">IF(ISBLANK(I22), IF(ISBLANK(H22), "N/A", _xlfn.IFS(K22="AS", H22+15, K22="NCR", H22+30, K22="submitted", H22+30, TRUE, "N/A")), _xlfn.IFS(K22="AS", I22+15, K22="NCR", I22+30, K22="submitted", I22+30, TRUE, "N/A"))</f>
        <v>N/A</v>
      </c>
      <c r="K22" s="147" t="s">
        <v>146</v>
      </c>
      <c r="L22" s="318"/>
      <c r="M22" s="772"/>
      <c r="N22" s="773"/>
      <c r="O22" s="773"/>
      <c r="P22" s="774"/>
    </row>
    <row r="23" spans="1:16" s="150" customFormat="1" ht="24.75" customHeight="1">
      <c r="A23" s="147" t="s">
        <v>15</v>
      </c>
      <c r="B23" s="852"/>
      <c r="C23" s="855"/>
      <c r="D23" s="513" t="s">
        <v>1549</v>
      </c>
      <c r="E23" s="218" t="s">
        <v>1551</v>
      </c>
      <c r="F23" s="147" t="s">
        <v>275</v>
      </c>
      <c r="G23" s="148" t="s">
        <v>1552</v>
      </c>
      <c r="H23" s="234">
        <v>45835</v>
      </c>
      <c r="I23" s="234">
        <v>45894</v>
      </c>
      <c r="J23" s="289" t="str" cm="1">
        <f t="array" ref="J23">IF(ISBLANK(I23), IF(ISBLANK(H23), "N/A", _xlfn.IFS(K23="AS", H23+15, K23="NCR", H23+30, K23="submitted", H23+30, TRUE, "N/A")), _xlfn.IFS(K23="AS", I23+15, K23="NCR", I23+30, K23="submitted", I23+30, TRUE, "N/A"))</f>
        <v>N/A</v>
      </c>
      <c r="K23" s="147" t="s">
        <v>146</v>
      </c>
      <c r="L23" s="318"/>
      <c r="M23" s="772"/>
      <c r="N23" s="773"/>
      <c r="O23" s="773"/>
      <c r="P23" s="774"/>
    </row>
    <row r="24" spans="1:16" s="26" customFormat="1" ht="27" customHeight="1">
      <c r="A24" s="22" t="s">
        <v>1554</v>
      </c>
      <c r="B24" s="864" t="s">
        <v>1547</v>
      </c>
      <c r="C24" s="865" t="s">
        <v>1548</v>
      </c>
      <c r="D24" s="23" t="s">
        <v>1549</v>
      </c>
      <c r="E24" s="76" t="s">
        <v>1550</v>
      </c>
      <c r="F24" s="22" t="s">
        <v>205</v>
      </c>
      <c r="G24" s="24" t="s">
        <v>229</v>
      </c>
      <c r="H24" s="25">
        <v>45916</v>
      </c>
      <c r="I24" s="25"/>
      <c r="J24" s="289" cm="1">
        <f t="array" ref="J24">IF(ISBLANK(I24), IF(ISBLANK(H24), "N/A", _xlfn.IFS(K24="AS", H24+15, K24="NCR", H24+30, K24="submitted", H24+30, TRUE, "N/A")), _xlfn.IFS(K24="AS", I24+15, K24="NCR", I24+30, K24="submitted", I24+30, TRUE, "N/A"))</f>
        <v>45946</v>
      </c>
      <c r="K24" s="22" t="s">
        <v>154</v>
      </c>
      <c r="L24" s="318"/>
      <c r="M24" s="772"/>
      <c r="N24" s="773"/>
      <c r="O24" s="773"/>
      <c r="P24" s="774"/>
    </row>
    <row r="25" spans="1:16" s="26" customFormat="1" ht="24.75" customHeight="1">
      <c r="A25" s="22" t="s">
        <v>1554</v>
      </c>
      <c r="B25" s="852"/>
      <c r="C25" s="855"/>
      <c r="D25" s="101" t="s">
        <v>1549</v>
      </c>
      <c r="E25" s="29" t="s">
        <v>1551</v>
      </c>
      <c r="F25" s="22" t="s">
        <v>275</v>
      </c>
      <c r="G25" s="24" t="s">
        <v>1552</v>
      </c>
      <c r="H25" s="25">
        <v>45916</v>
      </c>
      <c r="I25" s="25"/>
      <c r="J25" s="289" cm="1">
        <f t="array" ref="J25">IF(ISBLANK(I25), IF(ISBLANK(H25), "N/A", _xlfn.IFS(K25="AS", H25+15, K25="NCR", H25+30, K25="submitted", H25+30, TRUE, "N/A")), _xlfn.IFS(K25="AS", I25+15, K25="NCR", I25+30, K25="submitted", I25+30, TRUE, "N/A"))</f>
        <v>45946</v>
      </c>
      <c r="K25" s="22" t="s">
        <v>154</v>
      </c>
      <c r="L25" s="318"/>
      <c r="M25" s="772"/>
      <c r="N25" s="773"/>
      <c r="O25" s="773"/>
      <c r="P25" s="774"/>
    </row>
    <row r="26" spans="1:16" s="138" customFormat="1" ht="15" customHeight="1">
      <c r="A26" s="152" t="s">
        <v>19</v>
      </c>
      <c r="B26" s="170" t="s">
        <v>1555</v>
      </c>
      <c r="C26" s="261" t="s">
        <v>1556</v>
      </c>
      <c r="D26" s="169" t="s">
        <v>1557</v>
      </c>
      <c r="E26" s="169" t="s">
        <v>1550</v>
      </c>
      <c r="F26" s="152" t="s">
        <v>205</v>
      </c>
      <c r="G26" s="153" t="s">
        <v>1558</v>
      </c>
      <c r="H26" s="262">
        <v>45835</v>
      </c>
      <c r="I26" s="262">
        <v>45888</v>
      </c>
      <c r="J26" s="289" t="str" cm="1">
        <f t="array" ref="J26">IF(ISBLANK(I26), IF(ISBLANK(H26), "N/A", _xlfn.IFS(K26="AS", H26+15, K26="NCR", H26+30, K26="submitted", H26+30, TRUE, "N/A")), _xlfn.IFS(K26="AS", I26+15, K26="NCR", I26+30, K26="submitted", I26+30, TRUE, "N/A"))</f>
        <v>N/A</v>
      </c>
      <c r="K26" s="152" t="s">
        <v>150</v>
      </c>
      <c r="L26" s="318"/>
      <c r="M26" s="772"/>
      <c r="N26" s="773"/>
      <c r="O26" s="773"/>
      <c r="P26" s="774"/>
    </row>
    <row r="27" spans="1:16" s="150" customFormat="1" ht="15" customHeight="1">
      <c r="A27" s="147" t="s">
        <v>24</v>
      </c>
      <c r="B27" s="246" t="s">
        <v>1555</v>
      </c>
      <c r="C27" s="333" t="s">
        <v>1556</v>
      </c>
      <c r="D27" s="220" t="s">
        <v>1559</v>
      </c>
      <c r="E27" s="232"/>
      <c r="F27" s="147" t="s">
        <v>205</v>
      </c>
      <c r="G27" s="148" t="s">
        <v>1560</v>
      </c>
      <c r="H27" s="234" t="s">
        <v>1561</v>
      </c>
      <c r="I27" s="234">
        <v>45894</v>
      </c>
      <c r="J27" s="289" cm="1">
        <f t="array" ref="J27">IF(ISBLANK(I27), IF(ISBLANK(H27), "N/A", _xlfn.IFS(K27="AS", H27+15, K27="NCR", H27+30, K27="submitted", H27+30, TRUE, "N/A")), _xlfn.IFS(K27="AS", I27+15, K27="NCR", I27+30, K27="submitted", I27+30, TRUE, "N/A"))</f>
        <v>45909</v>
      </c>
      <c r="K27" s="147" t="s">
        <v>741</v>
      </c>
      <c r="L27" s="318"/>
      <c r="M27" s="772"/>
      <c r="N27" s="773"/>
      <c r="O27" s="773"/>
      <c r="P27" s="774"/>
    </row>
    <row r="28" spans="1:16" s="26" customFormat="1" ht="15" customHeight="1">
      <c r="A28" s="393"/>
      <c r="B28" s="394" t="s">
        <v>1555</v>
      </c>
      <c r="C28" s="395" t="s">
        <v>1556</v>
      </c>
      <c r="D28" s="396"/>
      <c r="E28" s="397" t="s">
        <v>1526</v>
      </c>
      <c r="F28" s="393" t="s">
        <v>220</v>
      </c>
      <c r="G28" s="398" t="s">
        <v>1562</v>
      </c>
      <c r="I28" s="25"/>
      <c r="J28" s="289" t="str" cm="1">
        <f t="array" ref="J28">IF(ISBLANK(I28), IF(ISBLANK(H28), "N/A", _xlfn.IFS(K28="AS", H28+15, K28="NCR", H28+30, K28="submitted", H28+30, TRUE, "N/A")), _xlfn.IFS(K28="AS", I28+15, K28="NCR", I28+30, K28="submitted", I28+30, TRUE, "N/A"))</f>
        <v>N/A</v>
      </c>
      <c r="L28" s="318"/>
      <c r="M28" s="772"/>
      <c r="N28" s="773"/>
      <c r="O28" s="773"/>
      <c r="P28" s="774"/>
    </row>
    <row r="29" spans="1:16" s="150" customFormat="1" ht="27" customHeight="1">
      <c r="A29" s="147" t="s">
        <v>24</v>
      </c>
      <c r="B29" s="246" t="s">
        <v>1555</v>
      </c>
      <c r="C29" s="333" t="s">
        <v>1556</v>
      </c>
      <c r="D29" s="220" t="s">
        <v>1559</v>
      </c>
      <c r="E29" s="232" t="s">
        <v>1532</v>
      </c>
      <c r="F29" s="147" t="s">
        <v>263</v>
      </c>
      <c r="G29" s="194" t="s">
        <v>1563</v>
      </c>
      <c r="H29" s="234" t="s">
        <v>1561</v>
      </c>
      <c r="I29" s="234">
        <v>45894</v>
      </c>
      <c r="J29" s="289" cm="1">
        <f t="array" ref="J29">IF(ISBLANK(I29), IF(ISBLANK(H29), "N/A", _xlfn.IFS(K29="AS", H29+15, K29="NCR", H29+30, K29="submitted", H29+30, TRUE, "N/A")), _xlfn.IFS(K29="AS", I29+15, K29="NCR", I29+30, K29="submitted", I29+30, TRUE, "N/A"))</f>
        <v>45909</v>
      </c>
      <c r="K29" s="147" t="s">
        <v>741</v>
      </c>
      <c r="L29" s="318"/>
      <c r="M29" s="772"/>
      <c r="N29" s="773"/>
      <c r="O29" s="773"/>
      <c r="P29" s="774"/>
    </row>
    <row r="30" spans="1:16" s="150" customFormat="1" ht="40.5" customHeight="1">
      <c r="A30" s="147" t="s">
        <v>24</v>
      </c>
      <c r="B30" s="246" t="s">
        <v>1555</v>
      </c>
      <c r="C30" s="333" t="s">
        <v>1556</v>
      </c>
      <c r="D30" s="220" t="s">
        <v>1559</v>
      </c>
      <c r="E30" s="232" t="s">
        <v>1526</v>
      </c>
      <c r="F30" s="147" t="s">
        <v>1564</v>
      </c>
      <c r="G30" s="194" t="s">
        <v>1565</v>
      </c>
      <c r="H30" s="234" t="s">
        <v>1561</v>
      </c>
      <c r="I30" s="234">
        <v>45894</v>
      </c>
      <c r="J30" s="289" cm="1">
        <f t="array" ref="J30">IF(ISBLANK(I30), IF(ISBLANK(H30), "N/A", _xlfn.IFS(K30="AS", H30+15, K30="NCR", H30+30, K30="submitted", H30+30, TRUE, "N/A")), _xlfn.IFS(K30="AS", I30+15, K30="NCR", I30+30, K30="submitted", I30+30, TRUE, "N/A"))</f>
        <v>45909</v>
      </c>
      <c r="K30" s="147" t="s">
        <v>741</v>
      </c>
      <c r="L30" s="318"/>
      <c r="M30" s="772"/>
      <c r="N30" s="773"/>
      <c r="O30" s="773"/>
      <c r="P30" s="774"/>
    </row>
    <row r="31" spans="1:16" s="150" customFormat="1" ht="27" customHeight="1">
      <c r="A31" s="147" t="s">
        <v>24</v>
      </c>
      <c r="B31" s="246" t="s">
        <v>1555</v>
      </c>
      <c r="C31" s="333" t="s">
        <v>1556</v>
      </c>
      <c r="D31" s="220" t="s">
        <v>1559</v>
      </c>
      <c r="E31" s="232" t="s">
        <v>1526</v>
      </c>
      <c r="F31" s="147" t="s">
        <v>366</v>
      </c>
      <c r="G31" s="194" t="s">
        <v>1566</v>
      </c>
      <c r="H31" s="234" t="s">
        <v>1561</v>
      </c>
      <c r="I31" s="234">
        <v>45894</v>
      </c>
      <c r="J31" s="289" cm="1">
        <f t="array" ref="J31">IF(ISBLANK(I31), IF(ISBLANK(H31), "N/A", _xlfn.IFS(K31="AS", H31+15, K31="NCR", H31+30, K31="submitted", H31+30, TRUE, "N/A")), _xlfn.IFS(K31="AS", I31+15, K31="NCR", I31+30, K31="submitted", I31+30, TRUE, "N/A"))</f>
        <v>45909</v>
      </c>
      <c r="K31" s="147" t="s">
        <v>741</v>
      </c>
      <c r="L31" s="318"/>
      <c r="M31" s="772"/>
      <c r="N31" s="773"/>
      <c r="O31" s="773"/>
      <c r="P31" s="774"/>
    </row>
    <row r="32" spans="1:16" s="5" customFormat="1" ht="15" customHeight="1">
      <c r="A32" s="399"/>
      <c r="B32" s="400" t="s">
        <v>1555</v>
      </c>
      <c r="C32" s="401" t="s">
        <v>1556</v>
      </c>
      <c r="D32" s="402"/>
      <c r="E32" s="403" t="s">
        <v>158</v>
      </c>
      <c r="F32" s="222" t="s">
        <v>1567</v>
      </c>
      <c r="G32" s="404" t="s">
        <v>1568</v>
      </c>
      <c r="H32" s="18"/>
      <c r="I32" s="18"/>
      <c r="J32" s="289" t="str" cm="1">
        <f t="array" ref="J32">IF(ISBLANK(I32), IF(ISBLANK(H32), "N/A", _xlfn.IFS(K32="AS", H32+15, K32="NCR", H32+30, K32="submitted", H32+30, TRUE, "N/A")), _xlfn.IFS(K32="AS", I32+15, K32="NCR", I32+30, K32="submitted", I32+30, TRUE, "N/A"))</f>
        <v>N/A</v>
      </c>
      <c r="K32" s="4"/>
      <c r="L32" s="318"/>
      <c r="M32" s="772"/>
      <c r="N32" s="773"/>
      <c r="O32" s="773"/>
      <c r="P32" s="774"/>
    </row>
    <row r="33" spans="1:16" s="26" customFormat="1" ht="15" customHeight="1">
      <c r="A33" s="22" t="s">
        <v>1569</v>
      </c>
      <c r="B33" s="128" t="s">
        <v>1570</v>
      </c>
      <c r="C33" s="129" t="s">
        <v>1571</v>
      </c>
      <c r="D33" s="76" t="s">
        <v>1572</v>
      </c>
      <c r="E33" s="76" t="s">
        <v>1526</v>
      </c>
      <c r="F33" s="22" t="s">
        <v>1573</v>
      </c>
      <c r="G33" s="24" t="s">
        <v>1574</v>
      </c>
      <c r="H33" s="25">
        <v>45910</v>
      </c>
      <c r="I33" s="25"/>
      <c r="J33" s="289" cm="1">
        <f t="array" ref="J33">IF(ISBLANK(I33), IF(ISBLANK(H33), "N/A", _xlfn.IFS(K33="AS", H33+15, K33="NCR", H33+30, K33="submitted", H33+30, TRUE, "N/A")), _xlfn.IFS(K33="AS", I33+15, K33="NCR", I33+30, K33="submitted", I33+30, TRUE, "N/A"))</f>
        <v>45940</v>
      </c>
      <c r="K33" s="22" t="s">
        <v>154</v>
      </c>
      <c r="L33" s="318"/>
      <c r="M33" s="772"/>
      <c r="N33" s="773"/>
      <c r="O33" s="773"/>
      <c r="P33" s="774"/>
    </row>
    <row r="34" spans="1:16" s="229" customFormat="1" ht="27" customHeight="1">
      <c r="B34" s="599" t="s">
        <v>1570</v>
      </c>
      <c r="C34" s="422" t="s">
        <v>1571</v>
      </c>
      <c r="D34" s="340"/>
      <c r="E34" s="340" t="s">
        <v>1532</v>
      </c>
      <c r="F34" s="222" t="s">
        <v>1575</v>
      </c>
      <c r="G34" s="404" t="s">
        <v>1576</v>
      </c>
      <c r="H34" s="423"/>
      <c r="I34" s="423"/>
      <c r="J34" s="289" t="str" cm="1">
        <f t="array" ref="J34">IF(ISBLANK(I34), IF(ISBLANK(H34), "N/A", _xlfn.IFS(K34="AS", H34+15, K34="NCR", H34+30, K34="submitted", H34+30, TRUE, "N/A")), _xlfn.IFS(K34="AS", I34+15, K34="NCR", I34+30, K34="submitted", I34+30, TRUE, "N/A"))</f>
        <v>N/A</v>
      </c>
      <c r="K34" s="222"/>
      <c r="L34" s="318"/>
      <c r="M34" s="772"/>
      <c r="N34" s="773"/>
      <c r="O34" s="773"/>
      <c r="P34" s="774"/>
    </row>
    <row r="35" spans="1:16" s="26" customFormat="1" ht="27" customHeight="1">
      <c r="A35" s="22" t="s">
        <v>1569</v>
      </c>
      <c r="B35" s="128" t="s">
        <v>1570</v>
      </c>
      <c r="C35" s="129" t="s">
        <v>1571</v>
      </c>
      <c r="D35" s="589" t="s">
        <v>1572</v>
      </c>
      <c r="E35" s="29" t="s">
        <v>1526</v>
      </c>
      <c r="F35" s="22" t="s">
        <v>1577</v>
      </c>
      <c r="G35" s="28" t="s">
        <v>1578</v>
      </c>
      <c r="H35" s="25">
        <v>45910</v>
      </c>
      <c r="I35" s="25"/>
      <c r="J35" s="289" cm="1">
        <f t="array" ref="J35">IF(ISBLANK(I35), IF(ISBLANK(H35), "N/A", _xlfn.IFS(K35="AS", H35+15, K35="NCR", H35+30, K35="submitted", H35+30, TRUE, "N/A")), _xlfn.IFS(K35="AS", I35+15, K35="NCR", I35+30, K35="submitted", I35+30, TRUE, "N/A"))</f>
        <v>45940</v>
      </c>
      <c r="K35" s="22" t="s">
        <v>154</v>
      </c>
      <c r="L35" s="318"/>
      <c r="M35" s="772"/>
      <c r="N35" s="773"/>
      <c r="O35" s="773"/>
      <c r="P35" s="774"/>
    </row>
    <row r="36" spans="1:16" s="5" customFormat="1" ht="15" customHeight="1">
      <c r="A36" s="4"/>
      <c r="B36" s="392" t="s">
        <v>1579</v>
      </c>
      <c r="C36" s="347" t="s">
        <v>1580</v>
      </c>
      <c r="D36" s="144"/>
      <c r="E36" s="308" t="s">
        <v>1526</v>
      </c>
      <c r="F36" s="4" t="s">
        <v>1581</v>
      </c>
      <c r="G36" s="17" t="s">
        <v>1582</v>
      </c>
      <c r="H36" s="18"/>
      <c r="I36" s="18"/>
      <c r="J36" s="289" t="str" cm="1">
        <f t="array" ref="J36">IF(ISBLANK(I36), IF(ISBLANK(H36), "N/A", _xlfn.IFS(K36="AS", H36+15, K36="NCR", H36+30, K36="submitted", H36+30, TRUE, "N/A")), _xlfn.IFS(K36="AS", I36+15, K36="NCR", I36+30, K36="submitted", I36+30, TRUE, "N/A"))</f>
        <v>N/A</v>
      </c>
      <c r="K36" s="4"/>
      <c r="L36" s="318"/>
      <c r="M36" s="772"/>
      <c r="N36" s="773"/>
      <c r="O36" s="773"/>
      <c r="P36" s="774"/>
    </row>
    <row r="37" spans="1:16" s="138" customFormat="1" ht="27" customHeight="1">
      <c r="A37" s="152" t="s">
        <v>46</v>
      </c>
      <c r="B37" s="538" t="s">
        <v>1579</v>
      </c>
      <c r="C37" s="390" t="s">
        <v>1580</v>
      </c>
      <c r="D37" s="159" t="s">
        <v>1583</v>
      </c>
      <c r="E37" s="539" t="s">
        <v>1526</v>
      </c>
      <c r="F37" s="152" t="s">
        <v>1584</v>
      </c>
      <c r="G37" s="154" t="s">
        <v>1585</v>
      </c>
      <c r="H37" s="262">
        <v>45867</v>
      </c>
      <c r="I37" s="262">
        <v>45888</v>
      </c>
      <c r="J37" s="289" t="str" cm="1">
        <f t="array" ref="J37">IF(ISBLANK(I37), IF(ISBLANK(H37), "N/A", _xlfn.IFS(K37="AS", H37+15, K37="NCR", H37+30, K37="submitted", H37+30, TRUE, "N/A")), _xlfn.IFS(K37="AS", I37+15, K37="NCR", I37+30, K37="submitted", I37+30, TRUE, "N/A"))</f>
        <v>N/A</v>
      </c>
      <c r="K37" s="152" t="s">
        <v>645</v>
      </c>
      <c r="L37" s="318"/>
      <c r="M37" s="772"/>
      <c r="N37" s="773"/>
      <c r="O37" s="773"/>
      <c r="P37" s="774"/>
    </row>
    <row r="38" spans="1:16" s="138" customFormat="1" ht="27" customHeight="1">
      <c r="A38" s="152" t="s">
        <v>46</v>
      </c>
      <c r="B38" s="538" t="s">
        <v>1579</v>
      </c>
      <c r="C38" s="390" t="s">
        <v>1580</v>
      </c>
      <c r="D38" s="159" t="s">
        <v>1583</v>
      </c>
      <c r="E38" s="539" t="s">
        <v>1526</v>
      </c>
      <c r="F38" s="152" t="s">
        <v>1586</v>
      </c>
      <c r="G38" s="154" t="s">
        <v>1587</v>
      </c>
      <c r="H38" s="262">
        <v>45867</v>
      </c>
      <c r="I38" s="262">
        <v>45888</v>
      </c>
      <c r="J38" s="289" t="str" cm="1">
        <f t="array" ref="J38">IF(ISBLANK(I38), IF(ISBLANK(H38), "N/A", _xlfn.IFS(K38="AS", H38+15, K38="NCR", H38+30, K38="submitted", H38+30, TRUE, "N/A")), _xlfn.IFS(K38="AS", I38+15, K38="NCR", I38+30, K38="submitted", I38+30, TRUE, "N/A"))</f>
        <v>N/A</v>
      </c>
      <c r="K38" s="152" t="s">
        <v>645</v>
      </c>
      <c r="L38" s="318"/>
      <c r="M38" s="772"/>
      <c r="N38" s="773"/>
      <c r="O38" s="773"/>
      <c r="P38" s="774"/>
    </row>
    <row r="39" spans="1:16" s="138" customFormat="1" ht="27" customHeight="1">
      <c r="A39" s="152" t="s">
        <v>46</v>
      </c>
      <c r="B39" s="538" t="s">
        <v>1579</v>
      </c>
      <c r="C39" s="390" t="s">
        <v>1580</v>
      </c>
      <c r="D39" s="159" t="s">
        <v>1583</v>
      </c>
      <c r="E39" s="539" t="s">
        <v>1526</v>
      </c>
      <c r="F39" s="152" t="s">
        <v>1588</v>
      </c>
      <c r="G39" s="154" t="s">
        <v>1589</v>
      </c>
      <c r="H39" s="262">
        <v>45867</v>
      </c>
      <c r="I39" s="262">
        <v>45888</v>
      </c>
      <c r="J39" s="289" t="str" cm="1">
        <f t="array" ref="J39">IF(ISBLANK(I39), IF(ISBLANK(H39), "N/A", _xlfn.IFS(K39="AS", H39+15, K39="NCR", H39+30, K39="submitted", H39+30, TRUE, "N/A")), _xlfn.IFS(K39="AS", I39+15, K39="NCR", I39+30, K39="submitted", I39+30, TRUE, "N/A"))</f>
        <v>N/A</v>
      </c>
      <c r="K39" s="152" t="s">
        <v>645</v>
      </c>
      <c r="L39" s="318"/>
      <c r="M39" s="781"/>
      <c r="N39" s="782"/>
      <c r="O39" s="782"/>
      <c r="P39" s="783"/>
    </row>
    <row r="40" spans="1:16" s="138" customFormat="1" ht="15" customHeight="1">
      <c r="A40" s="152" t="s">
        <v>46</v>
      </c>
      <c r="B40" s="538" t="s">
        <v>1579</v>
      </c>
      <c r="C40" s="390" t="s">
        <v>1580</v>
      </c>
      <c r="D40" s="159" t="s">
        <v>1583</v>
      </c>
      <c r="E40" s="539" t="s">
        <v>1526</v>
      </c>
      <c r="F40" s="152" t="s">
        <v>1590</v>
      </c>
      <c r="G40" s="154" t="s">
        <v>1591</v>
      </c>
      <c r="H40" s="262">
        <v>45867</v>
      </c>
      <c r="I40" s="262">
        <v>45888</v>
      </c>
      <c r="J40" s="289" t="str" cm="1">
        <f t="array" ref="J40">IF(ISBLANK(I40), IF(ISBLANK(H40), "N/A", _xlfn.IFS(K40="AS", H40+15, K40="NCR", H40+30, K40="submitted", H40+30, TRUE, "N/A")), _xlfn.IFS(K40="AS", I40+15, K40="NCR", I40+30, K40="submitted", I40+30, TRUE, "N/A"))</f>
        <v>N/A</v>
      </c>
      <c r="K40" s="152" t="s">
        <v>645</v>
      </c>
      <c r="L40" s="318"/>
      <c r="M40" s="766" t="s">
        <v>132</v>
      </c>
      <c r="N40" s="767"/>
      <c r="O40" s="767"/>
      <c r="P40" s="768"/>
    </row>
    <row r="41" spans="1:16" s="138" customFormat="1" ht="40.5" customHeight="1">
      <c r="A41" s="152" t="s">
        <v>46</v>
      </c>
      <c r="B41" s="538" t="s">
        <v>1579</v>
      </c>
      <c r="C41" s="390" t="s">
        <v>1580</v>
      </c>
      <c r="D41" s="159" t="s">
        <v>1583</v>
      </c>
      <c r="E41" s="539" t="s">
        <v>1526</v>
      </c>
      <c r="F41" s="152" t="s">
        <v>1592</v>
      </c>
      <c r="G41" s="154" t="s">
        <v>1593</v>
      </c>
      <c r="H41" s="262">
        <v>45867</v>
      </c>
      <c r="I41" s="262">
        <v>45888</v>
      </c>
      <c r="J41" s="289" t="str" cm="1">
        <f t="array" ref="J41">IF(ISBLANK(I41), IF(ISBLANK(H41), "N/A", _xlfn.IFS(K41="AS", H41+15, K41="NCR", H41+30, K41="submitted", H41+30, TRUE, "N/A")), _xlfn.IFS(K41="AS", I41+15, K41="NCR", I41+30, K41="submitted", I41+30, TRUE, "N/A"))</f>
        <v>N/A</v>
      </c>
      <c r="K41" s="152" t="s">
        <v>645</v>
      </c>
      <c r="L41" s="318"/>
      <c r="M41" s="769"/>
      <c r="N41" s="770"/>
      <c r="O41" s="770"/>
      <c r="P41" s="771"/>
    </row>
    <row r="42" spans="1:16" s="150" customFormat="1" ht="27" customHeight="1">
      <c r="A42" s="147" t="s">
        <v>28</v>
      </c>
      <c r="B42" s="644" t="s">
        <v>1579</v>
      </c>
      <c r="C42" s="645" t="s">
        <v>1580</v>
      </c>
      <c r="D42" s="647" t="s">
        <v>1594</v>
      </c>
      <c r="E42" s="646" t="s">
        <v>1526</v>
      </c>
      <c r="F42" s="147" t="s">
        <v>329</v>
      </c>
      <c r="G42" s="148" t="s">
        <v>276</v>
      </c>
      <c r="H42" s="234">
        <v>45882</v>
      </c>
      <c r="I42" s="234">
        <v>45904</v>
      </c>
      <c r="J42" s="289" cm="1">
        <f t="array" ref="J42">IF(ISBLANK(I42), IF(ISBLANK(H42), "N/A", _xlfn.IFS(K42="AS", H42+15, K42="NCR", H42+30, K42="submitted", H42+30, TRUE, "N/A")), _xlfn.IFS(K42="AS", I42+15, K42="NCR", I42+30, K42="submitted", I42+30, TRUE, "N/A"))</f>
        <v>45934</v>
      </c>
      <c r="K42" s="147" t="s">
        <v>207</v>
      </c>
      <c r="L42" s="318"/>
      <c r="M42" s="769"/>
      <c r="N42" s="770"/>
      <c r="O42" s="770"/>
      <c r="P42" s="771"/>
    </row>
    <row r="43" spans="1:16" s="26" customFormat="1" ht="27" customHeight="1">
      <c r="A43" s="22" t="s">
        <v>1595</v>
      </c>
      <c r="B43" s="392" t="s">
        <v>1579</v>
      </c>
      <c r="C43" s="360" t="s">
        <v>1580</v>
      </c>
      <c r="D43" s="609" t="s">
        <v>1596</v>
      </c>
      <c r="E43" s="361" t="s">
        <v>1526</v>
      </c>
      <c r="F43" s="22" t="s">
        <v>329</v>
      </c>
      <c r="G43" s="24" t="s">
        <v>276</v>
      </c>
      <c r="H43" s="25">
        <v>45917</v>
      </c>
      <c r="I43" s="25">
        <v>45926</v>
      </c>
      <c r="J43" s="289" cm="1">
        <f t="array" ref="J43">IF(ISBLANK(I43), IF(ISBLANK(H43), "N/A", _xlfn.IFS(K43="AS", H43+15, K43="NCR", H43+30, K43="submitted", H43+30, TRUE, "N/A")), _xlfn.IFS(K43="AS", I43+15, K43="NCR", I43+30, K43="submitted", I43+30, TRUE, "N/A"))</f>
        <v>45956</v>
      </c>
      <c r="K43" s="22" t="s">
        <v>207</v>
      </c>
      <c r="L43" s="318"/>
      <c r="M43" s="769"/>
      <c r="N43" s="770"/>
      <c r="O43" s="770"/>
      <c r="P43" s="771"/>
    </row>
    <row r="44" spans="1:16" s="410" customFormat="1" ht="40.5" customHeight="1">
      <c r="A44" s="399"/>
      <c r="B44" s="405" t="s">
        <v>1579</v>
      </c>
      <c r="C44" s="406" t="s">
        <v>1580</v>
      </c>
      <c r="D44" s="407" t="s">
        <v>1597</v>
      </c>
      <c r="E44" s="408" t="s">
        <v>1532</v>
      </c>
      <c r="F44" s="399" t="s">
        <v>330</v>
      </c>
      <c r="G44" s="409" t="s">
        <v>1598</v>
      </c>
      <c r="H44" s="385"/>
      <c r="I44" s="385"/>
      <c r="J44" s="289" t="str" cm="1">
        <f t="array" ref="J44">IF(ISBLANK(I44), IF(ISBLANK(H44), "N/A", _xlfn.IFS(K44="AS", H44+15, K44="NCR", H44+30, K44="submitted", H44+30, TRUE, "N/A")), _xlfn.IFS(K44="AS", I44+15, K44="NCR", I44+30, K44="submitted", I44+30, TRUE, "N/A"))</f>
        <v>N/A</v>
      </c>
      <c r="K44" s="399"/>
      <c r="L44" s="318"/>
      <c r="M44" s="769"/>
      <c r="N44" s="770"/>
      <c r="O44" s="770"/>
      <c r="P44" s="771"/>
    </row>
    <row r="45" spans="1:16" s="410" customFormat="1" ht="27" customHeight="1">
      <c r="A45" s="399"/>
      <c r="B45" s="405" t="s">
        <v>1579</v>
      </c>
      <c r="C45" s="406" t="s">
        <v>1580</v>
      </c>
      <c r="D45" s="407" t="s">
        <v>1597</v>
      </c>
      <c r="E45" s="408" t="s">
        <v>1532</v>
      </c>
      <c r="F45" s="399" t="s">
        <v>1254</v>
      </c>
      <c r="G45" s="409" t="s">
        <v>1599</v>
      </c>
      <c r="H45" s="385"/>
      <c r="I45" s="385"/>
      <c r="J45" s="289" t="str" cm="1">
        <f t="array" ref="J45">IF(ISBLANK(I45), IF(ISBLANK(H45), "N/A", _xlfn.IFS(K45="AS", H45+15, K45="NCR", H45+30, K45="submitted", H45+30, TRUE, "N/A")), _xlfn.IFS(K45="AS", I45+15, K45="NCR", I45+30, K45="submitted", I45+30, TRUE, "N/A"))</f>
        <v>N/A</v>
      </c>
      <c r="K45" s="399"/>
      <c r="L45" s="318"/>
      <c r="M45" s="769"/>
      <c r="N45" s="770"/>
      <c r="O45" s="770"/>
      <c r="P45" s="771"/>
    </row>
    <row r="46" spans="1:16" s="5" customFormat="1" ht="27" customHeight="1">
      <c r="A46" s="4"/>
      <c r="B46" s="392" t="s">
        <v>1579</v>
      </c>
      <c r="C46" s="347" t="s">
        <v>1580</v>
      </c>
      <c r="D46" s="387" t="s">
        <v>1600</v>
      </c>
      <c r="E46" s="308" t="s">
        <v>1526</v>
      </c>
      <c r="F46" s="4" t="s">
        <v>332</v>
      </c>
      <c r="G46" s="3" t="s">
        <v>1601</v>
      </c>
      <c r="H46" s="18"/>
      <c r="I46" s="18"/>
      <c r="J46" s="289" t="str" cm="1">
        <f t="array" ref="J46">IF(ISBLANK(I46), IF(ISBLANK(H46), "N/A", _xlfn.IFS(K46="AS", H46+15, K46="NCR", H46+30, K46="submitted", H46+30, TRUE, "N/A")), _xlfn.IFS(K46="AS", I46+15, K46="NCR", I46+30, K46="submitted", I46+30, TRUE, "N/A"))</f>
        <v>N/A</v>
      </c>
      <c r="K46" s="4"/>
      <c r="L46" s="318"/>
      <c r="M46" s="769"/>
      <c r="N46" s="770"/>
      <c r="O46" s="770"/>
      <c r="P46" s="771"/>
    </row>
    <row r="47" spans="1:16" s="5" customFormat="1" ht="40.5" customHeight="1">
      <c r="A47" s="4"/>
      <c r="B47" s="392" t="s">
        <v>1579</v>
      </c>
      <c r="C47" s="347" t="s">
        <v>1580</v>
      </c>
      <c r="D47" s="387" t="s">
        <v>1600</v>
      </c>
      <c r="E47" s="308" t="s">
        <v>1526</v>
      </c>
      <c r="F47" s="4" t="s">
        <v>1141</v>
      </c>
      <c r="G47" s="3" t="s">
        <v>1602</v>
      </c>
      <c r="H47" s="18"/>
      <c r="I47" s="18"/>
      <c r="J47" s="289" t="str" cm="1">
        <f t="array" ref="J47">IF(ISBLANK(I47), IF(ISBLANK(H47), "N/A", _xlfn.IFS(K47="AS", H47+15, K47="NCR", H47+30, K47="submitted", H47+30, TRUE, "N/A")), _xlfn.IFS(K47="AS", I47+15, K47="NCR", I47+30, K47="submitted", I47+30, TRUE, "N/A"))</f>
        <v>N/A</v>
      </c>
      <c r="K47" s="4"/>
      <c r="L47" s="318"/>
      <c r="M47" s="769"/>
      <c r="N47" s="770"/>
      <c r="O47" s="770"/>
      <c r="P47" s="771"/>
    </row>
    <row r="48" spans="1:16" s="5" customFormat="1" ht="27" customHeight="1">
      <c r="A48" s="4"/>
      <c r="B48" s="392" t="s">
        <v>1579</v>
      </c>
      <c r="C48" s="347" t="s">
        <v>1580</v>
      </c>
      <c r="D48" s="387" t="s">
        <v>1600</v>
      </c>
      <c r="E48" s="308" t="s">
        <v>1526</v>
      </c>
      <c r="F48" s="4" t="s">
        <v>1603</v>
      </c>
      <c r="G48" s="3" t="s">
        <v>1604</v>
      </c>
      <c r="H48" s="18"/>
      <c r="I48" s="18"/>
      <c r="J48" s="289" t="str" cm="1">
        <f t="array" ref="J48">IF(ISBLANK(I48), IF(ISBLANK(H48), "N/A", _xlfn.IFS(K48="AS", H48+15, K48="NCR", H48+30, K48="submitted", H48+30, TRUE, "N/A")), _xlfn.IFS(K48="AS", I48+15, K48="NCR", I48+30, K48="submitted", I48+30, TRUE, "N/A"))</f>
        <v>N/A</v>
      </c>
      <c r="K48" s="4"/>
      <c r="L48" s="318"/>
      <c r="M48" s="772" t="s">
        <v>147</v>
      </c>
      <c r="N48" s="773"/>
      <c r="O48" s="773"/>
      <c r="P48" s="774"/>
    </row>
    <row r="49" spans="1:16" s="5" customFormat="1" ht="27" customHeight="1">
      <c r="A49" s="4"/>
      <c r="B49" s="392" t="s">
        <v>1579</v>
      </c>
      <c r="C49" s="347" t="s">
        <v>1580</v>
      </c>
      <c r="D49" s="387" t="s">
        <v>1600</v>
      </c>
      <c r="E49" s="308" t="s">
        <v>1526</v>
      </c>
      <c r="F49" s="4" t="s">
        <v>1605</v>
      </c>
      <c r="G49" s="3" t="s">
        <v>1606</v>
      </c>
      <c r="H49" s="18"/>
      <c r="I49" s="18"/>
      <c r="J49" s="289" t="str" cm="1">
        <f t="array" ref="J49">IF(ISBLANK(I49), IF(ISBLANK(H49), "N/A", _xlfn.IFS(K49="AS", H49+15, K49="NCR", H49+30, K49="submitted", H49+30, TRUE, "N/A")), _xlfn.IFS(K49="AS", I49+15, K49="NCR", I49+30, K49="submitted", I49+30, TRUE, "N/A"))</f>
        <v>N/A</v>
      </c>
      <c r="K49" s="4"/>
      <c r="L49" s="318"/>
      <c r="M49" s="772"/>
      <c r="N49" s="773"/>
      <c r="O49" s="773"/>
      <c r="P49" s="774"/>
    </row>
    <row r="50" spans="1:16" s="138" customFormat="1" ht="15" customHeight="1">
      <c r="A50" s="152" t="s">
        <v>46</v>
      </c>
      <c r="B50" s="538" t="s">
        <v>1579</v>
      </c>
      <c r="C50" s="390" t="s">
        <v>1580</v>
      </c>
      <c r="D50" s="159" t="s">
        <v>1583</v>
      </c>
      <c r="E50" s="539" t="s">
        <v>1526</v>
      </c>
      <c r="F50" s="152" t="s">
        <v>1607</v>
      </c>
      <c r="G50" s="153" t="s">
        <v>1608</v>
      </c>
      <c r="H50" s="262">
        <v>45867</v>
      </c>
      <c r="I50" s="262">
        <v>45888</v>
      </c>
      <c r="J50" s="289" t="str" cm="1">
        <f t="array" ref="J50">IF(ISBLANK(I50), IF(ISBLANK(H50), "N/A", _xlfn.IFS(K50="AS", H50+15, K50="NCR", H50+30, K50="submitted", H50+30, TRUE, "N/A")), _xlfn.IFS(K50="AS", I50+15, K50="NCR", I50+30, K50="submitted", I50+30, TRUE, "N/A"))</f>
        <v>N/A</v>
      </c>
      <c r="K50" s="152" t="s">
        <v>645</v>
      </c>
      <c r="L50" s="318"/>
      <c r="M50" s="772"/>
      <c r="N50" s="773"/>
      <c r="O50" s="773"/>
      <c r="P50" s="774"/>
    </row>
    <row r="51" spans="1:16" s="138" customFormat="1" ht="27" customHeight="1">
      <c r="A51" s="152" t="s">
        <v>46</v>
      </c>
      <c r="B51" s="538" t="s">
        <v>1579</v>
      </c>
      <c r="C51" s="390" t="s">
        <v>1580</v>
      </c>
      <c r="D51" s="159" t="s">
        <v>1583</v>
      </c>
      <c r="E51" s="539" t="s">
        <v>1526</v>
      </c>
      <c r="F51" s="152" t="s">
        <v>1609</v>
      </c>
      <c r="G51" s="154" t="s">
        <v>1610</v>
      </c>
      <c r="H51" s="262">
        <v>45867</v>
      </c>
      <c r="I51" s="262">
        <v>45888</v>
      </c>
      <c r="J51" s="289" t="str" cm="1">
        <f t="array" ref="J51">IF(ISBLANK(I51), IF(ISBLANK(H51), "N/A", _xlfn.IFS(K51="AS", H51+15, K51="NCR", H51+30, K51="submitted", H51+30, TRUE, "N/A")), _xlfn.IFS(K51="AS", I51+15, K51="NCR", I51+30, K51="submitted", I51+30, TRUE, "N/A"))</f>
        <v>N/A</v>
      </c>
      <c r="K51" s="152" t="s">
        <v>645</v>
      </c>
      <c r="L51" s="318"/>
      <c r="M51" s="772"/>
      <c r="N51" s="773"/>
      <c r="O51" s="773"/>
      <c r="P51" s="774"/>
    </row>
    <row r="52" spans="1:16" s="5" customFormat="1" ht="27" customHeight="1">
      <c r="A52" s="4"/>
      <c r="B52" s="392" t="s">
        <v>1579</v>
      </c>
      <c r="C52" s="347" t="s">
        <v>1580</v>
      </c>
      <c r="D52" s="387" t="s">
        <v>1611</v>
      </c>
      <c r="E52" s="308" t="s">
        <v>1526</v>
      </c>
      <c r="F52" s="4" t="s">
        <v>1612</v>
      </c>
      <c r="G52" s="3" t="s">
        <v>1613</v>
      </c>
      <c r="H52" s="18"/>
      <c r="I52" s="18"/>
      <c r="J52" s="289" t="str" cm="1">
        <f t="array" ref="J52">IF(ISBLANK(I52), IF(ISBLANK(H52), "N/A", _xlfn.IFS(K52="AS", H52+15, K52="NCR", H52+30, K52="submitted", H52+30, TRUE, "N/A")), _xlfn.IFS(K52="AS", I52+15, K52="NCR", I52+30, K52="submitted", I52+30, TRUE, "N/A"))</f>
        <v>N/A</v>
      </c>
      <c r="K52" s="4"/>
      <c r="L52" s="318"/>
      <c r="M52" s="772"/>
      <c r="N52" s="773"/>
      <c r="O52" s="773"/>
      <c r="P52" s="774"/>
    </row>
    <row r="53" spans="1:16" s="5" customFormat="1" ht="15" customHeight="1">
      <c r="A53" s="4"/>
      <c r="B53" s="392" t="s">
        <v>1579</v>
      </c>
      <c r="C53" s="347" t="s">
        <v>1580</v>
      </c>
      <c r="D53" s="387" t="s">
        <v>1611</v>
      </c>
      <c r="E53" s="308" t="s">
        <v>1526</v>
      </c>
      <c r="F53" s="4" t="s">
        <v>402</v>
      </c>
      <c r="G53" s="17" t="s">
        <v>1614</v>
      </c>
      <c r="H53" s="18"/>
      <c r="I53" s="18"/>
      <c r="J53" s="289" t="str" cm="1">
        <f t="array" ref="J53">IF(ISBLANK(I53), IF(ISBLANK(H53), "N/A", _xlfn.IFS(K53="AS", H53+15, K53="NCR", H53+30, K53="submitted", H53+30, TRUE, "N/A")), _xlfn.IFS(K53="AS", I53+15, K53="NCR", I53+30, K53="submitted", I53+30, TRUE, "N/A"))</f>
        <v>N/A</v>
      </c>
      <c r="K53" s="4"/>
      <c r="L53" s="319"/>
      <c r="M53" s="772"/>
      <c r="N53" s="773"/>
      <c r="O53" s="773"/>
      <c r="P53" s="774"/>
    </row>
    <row r="54" spans="1:16" s="410" customFormat="1" ht="15" customHeight="1">
      <c r="A54" s="399"/>
      <c r="B54" s="405" t="s">
        <v>1579</v>
      </c>
      <c r="C54" s="406" t="s">
        <v>1580</v>
      </c>
      <c r="D54" s="228"/>
      <c r="E54" s="411" t="s">
        <v>158</v>
      </c>
      <c r="F54" s="399" t="s">
        <v>406</v>
      </c>
      <c r="G54" s="412" t="s">
        <v>1615</v>
      </c>
      <c r="H54" s="385"/>
      <c r="I54" s="385"/>
      <c r="J54" s="289" t="str" cm="1">
        <f t="array" ref="J54">IF(ISBLANK(I54), IF(ISBLANK(H54), "N/A", _xlfn.IFS(K54="AS", H54+15, K54="NCR", H54+30, K54="submitted", H54+30, TRUE, "N/A")), _xlfn.IFS(K54="AS", I54+15, K54="NCR", I54+30, K54="submitted", I54+30, TRUE, "N/A"))</f>
        <v>N/A</v>
      </c>
      <c r="K54" s="399"/>
      <c r="L54" s="318"/>
      <c r="M54" s="772"/>
      <c r="N54" s="773"/>
      <c r="O54" s="773"/>
      <c r="P54" s="774"/>
    </row>
    <row r="55" spans="1:16" s="410" customFormat="1" ht="15" customHeight="1">
      <c r="A55" s="399"/>
      <c r="B55" s="405" t="s">
        <v>1579</v>
      </c>
      <c r="C55" s="406" t="s">
        <v>1580</v>
      </c>
      <c r="D55" s="228"/>
      <c r="E55" s="413" t="s">
        <v>158</v>
      </c>
      <c r="F55" s="399" t="s">
        <v>1616</v>
      </c>
      <c r="G55" s="412" t="s">
        <v>1617</v>
      </c>
      <c r="H55" s="385"/>
      <c r="I55" s="385"/>
      <c r="J55" s="289" t="str" cm="1">
        <f t="array" ref="J55">IF(ISBLANK(I55), IF(ISBLANK(H55), "N/A", _xlfn.IFS(K55="AS", H55+15, K55="NCR", H55+30, K55="submitted", H55+30, TRUE, "N/A")), _xlfn.IFS(K55="AS", I55+15, K55="NCR", I55+30, K55="submitted", I55+30, TRUE, "N/A"))</f>
        <v>N/A</v>
      </c>
      <c r="K55" s="399"/>
      <c r="L55" s="318"/>
      <c r="M55" s="772"/>
      <c r="N55" s="773"/>
      <c r="O55" s="773"/>
      <c r="P55" s="774"/>
    </row>
    <row r="56" spans="1:16" s="138" customFormat="1" ht="25.5" customHeight="1">
      <c r="A56" s="152" t="s">
        <v>1618</v>
      </c>
      <c r="B56" s="170" t="s">
        <v>1619</v>
      </c>
      <c r="C56" s="261" t="s">
        <v>1620</v>
      </c>
      <c r="D56" s="348" t="s">
        <v>1621</v>
      </c>
      <c r="E56" s="169" t="s">
        <v>198</v>
      </c>
      <c r="F56" s="152" t="s">
        <v>857</v>
      </c>
      <c r="G56" s="154" t="s">
        <v>1622</v>
      </c>
      <c r="H56" s="262">
        <v>45783</v>
      </c>
      <c r="I56" s="262">
        <f>H56+14</f>
        <v>45797</v>
      </c>
      <c r="J56" s="289" t="str" cm="1">
        <f t="array" ref="J56">IF(ISBLANK(I56), IF(ISBLANK(H56), "N/A", _xlfn.IFS(K56="AS", H56+15, K56="NCR", H56+30, K56="submitted", H56+30, TRUE, "N/A")), _xlfn.IFS(K56="AS", I56+15, K56="NCR", I56+30, K56="submitted", I56+30, TRUE, "N/A"))</f>
        <v>N/A</v>
      </c>
      <c r="K56" s="152" t="s">
        <v>645</v>
      </c>
      <c r="L56" s="318"/>
      <c r="M56" s="772"/>
      <c r="N56" s="773"/>
      <c r="O56" s="773"/>
      <c r="P56" s="774"/>
    </row>
    <row r="57" spans="1:16" s="1" customFormat="1" ht="27" customHeight="1">
      <c r="A57" s="9"/>
      <c r="B57" s="48" t="s">
        <v>1619</v>
      </c>
      <c r="C57" s="6" t="s">
        <v>1620</v>
      </c>
      <c r="D57" s="39" t="s">
        <v>1623</v>
      </c>
      <c r="E57" s="39" t="s">
        <v>1624</v>
      </c>
      <c r="F57" s="9" t="s">
        <v>859</v>
      </c>
      <c r="G57" s="7" t="s">
        <v>1625</v>
      </c>
      <c r="H57" s="14"/>
      <c r="I57" s="14"/>
      <c r="J57" s="289" t="str" cm="1">
        <f t="array" ref="J57">IF(ISBLANK(I57), IF(ISBLANK(H57), "N/A", _xlfn.IFS(K57="AS", H57+15, K57="NCR", H57+30, K57="submitted", H57+30, TRUE, "N/A")), _xlfn.IFS(K57="AS", I57+15, K57="NCR", I57+30, K57="submitted", I57+30, TRUE, "N/A"))</f>
        <v>N/A</v>
      </c>
      <c r="K57" s="9"/>
      <c r="L57" s="318"/>
      <c r="M57" s="772"/>
      <c r="N57" s="773"/>
      <c r="O57" s="773"/>
      <c r="P57" s="774"/>
    </row>
    <row r="58" spans="1:16" s="1" customFormat="1" ht="27" customHeight="1">
      <c r="A58" s="9"/>
      <c r="B58" s="48" t="s">
        <v>1619</v>
      </c>
      <c r="C58" s="6" t="s">
        <v>1620</v>
      </c>
      <c r="D58" s="39" t="s">
        <v>1626</v>
      </c>
      <c r="E58" s="39" t="s">
        <v>1624</v>
      </c>
      <c r="F58" s="9" t="s">
        <v>1627</v>
      </c>
      <c r="G58" s="7" t="s">
        <v>1628</v>
      </c>
      <c r="H58" s="14"/>
      <c r="I58" s="14"/>
      <c r="J58" s="289" t="str" cm="1">
        <f t="array" ref="J58">IF(ISBLANK(I58), IF(ISBLANK(H58), "N/A", _xlfn.IFS(K58="AS", H58+15, K58="NCR", H58+30, K58="submitted", H58+30, TRUE, "N/A")), _xlfn.IFS(K58="AS", I58+15, K58="NCR", I58+30, K58="submitted", I58+30, TRUE, "N/A"))</f>
        <v>N/A</v>
      </c>
      <c r="K58" s="9"/>
      <c r="L58" s="318"/>
      <c r="M58" s="772"/>
      <c r="N58" s="773"/>
      <c r="O58" s="773"/>
      <c r="P58" s="774"/>
    </row>
    <row r="59" spans="1:16" s="1" customFormat="1" ht="15" customHeight="1">
      <c r="A59" s="9"/>
      <c r="B59" s="48" t="s">
        <v>1619</v>
      </c>
      <c r="C59" s="6" t="s">
        <v>1620</v>
      </c>
      <c r="D59" s="39" t="s">
        <v>1626</v>
      </c>
      <c r="E59" s="39" t="s">
        <v>1526</v>
      </c>
      <c r="F59" s="9" t="s">
        <v>863</v>
      </c>
      <c r="G59" s="13" t="s">
        <v>1629</v>
      </c>
      <c r="H59" s="14"/>
      <c r="I59" s="14"/>
      <c r="J59" s="289" t="str" cm="1">
        <f t="array" ref="J59">IF(ISBLANK(I59), IF(ISBLANK(H59), "N/A", _xlfn.IFS(K59="AS", H59+15, K59="NCR", H59+30, K59="submitted", H59+30, TRUE, "N/A")), _xlfn.IFS(K59="AS", I59+15, K59="NCR", I59+30, K59="submitted", I59+30, TRUE, "N/A"))</f>
        <v>N/A</v>
      </c>
      <c r="K59" s="9"/>
      <c r="L59" s="318"/>
      <c r="M59" s="772"/>
      <c r="N59" s="773"/>
      <c r="O59" s="773"/>
      <c r="P59" s="774"/>
    </row>
    <row r="60" spans="1:16" s="1" customFormat="1" ht="15" customHeight="1">
      <c r="A60" s="9"/>
      <c r="B60" s="48" t="s">
        <v>1619</v>
      </c>
      <c r="C60" s="6" t="s">
        <v>1620</v>
      </c>
      <c r="D60" s="39" t="s">
        <v>1630</v>
      </c>
      <c r="E60" s="39" t="s">
        <v>1624</v>
      </c>
      <c r="F60" s="9" t="s">
        <v>865</v>
      </c>
      <c r="G60" s="13" t="s">
        <v>1631</v>
      </c>
      <c r="H60" s="14"/>
      <c r="I60" s="14"/>
      <c r="J60" s="289" t="str" cm="1">
        <f t="array" ref="J60">IF(ISBLANK(I60), IF(ISBLANK(H60), "N/A", _xlfn.IFS(K60="AS", H60+15, K60="NCR", H60+30, K60="submitted", H60+30, TRUE, "N/A")), _xlfn.IFS(K60="AS", I60+15, K60="NCR", I60+30, K60="submitted", I60+30, TRUE, "N/A"))</f>
        <v>N/A</v>
      </c>
      <c r="K60" s="9"/>
      <c r="L60" s="318"/>
      <c r="M60" s="772"/>
      <c r="N60" s="773"/>
      <c r="O60" s="773"/>
      <c r="P60" s="774"/>
    </row>
    <row r="61" spans="1:16" s="1" customFormat="1" ht="15" customHeight="1">
      <c r="A61" s="9"/>
      <c r="B61" s="48" t="s">
        <v>1619</v>
      </c>
      <c r="C61" s="6" t="s">
        <v>1620</v>
      </c>
      <c r="D61" s="39"/>
      <c r="E61" s="39" t="s">
        <v>1632</v>
      </c>
      <c r="F61" s="9" t="s">
        <v>1633</v>
      </c>
      <c r="G61" s="13" t="s">
        <v>1634</v>
      </c>
      <c r="H61" s="14"/>
      <c r="I61" s="14"/>
      <c r="J61" s="289" t="str" cm="1">
        <f t="array" ref="J61">IF(ISBLANK(I61), IF(ISBLANK(H61), "N/A", _xlfn.IFS(K61="AS", H61+15, K61="NCR", H61+30, K61="submitted", H61+30, TRUE, "N/A")), _xlfn.IFS(K61="AS", I61+15, K61="NCR", I61+30, K61="submitted", I61+30, TRUE, "N/A"))</f>
        <v>N/A</v>
      </c>
      <c r="K61" s="9"/>
      <c r="L61" s="318"/>
      <c r="M61" s="772"/>
      <c r="N61" s="773"/>
      <c r="O61" s="773"/>
      <c r="P61" s="774"/>
    </row>
    <row r="62" spans="1:16" s="1" customFormat="1" ht="15" customHeight="1">
      <c r="A62" s="9"/>
      <c r="B62" s="48" t="s">
        <v>1619</v>
      </c>
      <c r="C62" s="6" t="s">
        <v>1620</v>
      </c>
      <c r="D62" s="39"/>
      <c r="E62" s="39" t="s">
        <v>1632</v>
      </c>
      <c r="F62" s="9" t="s">
        <v>920</v>
      </c>
      <c r="G62" s="13" t="s">
        <v>1635</v>
      </c>
      <c r="H62" s="14"/>
      <c r="I62" s="14"/>
      <c r="J62" s="289" t="str" cm="1">
        <f t="array" ref="J62">IF(ISBLANK(I62), IF(ISBLANK(H62), "N/A", _xlfn.IFS(K62="AS", H62+15, K62="NCR", H62+30, K62="submitted", H62+30, TRUE, "N/A")), _xlfn.IFS(K62="AS", I62+15, K62="NCR", I62+30, K62="submitted", I62+30, TRUE, "N/A"))</f>
        <v>N/A</v>
      </c>
      <c r="K62" s="9"/>
      <c r="L62" s="318"/>
      <c r="M62" s="772"/>
      <c r="N62" s="773"/>
      <c r="O62" s="773"/>
      <c r="P62" s="774"/>
    </row>
    <row r="63" spans="1:16" s="1" customFormat="1" ht="25.5" customHeight="1">
      <c r="A63" s="9"/>
      <c r="B63" s="48" t="s">
        <v>1619</v>
      </c>
      <c r="C63" s="6" t="s">
        <v>1620</v>
      </c>
      <c r="D63" s="39"/>
      <c r="E63" s="39" t="s">
        <v>1526</v>
      </c>
      <c r="F63" s="9" t="s">
        <v>1151</v>
      </c>
      <c r="G63" s="7" t="s">
        <v>1636</v>
      </c>
      <c r="H63" s="14"/>
      <c r="I63" s="14"/>
      <c r="J63" s="289" t="str" cm="1">
        <f t="array" ref="J63">IF(ISBLANK(I63), IF(ISBLANK(H63), "N/A", _xlfn.IFS(K63="AS", H63+15, K63="NCR", H63+30, K63="submitted", H63+30, TRUE, "N/A")), _xlfn.IFS(K63="AS", I63+15, K63="NCR", I63+30, K63="submitted", I63+30, TRUE, "N/A"))</f>
        <v>N/A</v>
      </c>
      <c r="K63" s="9"/>
      <c r="L63" s="318"/>
      <c r="M63" s="772"/>
      <c r="N63" s="773"/>
      <c r="O63" s="773"/>
      <c r="P63" s="774"/>
    </row>
    <row r="64" spans="1:16" s="1" customFormat="1" ht="15" customHeight="1">
      <c r="A64" s="9"/>
      <c r="B64" s="48" t="s">
        <v>1619</v>
      </c>
      <c r="C64" s="6" t="s">
        <v>1620</v>
      </c>
      <c r="D64" s="39" t="s">
        <v>1637</v>
      </c>
      <c r="E64" s="39" t="s">
        <v>1624</v>
      </c>
      <c r="F64" s="9" t="s">
        <v>486</v>
      </c>
      <c r="G64" s="13" t="s">
        <v>1638</v>
      </c>
      <c r="H64" s="14"/>
      <c r="I64" s="14"/>
      <c r="J64" s="289" t="str" cm="1">
        <f t="array" ref="J64">IF(ISBLANK(I64), IF(ISBLANK(H64), "N/A", _xlfn.IFS(K64="AS", H64+15, K64="NCR", H64+30, K64="submitted", H64+30, TRUE, "N/A")), _xlfn.IFS(K64="AS", I64+15, K64="NCR", I64+30, K64="submitted", I64+30, TRUE, "N/A"))</f>
        <v>N/A</v>
      </c>
      <c r="K64" s="9"/>
      <c r="L64" s="318"/>
      <c r="M64" s="772"/>
      <c r="N64" s="773"/>
      <c r="O64" s="773"/>
      <c r="P64" s="774"/>
    </row>
    <row r="65" spans="1:16" s="1" customFormat="1" ht="15" customHeight="1">
      <c r="A65" s="9"/>
      <c r="B65" s="48" t="s">
        <v>1619</v>
      </c>
      <c r="C65" s="6" t="s">
        <v>1620</v>
      </c>
      <c r="D65" s="39" t="s">
        <v>1637</v>
      </c>
      <c r="E65" s="39" t="s">
        <v>1624</v>
      </c>
      <c r="F65" s="9" t="s">
        <v>488</v>
      </c>
      <c r="G65" s="13" t="s">
        <v>1639</v>
      </c>
      <c r="H65" s="14"/>
      <c r="I65" s="14"/>
      <c r="J65" s="289" t="str" cm="1">
        <f t="array" ref="J65">IF(ISBLANK(I65), IF(ISBLANK(H65), "N/A", _xlfn.IFS(K65="AS", H65+15, K65="NCR", H65+30, K65="submitted", H65+30, TRUE, "N/A")), _xlfn.IFS(K65="AS", I65+15, K65="NCR", I65+30, K65="submitted", I65+30, TRUE, "N/A"))</f>
        <v>N/A</v>
      </c>
      <c r="K65" s="9"/>
      <c r="L65" s="318"/>
      <c r="M65" s="772"/>
      <c r="N65" s="773"/>
      <c r="O65" s="773"/>
      <c r="P65" s="774"/>
    </row>
    <row r="66" spans="1:16" s="1" customFormat="1" ht="15" customHeight="1">
      <c r="A66" s="9"/>
      <c r="B66" s="48" t="s">
        <v>1619</v>
      </c>
      <c r="C66" s="6" t="s">
        <v>1620</v>
      </c>
      <c r="D66" s="39" t="s">
        <v>1637</v>
      </c>
      <c r="E66" s="39" t="s">
        <v>1624</v>
      </c>
      <c r="F66" s="9" t="s">
        <v>1640</v>
      </c>
      <c r="G66" s="13" t="s">
        <v>1641</v>
      </c>
      <c r="H66" s="14"/>
      <c r="I66" s="14"/>
      <c r="J66" s="289" t="str" cm="1">
        <f t="array" ref="J66">IF(ISBLANK(I66), IF(ISBLANK(H66), "N/A", _xlfn.IFS(K66="AS", H66+15, K66="NCR", H66+30, K66="submitted", H66+30, TRUE, "N/A")), _xlfn.IFS(K66="AS", I66+15, K66="NCR", I66+30, K66="submitted", I66+30, TRUE, "N/A"))</f>
        <v>N/A</v>
      </c>
      <c r="K66" s="9"/>
      <c r="L66" s="318"/>
      <c r="M66" s="772"/>
      <c r="N66" s="773"/>
      <c r="O66" s="773"/>
      <c r="P66" s="774"/>
    </row>
    <row r="67" spans="1:16" s="229" customFormat="1" ht="25.5" customHeight="1">
      <c r="A67" s="222"/>
      <c r="B67" s="414" t="s">
        <v>1619</v>
      </c>
      <c r="C67" s="424" t="s">
        <v>1620</v>
      </c>
      <c r="D67" s="340"/>
      <c r="E67" s="340" t="s">
        <v>1624</v>
      </c>
      <c r="F67" s="222" t="s">
        <v>480</v>
      </c>
      <c r="G67" s="404" t="s">
        <v>1642</v>
      </c>
      <c r="H67" s="423"/>
      <c r="I67" s="423"/>
      <c r="J67" s="289" t="str" cm="1">
        <f t="array" ref="J67">IF(ISBLANK(I67), IF(ISBLANK(H67), "N/A", _xlfn.IFS(K67="AS", H67+15, K67="NCR", H67+30, K67="submitted", H67+30, TRUE, "N/A")), _xlfn.IFS(K67="AS", I67+15, K67="NCR", I67+30, K67="submitted", I67+30, TRUE, "N/A"))</f>
        <v>N/A</v>
      </c>
      <c r="K67" s="222"/>
      <c r="L67" s="318"/>
      <c r="M67" s="772"/>
      <c r="N67" s="773"/>
      <c r="O67" s="773"/>
      <c r="P67" s="774"/>
    </row>
    <row r="68" spans="1:16" s="229" customFormat="1" ht="25.5" customHeight="1">
      <c r="A68" s="222"/>
      <c r="B68" s="414" t="s">
        <v>1619</v>
      </c>
      <c r="C68" s="424" t="s">
        <v>1620</v>
      </c>
      <c r="D68" s="340"/>
      <c r="E68" s="340" t="s">
        <v>158</v>
      </c>
      <c r="F68" s="222" t="s">
        <v>1182</v>
      </c>
      <c r="G68" s="404" t="s">
        <v>1643</v>
      </c>
      <c r="H68" s="423"/>
      <c r="I68" s="423"/>
      <c r="J68" s="289" t="str" cm="1">
        <f t="array" ref="J68">IF(ISBLANK(I68), IF(ISBLANK(H68), "N/A", _xlfn.IFS(K68="AS", H68+15, K68="NCR", H68+30, K68="submitted", H68+30, TRUE, "N/A")), _xlfn.IFS(K68="AS", I68+15, K68="NCR", I68+30, K68="submitted", I68+30, TRUE, "N/A"))</f>
        <v>N/A</v>
      </c>
      <c r="K68" s="222"/>
      <c r="L68" s="318"/>
      <c r="M68" s="772"/>
      <c r="N68" s="773"/>
      <c r="O68" s="773"/>
      <c r="P68" s="774"/>
    </row>
    <row r="69" spans="1:16" s="229" customFormat="1" ht="15" customHeight="1">
      <c r="A69" s="222"/>
      <c r="B69" s="414" t="s">
        <v>1619</v>
      </c>
      <c r="C69" s="424" t="s">
        <v>1620</v>
      </c>
      <c r="D69" s="340"/>
      <c r="E69" s="340" t="s">
        <v>158</v>
      </c>
      <c r="F69" s="222" t="s">
        <v>1184</v>
      </c>
      <c r="G69" s="223" t="s">
        <v>1644</v>
      </c>
      <c r="H69" s="423"/>
      <c r="I69" s="423"/>
      <c r="J69" s="289" t="str" cm="1">
        <f t="array" ref="J69">IF(ISBLANK(I69), IF(ISBLANK(H69), "N/A", _xlfn.IFS(K69="AS", H69+15, K69="NCR", H69+30, K69="submitted", H69+30, TRUE, "N/A")), _xlfn.IFS(K69="AS", I69+15, K69="NCR", I69+30, K69="submitted", I69+30, TRUE, "N/A"))</f>
        <v>N/A</v>
      </c>
      <c r="K69" s="222"/>
      <c r="L69" s="318"/>
      <c r="M69" s="772"/>
      <c r="N69" s="773"/>
      <c r="O69" s="773"/>
      <c r="P69" s="774"/>
    </row>
    <row r="70" spans="1:16" s="1" customFormat="1" ht="15" customHeight="1">
      <c r="A70" s="9"/>
      <c r="B70" s="48" t="s">
        <v>1619</v>
      </c>
      <c r="C70" s="6" t="s">
        <v>1620</v>
      </c>
      <c r="D70" s="39"/>
      <c r="E70" s="39"/>
      <c r="F70" s="9" t="s">
        <v>491</v>
      </c>
      <c r="G70" s="13" t="s">
        <v>1645</v>
      </c>
      <c r="H70" s="14"/>
      <c r="I70" s="14"/>
      <c r="J70" s="289" t="str" cm="1">
        <f t="array" ref="J70">IF(ISBLANK(I70), IF(ISBLANK(H70), "N/A", _xlfn.IFS(K70="AS", H70+15, K70="NCR", H70+30, K70="submitted", H70+30, TRUE, "N/A")), _xlfn.IFS(K70="AS", I70+15, K70="NCR", I70+30, K70="submitted", I70+30, TRUE, "N/A"))</f>
        <v>N/A</v>
      </c>
      <c r="K70" s="9"/>
      <c r="L70" s="318"/>
      <c r="M70" s="772"/>
      <c r="N70" s="773"/>
      <c r="O70" s="773"/>
      <c r="P70" s="774"/>
    </row>
    <row r="71" spans="1:16" s="229" customFormat="1" ht="51.75" customHeight="1">
      <c r="A71" s="222"/>
      <c r="B71" s="414" t="s">
        <v>1619</v>
      </c>
      <c r="C71" s="424" t="s">
        <v>1620</v>
      </c>
      <c r="D71" s="340"/>
      <c r="E71" s="340" t="s">
        <v>158</v>
      </c>
      <c r="F71" s="222" t="s">
        <v>1646</v>
      </c>
      <c r="G71" s="223" t="s">
        <v>1647</v>
      </c>
      <c r="H71" s="423"/>
      <c r="I71" s="423"/>
      <c r="J71" s="289" t="str" cm="1">
        <f t="array" ref="J71">IF(ISBLANK(I71), IF(ISBLANK(H71), "N/A", _xlfn.IFS(K71="AS", H71+15, K71="NCR", H71+30, K71="submitted", H71+30, TRUE, "N/A")), _xlfn.IFS(K71="AS", I71+15, K71="NCR", I71+30, K71="submitted", I71+30, TRUE, "N/A"))</f>
        <v>N/A</v>
      </c>
      <c r="K71" s="222"/>
      <c r="L71" s="318"/>
      <c r="M71" s="772"/>
      <c r="N71" s="773"/>
      <c r="O71" s="773"/>
      <c r="P71" s="774"/>
    </row>
    <row r="72" spans="1:16" s="1" customFormat="1" ht="51.75" customHeight="1">
      <c r="A72" s="9"/>
      <c r="B72" s="48" t="s">
        <v>1619</v>
      </c>
      <c r="C72" s="6" t="s">
        <v>1620</v>
      </c>
      <c r="D72" s="39"/>
      <c r="E72" s="39" t="s">
        <v>1526</v>
      </c>
      <c r="F72" s="9" t="s">
        <v>1156</v>
      </c>
      <c r="G72" s="13" t="s">
        <v>1648</v>
      </c>
      <c r="H72" s="14"/>
      <c r="I72" s="14"/>
      <c r="J72" s="289" t="str" cm="1">
        <f t="array" ref="J72">IF(ISBLANK(I72), IF(ISBLANK(H72), "N/A", _xlfn.IFS(K72="AS", H72+15, K72="NCR", H72+30, K72="submitted", H72+30, TRUE, "N/A")), _xlfn.IFS(K72="AS", I72+15, K72="NCR", I72+30, K72="submitted", I72+30, TRUE, "N/A"))</f>
        <v>N/A</v>
      </c>
      <c r="K72" s="9"/>
      <c r="L72" s="318"/>
      <c r="M72" s="772"/>
      <c r="N72" s="773"/>
      <c r="O72" s="773"/>
      <c r="P72" s="774"/>
    </row>
    <row r="73" spans="1:16" s="554" customFormat="1" ht="51.75" customHeight="1">
      <c r="A73" s="548" t="s">
        <v>1649</v>
      </c>
      <c r="B73" s="549" t="s">
        <v>1619</v>
      </c>
      <c r="C73" s="550" t="s">
        <v>1620</v>
      </c>
      <c r="D73" s="551" t="s">
        <v>1650</v>
      </c>
      <c r="E73" s="551" t="s">
        <v>1526</v>
      </c>
      <c r="F73" s="548" t="s">
        <v>1651</v>
      </c>
      <c r="G73" s="552" t="s">
        <v>1652</v>
      </c>
      <c r="H73" s="553">
        <v>45783</v>
      </c>
      <c r="I73" s="553">
        <v>45810</v>
      </c>
      <c r="J73" s="289" t="str" cm="1">
        <f t="array" ref="J73">IF(ISBLANK(I73), IF(ISBLANK(H73), "N/A", _xlfn.IFS(K73="AS", H73+15, K73="NCR", H73+30, K73="submitted", H73+30, TRUE, "N/A")), _xlfn.IFS(K73="AS", I73+15, K73="NCR", I73+30, K73="submitted", I73+30, TRUE, "N/A"))</f>
        <v>N/A</v>
      </c>
      <c r="K73" s="548" t="s">
        <v>146</v>
      </c>
      <c r="L73" s="318"/>
      <c r="M73" s="772"/>
      <c r="N73" s="773"/>
      <c r="O73" s="773"/>
      <c r="P73" s="774"/>
    </row>
    <row r="74" spans="1:16" s="1" customFormat="1" ht="15" customHeight="1">
      <c r="A74" s="9"/>
      <c r="B74" s="48" t="s">
        <v>1619</v>
      </c>
      <c r="C74" s="10" t="s">
        <v>1620</v>
      </c>
      <c r="D74" s="46"/>
      <c r="E74" s="46" t="s">
        <v>1526</v>
      </c>
      <c r="F74" s="9" t="s">
        <v>1653</v>
      </c>
      <c r="G74" s="13" t="s">
        <v>1654</v>
      </c>
      <c r="H74" s="14"/>
      <c r="I74" s="14"/>
      <c r="J74" s="289" t="str" cm="1">
        <f t="array" ref="J74">IF(ISBLANK(I74), IF(ISBLANK(H74), "N/A", _xlfn.IFS(K74="AS", H74+15, K74="NCR", H74+30, K74="submitted", H74+30, TRUE, "N/A")), _xlfn.IFS(K74="AS", I74+15, K74="NCR", I74+30, K74="submitted", I74+30, TRUE, "N/A"))</f>
        <v>N/A</v>
      </c>
      <c r="K74" s="9"/>
      <c r="L74" s="318"/>
      <c r="M74" s="772"/>
      <c r="N74" s="773"/>
      <c r="O74" s="773"/>
      <c r="P74" s="774"/>
    </row>
    <row r="75" spans="1:16" s="528" customFormat="1" ht="15" customHeight="1">
      <c r="A75" s="526" t="s">
        <v>1655</v>
      </c>
      <c r="B75" s="754">
        <v>3300</v>
      </c>
      <c r="C75" s="733" t="s">
        <v>1656</v>
      </c>
      <c r="D75" s="755" t="s">
        <v>1657</v>
      </c>
      <c r="E75" s="755" t="s">
        <v>54</v>
      </c>
      <c r="F75" s="526">
        <v>1.04</v>
      </c>
      <c r="G75" s="535" t="s">
        <v>1658</v>
      </c>
      <c r="H75" s="536">
        <v>45926</v>
      </c>
      <c r="I75" s="536"/>
      <c r="J75" s="756" cm="1">
        <f t="array" ref="J75">IF(ISBLANK(I75), IF(ISBLANK(H75), "N/A", _xlfn.IFS(K75="AS", H75+15, K75="NCR", H75+30, K75="submitted", H75+30, TRUE, "N/A")), _xlfn.IFS(K75="AS", I75+15, K75="NCR", I75+30, K75="submitted", I75+30, TRUE, "N/A"))</f>
        <v>45956</v>
      </c>
      <c r="K75" s="526" t="s">
        <v>154</v>
      </c>
      <c r="L75" s="531"/>
      <c r="M75" s="772"/>
      <c r="N75" s="773"/>
      <c r="O75" s="773"/>
      <c r="P75" s="774"/>
    </row>
    <row r="76" spans="1:16" s="5" customFormat="1" ht="15" customHeight="1">
      <c r="A76" s="4"/>
      <c r="B76" s="15" t="s">
        <v>1659</v>
      </c>
      <c r="C76" s="17" t="s">
        <v>1660</v>
      </c>
      <c r="D76" s="17"/>
      <c r="E76" s="17"/>
      <c r="F76" s="4" t="s">
        <v>144</v>
      </c>
      <c r="G76" s="17"/>
      <c r="H76" s="18"/>
      <c r="I76" s="18"/>
      <c r="J76" s="289" t="str" cm="1">
        <f t="array" ref="J76">IF(ISBLANK(I76), IF(ISBLANK(H76), "N/A", _xlfn.IFS(K76="AS", H76+15, K76="NCR", H76+30, K76="submitted", H76+30, TRUE, "N/A")), _xlfn.IFS(K76="AS", I76+15, K76="NCR", I76+30, K76="submitted", I76+30, TRUE, "N/A"))</f>
        <v>N/A</v>
      </c>
      <c r="K76" s="4"/>
      <c r="L76" s="318"/>
      <c r="M76" s="772"/>
      <c r="N76" s="773"/>
      <c r="O76" s="773"/>
      <c r="P76" s="774"/>
    </row>
    <row r="77" spans="1:16" s="1" customFormat="1" ht="15" customHeight="1">
      <c r="A77" s="9"/>
      <c r="B77" s="11" t="s">
        <v>1661</v>
      </c>
      <c r="C77" s="13" t="s">
        <v>1662</v>
      </c>
      <c r="D77" s="13"/>
      <c r="E77" s="13"/>
      <c r="F77" s="9" t="s">
        <v>210</v>
      </c>
      <c r="G77" s="13" t="s">
        <v>1498</v>
      </c>
      <c r="H77" s="14"/>
      <c r="I77" s="14"/>
      <c r="J77" s="289" t="str" cm="1">
        <f t="array" ref="J77">IF(ISBLANK(I77), IF(ISBLANK(H77), "N/A", _xlfn.IFS(K77="AS", H77+15, K77="NCR", H77+30, K77="submitted", H77+30, TRUE, "N/A")), _xlfn.IFS(K77="AS", I77+15, K77="NCR", I77+30, K77="submitted", I77+30, TRUE, "N/A"))</f>
        <v>N/A</v>
      </c>
      <c r="K77" s="9"/>
      <c r="L77" s="318"/>
      <c r="M77" s="772"/>
      <c r="N77" s="773"/>
      <c r="O77" s="773"/>
      <c r="P77" s="774"/>
    </row>
    <row r="78" spans="1:16" s="5" customFormat="1" ht="15" customHeight="1">
      <c r="A78" s="4"/>
      <c r="B78" s="54" t="s">
        <v>1663</v>
      </c>
      <c r="C78" s="55" t="s">
        <v>1664</v>
      </c>
      <c r="D78" s="34"/>
      <c r="E78" s="34" t="s">
        <v>1526</v>
      </c>
      <c r="F78" s="4" t="s">
        <v>272</v>
      </c>
      <c r="G78" s="17" t="s">
        <v>1665</v>
      </c>
      <c r="H78" s="18"/>
      <c r="I78" s="18"/>
      <c r="J78" s="289" t="str" cm="1">
        <f t="array" ref="J78">IF(ISBLANK(I78), IF(ISBLANK(H78), "N/A", _xlfn.IFS(K78="AS", H78+15, K78="NCR", H78+30, K78="submitted", H78+30, TRUE, "N/A")), _xlfn.IFS(K78="AS", I78+15, K78="NCR", I78+30, K78="submitted", I78+30, TRUE, "N/A"))</f>
        <v>N/A</v>
      </c>
      <c r="K78" s="4"/>
      <c r="L78" s="318"/>
      <c r="M78" s="772"/>
      <c r="N78" s="773"/>
      <c r="O78" s="773"/>
      <c r="P78" s="774"/>
    </row>
    <row r="79" spans="1:16" s="5" customFormat="1" ht="15" customHeight="1">
      <c r="A79" s="4"/>
      <c r="B79" s="54" t="s">
        <v>1663</v>
      </c>
      <c r="C79" s="55" t="s">
        <v>1664</v>
      </c>
      <c r="D79" s="35"/>
      <c r="E79" s="34" t="s">
        <v>1526</v>
      </c>
      <c r="F79" s="4" t="s">
        <v>259</v>
      </c>
      <c r="G79" s="17" t="s">
        <v>1666</v>
      </c>
      <c r="H79" s="18"/>
      <c r="I79" s="18"/>
      <c r="J79" s="289" t="str" cm="1">
        <f t="array" ref="J79">IF(ISBLANK(I79), IF(ISBLANK(H79), "N/A", _xlfn.IFS(K79="AS", H79+15, K79="NCR", H79+30, K79="submitted", H79+30, TRUE, "N/A")), _xlfn.IFS(K79="AS", I79+15, K79="NCR", I79+30, K79="submitted", I79+30, TRUE, "N/A"))</f>
        <v>N/A</v>
      </c>
      <c r="K79" s="4"/>
      <c r="L79" s="318"/>
      <c r="M79" s="772"/>
      <c r="N79" s="773"/>
      <c r="O79" s="773"/>
      <c r="P79" s="774"/>
    </row>
    <row r="80" spans="1:16" s="5" customFormat="1" ht="15" customHeight="1">
      <c r="A80" s="4"/>
      <c r="B80" s="54" t="s">
        <v>1663</v>
      </c>
      <c r="C80" s="55" t="s">
        <v>1664</v>
      </c>
      <c r="D80" s="35"/>
      <c r="E80" s="34" t="s">
        <v>1526</v>
      </c>
      <c r="F80" s="4" t="s">
        <v>220</v>
      </c>
      <c r="G80" s="17" t="s">
        <v>1667</v>
      </c>
      <c r="H80" s="18"/>
      <c r="I80" s="18"/>
      <c r="J80" s="289" t="str" cm="1">
        <f t="array" ref="J80">IF(ISBLANK(I80), IF(ISBLANK(H80), "N/A", _xlfn.IFS(K80="AS", H80+15, K80="NCR", H80+30, K80="submitted", H80+30, TRUE, "N/A")), _xlfn.IFS(K80="AS", I80+15, K80="NCR", I80+30, K80="submitted", I80+30, TRUE, "N/A"))</f>
        <v>N/A</v>
      </c>
      <c r="K80" s="4"/>
      <c r="L80" s="318"/>
      <c r="M80" s="772"/>
      <c r="N80" s="773"/>
      <c r="O80" s="773"/>
      <c r="P80" s="774"/>
    </row>
    <row r="81" spans="1:16" s="5" customFormat="1" ht="15" customHeight="1">
      <c r="A81" s="4"/>
      <c r="B81" s="54" t="s">
        <v>1663</v>
      </c>
      <c r="C81" s="55" t="s">
        <v>1664</v>
      </c>
      <c r="D81" s="35" t="s">
        <v>1668</v>
      </c>
      <c r="E81" s="34" t="s">
        <v>1526</v>
      </c>
      <c r="F81" s="4" t="s">
        <v>321</v>
      </c>
      <c r="G81" s="17" t="s">
        <v>1669</v>
      </c>
      <c r="H81" s="18"/>
      <c r="I81" s="18" t="s">
        <v>1670</v>
      </c>
      <c r="J81" s="289" t="str" cm="1">
        <f t="array" ref="J81">IF(ISBLANK(I81), IF(ISBLANK(H81), "N/A", _xlfn.IFS(K81="AS", H81+15, K81="NCR", H81+30, K81="submitted", H81+30, TRUE, "N/A")), _xlfn.IFS(K81="AS", I81+15, K81="NCR", I81+30, K81="submitted", I81+30, TRUE, "N/A"))</f>
        <v>N/A</v>
      </c>
      <c r="K81" s="4"/>
      <c r="L81" s="318"/>
      <c r="M81" s="772"/>
      <c r="N81" s="773"/>
      <c r="O81" s="773"/>
      <c r="P81" s="774"/>
    </row>
    <row r="82" spans="1:16" s="5" customFormat="1" ht="15" customHeight="1">
      <c r="A82" s="4"/>
      <c r="B82" s="54" t="s">
        <v>1663</v>
      </c>
      <c r="C82" s="55" t="s">
        <v>1664</v>
      </c>
      <c r="D82" s="35"/>
      <c r="E82" s="34" t="s">
        <v>1632</v>
      </c>
      <c r="F82" s="4" t="s">
        <v>592</v>
      </c>
      <c r="G82" s="17" t="s">
        <v>1671</v>
      </c>
      <c r="H82" s="18"/>
      <c r="I82" s="18"/>
      <c r="J82" s="289" t="str" cm="1">
        <f t="array" ref="J82">IF(ISBLANK(I82), IF(ISBLANK(H82), "N/A", _xlfn.IFS(K82="AS", H82+15, K82="NCR", H82+30, K82="submitted", H82+30, TRUE, "N/A")), _xlfn.IFS(K82="AS", I82+15, K82="NCR", I82+30, K82="submitted", I82+30, TRUE, "N/A"))</f>
        <v>N/A</v>
      </c>
      <c r="K82" s="4"/>
      <c r="L82" s="318"/>
      <c r="M82" s="772"/>
      <c r="N82" s="773"/>
      <c r="O82" s="773"/>
      <c r="P82" s="774"/>
    </row>
    <row r="83" spans="1:16" s="5" customFormat="1" ht="15" customHeight="1">
      <c r="A83" s="4"/>
      <c r="B83" s="54" t="s">
        <v>1663</v>
      </c>
      <c r="C83" s="55" t="s">
        <v>1664</v>
      </c>
      <c r="D83" s="35"/>
      <c r="E83" s="34" t="s">
        <v>1526</v>
      </c>
      <c r="F83" s="4" t="s">
        <v>364</v>
      </c>
      <c r="G83" s="17" t="s">
        <v>1672</v>
      </c>
      <c r="H83" s="18"/>
      <c r="I83" s="18"/>
      <c r="J83" s="289" t="str" cm="1">
        <f t="array" ref="J83">IF(ISBLANK(I83), IF(ISBLANK(H83), "N/A", _xlfn.IFS(K83="AS", H83+15, K83="NCR", H83+30, K83="submitted", H83+30, TRUE, "N/A")), _xlfn.IFS(K83="AS", I83+15, K83="NCR", I83+30, K83="submitted", I83+30, TRUE, "N/A"))</f>
        <v>N/A</v>
      </c>
      <c r="K83" s="4"/>
      <c r="L83" s="318"/>
      <c r="M83" s="772"/>
      <c r="N83" s="773"/>
      <c r="O83" s="773"/>
      <c r="P83" s="774"/>
    </row>
    <row r="84" spans="1:16" s="5" customFormat="1" ht="15" customHeight="1">
      <c r="A84" s="4"/>
      <c r="B84" s="54" t="s">
        <v>1663</v>
      </c>
      <c r="C84" s="55" t="s">
        <v>1664</v>
      </c>
      <c r="D84" s="36"/>
      <c r="E84" s="36" t="s">
        <v>1673</v>
      </c>
      <c r="F84" s="4" t="s">
        <v>366</v>
      </c>
      <c r="G84" s="17" t="s">
        <v>1674</v>
      </c>
      <c r="H84" s="18"/>
      <c r="I84" s="18"/>
      <c r="J84" s="289" t="str" cm="1">
        <f t="array" ref="J84">IF(ISBLANK(I84), IF(ISBLANK(H84), "N/A", _xlfn.IFS(K84="AS", H84+15, K84="NCR", H84+30, K84="submitted", H84+30, TRUE, "N/A")), _xlfn.IFS(K84="AS", I84+15, K84="NCR", I84+30, K84="submitted", I84+30, TRUE, "N/A"))</f>
        <v>N/A</v>
      </c>
      <c r="K84" s="4"/>
      <c r="L84" s="318"/>
      <c r="M84" s="772"/>
      <c r="N84" s="773"/>
      <c r="O84" s="773"/>
      <c r="P84" s="774"/>
    </row>
    <row r="85" spans="1:16" s="1" customFormat="1" ht="15" customHeight="1">
      <c r="A85" s="9"/>
      <c r="B85" s="790" t="s">
        <v>1675</v>
      </c>
      <c r="C85" s="792" t="s">
        <v>1676</v>
      </c>
      <c r="D85" s="37"/>
      <c r="E85" s="37" t="s">
        <v>1624</v>
      </c>
      <c r="F85" s="9" t="s">
        <v>205</v>
      </c>
      <c r="G85" s="13" t="s">
        <v>476</v>
      </c>
      <c r="H85" s="14"/>
      <c r="I85" s="14"/>
      <c r="J85" s="289" t="str" cm="1">
        <f t="array" ref="J85">IF(ISBLANK(I85), IF(ISBLANK(H85), "N/A", _xlfn.IFS(K85="AS", H85+15, K85="NCR", H85+30, K85="submitted", H85+30, TRUE, "N/A")), _xlfn.IFS(K85="AS", I85+15, K85="NCR", I85+30, K85="submitted", I85+30, TRUE, "N/A"))</f>
        <v>N/A</v>
      </c>
      <c r="K85" s="9"/>
      <c r="L85" s="318"/>
      <c r="M85" s="772"/>
      <c r="N85" s="773"/>
      <c r="O85" s="773"/>
      <c r="P85" s="774"/>
    </row>
    <row r="86" spans="1:16" s="1" customFormat="1" ht="15" customHeight="1">
      <c r="A86" s="9"/>
      <c r="B86" s="791"/>
      <c r="C86" s="793"/>
      <c r="D86" s="39"/>
      <c r="E86" s="39" t="s">
        <v>1624</v>
      </c>
      <c r="F86" s="9" t="s">
        <v>275</v>
      </c>
      <c r="G86" s="13" t="s">
        <v>1677</v>
      </c>
      <c r="H86" s="14"/>
      <c r="I86" s="14"/>
      <c r="J86" s="289" t="str" cm="1">
        <f t="array" ref="J86">IF(ISBLANK(I86), IF(ISBLANK(H86), "N/A", _xlfn.IFS(K86="AS", H86+15, K86="NCR", H86+30, K86="submitted", H86+30, TRUE, "N/A")), _xlfn.IFS(K86="AS", I86+15, K86="NCR", I86+30, K86="submitted", I86+30, TRUE, "N/A"))</f>
        <v>N/A</v>
      </c>
      <c r="K86" s="9"/>
      <c r="L86" s="318"/>
      <c r="M86" s="772"/>
      <c r="N86" s="773"/>
      <c r="O86" s="773"/>
      <c r="P86" s="774"/>
    </row>
    <row r="87" spans="1:16" s="1" customFormat="1" ht="15" customHeight="1">
      <c r="A87" s="9"/>
      <c r="B87" s="791"/>
      <c r="C87" s="793"/>
      <c r="D87" s="39"/>
      <c r="E87" s="39" t="s">
        <v>1624</v>
      </c>
      <c r="F87" s="9" t="s">
        <v>263</v>
      </c>
      <c r="G87" s="13" t="s">
        <v>1678</v>
      </c>
      <c r="H87" s="14"/>
      <c r="I87" s="14"/>
      <c r="J87" s="289" t="str" cm="1">
        <f t="array" ref="J87">IF(ISBLANK(I87), IF(ISBLANK(H87), "N/A", _xlfn.IFS(K87="AS", H87+15, K87="NCR", H87+30, K87="submitted", H87+30, TRUE, "N/A")), _xlfn.IFS(K87="AS", I87+15, K87="NCR", I87+30, K87="submitted", I87+30, TRUE, "N/A"))</f>
        <v>N/A</v>
      </c>
      <c r="K87" s="9"/>
      <c r="L87" s="318"/>
      <c r="M87" s="772"/>
      <c r="N87" s="773"/>
      <c r="O87" s="773"/>
      <c r="P87" s="774"/>
    </row>
    <row r="88" spans="1:16" s="1" customFormat="1" ht="15" customHeight="1">
      <c r="A88" s="9"/>
      <c r="B88" s="791"/>
      <c r="C88" s="793"/>
      <c r="D88" s="39"/>
      <c r="E88" s="39" t="s">
        <v>1624</v>
      </c>
      <c r="F88" s="9" t="s">
        <v>253</v>
      </c>
      <c r="G88" s="13" t="s">
        <v>1679</v>
      </c>
      <c r="H88" s="14"/>
      <c r="I88" s="14"/>
      <c r="J88" s="289" t="str" cm="1">
        <f t="array" ref="J88">IF(ISBLANK(I88), IF(ISBLANK(H88), "N/A", _xlfn.IFS(K88="AS", H88+15, K88="NCR", H88+30, K88="submitted", H88+30, TRUE, "N/A")), _xlfn.IFS(K88="AS", I88+15, K88="NCR", I88+30, K88="submitted", I88+30, TRUE, "N/A"))</f>
        <v>N/A</v>
      </c>
      <c r="K88" s="9"/>
      <c r="L88" s="318"/>
      <c r="M88" s="772"/>
      <c r="N88" s="773"/>
      <c r="O88" s="773"/>
      <c r="P88" s="774"/>
    </row>
    <row r="89" spans="1:16" s="1" customFormat="1" ht="40.5" customHeight="1">
      <c r="A89" s="9"/>
      <c r="B89" s="777"/>
      <c r="C89" s="779"/>
      <c r="D89" s="46"/>
      <c r="E89" s="46" t="s">
        <v>1624</v>
      </c>
      <c r="F89" s="9" t="s">
        <v>344</v>
      </c>
      <c r="G89" s="7" t="s">
        <v>1680</v>
      </c>
      <c r="H89" s="14"/>
      <c r="I89" s="14"/>
      <c r="J89" s="289" t="str" cm="1">
        <f t="array" ref="J89">IF(ISBLANK(I89), IF(ISBLANK(H89), "N/A", _xlfn.IFS(K89="AS", H89+15, K89="NCR", H89+30, K89="submitted", H89+30, TRUE, "N/A")), _xlfn.IFS(K89="AS", I89+15, K89="NCR", I89+30, K89="submitted", I89+30, TRUE, "N/A"))</f>
        <v>N/A</v>
      </c>
      <c r="K89" s="9"/>
      <c r="L89" s="318"/>
      <c r="M89" s="772"/>
      <c r="N89" s="773"/>
      <c r="O89" s="773"/>
      <c r="P89" s="774"/>
    </row>
    <row r="90" spans="1:16" s="138" customFormat="1" ht="45" customHeight="1">
      <c r="A90" s="152" t="s">
        <v>1681</v>
      </c>
      <c r="B90" s="170" t="s">
        <v>1682</v>
      </c>
      <c r="C90" s="261" t="s">
        <v>1683</v>
      </c>
      <c r="D90" s="169" t="s">
        <v>1684</v>
      </c>
      <c r="E90" s="169" t="s">
        <v>1526</v>
      </c>
      <c r="F90" s="152" t="s">
        <v>205</v>
      </c>
      <c r="G90" s="154" t="s">
        <v>1685</v>
      </c>
      <c r="H90" s="262">
        <v>45786</v>
      </c>
      <c r="I90" s="262">
        <v>45791</v>
      </c>
      <c r="J90" s="289" t="str" cm="1">
        <f t="array" ref="J90">IF(ISBLANK(I90), IF(ISBLANK(H90), "N/A", _xlfn.IFS(K90="AS", H90+15, K90="NCR", H90+30, K90="submitted", H90+30, TRUE, "N/A")), _xlfn.IFS(K90="AS", I90+15, K90="NCR", I90+30, K90="submitted", I90+30, TRUE, "N/A"))</f>
        <v>N/A</v>
      </c>
      <c r="K90" s="152" t="s">
        <v>150</v>
      </c>
      <c r="L90" s="318"/>
      <c r="M90" s="772"/>
      <c r="N90" s="773"/>
      <c r="O90" s="773"/>
      <c r="P90" s="774"/>
    </row>
    <row r="91" spans="1:16" s="5" customFormat="1" ht="15" customHeight="1">
      <c r="A91" s="4"/>
      <c r="B91" s="56" t="s">
        <v>1682</v>
      </c>
      <c r="C91" s="57" t="s">
        <v>1683</v>
      </c>
      <c r="D91" s="35"/>
      <c r="E91" s="35" t="s">
        <v>1624</v>
      </c>
      <c r="F91" s="4" t="s">
        <v>275</v>
      </c>
      <c r="G91" s="17" t="s">
        <v>656</v>
      </c>
      <c r="H91" s="18"/>
      <c r="I91" s="18"/>
      <c r="J91" s="289" t="str" cm="1">
        <f t="array" ref="J91">IF(ISBLANK(I91), IF(ISBLANK(H91), "N/A", _xlfn.IFS(K91="AS", H91+15, K91="NCR", H91+30, K91="submitted", H91+30, TRUE, "N/A")), _xlfn.IFS(K91="AS", I91+15, K91="NCR", I91+30, K91="submitted", I91+30, TRUE, "N/A"))</f>
        <v>N/A</v>
      </c>
      <c r="K91" s="4"/>
      <c r="L91" s="318"/>
      <c r="M91" s="772"/>
      <c r="N91" s="773"/>
      <c r="O91" s="773"/>
      <c r="P91" s="774"/>
    </row>
    <row r="92" spans="1:16" s="5" customFormat="1" ht="15" customHeight="1">
      <c r="A92" s="4"/>
      <c r="B92" s="58" t="s">
        <v>1682</v>
      </c>
      <c r="C92" s="31" t="s">
        <v>1683</v>
      </c>
      <c r="D92" s="36"/>
      <c r="E92" s="36" t="s">
        <v>1624</v>
      </c>
      <c r="F92" s="4" t="s">
        <v>263</v>
      </c>
      <c r="G92" s="17" t="s">
        <v>1686</v>
      </c>
      <c r="H92" s="18"/>
      <c r="I92" s="18"/>
      <c r="J92" s="289" t="str" cm="1">
        <f t="array" ref="J92">IF(ISBLANK(I92), IF(ISBLANK(H92), "N/A", _xlfn.IFS(K92="AS", H92+15, K92="NCR", H92+30, K92="submitted", H92+30, TRUE, "N/A")), _xlfn.IFS(K92="AS", I92+15, K92="NCR", I92+30, K92="submitted", I92+30, TRUE, "N/A"))</f>
        <v>N/A</v>
      </c>
      <c r="K92" s="4"/>
      <c r="L92" s="318"/>
      <c r="M92" s="772"/>
      <c r="N92" s="773"/>
      <c r="O92" s="773"/>
      <c r="P92" s="774"/>
    </row>
    <row r="93" spans="1:16" s="267" customFormat="1" ht="15" customHeight="1">
      <c r="A93" s="263" t="s">
        <v>17</v>
      </c>
      <c r="B93" s="342" t="s">
        <v>1687</v>
      </c>
      <c r="C93" s="343" t="s">
        <v>1688</v>
      </c>
      <c r="D93" s="268" t="s">
        <v>18</v>
      </c>
      <c r="E93" s="268" t="s">
        <v>1526</v>
      </c>
      <c r="F93" s="263" t="s">
        <v>275</v>
      </c>
      <c r="G93" s="265" t="s">
        <v>229</v>
      </c>
      <c r="H93" s="266">
        <v>45784</v>
      </c>
      <c r="I93" s="266">
        <v>45790</v>
      </c>
      <c r="J93" s="289" cm="1">
        <f t="array" ref="J93">IF(ISBLANK(I93), IF(ISBLANK(H93), "N/A", _xlfn.IFS(K93="AS", H93+15, K93="NCR", H93+30, K93="submitted", H93+30, TRUE, "N/A")), _xlfn.IFS(K93="AS", I93+15, K93="NCR", I93+30, K93="submitted", I93+30, TRUE, "N/A"))</f>
        <v>45820</v>
      </c>
      <c r="K93" s="263" t="s">
        <v>207</v>
      </c>
      <c r="L93" s="318"/>
      <c r="M93" s="772"/>
      <c r="N93" s="773"/>
      <c r="O93" s="773"/>
      <c r="P93" s="774"/>
    </row>
    <row r="94" spans="1:16" s="1" customFormat="1" ht="15" customHeight="1">
      <c r="A94" s="263" t="s">
        <v>17</v>
      </c>
      <c r="B94" s="47" t="s">
        <v>1687</v>
      </c>
      <c r="C94" s="2" t="s">
        <v>1688</v>
      </c>
      <c r="D94" s="39"/>
      <c r="E94" s="39" t="s">
        <v>158</v>
      </c>
      <c r="F94" s="38" t="s">
        <v>321</v>
      </c>
      <c r="G94" s="37" t="s">
        <v>1689</v>
      </c>
      <c r="H94" s="266">
        <v>45784</v>
      </c>
      <c r="I94" s="266">
        <v>45790</v>
      </c>
      <c r="J94" s="289" cm="1">
        <f t="array" ref="J94">IF(ISBLANK(I94), IF(ISBLANK(H94), "N/A", _xlfn.IFS(K94="AS", H94+15, K94="NCR", H94+30, K94="submitted", H94+30, TRUE, "N/A")), _xlfn.IFS(K94="AS", I94+15, K94="NCR", I94+30, K94="submitted", I94+30, TRUE, "N/A"))</f>
        <v>45820</v>
      </c>
      <c r="K94" s="263" t="s">
        <v>207</v>
      </c>
      <c r="L94" s="318"/>
      <c r="M94" s="772"/>
      <c r="N94" s="773"/>
      <c r="O94" s="773"/>
      <c r="P94" s="774"/>
    </row>
    <row r="95" spans="1:16" s="1" customFormat="1" ht="15" customHeight="1">
      <c r="A95" s="263" t="s">
        <v>17</v>
      </c>
      <c r="B95" s="47" t="s">
        <v>1687</v>
      </c>
      <c r="C95" s="2" t="s">
        <v>1688</v>
      </c>
      <c r="D95" s="39"/>
      <c r="E95" s="39" t="s">
        <v>158</v>
      </c>
      <c r="F95" s="38" t="s">
        <v>592</v>
      </c>
      <c r="G95" s="37" t="s">
        <v>1690</v>
      </c>
      <c r="H95" s="266">
        <v>45784</v>
      </c>
      <c r="I95" s="266">
        <v>45790</v>
      </c>
      <c r="J95" s="289" cm="1">
        <f t="array" ref="J95">IF(ISBLANK(I95), IF(ISBLANK(H95), "N/A", _xlfn.IFS(K95="AS", H95+15, K95="NCR", H95+30, K95="submitted", H95+30, TRUE, "N/A")), _xlfn.IFS(K95="AS", I95+15, K95="NCR", I95+30, K95="submitted", I95+30, TRUE, "N/A"))</f>
        <v>45820</v>
      </c>
      <c r="K95" s="263" t="s">
        <v>207</v>
      </c>
      <c r="L95" s="318"/>
      <c r="M95" s="772"/>
      <c r="N95" s="773"/>
      <c r="O95" s="773"/>
      <c r="P95" s="774"/>
    </row>
    <row r="96" spans="1:16" s="1" customFormat="1" ht="15" customHeight="1">
      <c r="A96" s="263" t="s">
        <v>17</v>
      </c>
      <c r="B96" s="47" t="s">
        <v>1687</v>
      </c>
      <c r="C96" s="2" t="s">
        <v>1688</v>
      </c>
      <c r="D96" s="39"/>
      <c r="E96" s="39" t="s">
        <v>1532</v>
      </c>
      <c r="F96" s="38" t="s">
        <v>364</v>
      </c>
      <c r="G96" s="40" t="s">
        <v>1691</v>
      </c>
      <c r="H96" s="266">
        <v>45784</v>
      </c>
      <c r="I96" s="266">
        <v>45790</v>
      </c>
      <c r="J96" s="289" cm="1">
        <f t="array" ref="J96">IF(ISBLANK(I96), IF(ISBLANK(H96), "N/A", _xlfn.IFS(K96="AS", H96+15, K96="NCR", H96+30, K96="submitted", H96+30, TRUE, "N/A")), _xlfn.IFS(K96="AS", I96+15, K96="NCR", I96+30, K96="submitted", I96+30, TRUE, "N/A"))</f>
        <v>45820</v>
      </c>
      <c r="K96" s="263" t="s">
        <v>207</v>
      </c>
      <c r="L96" s="318"/>
      <c r="M96" s="772"/>
      <c r="N96" s="773"/>
      <c r="O96" s="773"/>
      <c r="P96" s="774"/>
    </row>
    <row r="97" spans="1:16" s="5" customFormat="1" ht="27" customHeight="1">
      <c r="A97" s="298" t="s">
        <v>1692</v>
      </c>
      <c r="B97" s="170" t="s">
        <v>1693</v>
      </c>
      <c r="C97" s="600" t="s">
        <v>1694</v>
      </c>
      <c r="D97" s="532"/>
      <c r="E97" s="532" t="s">
        <v>1526</v>
      </c>
      <c r="F97" s="298" t="s">
        <v>275</v>
      </c>
      <c r="G97" s="532" t="s">
        <v>1695</v>
      </c>
      <c r="H97" s="601">
        <v>45908</v>
      </c>
      <c r="I97" s="601">
        <v>45909</v>
      </c>
      <c r="J97" s="289" t="str" cm="1">
        <f t="array" ref="J97">IF(ISBLANK(I97), IF(ISBLANK(H97), "N/A", _xlfn.IFS(K97="AS", H97+15, K97="NCR", H97+30, K97="submitted", H97+30, TRUE, "N/A")), _xlfn.IFS(K97="AS", I97+15, K97="NCR", I97+30, K97="submitted", I97+30, TRUE, "N/A"))</f>
        <v>N/A</v>
      </c>
      <c r="K97" s="298" t="s">
        <v>150</v>
      </c>
      <c r="L97" s="318"/>
      <c r="M97" s="772"/>
      <c r="N97" s="773"/>
      <c r="O97" s="773"/>
      <c r="P97" s="774"/>
    </row>
    <row r="98" spans="1:16" s="5" customFormat="1" ht="24" customHeight="1">
      <c r="A98" s="19"/>
      <c r="B98" s="54" t="s">
        <v>1693</v>
      </c>
      <c r="C98" s="425" t="s">
        <v>1694</v>
      </c>
      <c r="D98" s="59"/>
      <c r="E98" s="79" t="s">
        <v>158</v>
      </c>
      <c r="F98" s="99" t="s">
        <v>321</v>
      </c>
      <c r="G98" s="53" t="s">
        <v>1689</v>
      </c>
      <c r="H98" s="30"/>
      <c r="I98" s="30"/>
      <c r="J98" s="289" t="str" cm="1">
        <f t="array" ref="J98">IF(ISBLANK(I98), IF(ISBLANK(H98), "N/A", _xlfn.IFS(K98="AS", H98+15, K98="NCR", H98+30, K98="submitted", H98+30, TRUE, "N/A")), _xlfn.IFS(K98="AS", I98+15, K98="NCR", I98+30, K98="submitted", I98+30, TRUE, "N/A"))</f>
        <v>N/A</v>
      </c>
      <c r="K98" s="19"/>
      <c r="L98" s="318"/>
      <c r="M98" s="772"/>
      <c r="N98" s="773"/>
      <c r="O98" s="773"/>
      <c r="P98" s="774"/>
    </row>
    <row r="99" spans="1:16" s="5" customFormat="1" ht="24" customHeight="1">
      <c r="A99" s="19"/>
      <c r="B99" s="54" t="s">
        <v>1693</v>
      </c>
      <c r="C99" s="425" t="s">
        <v>1694</v>
      </c>
      <c r="D99" s="59"/>
      <c r="E99" s="79" t="s">
        <v>158</v>
      </c>
      <c r="F99" s="99" t="s">
        <v>592</v>
      </c>
      <c r="G99" s="53" t="s">
        <v>1690</v>
      </c>
      <c r="H99" s="30"/>
      <c r="I99" s="30"/>
      <c r="J99" s="289" t="str" cm="1">
        <f t="array" ref="J99">IF(ISBLANK(I99), IF(ISBLANK(H99), "N/A", _xlfn.IFS(K99="AS", H99+15, K99="NCR", H99+30, K99="submitted", H99+30, TRUE, "N/A")), _xlfn.IFS(K99="AS", I99+15, K99="NCR", I99+30, K99="submitted", I99+30, TRUE, "N/A"))</f>
        <v>N/A</v>
      </c>
      <c r="K99" s="19"/>
      <c r="L99" s="318"/>
      <c r="M99" s="772"/>
      <c r="N99" s="773"/>
      <c r="O99" s="773"/>
      <c r="P99" s="774"/>
    </row>
    <row r="100" spans="1:16" s="45" customFormat="1" ht="27" customHeight="1">
      <c r="A100" s="42"/>
      <c r="B100" s="54" t="s">
        <v>1693</v>
      </c>
      <c r="C100" s="425" t="s">
        <v>1694</v>
      </c>
      <c r="D100" s="60"/>
      <c r="E100" s="434" t="s">
        <v>1632</v>
      </c>
      <c r="F100" s="82" t="s">
        <v>1696</v>
      </c>
      <c r="G100" s="61" t="s">
        <v>1697</v>
      </c>
      <c r="H100" s="44"/>
      <c r="I100" s="44"/>
      <c r="J100" s="289" t="str" cm="1">
        <f t="array" ref="J100">IF(ISBLANK(I100), IF(ISBLANK(H100), "N/A", _xlfn.IFS(K100="AS", H100+15, K100="NCR", H100+30, K100="submitted", H100+30, TRUE, "N/A")), _xlfn.IFS(K100="AS", I100+15, K100="NCR", I100+30, K100="submitted", I100+30, TRUE, "N/A"))</f>
        <v>N/A</v>
      </c>
      <c r="K100" s="42"/>
      <c r="L100" s="318"/>
      <c r="M100" s="772"/>
      <c r="N100" s="773"/>
      <c r="O100" s="773"/>
      <c r="P100" s="774"/>
    </row>
    <row r="101" spans="1:16" s="138" customFormat="1" ht="40.5" customHeight="1">
      <c r="A101" s="133" t="s">
        <v>32</v>
      </c>
      <c r="B101" s="519" t="s">
        <v>1698</v>
      </c>
      <c r="C101" s="520" t="s">
        <v>1699</v>
      </c>
      <c r="D101" s="521" t="s">
        <v>33</v>
      </c>
      <c r="E101" s="521" t="s">
        <v>1526</v>
      </c>
      <c r="F101" s="133" t="s">
        <v>224</v>
      </c>
      <c r="G101" s="523" t="s">
        <v>1700</v>
      </c>
      <c r="H101" s="522">
        <v>45834</v>
      </c>
      <c r="I101" s="522">
        <v>45894</v>
      </c>
      <c r="J101" s="289" t="str" cm="1">
        <f t="array" ref="J101">IF(ISBLANK(I101), IF(ISBLANK(H101), "N/A", _xlfn.IFS(K101="AS", H101+15, K101="NCR", H101+30, K101="submitted", H101+30, TRUE, "N/A")), _xlfn.IFS(K101="AS", I101+15, K101="NCR", I101+30, K101="submitted", I101+30, TRUE, "N/A"))</f>
        <v>N/A</v>
      </c>
      <c r="K101" s="133" t="s">
        <v>645</v>
      </c>
      <c r="L101" s="318"/>
      <c r="M101" s="772"/>
      <c r="N101" s="773"/>
      <c r="O101" s="773"/>
      <c r="P101" s="774"/>
    </row>
    <row r="102" spans="1:16" s="138" customFormat="1" ht="27" customHeight="1">
      <c r="A102" s="133" t="s">
        <v>32</v>
      </c>
      <c r="B102" s="519" t="s">
        <v>1698</v>
      </c>
      <c r="C102" s="520" t="s">
        <v>1699</v>
      </c>
      <c r="D102" s="521" t="s">
        <v>33</v>
      </c>
      <c r="E102" s="521" t="s">
        <v>1526</v>
      </c>
      <c r="F102" s="133" t="s">
        <v>226</v>
      </c>
      <c r="G102" s="137" t="s">
        <v>1701</v>
      </c>
      <c r="H102" s="522">
        <v>45834</v>
      </c>
      <c r="I102" s="522">
        <v>45894</v>
      </c>
      <c r="J102" s="289" t="str" cm="1">
        <f t="array" ref="J102">IF(ISBLANK(I102), IF(ISBLANK(H102), "N/A", _xlfn.IFS(K102="AS", H102+15, K102="NCR", H102+30, K102="submitted", H102+30, TRUE, "N/A")), _xlfn.IFS(K102="AS", I102+15, K102="NCR", I102+30, K102="submitted", I102+30, TRUE, "N/A"))</f>
        <v>N/A</v>
      </c>
      <c r="K102" s="133" t="s">
        <v>645</v>
      </c>
      <c r="L102" s="318"/>
      <c r="M102" s="772"/>
      <c r="N102" s="773"/>
      <c r="O102" s="773"/>
      <c r="P102" s="774"/>
    </row>
    <row r="103" spans="1:16" s="138" customFormat="1" ht="27" customHeight="1">
      <c r="A103" s="133" t="s">
        <v>32</v>
      </c>
      <c r="B103" s="519" t="s">
        <v>1698</v>
      </c>
      <c r="C103" s="520" t="s">
        <v>1699</v>
      </c>
      <c r="D103" s="521" t="s">
        <v>33</v>
      </c>
      <c r="E103" s="521" t="s">
        <v>1526</v>
      </c>
      <c r="F103" s="133" t="s">
        <v>1545</v>
      </c>
      <c r="G103" s="137" t="s">
        <v>1702</v>
      </c>
      <c r="H103" s="522">
        <v>45834</v>
      </c>
      <c r="I103" s="522">
        <v>45894</v>
      </c>
      <c r="J103" s="289" t="str" cm="1">
        <f t="array" ref="J103">IF(ISBLANK(I103), IF(ISBLANK(H103), "N/A", _xlfn.IFS(K103="AS", H103+15, K103="NCR", H103+30, K103="submitted", H103+30, TRUE, "N/A")), _xlfn.IFS(K103="AS", I103+15, K103="NCR", I103+30, K103="submitted", I103+30, TRUE, "N/A"))</f>
        <v>N/A</v>
      </c>
      <c r="K103" s="133" t="s">
        <v>645</v>
      </c>
      <c r="L103" s="318"/>
      <c r="M103" s="772"/>
      <c r="N103" s="773"/>
      <c r="O103" s="773"/>
      <c r="P103" s="774"/>
    </row>
    <row r="104" spans="1:16" s="1" customFormat="1" ht="36.75" customHeight="1">
      <c r="A104" s="21"/>
      <c r="B104" s="363" t="s">
        <v>1698</v>
      </c>
      <c r="C104" s="362" t="s">
        <v>1699</v>
      </c>
      <c r="D104" s="50"/>
      <c r="E104" s="435" t="s">
        <v>1532</v>
      </c>
      <c r="F104" s="436" t="s">
        <v>228</v>
      </c>
      <c r="G104" s="52" t="s">
        <v>1703</v>
      </c>
      <c r="H104" s="51"/>
      <c r="I104" s="51"/>
      <c r="J104" s="289" t="str" cm="1">
        <f t="array" ref="J104">IF(ISBLANK(I104), IF(ISBLANK(H104), "N/A", _xlfn.IFS(K104="AS", H104+15, K104="NCR", H104+30, K104="submitted", H104+30, TRUE, "N/A")), _xlfn.IFS(K104="AS", I104+15, K104="NCR", I104+30, K104="submitted", I104+30, TRUE, "N/A"))</f>
        <v>N/A</v>
      </c>
      <c r="K104" s="21"/>
      <c r="L104" s="318"/>
      <c r="M104" s="772"/>
      <c r="N104" s="773"/>
      <c r="O104" s="773"/>
      <c r="P104" s="774"/>
    </row>
    <row r="105" spans="1:16" s="1" customFormat="1" ht="27" customHeight="1">
      <c r="A105" s="21"/>
      <c r="B105" s="363" t="s">
        <v>1698</v>
      </c>
      <c r="C105" s="362" t="s">
        <v>1699</v>
      </c>
      <c r="D105" s="52"/>
      <c r="E105" s="435" t="s">
        <v>1532</v>
      </c>
      <c r="F105" s="21" t="s">
        <v>230</v>
      </c>
      <c r="G105" s="52" t="s">
        <v>1704</v>
      </c>
      <c r="H105" s="51"/>
      <c r="I105" s="51"/>
      <c r="J105" s="289" t="str" cm="1">
        <f t="array" ref="J105">IF(ISBLANK(I105), IF(ISBLANK(H105), "N/A", _xlfn.IFS(K105="AS", H105+15, K105="NCR", H105+30, K105="submitted", H105+30, TRUE, "N/A")), _xlfn.IFS(K105="AS", I105+15, K105="NCR", I105+30, K105="submitted", I105+30, TRUE, "N/A"))</f>
        <v>N/A</v>
      </c>
      <c r="K105" s="21"/>
      <c r="L105" s="318"/>
      <c r="M105" s="772"/>
      <c r="N105" s="773"/>
      <c r="O105" s="773"/>
      <c r="P105" s="774"/>
    </row>
    <row r="106" spans="1:16" s="5" customFormat="1" ht="27" customHeight="1">
      <c r="A106" s="4"/>
      <c r="B106" s="54" t="s">
        <v>1705</v>
      </c>
      <c r="C106" s="55" t="s">
        <v>1706</v>
      </c>
      <c r="D106" s="34"/>
      <c r="E106" s="34" t="s">
        <v>1526</v>
      </c>
      <c r="F106" s="4" t="s">
        <v>1707</v>
      </c>
      <c r="G106" s="3" t="s">
        <v>1708</v>
      </c>
      <c r="H106" s="18"/>
      <c r="I106" s="18"/>
      <c r="J106" s="289" t="str" cm="1">
        <f t="array" ref="J106">IF(ISBLANK(I106), IF(ISBLANK(H106), "N/A", _xlfn.IFS(K106="AS", H106+15, K106="NCR", H106+30, K106="submitted", H106+30, TRUE, "N/A")), _xlfn.IFS(K106="AS", I106+15, K106="NCR", I106+30, K106="submitted", I106+30, TRUE, "N/A"))</f>
        <v>N/A</v>
      </c>
      <c r="K106" s="4"/>
      <c r="L106" s="318"/>
      <c r="M106" s="772"/>
      <c r="N106" s="773"/>
      <c r="O106" s="773"/>
      <c r="P106" s="774"/>
    </row>
    <row r="107" spans="1:16" s="5" customFormat="1" ht="35.25" customHeight="1">
      <c r="A107" s="4"/>
      <c r="B107" s="54" t="s">
        <v>1705</v>
      </c>
      <c r="C107" s="55" t="s">
        <v>1706</v>
      </c>
      <c r="D107" s="35"/>
      <c r="E107" s="34" t="s">
        <v>1526</v>
      </c>
      <c r="F107" s="4" t="s">
        <v>1709</v>
      </c>
      <c r="G107" s="3" t="s">
        <v>1710</v>
      </c>
      <c r="H107" s="18"/>
      <c r="I107" s="18"/>
      <c r="J107" s="289" t="str" cm="1">
        <f t="array" ref="J107">IF(ISBLANK(I107), IF(ISBLANK(H107), "N/A", _xlfn.IFS(K107="AS", H107+15, K107="NCR", H107+30, K107="submitted", H107+30, TRUE, "N/A")), _xlfn.IFS(K107="AS", I107+15, K107="NCR", I107+30, K107="submitted", I107+30, TRUE, "N/A"))</f>
        <v>N/A</v>
      </c>
      <c r="K107" s="4"/>
      <c r="L107" s="318"/>
      <c r="M107" s="772"/>
      <c r="N107" s="773"/>
      <c r="O107" s="773"/>
      <c r="P107" s="774"/>
    </row>
    <row r="108" spans="1:16" s="5" customFormat="1" ht="35.25" customHeight="1">
      <c r="A108" s="4"/>
      <c r="B108" s="54" t="s">
        <v>1705</v>
      </c>
      <c r="C108" s="55" t="s">
        <v>1706</v>
      </c>
      <c r="D108" s="35"/>
      <c r="E108" s="34" t="s">
        <v>1526</v>
      </c>
      <c r="F108" s="4" t="s">
        <v>1711</v>
      </c>
      <c r="G108" s="3" t="s">
        <v>1712</v>
      </c>
      <c r="H108" s="18"/>
      <c r="I108" s="18"/>
      <c r="J108" s="289" t="str" cm="1">
        <f t="array" ref="J108">IF(ISBLANK(I108), IF(ISBLANK(H108), "N/A", _xlfn.IFS(K108="AS", H108+15, K108="NCR", H108+30, K108="submitted", H108+30, TRUE, "N/A")), _xlfn.IFS(K108="AS", I108+15, K108="NCR", I108+30, K108="submitted", I108+30, TRUE, "N/A"))</f>
        <v>N/A</v>
      </c>
      <c r="K108" s="4"/>
      <c r="L108" s="318"/>
      <c r="M108" s="772"/>
      <c r="N108" s="773"/>
      <c r="O108" s="773"/>
      <c r="P108" s="774"/>
    </row>
    <row r="109" spans="1:16" s="5" customFormat="1" ht="15" customHeight="1">
      <c r="A109" s="4"/>
      <c r="B109" s="54" t="s">
        <v>1705</v>
      </c>
      <c r="C109" s="55" t="s">
        <v>1706</v>
      </c>
      <c r="D109" s="36"/>
      <c r="E109" s="34" t="s">
        <v>1526</v>
      </c>
      <c r="F109" s="4" t="s">
        <v>275</v>
      </c>
      <c r="G109" s="17" t="s">
        <v>229</v>
      </c>
      <c r="H109" s="18"/>
      <c r="I109" s="18"/>
      <c r="J109" s="289" t="str" cm="1">
        <f t="array" ref="J109">IF(ISBLANK(I109), IF(ISBLANK(H109), "N/A", _xlfn.IFS(K109="AS", H109+15, K109="NCR", H109+30, K109="submitted", H109+30, TRUE, "N/A")), _xlfn.IFS(K109="AS", I109+15, K109="NCR", I109+30, K109="submitted", I109+30, TRUE, "N/A"))</f>
        <v>N/A</v>
      </c>
      <c r="K109" s="4"/>
      <c r="L109" s="318"/>
      <c r="M109" s="772"/>
      <c r="N109" s="773"/>
      <c r="O109" s="773"/>
      <c r="P109" s="774"/>
    </row>
    <row r="110" spans="1:16" s="1" customFormat="1" ht="15" customHeight="1">
      <c r="A110" s="9"/>
      <c r="B110" s="790" t="s">
        <v>1713</v>
      </c>
      <c r="C110" s="792" t="s">
        <v>1714</v>
      </c>
      <c r="D110" s="37"/>
      <c r="E110" s="37" t="s">
        <v>1624</v>
      </c>
      <c r="F110" s="9" t="s">
        <v>210</v>
      </c>
      <c r="G110" s="13" t="s">
        <v>476</v>
      </c>
      <c r="H110" s="14"/>
      <c r="I110" s="14"/>
      <c r="J110" s="289" t="str" cm="1">
        <f t="array" ref="J110">IF(ISBLANK(I110), IF(ISBLANK(H110), "N/A", _xlfn.IFS(K110="AS", H110+15, K110="NCR", H110+30, K110="submitted", H110+30, TRUE, "N/A")), _xlfn.IFS(K110="AS", I110+15, K110="NCR", I110+30, K110="submitted", I110+30, TRUE, "N/A"))</f>
        <v>N/A</v>
      </c>
      <c r="K110" s="9"/>
      <c r="L110" s="318"/>
      <c r="M110" s="772"/>
      <c r="N110" s="773"/>
      <c r="O110" s="773"/>
      <c r="P110" s="774"/>
    </row>
    <row r="111" spans="1:16" s="1" customFormat="1" ht="15" customHeight="1">
      <c r="A111" s="38"/>
      <c r="B111" s="791"/>
      <c r="C111" s="793"/>
      <c r="D111" s="39"/>
      <c r="E111" s="37" t="s">
        <v>1624</v>
      </c>
      <c r="F111" s="38" t="s">
        <v>328</v>
      </c>
      <c r="G111" s="37" t="s">
        <v>268</v>
      </c>
      <c r="H111" s="41"/>
      <c r="I111" s="41"/>
      <c r="J111" s="289" t="str" cm="1">
        <f t="array" ref="J111">IF(ISBLANK(I111), IF(ISBLANK(H111), "N/A", _xlfn.IFS(K111="AS", H111+15, K111="NCR", H111+30, K111="submitted", H111+30, TRUE, "N/A")), _xlfn.IFS(K111="AS", I111+15, K111="NCR", I111+30, K111="submitted", I111+30, TRUE, "N/A"))</f>
        <v>N/A</v>
      </c>
      <c r="K111" s="38"/>
      <c r="L111" s="318"/>
      <c r="M111" s="772"/>
      <c r="N111" s="773"/>
      <c r="O111" s="773"/>
      <c r="P111" s="774"/>
    </row>
    <row r="112" spans="1:16" s="1" customFormat="1" ht="15" customHeight="1">
      <c r="A112" s="38"/>
      <c r="B112" s="791"/>
      <c r="C112" s="793"/>
      <c r="D112" s="39"/>
      <c r="E112" s="37" t="s">
        <v>1624</v>
      </c>
      <c r="F112" s="38" t="s">
        <v>329</v>
      </c>
      <c r="G112" s="37" t="s">
        <v>1715</v>
      </c>
      <c r="H112" s="41"/>
      <c r="I112" s="41"/>
      <c r="J112" s="289" t="str" cm="1">
        <f t="array" ref="J112">IF(ISBLANK(I112), IF(ISBLANK(H112), "N/A", _xlfn.IFS(K112="AS", H112+15, K112="NCR", H112+30, K112="submitted", H112+30, TRUE, "N/A")), _xlfn.IFS(K112="AS", I112+15, K112="NCR", I112+30, K112="submitted", I112+30, TRUE, "N/A"))</f>
        <v>N/A</v>
      </c>
      <c r="K112" s="38"/>
      <c r="L112" s="318"/>
      <c r="M112" s="772"/>
      <c r="N112" s="773"/>
      <c r="O112" s="773"/>
      <c r="P112" s="774"/>
    </row>
    <row r="113" spans="1:16" s="1" customFormat="1" ht="15" customHeight="1">
      <c r="A113" s="38"/>
      <c r="B113" s="791"/>
      <c r="C113" s="793"/>
      <c r="D113" s="39"/>
      <c r="E113" s="37" t="s">
        <v>1624</v>
      </c>
      <c r="F113" s="38" t="s">
        <v>396</v>
      </c>
      <c r="G113" s="37" t="s">
        <v>1716</v>
      </c>
      <c r="H113" s="41"/>
      <c r="I113" s="41"/>
      <c r="J113" s="289" t="str" cm="1">
        <f t="array" ref="J113">IF(ISBLANK(I113), IF(ISBLANK(H113), "N/A", _xlfn.IFS(K113="AS", H113+15, K113="NCR", H113+30, K113="submitted", H113+30, TRUE, "N/A")), _xlfn.IFS(K113="AS", I113+15, K113="NCR", I113+30, K113="submitted", I113+30, TRUE, "N/A"))</f>
        <v>N/A</v>
      </c>
      <c r="K113" s="38"/>
      <c r="L113" s="318"/>
      <c r="M113" s="772"/>
      <c r="N113" s="773"/>
      <c r="O113" s="773"/>
      <c r="P113" s="774"/>
    </row>
    <row r="114" spans="1:16" s="1" customFormat="1" ht="15" customHeight="1">
      <c r="A114" s="38"/>
      <c r="B114" s="791"/>
      <c r="C114" s="793"/>
      <c r="D114" s="39"/>
      <c r="E114" s="39" t="s">
        <v>158</v>
      </c>
      <c r="F114" s="38" t="s">
        <v>332</v>
      </c>
      <c r="G114" s="37" t="s">
        <v>1717</v>
      </c>
      <c r="H114" s="41"/>
      <c r="I114" s="41"/>
      <c r="J114" s="289" t="str" cm="1">
        <f t="array" ref="J114">IF(ISBLANK(I114), IF(ISBLANK(H114), "N/A", _xlfn.IFS(K114="AS", H114+15, K114="NCR", H114+30, K114="submitted", H114+30, TRUE, "N/A")), _xlfn.IFS(K114="AS", I114+15, K114="NCR", I114+30, K114="submitted", I114+30, TRUE, "N/A"))</f>
        <v>N/A</v>
      </c>
      <c r="K114" s="38"/>
      <c r="L114" s="318"/>
      <c r="M114" s="772"/>
      <c r="N114" s="773"/>
      <c r="O114" s="773"/>
      <c r="P114" s="774"/>
    </row>
    <row r="115" spans="1:16" s="1" customFormat="1" ht="15" customHeight="1">
      <c r="A115" s="38"/>
      <c r="B115" s="777"/>
      <c r="C115" s="779"/>
      <c r="D115" s="39"/>
      <c r="E115" s="39" t="s">
        <v>158</v>
      </c>
      <c r="F115" s="38" t="s">
        <v>334</v>
      </c>
      <c r="G115" s="37" t="s">
        <v>1718</v>
      </c>
      <c r="H115" s="41"/>
      <c r="I115" s="41"/>
      <c r="J115" s="289" t="str" cm="1">
        <f t="array" ref="J115">IF(ISBLANK(I115), IF(ISBLANK(H115), "N/A", _xlfn.IFS(K115="AS", H115+15, K115="NCR", H115+30, K115="submitted", H115+30, TRUE, "N/A")), _xlfn.IFS(K115="AS", I115+15, K115="NCR", I115+30, K115="submitted", I115+30, TRUE, "N/A"))</f>
        <v>N/A</v>
      </c>
      <c r="K115" s="38"/>
      <c r="L115" s="318"/>
      <c r="M115" s="772"/>
      <c r="N115" s="773"/>
      <c r="O115" s="773"/>
      <c r="P115" s="774"/>
    </row>
    <row r="116" spans="1:16" s="5" customFormat="1" ht="15" customHeight="1">
      <c r="A116" s="19"/>
      <c r="B116" s="794" t="s">
        <v>1719</v>
      </c>
      <c r="C116" s="796" t="s">
        <v>1720</v>
      </c>
      <c r="D116" s="34"/>
      <c r="E116" s="34" t="s">
        <v>1526</v>
      </c>
      <c r="F116" s="19" t="s">
        <v>228</v>
      </c>
      <c r="G116" s="34" t="s">
        <v>1721</v>
      </c>
      <c r="H116" s="30"/>
      <c r="I116" s="30"/>
      <c r="J116" s="289" t="str" cm="1">
        <f t="array" ref="J116">IF(ISBLANK(I116), IF(ISBLANK(H116), "N/A", _xlfn.IFS(K116="AS", H116+15, K116="NCR", H116+30, K116="submitted", H116+30, TRUE, "N/A")), _xlfn.IFS(K116="AS", I116+15, K116="NCR", I116+30, K116="submitted", I116+30, TRUE, "N/A"))</f>
        <v>N/A</v>
      </c>
      <c r="K116" s="19"/>
      <c r="L116" s="318"/>
      <c r="M116" s="772"/>
      <c r="N116" s="773"/>
      <c r="O116" s="773"/>
      <c r="P116" s="774"/>
    </row>
    <row r="117" spans="1:16" s="5" customFormat="1" ht="15.75" customHeight="1">
      <c r="A117" s="19"/>
      <c r="B117" s="798"/>
      <c r="C117" s="799"/>
      <c r="D117" s="35"/>
      <c r="E117" s="34" t="s">
        <v>1526</v>
      </c>
      <c r="F117" s="19" t="s">
        <v>230</v>
      </c>
      <c r="G117" s="34" t="s">
        <v>1722</v>
      </c>
      <c r="H117" s="30"/>
      <c r="I117" s="30"/>
      <c r="J117" s="289" t="str" cm="1">
        <f t="array" ref="J117">IF(ISBLANK(I117), IF(ISBLANK(H117), "N/A", _xlfn.IFS(K117="AS", H117+15, K117="NCR", H117+30, K117="submitted", H117+30, TRUE, "N/A")), _xlfn.IFS(K117="AS", I117+15, K117="NCR", I117+30, K117="submitted", I117+30, TRUE, "N/A"))</f>
        <v>N/A</v>
      </c>
      <c r="K117" s="19"/>
      <c r="L117" s="318"/>
      <c r="M117" s="772"/>
      <c r="N117" s="773"/>
      <c r="O117" s="773"/>
      <c r="P117" s="774"/>
    </row>
    <row r="118" spans="1:16" s="5" customFormat="1" ht="15" customHeight="1">
      <c r="A118" s="19"/>
      <c r="B118" s="798"/>
      <c r="C118" s="799"/>
      <c r="D118" s="35"/>
      <c r="E118" s="34" t="s">
        <v>1526</v>
      </c>
      <c r="F118" s="19" t="s">
        <v>329</v>
      </c>
      <c r="G118" s="34" t="s">
        <v>276</v>
      </c>
      <c r="H118" s="30"/>
      <c r="I118" s="30"/>
      <c r="J118" s="289" t="str" cm="1">
        <f t="array" ref="J118">IF(ISBLANK(I118), IF(ISBLANK(H118), "N/A", _xlfn.IFS(K118="AS", H118+15, K118="NCR", H118+30, K118="submitted", H118+30, TRUE, "N/A")), _xlfn.IFS(K118="AS", I118+15, K118="NCR", I118+30, K118="submitted", I118+30, TRUE, "N/A"))</f>
        <v>N/A</v>
      </c>
      <c r="K118" s="19"/>
      <c r="L118" s="318"/>
      <c r="M118" s="772"/>
      <c r="N118" s="773"/>
      <c r="O118" s="773"/>
      <c r="P118" s="774"/>
    </row>
    <row r="119" spans="1:16" s="5" customFormat="1" ht="15" customHeight="1">
      <c r="A119" s="19"/>
      <c r="B119" s="798"/>
      <c r="C119" s="799"/>
      <c r="D119" s="35"/>
      <c r="E119" s="34" t="s">
        <v>1526</v>
      </c>
      <c r="F119" s="19" t="s">
        <v>396</v>
      </c>
      <c r="G119" s="53" t="s">
        <v>1723</v>
      </c>
      <c r="H119" s="30"/>
      <c r="I119" s="30"/>
      <c r="J119" s="289" t="str" cm="1">
        <f t="array" ref="J119">IF(ISBLANK(I119), IF(ISBLANK(H119), "N/A", _xlfn.IFS(K119="AS", H119+15, K119="NCR", H119+30, K119="submitted", H119+30, TRUE, "N/A")), _xlfn.IFS(K119="AS", I119+15, K119="NCR", I119+30, K119="submitted", I119+30, TRUE, "N/A"))</f>
        <v>N/A</v>
      </c>
      <c r="K119" s="19"/>
      <c r="L119" s="318"/>
      <c r="M119" s="772"/>
      <c r="N119" s="773"/>
      <c r="O119" s="773"/>
      <c r="P119" s="774"/>
    </row>
    <row r="120" spans="1:16" s="5" customFormat="1" ht="15" customHeight="1">
      <c r="A120" s="19"/>
      <c r="B120" s="798"/>
      <c r="C120" s="799"/>
      <c r="D120" s="35"/>
      <c r="E120" s="35" t="s">
        <v>158</v>
      </c>
      <c r="F120" s="19" t="s">
        <v>332</v>
      </c>
      <c r="G120" s="53" t="s">
        <v>1724</v>
      </c>
      <c r="H120" s="30"/>
      <c r="I120" s="30"/>
      <c r="J120" s="289" t="str" cm="1">
        <f t="array" ref="J120">IF(ISBLANK(I120), IF(ISBLANK(H120), "N/A", _xlfn.IFS(K120="AS", H120+15, K120="NCR", H120+30, K120="submitted", H120+30, TRUE, "N/A")), _xlfn.IFS(K120="AS", I120+15, K120="NCR", I120+30, K120="submitted", I120+30, TRUE, "N/A"))</f>
        <v>N/A</v>
      </c>
      <c r="K120" s="19"/>
      <c r="L120" s="318"/>
      <c r="M120" s="766" t="s">
        <v>132</v>
      </c>
      <c r="N120" s="767"/>
      <c r="O120" s="767"/>
      <c r="P120" s="768"/>
    </row>
    <row r="121" spans="1:16" s="5" customFormat="1" ht="15" customHeight="1">
      <c r="A121" s="19"/>
      <c r="B121" s="798"/>
      <c r="C121" s="799"/>
      <c r="D121" s="35"/>
      <c r="E121" s="35" t="s">
        <v>158</v>
      </c>
      <c r="F121" s="19" t="s">
        <v>334</v>
      </c>
      <c r="G121" s="53" t="s">
        <v>1725</v>
      </c>
      <c r="H121" s="30"/>
      <c r="I121" s="30"/>
      <c r="J121" s="289" t="str" cm="1">
        <f t="array" ref="J121">IF(ISBLANK(I121), IF(ISBLANK(H121), "N/A", _xlfn.IFS(K121="AS", H121+15, K121="NCR", H121+30, K121="submitted", H121+30, TRUE, "N/A")), _xlfn.IFS(K121="AS", I121+15, K121="NCR", I121+30, K121="submitted", I121+30, TRUE, "N/A"))</f>
        <v>N/A</v>
      </c>
      <c r="K121" s="19"/>
      <c r="L121" s="318"/>
      <c r="M121" s="769"/>
      <c r="N121" s="770"/>
      <c r="O121" s="770"/>
      <c r="P121" s="771"/>
    </row>
    <row r="122" spans="1:16" s="5" customFormat="1" ht="15" customHeight="1">
      <c r="A122" s="19"/>
      <c r="B122" s="798"/>
      <c r="C122" s="799"/>
      <c r="D122" s="35"/>
      <c r="E122" s="35" t="s">
        <v>158</v>
      </c>
      <c r="F122" s="19" t="s">
        <v>336</v>
      </c>
      <c r="G122" s="53" t="s">
        <v>1726</v>
      </c>
      <c r="H122" s="30"/>
      <c r="I122" s="30"/>
      <c r="J122" s="289" t="str" cm="1">
        <f t="array" ref="J122">IF(ISBLANK(I122), IF(ISBLANK(H122), "N/A", _xlfn.IFS(K122="AS", H122+15, K122="NCR", H122+30, K122="submitted", H122+30, TRUE, "N/A")), _xlfn.IFS(K122="AS", I122+15, K122="NCR", I122+30, K122="submitted", I122+30, TRUE, "N/A"))</f>
        <v>N/A</v>
      </c>
      <c r="K122" s="19"/>
      <c r="L122" s="318"/>
      <c r="M122" s="769"/>
      <c r="N122" s="770"/>
      <c r="O122" s="770"/>
      <c r="P122" s="771"/>
    </row>
    <row r="123" spans="1:16" s="5" customFormat="1" ht="15" customHeight="1">
      <c r="A123" s="19"/>
      <c r="B123" s="798"/>
      <c r="C123" s="799"/>
      <c r="D123" s="35"/>
      <c r="E123" s="35" t="s">
        <v>158</v>
      </c>
      <c r="F123" s="19" t="s">
        <v>1144</v>
      </c>
      <c r="G123" s="53" t="s">
        <v>1727</v>
      </c>
      <c r="H123" s="30"/>
      <c r="I123" s="30"/>
      <c r="J123" s="289" t="str" cm="1">
        <f t="array" ref="J123">IF(ISBLANK(I123), IF(ISBLANK(H123), "N/A", _xlfn.IFS(K123="AS", H123+15, K123="NCR", H123+30, K123="submitted", H123+30, TRUE, "N/A")), _xlfn.IFS(K123="AS", I123+15, K123="NCR", I123+30, K123="submitted", I123+30, TRUE, "N/A"))</f>
        <v>N/A</v>
      </c>
      <c r="K123" s="19"/>
      <c r="L123" s="318"/>
      <c r="M123" s="769"/>
      <c r="N123" s="770"/>
      <c r="O123" s="770"/>
      <c r="P123" s="771"/>
    </row>
    <row r="124" spans="1:16" s="5" customFormat="1" ht="15" customHeight="1">
      <c r="A124" s="19"/>
      <c r="B124" s="798"/>
      <c r="C124" s="799"/>
      <c r="D124" s="35"/>
      <c r="E124" s="35" t="s">
        <v>158</v>
      </c>
      <c r="F124" s="19" t="s">
        <v>1145</v>
      </c>
      <c r="G124" s="34" t="s">
        <v>1728</v>
      </c>
      <c r="H124" s="30"/>
      <c r="I124" s="30"/>
      <c r="J124" s="289" t="str" cm="1">
        <f t="array" ref="J124">IF(ISBLANK(I124), IF(ISBLANK(H124), "N/A", _xlfn.IFS(K124="AS", H124+15, K124="NCR", H124+30, K124="submitted", H124+30, TRUE, "N/A")), _xlfn.IFS(K124="AS", I124+15, K124="NCR", I124+30, K124="submitted", I124+30, TRUE, "N/A"))</f>
        <v>N/A</v>
      </c>
      <c r="K124" s="19"/>
      <c r="L124" s="318"/>
      <c r="M124" s="769"/>
      <c r="N124" s="770"/>
      <c r="O124" s="770"/>
      <c r="P124" s="771"/>
    </row>
    <row r="125" spans="1:16" s="5" customFormat="1" ht="15" customHeight="1">
      <c r="A125" s="19"/>
      <c r="B125" s="798"/>
      <c r="C125" s="799"/>
      <c r="D125" s="35"/>
      <c r="E125" s="35" t="s">
        <v>1624</v>
      </c>
      <c r="F125" s="19" t="s">
        <v>398</v>
      </c>
      <c r="G125" s="34" t="s">
        <v>1729</v>
      </c>
      <c r="H125" s="30"/>
      <c r="I125" s="30"/>
      <c r="J125" s="289" t="str" cm="1">
        <f t="array" ref="J125">IF(ISBLANK(I125), IF(ISBLANK(H125), "N/A", _xlfn.IFS(K125="AS", H125+15, K125="NCR", H125+30, K125="submitted", H125+30, TRUE, "N/A")), _xlfn.IFS(K125="AS", I125+15, K125="NCR", I125+30, K125="submitted", I125+30, TRUE, "N/A"))</f>
        <v>N/A</v>
      </c>
      <c r="K125" s="19"/>
      <c r="L125" s="318"/>
      <c r="M125" s="769"/>
      <c r="N125" s="770"/>
      <c r="O125" s="770"/>
      <c r="P125" s="771"/>
    </row>
    <row r="126" spans="1:16" s="5" customFormat="1" ht="27" customHeight="1">
      <c r="A126" s="19"/>
      <c r="B126" s="798"/>
      <c r="C126" s="799"/>
      <c r="D126" s="35"/>
      <c r="E126" s="35" t="s">
        <v>1528</v>
      </c>
      <c r="F126" s="19" t="s">
        <v>735</v>
      </c>
      <c r="G126" s="53" t="s">
        <v>1730</v>
      </c>
      <c r="H126" s="30"/>
      <c r="I126" s="30"/>
      <c r="J126" s="289" t="str" cm="1">
        <f t="array" ref="J126">IF(ISBLANK(I126), IF(ISBLANK(H126), "N/A", _xlfn.IFS(K126="AS", H126+15, K126="NCR", H126+30, K126="submitted", H126+30, TRUE, "N/A")), _xlfn.IFS(K126="AS", I126+15, K126="NCR", I126+30, K126="submitted", I126+30, TRUE, "N/A"))</f>
        <v>N/A</v>
      </c>
      <c r="K126" s="19"/>
      <c r="L126" s="318"/>
      <c r="M126" s="769"/>
      <c r="N126" s="770"/>
      <c r="O126" s="770"/>
      <c r="P126" s="771"/>
    </row>
    <row r="127" spans="1:16" s="45" customFormat="1" ht="27" customHeight="1">
      <c r="A127" s="42"/>
      <c r="B127" s="834"/>
      <c r="C127" s="835"/>
      <c r="D127" s="49"/>
      <c r="E127" s="49" t="s">
        <v>1528</v>
      </c>
      <c r="F127" s="42" t="s">
        <v>880</v>
      </c>
      <c r="G127" s="61" t="s">
        <v>1731</v>
      </c>
      <c r="H127" s="44"/>
      <c r="I127" s="44"/>
      <c r="J127" s="289" t="str" cm="1">
        <f t="array" ref="J127">IF(ISBLANK(I127), IF(ISBLANK(H127), "N/A", _xlfn.IFS(K127="AS", H127+15, K127="NCR", H127+30, K127="submitted", H127+30, TRUE, "N/A")), _xlfn.IFS(K127="AS", I127+15, K127="NCR", I127+30, K127="submitted", I127+30, TRUE, "N/A"))</f>
        <v>N/A</v>
      </c>
      <c r="K127" s="42"/>
      <c r="L127" s="318"/>
      <c r="M127" s="769"/>
      <c r="N127" s="770"/>
      <c r="O127" s="770"/>
      <c r="P127" s="771"/>
    </row>
    <row r="128" spans="1:16" s="1" customFormat="1" ht="15" customHeight="1">
      <c r="A128" s="21"/>
      <c r="B128" s="886" t="s">
        <v>1732</v>
      </c>
      <c r="C128" s="887" t="s">
        <v>1733</v>
      </c>
      <c r="D128" s="50"/>
      <c r="E128" s="50" t="s">
        <v>1624</v>
      </c>
      <c r="F128" s="21" t="s">
        <v>224</v>
      </c>
      <c r="G128" s="46" t="s">
        <v>1734</v>
      </c>
      <c r="H128" s="51"/>
      <c r="I128" s="51"/>
      <c r="J128" s="289" t="str" cm="1">
        <f t="array" ref="J128">IF(ISBLANK(I128), IF(ISBLANK(H128), "N/A", _xlfn.IFS(K128="AS", H128+15, K128="NCR", H128+30, K128="submitted", H128+30, TRUE, "N/A")), _xlfn.IFS(K128="AS", I128+15, K128="NCR", I128+30, K128="submitted", I128+30, TRUE, "N/A"))</f>
        <v>N/A</v>
      </c>
      <c r="K128" s="21"/>
      <c r="L128" s="318"/>
      <c r="M128" s="772" t="s">
        <v>147</v>
      </c>
      <c r="N128" s="773"/>
      <c r="O128" s="773"/>
      <c r="P128" s="774"/>
    </row>
    <row r="129" spans="1:16" s="1" customFormat="1" ht="15" customHeight="1">
      <c r="A129" s="21"/>
      <c r="B129" s="791"/>
      <c r="C129" s="793"/>
      <c r="D129" s="39"/>
      <c r="E129" s="50" t="s">
        <v>1624</v>
      </c>
      <c r="F129" s="21" t="s">
        <v>226</v>
      </c>
      <c r="G129" s="52" t="s">
        <v>1735</v>
      </c>
      <c r="H129" s="51"/>
      <c r="I129" s="51"/>
      <c r="J129" s="289" t="str" cm="1">
        <f t="array" ref="J129">IF(ISBLANK(I129), IF(ISBLANK(H129), "N/A", _xlfn.IFS(K129="AS", H129+15, K129="NCR", H129+30, K129="submitted", H129+30, TRUE, "N/A")), _xlfn.IFS(K129="AS", I129+15, K129="NCR", I129+30, K129="submitted", I129+30, TRUE, "N/A"))</f>
        <v>N/A</v>
      </c>
      <c r="K129" s="21"/>
      <c r="L129" s="318"/>
      <c r="M129" s="772"/>
      <c r="N129" s="773"/>
      <c r="O129" s="773"/>
      <c r="P129" s="774"/>
    </row>
    <row r="130" spans="1:16" s="1" customFormat="1" ht="15" customHeight="1">
      <c r="A130" s="21"/>
      <c r="B130" s="791"/>
      <c r="C130" s="793"/>
      <c r="D130" s="39"/>
      <c r="E130" s="50" t="s">
        <v>1624</v>
      </c>
      <c r="F130" s="21" t="s">
        <v>1545</v>
      </c>
      <c r="G130" s="46" t="s">
        <v>1736</v>
      </c>
      <c r="H130" s="51"/>
      <c r="I130" s="51"/>
      <c r="J130" s="289" t="str" cm="1">
        <f t="array" ref="J130">IF(ISBLANK(I130), IF(ISBLANK(H130), "N/A", _xlfn.IFS(K130="AS", H130+15, K130="NCR", H130+30, K130="submitted", H130+30, TRUE, "N/A")), _xlfn.IFS(K130="AS", I130+15, K130="NCR", I130+30, K130="submitted", I130+30, TRUE, "N/A"))</f>
        <v>N/A</v>
      </c>
      <c r="K130" s="21"/>
      <c r="L130" s="318"/>
      <c r="M130" s="772"/>
      <c r="N130" s="773"/>
      <c r="O130" s="773"/>
      <c r="P130" s="774"/>
    </row>
    <row r="131" spans="1:16" s="1" customFormat="1" ht="15" customHeight="1">
      <c r="A131" s="21"/>
      <c r="B131" s="791"/>
      <c r="C131" s="793"/>
      <c r="D131" s="39"/>
      <c r="E131" s="50" t="s">
        <v>1624</v>
      </c>
      <c r="F131" s="21" t="s">
        <v>328</v>
      </c>
      <c r="G131" s="46" t="s">
        <v>276</v>
      </c>
      <c r="H131" s="51"/>
      <c r="I131" s="51"/>
      <c r="J131" s="289" t="str" cm="1">
        <f t="array" ref="J131">IF(ISBLANK(I131), IF(ISBLANK(H131), "N/A", _xlfn.IFS(K131="AS", H131+15, K131="NCR", H131+30, K131="submitted", H131+30, TRUE, "N/A")), _xlfn.IFS(K131="AS", I131+15, K131="NCR", I131+30, K131="submitted", I131+30, TRUE, "N/A"))</f>
        <v>N/A</v>
      </c>
      <c r="K131" s="21"/>
      <c r="L131" s="318"/>
      <c r="M131" s="772"/>
      <c r="N131" s="773"/>
      <c r="O131" s="773"/>
      <c r="P131" s="774"/>
    </row>
    <row r="132" spans="1:16" s="1" customFormat="1" ht="27" customHeight="1">
      <c r="A132" s="21"/>
      <c r="B132" s="791"/>
      <c r="C132" s="793"/>
      <c r="D132" s="39"/>
      <c r="E132" s="39" t="s">
        <v>1632</v>
      </c>
      <c r="F132" s="21" t="s">
        <v>234</v>
      </c>
      <c r="G132" s="52" t="s">
        <v>1737</v>
      </c>
      <c r="H132" s="51"/>
      <c r="I132" s="51"/>
      <c r="J132" s="289" t="str" cm="1">
        <f t="array" ref="J132">IF(ISBLANK(I132), IF(ISBLANK(H132), "N/A", _xlfn.IFS(K132="AS", H132+15, K132="NCR", H132+30, K132="submitted", H132+30, TRUE, "N/A")), _xlfn.IFS(K132="AS", I132+15, K132="NCR", I132+30, K132="submitted", I132+30, TRUE, "N/A"))</f>
        <v>N/A</v>
      </c>
      <c r="K132" s="21"/>
      <c r="L132" s="318"/>
      <c r="M132" s="772"/>
      <c r="N132" s="773"/>
      <c r="O132" s="773"/>
      <c r="P132" s="774"/>
    </row>
    <row r="133" spans="1:16" s="1" customFormat="1" ht="15" customHeight="1">
      <c r="A133" s="21"/>
      <c r="B133" s="791"/>
      <c r="C133" s="793"/>
      <c r="D133" s="39"/>
      <c r="E133" s="39" t="s">
        <v>1632</v>
      </c>
      <c r="F133" s="21" t="s">
        <v>236</v>
      </c>
      <c r="G133" s="46" t="s">
        <v>1738</v>
      </c>
      <c r="H133" s="51"/>
      <c r="I133" s="51"/>
      <c r="J133" s="289" t="str" cm="1">
        <f t="array" ref="J133">IF(ISBLANK(I133), IF(ISBLANK(H133), "N/A", _xlfn.IFS(K133="AS", H133+15, K133="NCR", H133+30, K133="submitted", H133+30, TRUE, "N/A")), _xlfn.IFS(K133="AS", I133+15, K133="NCR", I133+30, K133="submitted", I133+30, TRUE, "N/A"))</f>
        <v>N/A</v>
      </c>
      <c r="K133" s="21"/>
      <c r="L133" s="319"/>
      <c r="M133" s="772"/>
      <c r="N133" s="773"/>
      <c r="O133" s="773"/>
      <c r="P133" s="774"/>
    </row>
    <row r="134" spans="1:16" s="1" customFormat="1" ht="15" customHeight="1">
      <c r="A134" s="21"/>
      <c r="B134" s="791"/>
      <c r="C134" s="793"/>
      <c r="D134" s="39"/>
      <c r="E134" s="39" t="s">
        <v>1632</v>
      </c>
      <c r="F134" s="21" t="s">
        <v>1221</v>
      </c>
      <c r="G134" s="46" t="s">
        <v>1739</v>
      </c>
      <c r="H134" s="51"/>
      <c r="I134" s="51"/>
      <c r="J134" s="289" t="str" cm="1">
        <f t="array" ref="J134">IF(ISBLANK(I134), IF(ISBLANK(H134), "N/A", _xlfn.IFS(K134="AS", H134+15, K134="NCR", H134+30, K134="submitted", H134+30, TRUE, "N/A")), _xlfn.IFS(K134="AS", I134+15, K134="NCR", I134+30, K134="submitted", I134+30, TRUE, "N/A"))</f>
        <v>N/A</v>
      </c>
      <c r="K134" s="21"/>
      <c r="L134" s="318"/>
      <c r="M134" s="772"/>
      <c r="N134" s="773"/>
      <c r="O134" s="773"/>
      <c r="P134" s="774"/>
    </row>
    <row r="135" spans="1:16" s="1" customFormat="1" ht="40.5" customHeight="1">
      <c r="A135" s="21"/>
      <c r="B135" s="777"/>
      <c r="C135" s="779"/>
      <c r="D135" s="46"/>
      <c r="E135" s="46" t="s">
        <v>1632</v>
      </c>
      <c r="F135" s="21" t="s">
        <v>330</v>
      </c>
      <c r="G135" s="52" t="s">
        <v>1740</v>
      </c>
      <c r="H135" s="51"/>
      <c r="I135" s="51"/>
      <c r="J135" s="289" t="str" cm="1">
        <f t="array" ref="J135">IF(ISBLANK(I135), IF(ISBLANK(H135), "N/A", _xlfn.IFS(K135="AS", H135+15, K135="NCR", H135+30, K135="submitted", H135+30, TRUE, "N/A")), _xlfn.IFS(K135="AS", I135+15, K135="NCR", I135+30, K135="submitted", I135+30, TRUE, "N/A"))</f>
        <v>N/A</v>
      </c>
      <c r="K135" s="21"/>
      <c r="L135" s="318"/>
      <c r="M135" s="772"/>
      <c r="N135" s="773"/>
      <c r="O135" s="773"/>
      <c r="P135" s="774"/>
    </row>
    <row r="136" spans="1:16" s="5" customFormat="1" ht="53.25">
      <c r="A136" s="4"/>
      <c r="B136" s="794" t="s">
        <v>1741</v>
      </c>
      <c r="C136" s="796" t="s">
        <v>1742</v>
      </c>
      <c r="D136" s="34"/>
      <c r="E136" s="34" t="s">
        <v>1632</v>
      </c>
      <c r="F136" s="4" t="s">
        <v>272</v>
      </c>
      <c r="G136" s="3" t="s">
        <v>1743</v>
      </c>
      <c r="H136" s="18"/>
      <c r="I136" s="18"/>
      <c r="J136" s="289" t="str" cm="1">
        <f t="array" ref="J136">IF(ISBLANK(I136), IF(ISBLANK(H136), "N/A", _xlfn.IFS(K136="AS", H136+15, K136="NCR", H136+30, K136="submitted", H136+30, TRUE, "N/A")), _xlfn.IFS(K136="AS", I136+15, K136="NCR", I136+30, K136="submitted", I136+30, TRUE, "N/A"))</f>
        <v>N/A</v>
      </c>
      <c r="K136" s="4"/>
      <c r="L136" s="318"/>
      <c r="M136" s="772"/>
      <c r="N136" s="773"/>
      <c r="O136" s="773"/>
      <c r="P136" s="774"/>
    </row>
    <row r="137" spans="1:16" s="5" customFormat="1" ht="15" customHeight="1">
      <c r="A137" s="4"/>
      <c r="B137" s="795"/>
      <c r="C137" s="797"/>
      <c r="D137" s="36"/>
      <c r="E137" s="36" t="s">
        <v>1632</v>
      </c>
      <c r="F137" s="4" t="s">
        <v>259</v>
      </c>
      <c r="G137" s="17" t="s">
        <v>1744</v>
      </c>
      <c r="H137" s="18"/>
      <c r="I137" s="18"/>
      <c r="J137" s="289" t="str" cm="1">
        <f t="array" ref="J137">IF(ISBLANK(I137), IF(ISBLANK(H137), "N/A", _xlfn.IFS(K137="AS", H137+15, K137="NCR", H137+30, K137="submitted", H137+30, TRUE, "N/A")), _xlfn.IFS(K137="AS", I137+15, K137="NCR", I137+30, K137="submitted", I137+30, TRUE, "N/A"))</f>
        <v>N/A</v>
      </c>
      <c r="K137" s="4"/>
      <c r="L137" s="318"/>
      <c r="M137" s="772"/>
      <c r="N137" s="773"/>
      <c r="O137" s="773"/>
      <c r="P137" s="774"/>
    </row>
    <row r="138" spans="1:16" s="1" customFormat="1" ht="25.5" customHeight="1">
      <c r="A138" s="9"/>
      <c r="B138" s="790" t="s">
        <v>1745</v>
      </c>
      <c r="C138" s="883" t="s">
        <v>1746</v>
      </c>
      <c r="D138" s="40"/>
      <c r="E138" s="40" t="s">
        <v>1526</v>
      </c>
      <c r="F138" s="9" t="s">
        <v>1747</v>
      </c>
      <c r="G138" s="13" t="s">
        <v>1748</v>
      </c>
      <c r="H138" s="14"/>
      <c r="I138" s="14"/>
      <c r="J138" s="289" t="str" cm="1">
        <f t="array" ref="J138">IF(ISBLANK(I138), IF(ISBLANK(H138), "N/A", _xlfn.IFS(K138="AS", H138+15, K138="NCR", H138+30, K138="submitted", H138+30, TRUE, "N/A")), _xlfn.IFS(K138="AS", I138+15, K138="NCR", I138+30, K138="submitted", I138+30, TRUE, "N/A"))</f>
        <v>N/A</v>
      </c>
      <c r="K138" s="9"/>
      <c r="L138" s="318"/>
      <c r="M138" s="772"/>
      <c r="N138" s="773"/>
      <c r="O138" s="773"/>
      <c r="P138" s="774"/>
    </row>
    <row r="139" spans="1:16" s="1" customFormat="1" ht="15" customHeight="1">
      <c r="A139" s="9"/>
      <c r="B139" s="791"/>
      <c r="C139" s="884"/>
      <c r="D139" s="50"/>
      <c r="E139" s="40" t="s">
        <v>1526</v>
      </c>
      <c r="F139" s="9" t="s">
        <v>857</v>
      </c>
      <c r="G139" s="13" t="s">
        <v>229</v>
      </c>
      <c r="H139" s="14"/>
      <c r="I139" s="14"/>
      <c r="J139" s="289" t="str" cm="1">
        <f t="array" ref="J139">IF(ISBLANK(I139), IF(ISBLANK(H139), "N/A", _xlfn.IFS(K139="AS", H139+15, K139="NCR", H139+30, K139="submitted", H139+30, TRUE, "N/A")), _xlfn.IFS(K139="AS", I139+15, K139="NCR", I139+30, K139="submitted", I139+30, TRUE, "N/A"))</f>
        <v>N/A</v>
      </c>
      <c r="K139" s="9"/>
      <c r="L139" s="318"/>
      <c r="M139" s="772"/>
      <c r="N139" s="773"/>
      <c r="O139" s="773"/>
      <c r="P139" s="774"/>
    </row>
    <row r="140" spans="1:16" s="1" customFormat="1" ht="15" customHeight="1">
      <c r="A140" s="9"/>
      <c r="B140" s="791"/>
      <c r="C140" s="884"/>
      <c r="D140" s="50"/>
      <c r="E140" s="40" t="s">
        <v>1526</v>
      </c>
      <c r="F140" s="9" t="s">
        <v>859</v>
      </c>
      <c r="G140" s="13" t="s">
        <v>536</v>
      </c>
      <c r="H140" s="14"/>
      <c r="I140" s="14"/>
      <c r="J140" s="289" t="str" cm="1">
        <f t="array" ref="J140">IF(ISBLANK(I140), IF(ISBLANK(H140), "N/A", _xlfn.IFS(K140="AS", H140+15, K140="NCR", H140+30, K140="submitted", H140+30, TRUE, "N/A")), _xlfn.IFS(K140="AS", I140+15, K140="NCR", I140+30, K140="submitted", I140+30, TRUE, "N/A"))</f>
        <v>N/A</v>
      </c>
      <c r="K140" s="9"/>
      <c r="L140" s="318"/>
      <c r="M140" s="772"/>
      <c r="N140" s="773"/>
      <c r="O140" s="773"/>
      <c r="P140" s="774"/>
    </row>
    <row r="141" spans="1:16" s="1" customFormat="1" ht="15" customHeight="1">
      <c r="A141" s="9"/>
      <c r="B141" s="791"/>
      <c r="C141" s="884"/>
      <c r="D141" s="50"/>
      <c r="E141" s="40" t="s">
        <v>1526</v>
      </c>
      <c r="F141" s="9" t="s">
        <v>861</v>
      </c>
      <c r="G141" s="13" t="s">
        <v>482</v>
      </c>
      <c r="H141" s="14"/>
      <c r="I141" s="14"/>
      <c r="J141" s="289" t="str" cm="1">
        <f t="array" ref="J141">IF(ISBLANK(I141), IF(ISBLANK(H141), "N/A", _xlfn.IFS(K141="AS", H141+15, K141="NCR", H141+30, K141="submitted", H141+30, TRUE, "N/A")), _xlfn.IFS(K141="AS", I141+15, K141="NCR", I141+30, K141="submitted", I141+30, TRUE, "N/A"))</f>
        <v>N/A</v>
      </c>
      <c r="K141" s="9"/>
      <c r="L141" s="318"/>
      <c r="M141" s="772"/>
      <c r="N141" s="773"/>
      <c r="O141" s="773"/>
      <c r="P141" s="774"/>
    </row>
    <row r="142" spans="1:16" s="1" customFormat="1" ht="15" customHeight="1">
      <c r="A142" s="9"/>
      <c r="B142" s="791"/>
      <c r="C142" s="884"/>
      <c r="D142" s="50"/>
      <c r="E142" s="50" t="s">
        <v>1532</v>
      </c>
      <c r="F142" s="9" t="s">
        <v>863</v>
      </c>
      <c r="G142" s="13" t="s">
        <v>1749</v>
      </c>
      <c r="H142" s="14"/>
      <c r="I142" s="14"/>
      <c r="J142" s="289" t="str" cm="1">
        <f t="array" ref="J142">IF(ISBLANK(I142), IF(ISBLANK(H142), "N/A", _xlfn.IFS(K142="AS", H142+15, K142="NCR", H142+30, K142="submitted", H142+30, TRUE, "N/A")), _xlfn.IFS(K142="AS", I142+15, K142="NCR", I142+30, K142="submitted", I142+30, TRUE, "N/A"))</f>
        <v>N/A</v>
      </c>
      <c r="K142" s="9"/>
      <c r="L142" s="318"/>
      <c r="M142" s="772"/>
      <c r="N142" s="773"/>
      <c r="O142" s="773"/>
      <c r="P142" s="774"/>
    </row>
    <row r="143" spans="1:16" s="1" customFormat="1" ht="15" customHeight="1">
      <c r="A143" s="9"/>
      <c r="B143" s="791"/>
      <c r="C143" s="884"/>
      <c r="D143" s="50"/>
      <c r="E143" s="50" t="s">
        <v>1526</v>
      </c>
      <c r="F143" s="9" t="s">
        <v>1341</v>
      </c>
      <c r="G143" s="13" t="s">
        <v>1750</v>
      </c>
      <c r="H143" s="14"/>
      <c r="I143" s="14"/>
      <c r="J143" s="289" t="str" cm="1">
        <f t="array" ref="J143">IF(ISBLANK(I143), IF(ISBLANK(H143), "N/A", _xlfn.IFS(K143="AS", H143+15, K143="NCR", H143+30, K143="submitted", H143+30, TRUE, "N/A")), _xlfn.IFS(K143="AS", I143+15, K143="NCR", I143+30, K143="submitted", I143+30, TRUE, "N/A"))</f>
        <v>N/A</v>
      </c>
      <c r="K143" s="9"/>
      <c r="L143" s="318"/>
      <c r="M143" s="772"/>
      <c r="N143" s="773"/>
      <c r="O143" s="773"/>
      <c r="P143" s="774"/>
    </row>
    <row r="144" spans="1:16" s="1" customFormat="1" ht="15" customHeight="1">
      <c r="A144" s="9"/>
      <c r="B144" s="791"/>
      <c r="C144" s="884"/>
      <c r="D144" s="50"/>
      <c r="E144" s="50" t="s">
        <v>1526</v>
      </c>
      <c r="F144" s="9" t="s">
        <v>1343</v>
      </c>
      <c r="G144" s="13" t="s">
        <v>1751</v>
      </c>
      <c r="H144" s="14"/>
      <c r="I144" s="14"/>
      <c r="J144" s="289" t="str" cm="1">
        <f t="array" ref="J144">IF(ISBLANK(I144), IF(ISBLANK(H144), "N/A", _xlfn.IFS(K144="AS", H144+15, K144="NCR", H144+30, K144="submitted", H144+30, TRUE, "N/A")), _xlfn.IFS(K144="AS", I144+15, K144="NCR", I144+30, K144="submitted", I144+30, TRUE, "N/A"))</f>
        <v>N/A</v>
      </c>
      <c r="K144" s="9"/>
      <c r="L144" s="318"/>
      <c r="M144" s="772"/>
      <c r="N144" s="773"/>
      <c r="O144" s="773"/>
      <c r="P144" s="774"/>
    </row>
    <row r="145" spans="1:16" s="1" customFormat="1" ht="53.25">
      <c r="A145" s="9"/>
      <c r="B145" s="777"/>
      <c r="C145" s="885"/>
      <c r="D145" s="52"/>
      <c r="E145" s="50" t="s">
        <v>1526</v>
      </c>
      <c r="F145" s="9" t="s">
        <v>1752</v>
      </c>
      <c r="G145" s="7" t="s">
        <v>1753</v>
      </c>
      <c r="H145" s="14"/>
      <c r="I145" s="14"/>
      <c r="J145" s="289" t="str" cm="1">
        <f t="array" ref="J145">IF(ISBLANK(I145), IF(ISBLANK(H145), "N/A", _xlfn.IFS(K145="AS", H145+15, K145="NCR", H145+30, K145="submitted", H145+30, TRUE, "N/A")), _xlfn.IFS(K145="AS", I145+15, K145="NCR", I145+30, K145="submitted", I145+30, TRUE, "N/A"))</f>
        <v>N/A</v>
      </c>
      <c r="K145" s="9"/>
      <c r="L145" s="318"/>
      <c r="M145" s="772"/>
      <c r="N145" s="773"/>
      <c r="O145" s="773"/>
      <c r="P145" s="774"/>
    </row>
    <row r="146" spans="1:16" s="5" customFormat="1" ht="15" customHeight="1">
      <c r="A146" s="4"/>
      <c r="B146" s="794" t="s">
        <v>1754</v>
      </c>
      <c r="C146" s="796" t="s">
        <v>1755</v>
      </c>
      <c r="D146" s="34"/>
      <c r="E146" s="34" t="s">
        <v>1526</v>
      </c>
      <c r="F146" s="4" t="s">
        <v>205</v>
      </c>
      <c r="G146" s="17" t="s">
        <v>476</v>
      </c>
      <c r="H146" s="18"/>
      <c r="I146" s="18"/>
      <c r="J146" s="289" t="str" cm="1">
        <f t="array" ref="J146">IF(ISBLANK(I146), IF(ISBLANK(H146), "N/A", _xlfn.IFS(K146="AS", H146+15, K146="NCR", H146+30, K146="submitted", H146+30, TRUE, "N/A")), _xlfn.IFS(K146="AS", I146+15, K146="NCR", I146+30, K146="submitted", I146+30, TRUE, "N/A"))</f>
        <v>N/A</v>
      </c>
      <c r="K146" s="4"/>
      <c r="L146" s="318"/>
      <c r="M146" s="772"/>
      <c r="N146" s="773"/>
      <c r="O146" s="773"/>
      <c r="P146" s="774"/>
    </row>
    <row r="147" spans="1:16" s="5" customFormat="1" ht="15" customHeight="1">
      <c r="A147" s="19"/>
      <c r="B147" s="795"/>
      <c r="C147" s="797"/>
      <c r="D147" s="35"/>
      <c r="E147" s="34" t="s">
        <v>1526</v>
      </c>
      <c r="F147" s="19" t="s">
        <v>275</v>
      </c>
      <c r="G147" s="34" t="s">
        <v>268</v>
      </c>
      <c r="H147" s="30"/>
      <c r="I147" s="30"/>
      <c r="J147" s="289" t="str" cm="1">
        <f t="array" ref="J147">IF(ISBLANK(I147), IF(ISBLANK(H147), "N/A", _xlfn.IFS(K147="AS", H147+15, K147="NCR", H147+30, K147="submitted", H147+30, TRUE, "N/A")), _xlfn.IFS(K147="AS", I147+15, K147="NCR", I147+30, K147="submitted", I147+30, TRUE, "N/A"))</f>
        <v>N/A</v>
      </c>
      <c r="K147" s="19"/>
      <c r="L147" s="318"/>
      <c r="M147" s="772"/>
      <c r="N147" s="773"/>
      <c r="O147" s="773"/>
      <c r="P147" s="774"/>
    </row>
    <row r="148" spans="1:16" s="1" customFormat="1" ht="15" customHeight="1">
      <c r="A148" s="38"/>
      <c r="B148" s="47" t="s">
        <v>1756</v>
      </c>
      <c r="C148" s="2" t="s">
        <v>1757</v>
      </c>
      <c r="D148" s="37"/>
      <c r="E148" s="34" t="s">
        <v>1526</v>
      </c>
      <c r="F148" s="38" t="s">
        <v>210</v>
      </c>
      <c r="G148" s="37" t="s">
        <v>1758</v>
      </c>
      <c r="H148" s="41"/>
      <c r="I148" s="41"/>
      <c r="J148" s="289" t="str" cm="1">
        <f t="array" ref="J148">IF(ISBLANK(I148), IF(ISBLANK(H148), "N/A", _xlfn.IFS(K148="AS", H148+15, K148="NCR", H148+30, K148="submitted", H148+30, TRUE, "N/A")), _xlfn.IFS(K148="AS", I148+15, K148="NCR", I148+30, K148="submitted", I148+30, TRUE, "N/A"))</f>
        <v>N/A</v>
      </c>
      <c r="K148" s="38"/>
      <c r="L148" s="318"/>
      <c r="M148" s="772"/>
      <c r="N148" s="773"/>
      <c r="O148" s="773"/>
      <c r="P148" s="774"/>
    </row>
    <row r="149" spans="1:16" s="150" customFormat="1" ht="15.75" customHeight="1">
      <c r="A149" s="602" t="s">
        <v>1759</v>
      </c>
      <c r="B149" s="246" t="s">
        <v>1756</v>
      </c>
      <c r="C149" s="333" t="s">
        <v>1757</v>
      </c>
      <c r="D149" s="220" t="s">
        <v>1760</v>
      </c>
      <c r="E149" s="232" t="s">
        <v>1761</v>
      </c>
      <c r="F149" s="602" t="s">
        <v>328</v>
      </c>
      <c r="G149" s="232" t="s">
        <v>276</v>
      </c>
      <c r="H149" s="603">
        <v>45908</v>
      </c>
      <c r="I149" s="603">
        <v>45910</v>
      </c>
      <c r="J149" s="289" cm="1">
        <f t="array" ref="J149">IF(ISBLANK(I149), IF(ISBLANK(H149), "N/A", _xlfn.IFS(K149="AS", H149+15, K149="NCR", H149+30, K149="submitted", H149+30, TRUE, "N/A")), _xlfn.IFS(K149="AS", I149+15, K149="NCR", I149+30, K149="submitted", I149+30, TRUE, "N/A"))</f>
        <v>45940</v>
      </c>
      <c r="K149" s="602" t="s">
        <v>207</v>
      </c>
      <c r="L149" s="318"/>
      <c r="M149" s="772"/>
      <c r="N149" s="773"/>
      <c r="O149" s="773"/>
      <c r="P149" s="774"/>
    </row>
    <row r="150" spans="1:16" s="1" customFormat="1" ht="15" customHeight="1">
      <c r="A150" s="38"/>
      <c r="B150" s="47" t="s">
        <v>1756</v>
      </c>
      <c r="C150" s="2" t="s">
        <v>1757</v>
      </c>
      <c r="D150" s="39"/>
      <c r="E150" s="34" t="s">
        <v>1526</v>
      </c>
      <c r="F150" s="38" t="s">
        <v>234</v>
      </c>
      <c r="G150" s="37" t="s">
        <v>1762</v>
      </c>
      <c r="H150" s="41"/>
      <c r="I150" s="41"/>
      <c r="J150" s="289" t="str" cm="1">
        <f t="array" ref="J150">IF(ISBLANK(I150), IF(ISBLANK(H150), "N/A", _xlfn.IFS(K150="AS", H150+15, K150="NCR", H150+30, K150="submitted", H150+30, TRUE, "N/A")), _xlfn.IFS(K150="AS", I150+15, K150="NCR", I150+30, K150="submitted", I150+30, TRUE, "N/A"))</f>
        <v>N/A</v>
      </c>
      <c r="K150" s="38"/>
      <c r="L150" s="318"/>
      <c r="M150" s="772"/>
      <c r="N150" s="773"/>
      <c r="O150" s="773"/>
      <c r="P150" s="774"/>
    </row>
    <row r="151" spans="1:16" s="1" customFormat="1" ht="15" customHeight="1">
      <c r="A151" s="38"/>
      <c r="B151" s="47" t="s">
        <v>1756</v>
      </c>
      <c r="C151" s="2" t="s">
        <v>1757</v>
      </c>
      <c r="D151" s="39"/>
      <c r="E151" s="34" t="s">
        <v>1526</v>
      </c>
      <c r="F151" s="38" t="s">
        <v>330</v>
      </c>
      <c r="G151" s="37" t="s">
        <v>1763</v>
      </c>
      <c r="H151" s="41"/>
      <c r="I151" s="41"/>
      <c r="J151" s="289" t="str" cm="1">
        <f t="array" ref="J151">IF(ISBLANK(I151), IF(ISBLANK(H151), "N/A", _xlfn.IFS(K151="AS", H151+15, K151="NCR", H151+30, K151="submitted", H151+30, TRUE, "N/A")), _xlfn.IFS(K151="AS", I151+15, K151="NCR", I151+30, K151="submitted", I151+30, TRUE, "N/A"))</f>
        <v>N/A</v>
      </c>
      <c r="K151" s="38"/>
      <c r="L151" s="318"/>
      <c r="M151" s="772"/>
      <c r="N151" s="773"/>
      <c r="O151" s="773"/>
      <c r="P151" s="774"/>
    </row>
    <row r="152" spans="1:16" s="1" customFormat="1" ht="15" customHeight="1">
      <c r="A152" s="38"/>
      <c r="B152" s="47" t="s">
        <v>1756</v>
      </c>
      <c r="C152" s="2" t="s">
        <v>1757</v>
      </c>
      <c r="D152" s="39"/>
      <c r="E152" s="39" t="s">
        <v>158</v>
      </c>
      <c r="F152" s="38" t="s">
        <v>1764</v>
      </c>
      <c r="G152" s="37" t="s">
        <v>1765</v>
      </c>
      <c r="H152" s="41"/>
      <c r="I152" s="41"/>
      <c r="J152" s="289" t="str" cm="1">
        <f t="array" ref="J152">IF(ISBLANK(I152), IF(ISBLANK(H152), "N/A", _xlfn.IFS(K152="AS", H152+15, K152="NCR", H152+30, K152="submitted", H152+30, TRUE, "N/A")), _xlfn.IFS(K152="AS", I152+15, K152="NCR", I152+30, K152="submitted", I152+30, TRUE, "N/A"))</f>
        <v>N/A</v>
      </c>
      <c r="K152" s="38"/>
      <c r="L152" s="318"/>
      <c r="M152" s="772"/>
      <c r="N152" s="773"/>
      <c r="O152" s="773"/>
      <c r="P152" s="774"/>
    </row>
    <row r="153" spans="1:16" s="1" customFormat="1" ht="15" customHeight="1">
      <c r="A153" s="38"/>
      <c r="B153" s="47" t="s">
        <v>1756</v>
      </c>
      <c r="C153" s="2" t="s">
        <v>1757</v>
      </c>
      <c r="D153" s="39"/>
      <c r="E153" s="39" t="s">
        <v>158</v>
      </c>
      <c r="F153" s="38" t="s">
        <v>1766</v>
      </c>
      <c r="G153" s="37" t="s">
        <v>1767</v>
      </c>
      <c r="H153" s="41"/>
      <c r="I153" s="41"/>
      <c r="J153" s="289" t="str" cm="1">
        <f t="array" ref="J153">IF(ISBLANK(I153), IF(ISBLANK(H153), "N/A", _xlfn.IFS(K153="AS", H153+15, K153="NCR", H153+30, K153="submitted", H153+30, TRUE, "N/A")), _xlfn.IFS(K153="AS", I153+15, K153="NCR", I153+30, K153="submitted", I153+30, TRUE, "N/A"))</f>
        <v>N/A</v>
      </c>
      <c r="K153" s="38"/>
      <c r="L153" s="318"/>
      <c r="M153" s="772"/>
      <c r="N153" s="773"/>
      <c r="O153" s="773"/>
      <c r="P153" s="774"/>
    </row>
    <row r="154" spans="1:16" s="1" customFormat="1" ht="36" customHeight="1">
      <c r="A154" s="38"/>
      <c r="B154" s="47" t="s">
        <v>1756</v>
      </c>
      <c r="C154" s="2" t="s">
        <v>1757</v>
      </c>
      <c r="D154" s="39"/>
      <c r="E154" s="39" t="s">
        <v>158</v>
      </c>
      <c r="F154" s="38" t="s">
        <v>1768</v>
      </c>
      <c r="G154" s="37" t="s">
        <v>1769</v>
      </c>
      <c r="H154" s="41"/>
      <c r="I154" s="41"/>
      <c r="J154" s="289" t="str" cm="1">
        <f t="array" ref="J154">IF(ISBLANK(I154), IF(ISBLANK(H154), "N/A", _xlfn.IFS(K154="AS", H154+15, K154="NCR", H154+30, K154="submitted", H154+30, TRUE, "N/A")), _xlfn.IFS(K154="AS", I154+15, K154="NCR", I154+30, K154="submitted", I154+30, TRUE, "N/A"))</f>
        <v>N/A</v>
      </c>
      <c r="K154" s="38"/>
      <c r="L154" s="318"/>
      <c r="M154" s="772"/>
      <c r="N154" s="773"/>
      <c r="O154" s="773"/>
      <c r="P154" s="774"/>
    </row>
    <row r="155" spans="1:16" s="66" customFormat="1" ht="42.75" customHeight="1">
      <c r="A155" s="62"/>
      <c r="B155" s="871" t="s">
        <v>1770</v>
      </c>
      <c r="C155" s="874" t="s">
        <v>1771</v>
      </c>
      <c r="D155" s="63"/>
      <c r="E155" s="63" t="s">
        <v>1526</v>
      </c>
      <c r="F155" s="62" t="s">
        <v>210</v>
      </c>
      <c r="G155" s="64" t="s">
        <v>1772</v>
      </c>
      <c r="H155" s="65"/>
      <c r="I155" s="65"/>
      <c r="J155" s="289" t="str" cm="1">
        <f t="array" ref="J155">IF(ISBLANK(I155), IF(ISBLANK(H155), "N/A", _xlfn.IFS(K155="AS", H155+15, K155="NCR", H155+30, K155="submitted", H155+30, TRUE, "N/A")), _xlfn.IFS(K155="AS", I155+15, K155="NCR", I155+30, K155="submitted", I155+30, TRUE, "N/A"))</f>
        <v>N/A</v>
      </c>
      <c r="K155" s="62"/>
      <c r="L155" s="318"/>
      <c r="M155" s="772"/>
      <c r="N155" s="773"/>
      <c r="O155" s="773"/>
      <c r="P155" s="774"/>
    </row>
    <row r="156" spans="1:16" s="71" customFormat="1" ht="15.75" customHeight="1">
      <c r="A156" s="67"/>
      <c r="B156" s="872"/>
      <c r="C156" s="875"/>
      <c r="D156" s="68"/>
      <c r="E156" s="63" t="s">
        <v>1526</v>
      </c>
      <c r="F156" s="67" t="s">
        <v>328</v>
      </c>
      <c r="G156" s="69" t="s">
        <v>1773</v>
      </c>
      <c r="H156" s="70"/>
      <c r="I156" s="70"/>
      <c r="J156" s="289" t="str" cm="1">
        <f t="array" ref="J156">IF(ISBLANK(I156), IF(ISBLANK(H156), "N/A", _xlfn.IFS(K156="AS", H156+15, K156="NCR", H156+30, K156="submitted", H156+30, TRUE, "N/A")), _xlfn.IFS(K156="AS", I156+15, K156="NCR", I156+30, K156="submitted", I156+30, TRUE, "N/A"))</f>
        <v>N/A</v>
      </c>
      <c r="K156" s="67"/>
      <c r="L156" s="318"/>
      <c r="M156" s="772"/>
      <c r="N156" s="773"/>
      <c r="O156" s="773"/>
      <c r="P156" s="774"/>
    </row>
    <row r="157" spans="1:16" s="71" customFormat="1" ht="40.5" customHeight="1">
      <c r="A157" s="67"/>
      <c r="B157" s="872"/>
      <c r="C157" s="875"/>
      <c r="D157" s="68"/>
      <c r="E157" s="63" t="s">
        <v>1526</v>
      </c>
      <c r="F157" s="67" t="s">
        <v>329</v>
      </c>
      <c r="G157" s="72" t="s">
        <v>1774</v>
      </c>
      <c r="H157" s="70"/>
      <c r="I157" s="70"/>
      <c r="J157" s="289" t="str" cm="1">
        <f t="array" ref="J157">IF(ISBLANK(I157), IF(ISBLANK(H157), "N/A", _xlfn.IFS(K157="AS", H157+15, K157="NCR", H157+30, K157="submitted", H157+30, TRUE, "N/A")), _xlfn.IFS(K157="AS", I157+15, K157="NCR", I157+30, K157="submitted", I157+30, TRUE, "N/A"))</f>
        <v>N/A</v>
      </c>
      <c r="K157" s="67"/>
      <c r="L157" s="318"/>
      <c r="M157" s="772"/>
      <c r="N157" s="773"/>
      <c r="O157" s="773"/>
      <c r="P157" s="774"/>
    </row>
    <row r="158" spans="1:16" s="71" customFormat="1" ht="15.75" customHeight="1">
      <c r="A158" s="67"/>
      <c r="B158" s="872"/>
      <c r="C158" s="875"/>
      <c r="D158" s="68"/>
      <c r="E158" s="63" t="s">
        <v>1526</v>
      </c>
      <c r="F158" s="67" t="s">
        <v>396</v>
      </c>
      <c r="G158" s="69" t="s">
        <v>1775</v>
      </c>
      <c r="H158" s="70"/>
      <c r="I158" s="70"/>
      <c r="J158" s="289" t="str" cm="1">
        <f t="array" ref="J158">IF(ISBLANK(I158), IF(ISBLANK(H158), "N/A", _xlfn.IFS(K158="AS", H158+15, K158="NCR", H158+30, K158="submitted", H158+30, TRUE, "N/A")), _xlfn.IFS(K158="AS", I158+15, K158="NCR", I158+30, K158="submitted", I158+30, TRUE, "N/A"))</f>
        <v>N/A</v>
      </c>
      <c r="K158" s="67"/>
      <c r="L158" s="318"/>
      <c r="M158" s="772"/>
      <c r="N158" s="773"/>
      <c r="O158" s="773"/>
      <c r="P158" s="774"/>
    </row>
    <row r="159" spans="1:16" s="71" customFormat="1" ht="15.75" customHeight="1">
      <c r="A159" s="67"/>
      <c r="B159" s="873"/>
      <c r="C159" s="876"/>
      <c r="D159" s="69"/>
      <c r="E159" s="63" t="s">
        <v>1526</v>
      </c>
      <c r="F159" s="67" t="s">
        <v>397</v>
      </c>
      <c r="G159" s="69" t="s">
        <v>1776</v>
      </c>
      <c r="H159" s="70"/>
      <c r="I159" s="70"/>
      <c r="J159" s="289" t="str" cm="1">
        <f t="array" ref="J159">IF(ISBLANK(I159), IF(ISBLANK(H159), "N/A", _xlfn.IFS(K159="AS", H159+15, K159="NCR", H159+30, K159="submitted", H159+30, TRUE, "N/A")), _xlfn.IFS(K159="AS", I159+15, K159="NCR", I159+30, K159="submitted", I159+30, TRUE, "N/A"))</f>
        <v>N/A</v>
      </c>
      <c r="K159" s="67"/>
      <c r="L159" s="318"/>
      <c r="M159" s="772"/>
      <c r="N159" s="773"/>
      <c r="O159" s="773"/>
      <c r="P159" s="774"/>
    </row>
    <row r="160" spans="1:16" s="4" customFormat="1" ht="15" customHeight="1">
      <c r="B160" s="794" t="s">
        <v>1777</v>
      </c>
      <c r="C160" s="796" t="s">
        <v>1778</v>
      </c>
      <c r="D160" s="34"/>
      <c r="E160" s="34" t="s">
        <v>1526</v>
      </c>
      <c r="F160" s="4" t="s">
        <v>205</v>
      </c>
      <c r="G160" s="17" t="s">
        <v>1779</v>
      </c>
      <c r="H160" s="18"/>
      <c r="I160" s="18"/>
      <c r="J160" s="289" t="str" cm="1">
        <f t="array" ref="J160">IF(ISBLANK(I160), IF(ISBLANK(H160), "N/A", _xlfn.IFS(K160="AS", H160+15, K160="NCR", H160+30, K160="submitted", H160+30, TRUE, "N/A")), _xlfn.IFS(K160="AS", I160+15, K160="NCR", I160+30, K160="submitted", I160+30, TRUE, "N/A"))</f>
        <v>N/A</v>
      </c>
      <c r="L160" s="318"/>
      <c r="M160" s="772"/>
      <c r="N160" s="773"/>
      <c r="O160" s="773"/>
      <c r="P160" s="774"/>
    </row>
    <row r="161" spans="1:16" s="5" customFormat="1" ht="15" customHeight="1">
      <c r="A161" s="73"/>
      <c r="B161" s="798"/>
      <c r="C161" s="799"/>
      <c r="D161" s="35"/>
      <c r="E161" s="34" t="s">
        <v>1526</v>
      </c>
      <c r="F161" s="73" t="s">
        <v>275</v>
      </c>
      <c r="G161" s="36" t="s">
        <v>1780</v>
      </c>
      <c r="H161" s="74"/>
      <c r="I161" s="74"/>
      <c r="J161" s="289" t="str" cm="1">
        <f t="array" ref="J161">IF(ISBLANK(I161), IF(ISBLANK(H161), "N/A", _xlfn.IFS(K161="AS", H161+15, K161="NCR", H161+30, K161="submitted", H161+30, TRUE, "N/A")), _xlfn.IFS(K161="AS", I161+15, K161="NCR", I161+30, K161="submitted", I161+30, TRUE, "N/A"))</f>
        <v>N/A</v>
      </c>
      <c r="K161" s="73"/>
      <c r="L161" s="318"/>
      <c r="M161" s="772"/>
      <c r="N161" s="773"/>
      <c r="O161" s="773"/>
      <c r="P161" s="774"/>
    </row>
    <row r="162" spans="1:16" s="5" customFormat="1" ht="27" customHeight="1">
      <c r="A162" s="73"/>
      <c r="B162" s="795"/>
      <c r="C162" s="797"/>
      <c r="D162" s="36"/>
      <c r="E162" s="34" t="s">
        <v>1526</v>
      </c>
      <c r="F162" s="73" t="s">
        <v>263</v>
      </c>
      <c r="G162" s="75" t="s">
        <v>1781</v>
      </c>
      <c r="H162" s="74"/>
      <c r="I162" s="74"/>
      <c r="J162" s="289" t="str" cm="1">
        <f t="array" ref="J162">IF(ISBLANK(I162), IF(ISBLANK(H162), "N/A", _xlfn.IFS(K162="AS", H162+15, K162="NCR", H162+30, K162="submitted", H162+30, TRUE, "N/A")), _xlfn.IFS(K162="AS", I162+15, K162="NCR", I162+30, K162="submitted", I162+30, TRUE, "N/A"))</f>
        <v>N/A</v>
      </c>
      <c r="K162" s="73"/>
      <c r="L162" s="318"/>
      <c r="M162" s="772"/>
      <c r="N162" s="773"/>
      <c r="O162" s="773"/>
      <c r="P162" s="774"/>
    </row>
    <row r="163" spans="1:16" s="1" customFormat="1" ht="15" customHeight="1">
      <c r="A163" s="9"/>
      <c r="B163" s="790" t="s">
        <v>1782</v>
      </c>
      <c r="C163" s="792" t="s">
        <v>1783</v>
      </c>
      <c r="D163" s="37"/>
      <c r="E163" s="37" t="s">
        <v>1526</v>
      </c>
      <c r="F163" s="9" t="s">
        <v>272</v>
      </c>
      <c r="G163" s="13" t="s">
        <v>320</v>
      </c>
      <c r="H163" s="14"/>
      <c r="I163" s="14"/>
      <c r="J163" s="289" t="str" cm="1">
        <f t="array" ref="J163">IF(ISBLANK(I163), IF(ISBLANK(H163), "N/A", _xlfn.IFS(K163="AS", H163+15, K163="NCR", H163+30, K163="submitted", H163+30, TRUE, "N/A")), _xlfn.IFS(K163="AS", I163+15, K163="NCR", I163+30, K163="submitted", I163+30, TRUE, "N/A"))</f>
        <v>N/A</v>
      </c>
      <c r="K163" s="9"/>
      <c r="L163" s="318"/>
      <c r="M163" s="772"/>
      <c r="N163" s="773"/>
      <c r="O163" s="773"/>
      <c r="P163" s="774"/>
    </row>
    <row r="164" spans="1:16" s="1" customFormat="1" ht="15" customHeight="1">
      <c r="A164" s="9"/>
      <c r="B164" s="791"/>
      <c r="C164" s="793"/>
      <c r="D164" s="39"/>
      <c r="E164" s="37" t="s">
        <v>1526</v>
      </c>
      <c r="F164" s="9" t="s">
        <v>259</v>
      </c>
      <c r="G164" s="13" t="s">
        <v>476</v>
      </c>
      <c r="H164" s="14"/>
      <c r="I164" s="14"/>
      <c r="J164" s="289" t="str" cm="1">
        <f t="array" ref="J164">IF(ISBLANK(I164), IF(ISBLANK(H164), "N/A", _xlfn.IFS(K164="AS", H164+15, K164="NCR", H164+30, K164="submitted", H164+30, TRUE, "N/A")), _xlfn.IFS(K164="AS", I164+15, K164="NCR", I164+30, K164="submitted", I164+30, TRUE, "N/A"))</f>
        <v>N/A</v>
      </c>
      <c r="K164" s="9"/>
      <c r="L164" s="318"/>
      <c r="M164" s="772"/>
      <c r="N164" s="773"/>
      <c r="O164" s="773"/>
      <c r="P164" s="774"/>
    </row>
    <row r="165" spans="1:16" s="1" customFormat="1" ht="15" customHeight="1">
      <c r="A165" s="9"/>
      <c r="B165" s="791"/>
      <c r="C165" s="793"/>
      <c r="D165" s="39"/>
      <c r="E165" s="37" t="s">
        <v>1526</v>
      </c>
      <c r="F165" s="9" t="s">
        <v>1784</v>
      </c>
      <c r="G165" s="13" t="s">
        <v>1785</v>
      </c>
      <c r="H165" s="14"/>
      <c r="I165" s="14"/>
      <c r="J165" s="289" t="str" cm="1">
        <f t="array" ref="J165">IF(ISBLANK(I165), IF(ISBLANK(H165), "N/A", _xlfn.IFS(K165="AS", H165+15, K165="NCR", H165+30, K165="submitted", H165+30, TRUE, "N/A")), _xlfn.IFS(K165="AS", I165+15, K165="NCR", I165+30, K165="submitted", I165+30, TRUE, "N/A"))</f>
        <v>N/A</v>
      </c>
      <c r="K165" s="9"/>
      <c r="L165" s="318"/>
      <c r="M165" s="772"/>
      <c r="N165" s="773"/>
      <c r="O165" s="773"/>
      <c r="P165" s="774"/>
    </row>
    <row r="166" spans="1:16" s="1" customFormat="1" ht="15" customHeight="1">
      <c r="A166" s="9"/>
      <c r="B166" s="791"/>
      <c r="C166" s="793"/>
      <c r="D166" s="39"/>
      <c r="E166" s="37" t="s">
        <v>1526</v>
      </c>
      <c r="F166" s="9" t="s">
        <v>1786</v>
      </c>
      <c r="G166" s="13" t="s">
        <v>1787</v>
      </c>
      <c r="H166" s="14"/>
      <c r="I166" s="14"/>
      <c r="J166" s="289" t="str" cm="1">
        <f t="array" ref="J166">IF(ISBLANK(I166), IF(ISBLANK(H166), "N/A", _xlfn.IFS(K166="AS", H166+15, K166="NCR", H166+30, K166="submitted", H166+30, TRUE, "N/A")), _xlfn.IFS(K166="AS", I166+15, K166="NCR", I166+30, K166="submitted", I166+30, TRUE, "N/A"))</f>
        <v>N/A</v>
      </c>
      <c r="K166" s="9"/>
      <c r="L166" s="318"/>
      <c r="M166" s="772"/>
      <c r="N166" s="773"/>
      <c r="O166" s="773"/>
      <c r="P166" s="774"/>
    </row>
    <row r="167" spans="1:16" s="1" customFormat="1" ht="15" customHeight="1">
      <c r="A167" s="9"/>
      <c r="B167" s="791"/>
      <c r="C167" s="793"/>
      <c r="D167" s="39"/>
      <c r="E167" s="37" t="s">
        <v>1526</v>
      </c>
      <c r="F167" s="9" t="s">
        <v>1788</v>
      </c>
      <c r="G167" s="13" t="s">
        <v>1789</v>
      </c>
      <c r="H167" s="14"/>
      <c r="I167" s="14"/>
      <c r="J167" s="289" t="str" cm="1">
        <f t="array" ref="J167">IF(ISBLANK(I167), IF(ISBLANK(H167), "N/A", _xlfn.IFS(K167="AS", H167+15, K167="NCR", H167+30, K167="submitted", H167+30, TRUE, "N/A")), _xlfn.IFS(K167="AS", I167+15, K167="NCR", I167+30, K167="submitted", I167+30, TRUE, "N/A"))</f>
        <v>N/A</v>
      </c>
      <c r="K167" s="9"/>
      <c r="L167" s="318"/>
      <c r="M167" s="772"/>
      <c r="N167" s="773"/>
      <c r="O167" s="773"/>
      <c r="P167" s="774"/>
    </row>
    <row r="168" spans="1:16" s="1" customFormat="1" ht="15" customHeight="1">
      <c r="A168" s="9"/>
      <c r="B168" s="791"/>
      <c r="C168" s="793"/>
      <c r="D168" s="39"/>
      <c r="E168" s="37" t="s">
        <v>1526</v>
      </c>
      <c r="F168" s="9" t="s">
        <v>1790</v>
      </c>
      <c r="G168" s="13" t="s">
        <v>436</v>
      </c>
      <c r="H168" s="14"/>
      <c r="I168" s="14"/>
      <c r="J168" s="289" t="str" cm="1">
        <f t="array" ref="J168">IF(ISBLANK(I168), IF(ISBLANK(H168), "N/A", _xlfn.IFS(K168="AS", H168+15, K168="NCR", H168+30, K168="submitted", H168+30, TRUE, "N/A")), _xlfn.IFS(K168="AS", I168+15, K168="NCR", I168+30, K168="submitted", I168+30, TRUE, "N/A"))</f>
        <v>N/A</v>
      </c>
      <c r="K168" s="9"/>
      <c r="L168" s="318"/>
      <c r="M168" s="772"/>
      <c r="N168" s="773"/>
      <c r="O168" s="773"/>
      <c r="P168" s="774"/>
    </row>
    <row r="169" spans="1:16" s="1" customFormat="1" ht="15" customHeight="1">
      <c r="A169" s="9"/>
      <c r="B169" s="777"/>
      <c r="C169" s="779"/>
      <c r="D169" s="46"/>
      <c r="E169" s="37" t="s">
        <v>1526</v>
      </c>
      <c r="F169" s="9" t="s">
        <v>1791</v>
      </c>
      <c r="G169" s="13" t="s">
        <v>357</v>
      </c>
      <c r="H169" s="14"/>
      <c r="I169" s="14"/>
      <c r="J169" s="289" t="str" cm="1">
        <f t="array" ref="J169">IF(ISBLANK(I169), IF(ISBLANK(H169), "N/A", _xlfn.IFS(K169="AS", H169+15, K169="NCR", H169+30, K169="submitted", H169+30, TRUE, "N/A")), _xlfn.IFS(K169="AS", I169+15, K169="NCR", I169+30, K169="submitted", I169+30, TRUE, "N/A"))</f>
        <v>N/A</v>
      </c>
      <c r="K169" s="9"/>
      <c r="L169" s="318"/>
      <c r="M169" s="772"/>
      <c r="N169" s="773"/>
      <c r="O169" s="773"/>
      <c r="P169" s="774"/>
    </row>
    <row r="170" spans="1:16" s="26" customFormat="1" ht="15" customHeight="1">
      <c r="A170" s="22"/>
      <c r="B170" s="864" t="s">
        <v>1792</v>
      </c>
      <c r="C170" s="865" t="s">
        <v>1793</v>
      </c>
      <c r="D170" s="76"/>
      <c r="E170" s="76" t="s">
        <v>1526</v>
      </c>
      <c r="F170" s="22" t="s">
        <v>275</v>
      </c>
      <c r="G170" s="24" t="s">
        <v>1794</v>
      </c>
      <c r="H170" s="25"/>
      <c r="I170" s="25"/>
      <c r="J170" s="289" t="str" cm="1">
        <f t="array" ref="J170">IF(ISBLANK(I170), IF(ISBLANK(H170), "N/A", _xlfn.IFS(K170="AS", H170+15, K170="NCR", H170+30, K170="submitted", H170+30, TRUE, "N/A")), _xlfn.IFS(K170="AS", I170+15, K170="NCR", I170+30, K170="submitted", I170+30, TRUE, "N/A"))</f>
        <v>N/A</v>
      </c>
      <c r="K170" s="22"/>
      <c r="L170" s="318"/>
      <c r="M170" s="772"/>
      <c r="N170" s="773"/>
      <c r="O170" s="773"/>
      <c r="P170" s="774"/>
    </row>
    <row r="171" spans="1:16" s="26" customFormat="1" ht="27" customHeight="1">
      <c r="A171" s="22"/>
      <c r="B171" s="851"/>
      <c r="C171" s="854"/>
      <c r="D171" s="27"/>
      <c r="E171" s="76" t="s">
        <v>1526</v>
      </c>
      <c r="F171" s="22" t="s">
        <v>263</v>
      </c>
      <c r="G171" s="28" t="s">
        <v>1795</v>
      </c>
      <c r="H171" s="25"/>
      <c r="I171" s="25"/>
      <c r="J171" s="289" t="str" cm="1">
        <f t="array" ref="J171">IF(ISBLANK(I171), IF(ISBLANK(H171), "N/A", _xlfn.IFS(K171="AS", H171+15, K171="NCR", H171+30, K171="submitted", H171+30, TRUE, "N/A")), _xlfn.IFS(K171="AS", I171+15, K171="NCR", I171+30, K171="submitted", I171+30, TRUE, "N/A"))</f>
        <v>N/A</v>
      </c>
      <c r="K171" s="22"/>
      <c r="L171" s="318"/>
      <c r="M171" s="772"/>
      <c r="N171" s="773"/>
      <c r="O171" s="773"/>
      <c r="P171" s="774"/>
    </row>
    <row r="172" spans="1:16" s="26" customFormat="1" ht="15" customHeight="1">
      <c r="A172" s="22"/>
      <c r="B172" s="852"/>
      <c r="C172" s="855"/>
      <c r="D172" s="29"/>
      <c r="E172" s="76" t="s">
        <v>1526</v>
      </c>
      <c r="F172" s="22" t="s">
        <v>253</v>
      </c>
      <c r="G172" s="24" t="s">
        <v>1796</v>
      </c>
      <c r="H172" s="25"/>
      <c r="I172" s="25"/>
      <c r="J172" s="289" t="str" cm="1">
        <f t="array" ref="J172">IF(ISBLANK(I172), IF(ISBLANK(H172), "N/A", _xlfn.IFS(K172="AS", H172+15, K172="NCR", H172+30, K172="submitted", H172+30, TRUE, "N/A")), _xlfn.IFS(K172="AS", I172+15, K172="NCR", I172+30, K172="submitted", I172+30, TRUE, "N/A"))</f>
        <v>N/A</v>
      </c>
      <c r="K172" s="22"/>
      <c r="L172" s="318"/>
      <c r="M172" s="772"/>
      <c r="N172" s="773"/>
      <c r="O172" s="773"/>
      <c r="P172" s="774"/>
    </row>
    <row r="173" spans="1:16" s="26" customFormat="1" ht="48.75" customHeight="1">
      <c r="A173" s="22"/>
      <c r="B173" s="864" t="s">
        <v>1797</v>
      </c>
      <c r="C173" s="865" t="s">
        <v>1798</v>
      </c>
      <c r="D173" s="76"/>
      <c r="E173" s="76" t="s">
        <v>1526</v>
      </c>
      <c r="F173" s="22" t="s">
        <v>228</v>
      </c>
      <c r="G173" s="28" t="s">
        <v>1361</v>
      </c>
      <c r="H173" s="25"/>
      <c r="I173" s="25"/>
      <c r="J173" s="289" t="str" cm="1">
        <f t="array" ref="J173">IF(ISBLANK(I173), IF(ISBLANK(H173), "N/A", _xlfn.IFS(K173="AS", H173+15, K173="NCR", H173+30, K173="submitted", H173+30, TRUE, "N/A")), _xlfn.IFS(K173="AS", I173+15, K173="NCR", I173+30, K173="submitted", I173+30, TRUE, "N/A"))</f>
        <v>N/A</v>
      </c>
      <c r="K173" s="22"/>
      <c r="L173" s="318"/>
      <c r="M173" s="772"/>
      <c r="N173" s="773"/>
      <c r="O173" s="773"/>
      <c r="P173" s="774"/>
    </row>
    <row r="174" spans="1:16" s="26" customFormat="1" ht="15" customHeight="1">
      <c r="A174" s="22"/>
      <c r="B174" s="851"/>
      <c r="C174" s="854"/>
      <c r="D174" s="27"/>
      <c r="E174" s="76" t="s">
        <v>1526</v>
      </c>
      <c r="F174" s="22" t="s">
        <v>1132</v>
      </c>
      <c r="G174" s="24" t="s">
        <v>908</v>
      </c>
      <c r="H174" s="25"/>
      <c r="I174" s="25"/>
      <c r="J174" s="289" t="str" cm="1">
        <f t="array" ref="J174">IF(ISBLANK(I174), IF(ISBLANK(H174), "N/A", _xlfn.IFS(K174="AS", H174+15, K174="NCR", H174+30, K174="submitted", H174+30, TRUE, "N/A")), _xlfn.IFS(K174="AS", I174+15, K174="NCR", I174+30, K174="submitted", I174+30, TRUE, "N/A"))</f>
        <v>N/A</v>
      </c>
      <c r="K174" s="22"/>
      <c r="L174" s="318"/>
      <c r="M174" s="772"/>
      <c r="N174" s="773"/>
      <c r="O174" s="773"/>
      <c r="P174" s="774"/>
    </row>
    <row r="175" spans="1:16" s="26" customFormat="1" ht="15" customHeight="1">
      <c r="A175" s="22"/>
      <c r="B175" s="851"/>
      <c r="C175" s="854"/>
      <c r="D175" s="27"/>
      <c r="E175" s="76" t="s">
        <v>1526</v>
      </c>
      <c r="F175" s="22" t="s">
        <v>1134</v>
      </c>
      <c r="G175" s="24" t="s">
        <v>954</v>
      </c>
      <c r="H175" s="25"/>
      <c r="I175" s="25"/>
      <c r="J175" s="289" t="str" cm="1">
        <f t="array" ref="J175">IF(ISBLANK(I175), IF(ISBLANK(H175), "N/A", _xlfn.IFS(K175="AS", H175+15, K175="NCR", H175+30, K175="submitted", H175+30, TRUE, "N/A")), _xlfn.IFS(K175="AS", I175+15, K175="NCR", I175+30, K175="submitted", I175+30, TRUE, "N/A"))</f>
        <v>N/A</v>
      </c>
      <c r="K175" s="22"/>
      <c r="L175" s="318"/>
      <c r="M175" s="772"/>
      <c r="N175" s="773"/>
      <c r="O175" s="773"/>
      <c r="P175" s="774"/>
    </row>
    <row r="176" spans="1:16" s="26" customFormat="1" ht="15" customHeight="1">
      <c r="A176" s="22"/>
      <c r="B176" s="851"/>
      <c r="C176" s="854"/>
      <c r="D176" s="27"/>
      <c r="E176" s="27" t="s">
        <v>1532</v>
      </c>
      <c r="F176" s="22" t="s">
        <v>1136</v>
      </c>
      <c r="G176" s="24" t="s">
        <v>1799</v>
      </c>
      <c r="H176" s="25"/>
      <c r="I176" s="25"/>
      <c r="J176" s="289" t="str" cm="1">
        <f t="array" ref="J176">IF(ISBLANK(I176), IF(ISBLANK(H176), "N/A", _xlfn.IFS(K176="AS", H176+15, K176="NCR", H176+30, K176="submitted", H176+30, TRUE, "N/A")), _xlfn.IFS(K176="AS", I176+15, K176="NCR", I176+30, K176="submitted", I176+30, TRUE, "N/A"))</f>
        <v>N/A</v>
      </c>
      <c r="K176" s="22"/>
      <c r="L176" s="318"/>
      <c r="M176" s="772"/>
      <c r="N176" s="773"/>
      <c r="O176" s="773"/>
      <c r="P176" s="774"/>
    </row>
    <row r="177" spans="1:16" s="26" customFormat="1" ht="15" customHeight="1">
      <c r="A177" s="22"/>
      <c r="B177" s="851"/>
      <c r="C177" s="854"/>
      <c r="D177" s="27"/>
      <c r="E177" s="27" t="s">
        <v>1526</v>
      </c>
      <c r="F177" s="22" t="s">
        <v>1137</v>
      </c>
      <c r="G177" s="24" t="s">
        <v>915</v>
      </c>
      <c r="H177" s="25"/>
      <c r="I177" s="25"/>
      <c r="J177" s="289" t="str" cm="1">
        <f t="array" ref="J177">IF(ISBLANK(I177), IF(ISBLANK(H177), "N/A", _xlfn.IFS(K177="AS", H177+15, K177="NCR", H177+30, K177="submitted", H177+30, TRUE, "N/A")), _xlfn.IFS(K177="AS", I177+15, K177="NCR", I177+30, K177="submitted", I177+30, TRUE, "N/A"))</f>
        <v>N/A</v>
      </c>
      <c r="K177" s="22"/>
      <c r="L177" s="318"/>
      <c r="M177" s="772"/>
      <c r="N177" s="773"/>
      <c r="O177" s="773"/>
      <c r="P177" s="774"/>
    </row>
    <row r="178" spans="1:16" s="26" customFormat="1" ht="15" customHeight="1">
      <c r="A178" s="22"/>
      <c r="B178" s="852"/>
      <c r="C178" s="855"/>
      <c r="D178" s="29"/>
      <c r="E178" s="29" t="s">
        <v>1526</v>
      </c>
      <c r="F178" s="22" t="s">
        <v>330</v>
      </c>
      <c r="G178" s="24" t="s">
        <v>1218</v>
      </c>
      <c r="H178" s="25"/>
      <c r="I178" s="25"/>
      <c r="J178" s="289" t="str" cm="1">
        <f t="array" ref="J178">IF(ISBLANK(I178), IF(ISBLANK(H178), "N/A", _xlfn.IFS(K178="AS", H178+15, K178="NCR", H178+30, K178="submitted", H178+30, TRUE, "N/A")), _xlfn.IFS(K178="AS", I178+15, K178="NCR", I178+30, K178="submitted", I178+30, TRUE, "N/A"))</f>
        <v>N/A</v>
      </c>
      <c r="K178" s="22"/>
      <c r="L178" s="318"/>
      <c r="M178" s="772"/>
      <c r="N178" s="773"/>
      <c r="O178" s="773"/>
      <c r="P178" s="774"/>
    </row>
    <row r="179" spans="1:16" s="5" customFormat="1" ht="15" customHeight="1">
      <c r="A179" s="4"/>
      <c r="B179" s="794" t="s">
        <v>1800</v>
      </c>
      <c r="C179" s="796" t="s">
        <v>1801</v>
      </c>
      <c r="D179" s="34"/>
      <c r="E179" s="34"/>
      <c r="F179" s="4" t="s">
        <v>224</v>
      </c>
      <c r="G179" s="3" t="s">
        <v>1802</v>
      </c>
      <c r="H179" s="18"/>
      <c r="I179" s="18"/>
      <c r="J179" s="289" t="str" cm="1">
        <f t="array" ref="J179">IF(ISBLANK(I179), IF(ISBLANK(H179), "N/A", _xlfn.IFS(K179="AS", H179+15, K179="NCR", H179+30, K179="submitted", H179+30, TRUE, "N/A")), _xlfn.IFS(K179="AS", I179+15, K179="NCR", I179+30, K179="submitted", I179+30, TRUE, "N/A"))</f>
        <v>N/A</v>
      </c>
      <c r="K179" s="4"/>
      <c r="L179" s="318"/>
      <c r="M179" s="772"/>
      <c r="N179" s="773"/>
      <c r="O179" s="773"/>
      <c r="P179" s="774"/>
    </row>
    <row r="180" spans="1:16" s="5" customFormat="1" ht="15" customHeight="1">
      <c r="A180" s="4"/>
      <c r="B180" s="798"/>
      <c r="C180" s="799"/>
      <c r="D180" s="35"/>
      <c r="E180" s="35"/>
      <c r="F180" s="4" t="s">
        <v>328</v>
      </c>
      <c r="G180" s="17" t="s">
        <v>1803</v>
      </c>
      <c r="H180" s="18"/>
      <c r="I180" s="18"/>
      <c r="J180" s="289" t="str" cm="1">
        <f t="array" ref="J180">IF(ISBLANK(I180), IF(ISBLANK(H180), "N/A", _xlfn.IFS(K180="AS", H180+15, K180="NCR", H180+30, K180="submitted", H180+30, TRUE, "N/A")), _xlfn.IFS(K180="AS", I180+15, K180="NCR", I180+30, K180="submitted", I180+30, TRUE, "N/A"))</f>
        <v>N/A</v>
      </c>
      <c r="K180" s="4"/>
      <c r="L180" s="318"/>
      <c r="M180" s="772"/>
      <c r="N180" s="773"/>
      <c r="O180" s="773"/>
      <c r="P180" s="774"/>
    </row>
    <row r="181" spans="1:16" s="5" customFormat="1" ht="15" customHeight="1">
      <c r="A181" s="4"/>
      <c r="B181" s="795"/>
      <c r="C181" s="797"/>
      <c r="D181" s="36"/>
      <c r="E181" s="36"/>
      <c r="F181" s="4" t="s">
        <v>329</v>
      </c>
      <c r="G181" s="17" t="s">
        <v>498</v>
      </c>
      <c r="H181" s="18"/>
      <c r="I181" s="18"/>
      <c r="J181" s="289" t="str" cm="1">
        <f t="array" ref="J181">IF(ISBLANK(I181), IF(ISBLANK(H181), "N/A", _xlfn.IFS(K181="AS", H181+15, K181="NCR", H181+30, K181="submitted", H181+30, TRUE, "N/A")), _xlfn.IFS(K181="AS", I181+15, K181="NCR", I181+30, K181="submitted", I181+30, TRUE, "N/A"))</f>
        <v>N/A</v>
      </c>
      <c r="K181" s="4"/>
      <c r="L181" s="318"/>
      <c r="M181" s="772"/>
      <c r="N181" s="773"/>
      <c r="O181" s="773"/>
      <c r="P181" s="774"/>
    </row>
    <row r="182" spans="1:16" s="1" customFormat="1" ht="15" customHeight="1">
      <c r="A182" s="9"/>
      <c r="B182" s="790" t="s">
        <v>1804</v>
      </c>
      <c r="C182" s="792" t="s">
        <v>1805</v>
      </c>
      <c r="D182" s="37"/>
      <c r="E182" s="37"/>
      <c r="F182" s="9" t="s">
        <v>205</v>
      </c>
      <c r="G182" s="13" t="s">
        <v>320</v>
      </c>
      <c r="H182" s="14"/>
      <c r="I182" s="14"/>
      <c r="J182" s="289" t="str" cm="1">
        <f t="array" ref="J182">IF(ISBLANK(I182), IF(ISBLANK(H182), "N/A", _xlfn.IFS(K182="AS", H182+15, K182="NCR", H182+30, K182="submitted", H182+30, TRUE, "N/A")), _xlfn.IFS(K182="AS", I182+15, K182="NCR", I182+30, K182="submitted", I182+30, TRUE, "N/A"))</f>
        <v>N/A</v>
      </c>
      <c r="K182" s="9"/>
      <c r="L182" s="318"/>
      <c r="M182" s="772"/>
      <c r="N182" s="773"/>
      <c r="O182" s="773"/>
      <c r="P182" s="774"/>
    </row>
    <row r="183" spans="1:16" s="1" customFormat="1" ht="27" customHeight="1">
      <c r="A183" s="38"/>
      <c r="B183" s="791"/>
      <c r="C183" s="793"/>
      <c r="D183" s="39"/>
      <c r="E183" s="39"/>
      <c r="F183" s="38" t="s">
        <v>275</v>
      </c>
      <c r="G183" s="40" t="s">
        <v>1806</v>
      </c>
      <c r="H183" s="41"/>
      <c r="I183" s="41"/>
      <c r="J183" s="289" t="str" cm="1">
        <f t="array" ref="J183">IF(ISBLANK(I183), IF(ISBLANK(H183), "N/A", _xlfn.IFS(K183="AS", H183+15, K183="NCR", H183+30, K183="submitted", H183+30, TRUE, "N/A")), _xlfn.IFS(K183="AS", I183+15, K183="NCR", I183+30, K183="submitted", I183+30, TRUE, "N/A"))</f>
        <v>N/A</v>
      </c>
      <c r="K183" s="38"/>
      <c r="L183" s="318"/>
      <c r="M183" s="772"/>
      <c r="N183" s="773"/>
      <c r="O183" s="773"/>
      <c r="P183" s="774"/>
    </row>
    <row r="184" spans="1:16" s="1" customFormat="1" ht="15" customHeight="1">
      <c r="A184" s="38"/>
      <c r="B184" s="791"/>
      <c r="C184" s="793"/>
      <c r="D184" s="39"/>
      <c r="E184" s="39"/>
      <c r="F184" s="38" t="s">
        <v>263</v>
      </c>
      <c r="G184" s="37" t="s">
        <v>1807</v>
      </c>
      <c r="H184" s="41"/>
      <c r="I184" s="41"/>
      <c r="J184" s="289" t="str" cm="1">
        <f t="array" ref="J184">IF(ISBLANK(I184), IF(ISBLANK(H184), "N/A", _xlfn.IFS(K184="AS", H184+15, K184="NCR", H184+30, K184="submitted", H184+30, TRUE, "N/A")), _xlfn.IFS(K184="AS", I184+15, K184="NCR", I184+30, K184="submitted", I184+30, TRUE, "N/A"))</f>
        <v>N/A</v>
      </c>
      <c r="K184" s="38"/>
      <c r="L184" s="318"/>
      <c r="M184" s="772"/>
      <c r="N184" s="773"/>
      <c r="O184" s="773"/>
      <c r="P184" s="774"/>
    </row>
    <row r="185" spans="1:16" s="1" customFormat="1" ht="15" customHeight="1">
      <c r="A185" s="38"/>
      <c r="B185" s="791"/>
      <c r="C185" s="793"/>
      <c r="D185" s="39"/>
      <c r="E185" s="39"/>
      <c r="F185" s="38" t="s">
        <v>253</v>
      </c>
      <c r="G185" s="37" t="s">
        <v>436</v>
      </c>
      <c r="H185" s="41"/>
      <c r="I185" s="41"/>
      <c r="J185" s="289" t="str" cm="1">
        <f t="array" ref="J185">IF(ISBLANK(I185), IF(ISBLANK(H185), "N/A", _xlfn.IFS(K185="AS", H185+15, K185="NCR", H185+30, K185="submitted", H185+30, TRUE, "N/A")), _xlfn.IFS(K185="AS", I185+15, K185="NCR", I185+30, K185="submitted", I185+30, TRUE, "N/A"))</f>
        <v>N/A</v>
      </c>
      <c r="K185" s="38"/>
      <c r="L185" s="318"/>
      <c r="M185" s="772"/>
      <c r="N185" s="773"/>
      <c r="O185" s="773"/>
      <c r="P185" s="774"/>
    </row>
    <row r="186" spans="1:16" s="1" customFormat="1" ht="27" customHeight="1">
      <c r="A186" s="38"/>
      <c r="B186" s="777"/>
      <c r="C186" s="779"/>
      <c r="D186" s="39"/>
      <c r="E186" s="39"/>
      <c r="F186" s="38" t="s">
        <v>495</v>
      </c>
      <c r="G186" s="40" t="s">
        <v>1808</v>
      </c>
      <c r="H186" s="41"/>
      <c r="I186" s="41"/>
      <c r="J186" s="289" t="str" cm="1">
        <f t="array" ref="J186">IF(ISBLANK(I186), IF(ISBLANK(H186), "N/A", _xlfn.IFS(K186="AS", H186+15, K186="NCR", H186+30, K186="submitted", H186+30, TRUE, "N/A")), _xlfn.IFS(K186="AS", I186+15, K186="NCR", I186+30, K186="submitted", I186+30, TRUE, "N/A"))</f>
        <v>N/A</v>
      </c>
      <c r="K186" s="38"/>
      <c r="L186" s="318"/>
      <c r="M186" s="772"/>
      <c r="N186" s="773"/>
      <c r="O186" s="773"/>
      <c r="P186" s="774"/>
    </row>
    <row r="187" spans="1:16" s="5" customFormat="1" ht="15" customHeight="1">
      <c r="A187" s="19"/>
      <c r="B187" s="794" t="s">
        <v>1809</v>
      </c>
      <c r="C187" s="796" t="s">
        <v>1810</v>
      </c>
      <c r="D187" s="34"/>
      <c r="E187" s="34"/>
      <c r="F187" s="19" t="s">
        <v>205</v>
      </c>
      <c r="G187" s="53" t="s">
        <v>1811</v>
      </c>
      <c r="H187" s="30"/>
      <c r="I187" s="30"/>
      <c r="J187" s="289" t="str" cm="1">
        <f t="array" ref="J187">IF(ISBLANK(I187), IF(ISBLANK(H187), "N/A", _xlfn.IFS(K187="AS", H187+15, K187="NCR", H187+30, K187="submitted", H187+30, TRUE, "N/A")), _xlfn.IFS(K187="AS", I187+15, K187="NCR", I187+30, K187="submitted", I187+30, TRUE, "N/A"))</f>
        <v>N/A</v>
      </c>
      <c r="K187" s="19"/>
      <c r="L187" s="318"/>
      <c r="M187" s="772"/>
      <c r="N187" s="773"/>
      <c r="O187" s="773"/>
      <c r="P187" s="774"/>
    </row>
    <row r="188" spans="1:16" s="77" customFormat="1" ht="40.5" customHeight="1">
      <c r="A188" s="4"/>
      <c r="B188" s="795"/>
      <c r="C188" s="797"/>
      <c r="D188" s="36"/>
      <c r="E188" s="36"/>
      <c r="F188" s="4" t="s">
        <v>275</v>
      </c>
      <c r="G188" s="3" t="s">
        <v>1812</v>
      </c>
      <c r="H188" s="18"/>
      <c r="I188" s="18"/>
      <c r="J188" s="289" t="str" cm="1">
        <f t="array" ref="J188">IF(ISBLANK(I188), IF(ISBLANK(H188), "N/A", _xlfn.IFS(K188="AS", H188+15, K188="NCR", H188+30, K188="submitted", H188+30, TRUE, "N/A")), _xlfn.IFS(K188="AS", I188+15, K188="NCR", I188+30, K188="submitted", I188+30, TRUE, "N/A"))</f>
        <v>N/A</v>
      </c>
      <c r="K188" s="4"/>
      <c r="L188" s="318"/>
      <c r="M188" s="772"/>
      <c r="N188" s="773"/>
      <c r="O188" s="773"/>
      <c r="P188" s="774"/>
    </row>
    <row r="189" spans="1:16" s="26" customFormat="1" ht="15" customHeight="1">
      <c r="A189" s="78"/>
      <c r="B189" s="851" t="s">
        <v>1813</v>
      </c>
      <c r="C189" s="869" t="s">
        <v>1814</v>
      </c>
      <c r="D189" s="78"/>
      <c r="E189" s="78"/>
      <c r="F189" s="78" t="s">
        <v>210</v>
      </c>
      <c r="G189" s="79" t="s">
        <v>320</v>
      </c>
      <c r="H189" s="80"/>
      <c r="I189" s="80"/>
      <c r="J189" s="289" t="str" cm="1">
        <f t="array" ref="J189">IF(ISBLANK(I189), IF(ISBLANK(H189), "N/A", _xlfn.IFS(K189="AS", H189+15, K189="NCR", H189+30, K189="submitted", H189+30, TRUE, "N/A")), _xlfn.IFS(K189="AS", I189+15, K189="NCR", I189+30, K189="submitted", I189+30, TRUE, "N/A"))</f>
        <v>N/A</v>
      </c>
      <c r="K189" s="78"/>
      <c r="L189" s="318"/>
      <c r="M189" s="772"/>
      <c r="N189" s="773"/>
      <c r="O189" s="773"/>
      <c r="P189" s="774"/>
    </row>
    <row r="190" spans="1:16" s="26" customFormat="1" ht="27" customHeight="1">
      <c r="A190" s="78"/>
      <c r="B190" s="851"/>
      <c r="C190" s="869"/>
      <c r="D190" s="78"/>
      <c r="E190" s="78"/>
      <c r="F190" s="22" t="s">
        <v>328</v>
      </c>
      <c r="G190" s="28" t="s">
        <v>1815</v>
      </c>
      <c r="H190" s="80"/>
      <c r="I190" s="80"/>
      <c r="J190" s="289" t="str" cm="1">
        <f t="array" ref="J190">IF(ISBLANK(I190), IF(ISBLANK(H190), "N/A", _xlfn.IFS(K190="AS", H190+15, K190="NCR", H190+30, K190="submitted", H190+30, TRUE, "N/A")), _xlfn.IFS(K190="AS", I190+15, K190="NCR", I190+30, K190="submitted", I190+30, TRUE, "N/A"))</f>
        <v>N/A</v>
      </c>
      <c r="K190" s="78"/>
      <c r="L190" s="318"/>
      <c r="M190" s="772"/>
      <c r="N190" s="773"/>
      <c r="O190" s="773"/>
      <c r="P190" s="774"/>
    </row>
    <row r="191" spans="1:16" s="85" customFormat="1" ht="31.5" customHeight="1">
      <c r="A191" s="81"/>
      <c r="B191" s="868"/>
      <c r="C191" s="870"/>
      <c r="D191" s="81"/>
      <c r="E191" s="81"/>
      <c r="F191" s="82" t="s">
        <v>329</v>
      </c>
      <c r="G191" s="83" t="s">
        <v>1816</v>
      </c>
      <c r="H191" s="84"/>
      <c r="I191" s="84"/>
      <c r="J191" s="289" t="str" cm="1">
        <f t="array" ref="J191">IF(ISBLANK(I191), IF(ISBLANK(H191), "N/A", _xlfn.IFS(K191="AS", H191+15, K191="NCR", H191+30, K191="submitted", H191+30, TRUE, "N/A")), _xlfn.IFS(K191="AS", I191+15, K191="NCR", I191+30, K191="submitted", I191+30, TRUE, "N/A"))</f>
        <v>N/A</v>
      </c>
      <c r="K191" s="81"/>
      <c r="L191" s="318"/>
      <c r="M191" s="772"/>
      <c r="N191" s="773"/>
      <c r="O191" s="773"/>
      <c r="P191" s="774"/>
    </row>
    <row r="192" spans="1:16" s="21" customFormat="1" ht="15" customHeight="1">
      <c r="B192" s="778" t="s">
        <v>1817</v>
      </c>
      <c r="C192" s="780" t="s">
        <v>1818</v>
      </c>
      <c r="D192" s="46"/>
      <c r="E192" s="46"/>
      <c r="F192" s="21" t="s">
        <v>205</v>
      </c>
      <c r="G192" s="46" t="s">
        <v>229</v>
      </c>
      <c r="H192" s="51"/>
      <c r="I192" s="51"/>
      <c r="J192" s="289" t="str" cm="1">
        <f t="array" ref="J192">IF(ISBLANK(I192), IF(ISBLANK(H192), "N/A", _xlfn.IFS(K192="AS", H192+15, K192="NCR", H192+30, K192="submitted", H192+30, TRUE, "N/A")), _xlfn.IFS(K192="AS", I192+15, K192="NCR", I192+30, K192="submitted", I192+30, TRUE, "N/A"))</f>
        <v>N/A</v>
      </c>
      <c r="L192" s="318"/>
      <c r="M192" s="772"/>
      <c r="N192" s="773"/>
      <c r="O192" s="773"/>
      <c r="P192" s="774"/>
    </row>
    <row r="193" spans="1:16" s="1" customFormat="1" ht="15" customHeight="1">
      <c r="A193" s="21"/>
      <c r="B193" s="778"/>
      <c r="C193" s="780"/>
      <c r="D193" s="46"/>
      <c r="E193" s="46"/>
      <c r="F193" s="21" t="s">
        <v>275</v>
      </c>
      <c r="G193" s="46" t="s">
        <v>268</v>
      </c>
      <c r="H193" s="51"/>
      <c r="I193" s="51"/>
      <c r="J193" s="289" t="str" cm="1">
        <f t="array" ref="J193">IF(ISBLANK(I193), IF(ISBLANK(H193), "N/A", _xlfn.IFS(K193="AS", H193+15, K193="NCR", H193+30, K193="submitted", H193+30, TRUE, "N/A")), _xlfn.IFS(K193="AS", I193+15, K193="NCR", I193+30, K193="submitted", I193+30, TRUE, "N/A"))</f>
        <v>N/A</v>
      </c>
      <c r="K193" s="21"/>
      <c r="L193" s="318"/>
      <c r="M193" s="772"/>
      <c r="N193" s="773"/>
      <c r="O193" s="773"/>
      <c r="P193" s="774"/>
    </row>
    <row r="194" spans="1:16" s="1" customFormat="1" ht="15" customHeight="1">
      <c r="A194" s="21"/>
      <c r="B194" s="778"/>
      <c r="C194" s="780"/>
      <c r="D194" s="46"/>
      <c r="E194" s="46"/>
      <c r="F194" s="21" t="s">
        <v>263</v>
      </c>
      <c r="G194" s="46" t="s">
        <v>436</v>
      </c>
      <c r="H194" s="51"/>
      <c r="I194" s="51"/>
      <c r="J194" s="289" t="str" cm="1">
        <f t="array" ref="J194">IF(ISBLANK(I194), IF(ISBLANK(H194), "N/A", _xlfn.IFS(K194="AS", H194+15, K194="NCR", H194+30, K194="submitted", H194+30, TRUE, "N/A")), _xlfn.IFS(K194="AS", I194+15, K194="NCR", I194+30, K194="submitted", I194+30, TRUE, "N/A"))</f>
        <v>N/A</v>
      </c>
      <c r="K194" s="21"/>
      <c r="L194" s="318"/>
      <c r="M194" s="772"/>
      <c r="N194" s="773"/>
      <c r="O194" s="773"/>
      <c r="P194" s="774"/>
    </row>
    <row r="195" spans="1:16" s="1" customFormat="1" ht="15" customHeight="1">
      <c r="A195" s="21"/>
      <c r="B195" s="778"/>
      <c r="C195" s="780"/>
      <c r="D195" s="46"/>
      <c r="E195" s="46"/>
      <c r="F195" s="21" t="s">
        <v>253</v>
      </c>
      <c r="G195" s="46" t="s">
        <v>498</v>
      </c>
      <c r="H195" s="51"/>
      <c r="I195" s="51"/>
      <c r="J195" s="289" t="str" cm="1">
        <f t="array" ref="J195">IF(ISBLANK(I195), IF(ISBLANK(H195), "N/A", _xlfn.IFS(K195="AS", H195+15, K195="NCR", H195+30, K195="submitted", H195+30, TRUE, "N/A")), _xlfn.IFS(K195="AS", I195+15, K195="NCR", I195+30, K195="submitted", I195+30, TRUE, "N/A"))</f>
        <v>N/A</v>
      </c>
      <c r="K195" s="21"/>
      <c r="L195" s="318"/>
      <c r="M195" s="772"/>
      <c r="N195" s="773"/>
      <c r="O195" s="773"/>
      <c r="P195" s="774"/>
    </row>
    <row r="196" spans="1:16" s="5" customFormat="1" ht="15" customHeight="1">
      <c r="A196" s="4"/>
      <c r="B196" s="794" t="s">
        <v>1819</v>
      </c>
      <c r="C196" s="796" t="s">
        <v>1820</v>
      </c>
      <c r="D196" s="34"/>
      <c r="E196" s="34"/>
      <c r="F196" s="4" t="s">
        <v>205</v>
      </c>
      <c r="G196" s="17" t="s">
        <v>1821</v>
      </c>
      <c r="H196" s="18"/>
      <c r="I196" s="18"/>
      <c r="J196" s="289" t="str" cm="1">
        <f t="array" ref="J196">IF(ISBLANK(I196), IF(ISBLANK(H196), "N/A", _xlfn.IFS(K196="AS", H196+15, K196="NCR", H196+30, K196="submitted", H196+30, TRUE, "N/A")), _xlfn.IFS(K196="AS", I196+15, K196="NCR", I196+30, K196="submitted", I196+30, TRUE, "N/A"))</f>
        <v>N/A</v>
      </c>
      <c r="K196" s="4"/>
      <c r="L196" s="318"/>
      <c r="M196" s="772"/>
      <c r="N196" s="773"/>
      <c r="O196" s="773"/>
      <c r="P196" s="774"/>
    </row>
    <row r="197" spans="1:16" s="5" customFormat="1" ht="27" customHeight="1">
      <c r="A197" s="4"/>
      <c r="B197" s="798"/>
      <c r="C197" s="799"/>
      <c r="D197" s="35"/>
      <c r="E197" s="35"/>
      <c r="F197" s="4" t="s">
        <v>220</v>
      </c>
      <c r="G197" s="3" t="s">
        <v>1822</v>
      </c>
      <c r="H197" s="18"/>
      <c r="I197" s="18"/>
      <c r="J197" s="289" t="str" cm="1">
        <f t="array" ref="J197">IF(ISBLANK(I197), IF(ISBLANK(H197), "N/A", _xlfn.IFS(K197="AS", H197+15, K197="NCR", H197+30, K197="submitted", H197+30, TRUE, "N/A")), _xlfn.IFS(K197="AS", I197+15, K197="NCR", I197+30, K197="submitted", I197+30, TRUE, "N/A"))</f>
        <v>N/A</v>
      </c>
      <c r="K197" s="4"/>
      <c r="L197" s="318"/>
      <c r="M197" s="772"/>
      <c r="N197" s="773"/>
      <c r="O197" s="773"/>
      <c r="P197" s="774"/>
    </row>
    <row r="198" spans="1:16" s="5" customFormat="1" ht="40.5" customHeight="1">
      <c r="A198" s="4"/>
      <c r="B198" s="798"/>
      <c r="C198" s="799"/>
      <c r="D198" s="35"/>
      <c r="E198" s="35"/>
      <c r="F198" s="4" t="s">
        <v>535</v>
      </c>
      <c r="G198" s="3" t="s">
        <v>1823</v>
      </c>
      <c r="H198" s="18"/>
      <c r="I198" s="18"/>
      <c r="J198" s="289" t="str" cm="1">
        <f t="array" ref="J198">IF(ISBLANK(I198), IF(ISBLANK(H198), "N/A", _xlfn.IFS(K198="AS", H198+15, K198="NCR", H198+30, K198="submitted", H198+30, TRUE, "N/A")), _xlfn.IFS(K198="AS", I198+15, K198="NCR", I198+30, K198="submitted", I198+30, TRUE, "N/A"))</f>
        <v>N/A</v>
      </c>
      <c r="K198" s="4"/>
      <c r="L198" s="318"/>
      <c r="M198" s="772"/>
      <c r="N198" s="773"/>
      <c r="O198" s="773"/>
      <c r="P198" s="774"/>
    </row>
    <row r="199" spans="1:16" s="5" customFormat="1" ht="15" customHeight="1">
      <c r="A199" s="4"/>
      <c r="B199" s="795"/>
      <c r="C199" s="797"/>
      <c r="D199" s="36"/>
      <c r="E199" s="36" t="s">
        <v>1532</v>
      </c>
      <c r="F199" s="4" t="s">
        <v>263</v>
      </c>
      <c r="G199" s="17" t="s">
        <v>1824</v>
      </c>
      <c r="H199" s="18"/>
      <c r="I199" s="18"/>
      <c r="J199" s="289" t="str" cm="1">
        <f t="array" ref="J199">IF(ISBLANK(I199), IF(ISBLANK(H199), "N/A", _xlfn.IFS(K199="AS", H199+15, K199="NCR", H199+30, K199="submitted", H199+30, TRUE, "N/A")), _xlfn.IFS(K199="AS", I199+15, K199="NCR", I199+30, K199="submitted", I199+30, TRUE, "N/A"))</f>
        <v>N/A</v>
      </c>
      <c r="K199" s="4"/>
      <c r="L199" s="318"/>
      <c r="M199" s="772"/>
      <c r="N199" s="773"/>
      <c r="O199" s="773"/>
      <c r="P199" s="774"/>
    </row>
    <row r="200" spans="1:16" s="1" customFormat="1" ht="15" customHeight="1">
      <c r="A200" s="9"/>
      <c r="B200" s="790" t="s">
        <v>1825</v>
      </c>
      <c r="C200" s="792" t="s">
        <v>1826</v>
      </c>
      <c r="D200" s="37"/>
      <c r="E200" s="37"/>
      <c r="F200" s="9" t="s">
        <v>210</v>
      </c>
      <c r="G200" s="13" t="s">
        <v>429</v>
      </c>
      <c r="H200" s="14"/>
      <c r="I200" s="14"/>
      <c r="J200" s="289" t="str" cm="1">
        <f t="array" ref="J200">IF(ISBLANK(I200), IF(ISBLANK(H200), "N/A", _xlfn.IFS(K200="AS", H200+15, K200="NCR", H200+30, K200="submitted", H200+30, TRUE, "N/A")), _xlfn.IFS(K200="AS", I200+15, K200="NCR", I200+30, K200="submitted", I200+30, TRUE, "N/A"))</f>
        <v>N/A</v>
      </c>
      <c r="K200" s="9"/>
      <c r="L200" s="318"/>
      <c r="M200" s="772"/>
      <c r="N200" s="773"/>
      <c r="O200" s="773"/>
      <c r="P200" s="774"/>
    </row>
    <row r="201" spans="1:16" s="1" customFormat="1" ht="27" customHeight="1">
      <c r="A201" s="9"/>
      <c r="B201" s="791"/>
      <c r="C201" s="793"/>
      <c r="D201" s="39"/>
      <c r="E201" s="39"/>
      <c r="F201" s="9" t="s">
        <v>328</v>
      </c>
      <c r="G201" s="7" t="s">
        <v>1827</v>
      </c>
      <c r="H201" s="14"/>
      <c r="I201" s="14"/>
      <c r="J201" s="289" t="str" cm="1">
        <f t="array" ref="J201">IF(ISBLANK(I201), IF(ISBLANK(H201), "N/A", _xlfn.IFS(K201="AS", H201+15, K201="NCR", H201+30, K201="submitted", H201+30, TRUE, "N/A")), _xlfn.IFS(K201="AS", I201+15, K201="NCR", I201+30, K201="submitted", I201+30, TRUE, "N/A"))</f>
        <v>N/A</v>
      </c>
      <c r="K201" s="9"/>
      <c r="L201" s="318"/>
      <c r="M201" s="772"/>
      <c r="N201" s="773"/>
      <c r="O201" s="773"/>
      <c r="P201" s="774"/>
    </row>
    <row r="202" spans="1:16" s="1" customFormat="1" ht="15" customHeight="1">
      <c r="A202" s="9"/>
      <c r="B202" s="777"/>
      <c r="C202" s="779"/>
      <c r="D202" s="46"/>
      <c r="E202" s="46"/>
      <c r="F202" s="9" t="s">
        <v>329</v>
      </c>
      <c r="G202" s="13" t="s">
        <v>1828</v>
      </c>
      <c r="H202" s="14"/>
      <c r="I202" s="14"/>
      <c r="J202" s="289" t="str" cm="1">
        <f t="array" ref="J202">IF(ISBLANK(I202), IF(ISBLANK(H202), "N/A", _xlfn.IFS(K202="AS", H202+15, K202="NCR", H202+30, K202="submitted", H202+30, TRUE, "N/A")), _xlfn.IFS(K202="AS", I202+15, K202="NCR", I202+30, K202="submitted", I202+30, TRUE, "N/A"))</f>
        <v>N/A</v>
      </c>
      <c r="K202" s="9"/>
      <c r="L202" s="318"/>
      <c r="M202" s="772"/>
      <c r="N202" s="773"/>
      <c r="O202" s="773"/>
      <c r="P202" s="774"/>
    </row>
    <row r="203" spans="1:16" s="138" customFormat="1" ht="40.5" customHeight="1">
      <c r="A203" s="152" t="s">
        <v>36</v>
      </c>
      <c r="B203" s="864" t="s">
        <v>1829</v>
      </c>
      <c r="C203" s="865" t="s">
        <v>1830</v>
      </c>
      <c r="D203" s="592" t="s">
        <v>37</v>
      </c>
      <c r="E203" s="592" t="s">
        <v>1532</v>
      </c>
      <c r="F203" s="152" t="s">
        <v>275</v>
      </c>
      <c r="G203" s="154" t="s">
        <v>1831</v>
      </c>
      <c r="H203" s="262">
        <v>45869</v>
      </c>
      <c r="I203" s="262">
        <v>45905</v>
      </c>
      <c r="J203" s="289" t="str" cm="1">
        <f t="array" ref="J203">IF(ISBLANK(I203), IF(ISBLANK(H203), "N/A", _xlfn.IFS(K203="AS", H203+15, K203="NCR", H203+30, K203="submitted", H203+30, TRUE, "N/A")), _xlfn.IFS(K203="AS", I203+15, K203="NCR", I203+30, K203="submitted", I203+30, TRUE, "N/A"))</f>
        <v>N/A</v>
      </c>
      <c r="K203" s="152" t="s">
        <v>150</v>
      </c>
      <c r="L203" s="318"/>
      <c r="M203" s="766" t="s">
        <v>132</v>
      </c>
      <c r="N203" s="767"/>
      <c r="O203" s="767"/>
      <c r="P203" s="768"/>
    </row>
    <row r="204" spans="1:16" s="26" customFormat="1" ht="15" customHeight="1">
      <c r="A204" s="22"/>
      <c r="B204" s="852"/>
      <c r="C204" s="855"/>
      <c r="D204" s="29"/>
      <c r="E204" s="29"/>
      <c r="F204" s="22" t="s">
        <v>263</v>
      </c>
      <c r="G204" s="24" t="s">
        <v>1832</v>
      </c>
      <c r="H204" s="25"/>
      <c r="I204" s="25"/>
      <c r="J204" s="289" t="str" cm="1">
        <f t="array" ref="J204">IF(ISBLANK(I204), IF(ISBLANK(H204), "N/A", _xlfn.IFS(K204="AS", H204+15, K204="NCR", H204+30, K204="submitted", H204+30, TRUE, "N/A")), _xlfn.IFS(K204="AS", I204+15, K204="NCR", I204+30, K204="submitted", I204+30, TRUE, "N/A"))</f>
        <v>N/A</v>
      </c>
      <c r="K204" s="22"/>
      <c r="L204" s="318"/>
      <c r="M204" s="769"/>
      <c r="N204" s="770"/>
      <c r="O204" s="770"/>
      <c r="P204" s="771"/>
    </row>
    <row r="205" spans="1:16" s="26" customFormat="1" ht="15" customHeight="1">
      <c r="A205" s="22"/>
      <c r="B205" s="864" t="s">
        <v>1833</v>
      </c>
      <c r="C205" s="865" t="s">
        <v>1834</v>
      </c>
      <c r="D205" s="76"/>
      <c r="E205" s="76"/>
      <c r="F205" s="22" t="s">
        <v>205</v>
      </c>
      <c r="G205" s="24" t="s">
        <v>476</v>
      </c>
      <c r="H205" s="25"/>
      <c r="I205" s="25"/>
      <c r="J205" s="289" t="str" cm="1">
        <f t="array" ref="J205">IF(ISBLANK(I205), IF(ISBLANK(H205), "N/A", _xlfn.IFS(K205="AS", H205+15, K205="NCR", H205+30, K205="submitted", H205+30, TRUE, "N/A")), _xlfn.IFS(K205="AS", I205+15, K205="NCR", I205+30, K205="submitted", I205+30, TRUE, "N/A"))</f>
        <v>N/A</v>
      </c>
      <c r="K205" s="22"/>
      <c r="L205" s="318"/>
      <c r="M205" s="769"/>
      <c r="N205" s="770"/>
      <c r="O205" s="770"/>
      <c r="P205" s="771"/>
    </row>
    <row r="206" spans="1:16" s="26" customFormat="1" ht="15" customHeight="1">
      <c r="A206" s="22"/>
      <c r="B206" s="852"/>
      <c r="C206" s="855"/>
      <c r="D206" s="29"/>
      <c r="E206" s="29"/>
      <c r="F206" s="22" t="s">
        <v>275</v>
      </c>
      <c r="G206" s="24" t="s">
        <v>333</v>
      </c>
      <c r="H206" s="25"/>
      <c r="I206" s="25"/>
      <c r="J206" s="289" t="str" cm="1">
        <f t="array" ref="J206">IF(ISBLANK(I206), IF(ISBLANK(H206), "N/A", _xlfn.IFS(K206="AS", H206+15, K206="NCR", H206+30, K206="submitted", H206+30, TRUE, "N/A")), _xlfn.IFS(K206="AS", I206+15, K206="NCR", I206+30, K206="submitted", I206+30, TRUE, "N/A"))</f>
        <v>N/A</v>
      </c>
      <c r="K206" s="22"/>
      <c r="L206" s="318"/>
      <c r="M206" s="769"/>
      <c r="N206" s="770"/>
      <c r="O206" s="770"/>
      <c r="P206" s="771"/>
    </row>
    <row r="207" spans="1:16" s="5" customFormat="1" ht="15" customHeight="1">
      <c r="A207" s="4"/>
      <c r="B207" s="794" t="s">
        <v>1835</v>
      </c>
      <c r="C207" s="796" t="s">
        <v>1836</v>
      </c>
      <c r="D207" s="34"/>
      <c r="E207" s="34"/>
      <c r="F207" s="4" t="s">
        <v>205</v>
      </c>
      <c r="G207" s="17" t="s">
        <v>476</v>
      </c>
      <c r="H207" s="18"/>
      <c r="I207" s="18"/>
      <c r="J207" s="289" t="str" cm="1">
        <f t="array" ref="J207">IF(ISBLANK(I207), IF(ISBLANK(H207), "N/A", _xlfn.IFS(K207="AS", H207+15, K207="NCR", H207+30, K207="submitted", H207+30, TRUE, "N/A")), _xlfn.IFS(K207="AS", I207+15, K207="NCR", I207+30, K207="submitted", I207+30, TRUE, "N/A"))</f>
        <v>N/A</v>
      </c>
      <c r="K207" s="4"/>
      <c r="L207" s="318"/>
      <c r="M207" s="769"/>
      <c r="N207" s="770"/>
      <c r="O207" s="770"/>
      <c r="P207" s="771"/>
    </row>
    <row r="208" spans="1:16" s="5" customFormat="1" ht="27" customHeight="1">
      <c r="A208" s="4"/>
      <c r="B208" s="798"/>
      <c r="C208" s="799"/>
      <c r="D208" s="35"/>
      <c r="E208" s="35"/>
      <c r="F208" s="4" t="s">
        <v>275</v>
      </c>
      <c r="G208" s="3" t="s">
        <v>1837</v>
      </c>
      <c r="H208" s="18"/>
      <c r="I208" s="18"/>
      <c r="J208" s="289" t="str" cm="1">
        <f t="array" ref="J208">IF(ISBLANK(I208), IF(ISBLANK(H208), "N/A", _xlfn.IFS(K208="AS", H208+15, K208="NCR", H208+30, K208="submitted", H208+30, TRUE, "N/A")), _xlfn.IFS(K208="AS", I208+15, K208="NCR", I208+30, K208="submitted", I208+30, TRUE, "N/A"))</f>
        <v>N/A</v>
      </c>
      <c r="K208" s="4"/>
      <c r="L208" s="318"/>
      <c r="M208" s="769"/>
      <c r="N208" s="770"/>
      <c r="O208" s="770"/>
      <c r="P208" s="771"/>
    </row>
    <row r="209" spans="1:16" s="5" customFormat="1" ht="15" customHeight="1">
      <c r="A209" s="4"/>
      <c r="B209" s="798"/>
      <c r="C209" s="799"/>
      <c r="D209" s="35"/>
      <c r="E209" s="35"/>
      <c r="F209" s="4" t="s">
        <v>263</v>
      </c>
      <c r="G209" s="17" t="s">
        <v>1838</v>
      </c>
      <c r="H209" s="18"/>
      <c r="I209" s="18"/>
      <c r="J209" s="289" t="str" cm="1">
        <f t="array" ref="J209">IF(ISBLANK(I209), IF(ISBLANK(H209), "N/A", _xlfn.IFS(K209="AS", H209+15, K209="NCR", H209+30, K209="submitted", H209+30, TRUE, "N/A")), _xlfn.IFS(K209="AS", I209+15, K209="NCR", I209+30, K209="submitted", I209+30, TRUE, "N/A"))</f>
        <v>N/A</v>
      </c>
      <c r="K209" s="4"/>
      <c r="L209" s="318"/>
      <c r="M209" s="769"/>
      <c r="N209" s="770"/>
      <c r="O209" s="770"/>
      <c r="P209" s="771"/>
    </row>
    <row r="210" spans="1:16" s="5" customFormat="1" ht="15" customHeight="1">
      <c r="A210" s="4"/>
      <c r="B210" s="798"/>
      <c r="C210" s="799"/>
      <c r="D210" s="35"/>
      <c r="E210" s="35"/>
      <c r="F210" s="4" t="s">
        <v>253</v>
      </c>
      <c r="G210" s="17" t="s">
        <v>436</v>
      </c>
      <c r="H210" s="18"/>
      <c r="I210" s="18"/>
      <c r="J210" s="289" t="str" cm="1">
        <f t="array" ref="J210">IF(ISBLANK(I210), IF(ISBLANK(H210), "N/A", _xlfn.IFS(K210="AS", H210+15, K210="NCR", H210+30, K210="submitted", H210+30, TRUE, "N/A")), _xlfn.IFS(K210="AS", I210+15, K210="NCR", I210+30, K210="submitted", I210+30, TRUE, "N/A"))</f>
        <v>N/A</v>
      </c>
      <c r="K210" s="4"/>
      <c r="L210" s="318"/>
      <c r="M210" s="769"/>
      <c r="N210" s="770"/>
      <c r="O210" s="770"/>
      <c r="P210" s="771"/>
    </row>
    <row r="211" spans="1:16" s="5" customFormat="1" ht="15" customHeight="1">
      <c r="A211" s="4"/>
      <c r="B211" s="798"/>
      <c r="C211" s="799"/>
      <c r="D211" s="35"/>
      <c r="E211" s="35"/>
      <c r="F211" s="4" t="s">
        <v>495</v>
      </c>
      <c r="G211" s="17" t="s">
        <v>1839</v>
      </c>
      <c r="H211" s="18"/>
      <c r="I211" s="18"/>
      <c r="J211" s="289" t="str" cm="1">
        <f t="array" ref="J211">IF(ISBLANK(I211), IF(ISBLANK(H211), "N/A", _xlfn.IFS(K211="AS", H211+15, K211="NCR", H211+30, K211="submitted", H211+30, TRUE, "N/A")), _xlfn.IFS(K211="AS", I211+15, K211="NCR", I211+30, K211="submitted", I211+30, TRUE, "N/A"))</f>
        <v>N/A</v>
      </c>
      <c r="K211" s="4"/>
      <c r="L211" s="318"/>
      <c r="M211" s="750" t="s">
        <v>147</v>
      </c>
      <c r="N211" s="751"/>
      <c r="O211" s="751"/>
      <c r="P211" s="752"/>
    </row>
    <row r="212" spans="1:16" s="5" customFormat="1" ht="27" customHeight="1">
      <c r="A212" s="4"/>
      <c r="B212" s="798"/>
      <c r="C212" s="799"/>
      <c r="D212" s="35"/>
      <c r="E212" s="35"/>
      <c r="F212" s="4" t="s">
        <v>1110</v>
      </c>
      <c r="G212" s="3" t="s">
        <v>1840</v>
      </c>
      <c r="H212" s="18"/>
      <c r="I212" s="18"/>
      <c r="J212" s="289" t="str" cm="1">
        <f t="array" ref="J212">IF(ISBLANK(I212), IF(ISBLANK(H212), "N/A", _xlfn.IFS(K212="AS", H212+15, K212="NCR", H212+30, K212="submitted", H212+30, TRUE, "N/A")), _xlfn.IFS(K212="AS", I212+15, K212="NCR", I212+30, K212="submitted", I212+30, TRUE, "N/A"))</f>
        <v>N/A</v>
      </c>
      <c r="K212" s="4"/>
      <c r="L212" s="318"/>
      <c r="M212" s="750"/>
      <c r="N212" s="751"/>
      <c r="O212" s="751"/>
      <c r="P212" s="752"/>
    </row>
    <row r="213" spans="1:16" s="5" customFormat="1" ht="15" customHeight="1">
      <c r="A213" s="4"/>
      <c r="B213" s="798"/>
      <c r="C213" s="799"/>
      <c r="D213" s="35"/>
      <c r="E213" s="35"/>
      <c r="F213" s="4" t="s">
        <v>346</v>
      </c>
      <c r="G213" s="17" t="s">
        <v>1841</v>
      </c>
      <c r="H213" s="18"/>
      <c r="I213" s="18"/>
      <c r="J213" s="289" t="str" cm="1">
        <f t="array" ref="J213">IF(ISBLANK(I213), IF(ISBLANK(H213), "N/A", _xlfn.IFS(K213="AS", H213+15, K213="NCR", H213+30, K213="submitted", H213+30, TRUE, "N/A")), _xlfn.IFS(K213="AS", I213+15, K213="NCR", I213+30, K213="submitted", I213+30, TRUE, "N/A"))</f>
        <v>N/A</v>
      </c>
      <c r="K213" s="4"/>
      <c r="L213" s="318"/>
      <c r="M213" s="750"/>
      <c r="N213" s="751"/>
      <c r="O213" s="751"/>
      <c r="P213" s="752"/>
    </row>
    <row r="214" spans="1:16" s="5" customFormat="1" ht="15" customHeight="1">
      <c r="A214" s="4"/>
      <c r="B214" s="795"/>
      <c r="C214" s="797"/>
      <c r="D214" s="36"/>
      <c r="E214" s="36"/>
      <c r="F214" s="4" t="s">
        <v>348</v>
      </c>
      <c r="G214" s="17" t="s">
        <v>357</v>
      </c>
      <c r="H214" s="18"/>
      <c r="I214" s="18"/>
      <c r="J214" s="289" t="str" cm="1">
        <f t="array" ref="J214">IF(ISBLANK(I214), IF(ISBLANK(H214), "N/A", _xlfn.IFS(K214="AS", H214+15, K214="NCR", H214+30, K214="submitted", H214+30, TRUE, "N/A")), _xlfn.IFS(K214="AS", I214+15, K214="NCR", I214+30, K214="submitted", I214+30, TRUE, "N/A"))</f>
        <v>N/A</v>
      </c>
      <c r="K214" s="4"/>
      <c r="L214" s="318"/>
      <c r="M214" s="750"/>
      <c r="N214" s="751"/>
      <c r="O214" s="751"/>
      <c r="P214" s="752"/>
    </row>
    <row r="215" spans="1:16" s="486" customFormat="1" ht="53.25">
      <c r="A215" s="350" t="s">
        <v>40</v>
      </c>
      <c r="B215" s="555" t="s">
        <v>1842</v>
      </c>
      <c r="C215" s="353" t="s">
        <v>1843</v>
      </c>
      <c r="D215" s="547" t="s">
        <v>1844</v>
      </c>
      <c r="E215" s="547" t="s">
        <v>1532</v>
      </c>
      <c r="F215" s="350" t="s">
        <v>275</v>
      </c>
      <c r="G215" s="484" t="s">
        <v>1845</v>
      </c>
      <c r="H215" s="485">
        <v>45869</v>
      </c>
      <c r="I215" s="485">
        <v>45903</v>
      </c>
      <c r="J215" s="289" t="str" cm="1">
        <f t="array" ref="J215">IF(ISBLANK(I215), IF(ISBLANK(H215), "N/A", _xlfn.IFS(K215="AS", H215+15, K215="NCR", H215+30, K215="submitted", H215+30, TRUE, "N/A")), _xlfn.IFS(K215="AS", I215+15, K215="NCR", I215+30, K215="submitted", I215+30, TRUE, "N/A"))</f>
        <v>N/A</v>
      </c>
      <c r="K215" s="350" t="s">
        <v>645</v>
      </c>
      <c r="L215" s="318"/>
      <c r="M215" s="750"/>
      <c r="N215" s="751"/>
      <c r="O215" s="751"/>
      <c r="P215" s="752"/>
    </row>
    <row r="216" spans="1:16" s="26" customFormat="1" ht="15" customHeight="1">
      <c r="A216" s="22"/>
      <c r="B216" s="128" t="s">
        <v>1842</v>
      </c>
      <c r="C216" s="129" t="s">
        <v>1843</v>
      </c>
      <c r="D216" s="27"/>
      <c r="E216" s="27"/>
      <c r="F216" s="22" t="s">
        <v>263</v>
      </c>
      <c r="G216" s="24" t="s">
        <v>320</v>
      </c>
      <c r="H216" s="25"/>
      <c r="I216" s="25"/>
      <c r="J216" s="289" t="str" cm="1">
        <f t="array" ref="J216">IF(ISBLANK(I216), IF(ISBLANK(H216), "N/A", _xlfn.IFS(K216="AS", H216+15, K216="NCR", H216+30, K216="submitted", H216+30, TRUE, "N/A")), _xlfn.IFS(K216="AS", I216+15, K216="NCR", I216+30, K216="submitted", I216+30, TRUE, "N/A"))</f>
        <v>N/A</v>
      </c>
      <c r="K216" s="22"/>
      <c r="L216" s="319"/>
      <c r="M216" s="750"/>
      <c r="N216" s="751"/>
      <c r="O216" s="751"/>
      <c r="P216" s="752"/>
    </row>
    <row r="217" spans="1:16" s="26" customFormat="1" ht="15" customHeight="1">
      <c r="A217" s="22"/>
      <c r="B217" s="128" t="s">
        <v>1842</v>
      </c>
      <c r="C217" s="129" t="s">
        <v>1843</v>
      </c>
      <c r="D217" s="27"/>
      <c r="E217" s="27"/>
      <c r="F217" s="22" t="s">
        <v>253</v>
      </c>
      <c r="G217" s="24" t="s">
        <v>1846</v>
      </c>
      <c r="H217" s="25"/>
      <c r="I217" s="25"/>
      <c r="J217" s="289" t="str" cm="1">
        <f t="array" ref="J217">IF(ISBLANK(I217), IF(ISBLANK(H217), "N/A", _xlfn.IFS(K217="AS", H217+15, K217="NCR", H217+30, K217="submitted", H217+30, TRUE, "N/A")), _xlfn.IFS(K217="AS", I217+15, K217="NCR", I217+30, K217="submitted", I217+30, TRUE, "N/A"))</f>
        <v>N/A</v>
      </c>
      <c r="K217" s="22"/>
      <c r="L217" s="318"/>
      <c r="M217" s="750"/>
      <c r="N217" s="751"/>
      <c r="O217" s="751"/>
      <c r="P217" s="752"/>
    </row>
    <row r="218" spans="1:16" s="26" customFormat="1" ht="36.75" customHeight="1">
      <c r="A218" s="22"/>
      <c r="B218" s="128" t="s">
        <v>1842</v>
      </c>
      <c r="C218" s="129" t="s">
        <v>1843</v>
      </c>
      <c r="D218" s="27"/>
      <c r="E218" s="27" t="s">
        <v>1532</v>
      </c>
      <c r="F218" s="22" t="s">
        <v>344</v>
      </c>
      <c r="G218" s="28" t="s">
        <v>1847</v>
      </c>
      <c r="H218" s="25"/>
      <c r="I218" s="25"/>
      <c r="J218" s="289" t="str" cm="1">
        <f t="array" ref="J218">IF(ISBLANK(I218), IF(ISBLANK(H218), "N/A", _xlfn.IFS(K218="AS", H218+15, K218="NCR", H218+30, K218="submitted", H218+30, TRUE, "N/A")), _xlfn.IFS(K218="AS", I218+15, K218="NCR", I218+30, K218="submitted", I218+30, TRUE, "N/A"))</f>
        <v>N/A</v>
      </c>
      <c r="K218" s="22"/>
      <c r="L218" s="318"/>
      <c r="M218" s="750"/>
      <c r="N218" s="751"/>
      <c r="O218" s="751"/>
      <c r="P218" s="752"/>
    </row>
    <row r="219" spans="1:16" s="26" customFormat="1" ht="42" customHeight="1">
      <c r="A219" s="22"/>
      <c r="B219" s="128" t="s">
        <v>1842</v>
      </c>
      <c r="C219" s="129" t="s">
        <v>1843</v>
      </c>
      <c r="D219" s="27"/>
      <c r="E219" s="27"/>
      <c r="F219" s="22" t="s">
        <v>346</v>
      </c>
      <c r="G219" s="28" t="s">
        <v>1848</v>
      </c>
      <c r="H219" s="25"/>
      <c r="I219" s="25"/>
      <c r="J219" s="289" t="str" cm="1">
        <f t="array" ref="J219">IF(ISBLANK(I219), IF(ISBLANK(H219), "N/A", _xlfn.IFS(K219="AS", H219+15, K219="NCR", H219+30, K219="submitted", H219+30, TRUE, "N/A")), _xlfn.IFS(K219="AS", I219+15, K219="NCR", I219+30, K219="submitted", I219+30, TRUE, "N/A"))</f>
        <v>N/A</v>
      </c>
      <c r="K219" s="22"/>
      <c r="L219" s="318"/>
      <c r="M219" s="750"/>
      <c r="N219" s="751"/>
      <c r="O219" s="751"/>
      <c r="P219" s="752"/>
    </row>
    <row r="220" spans="1:16" s="26" customFormat="1" ht="15" customHeight="1">
      <c r="A220" s="22"/>
      <c r="B220" s="128" t="s">
        <v>1842</v>
      </c>
      <c r="C220" s="129" t="s">
        <v>1843</v>
      </c>
      <c r="D220" s="29"/>
      <c r="E220" s="29"/>
      <c r="F220" s="22" t="s">
        <v>348</v>
      </c>
      <c r="G220" s="24" t="s">
        <v>1849</v>
      </c>
      <c r="H220" s="25"/>
      <c r="I220" s="25"/>
      <c r="J220" s="289" t="str" cm="1">
        <f t="array" ref="J220">IF(ISBLANK(I220), IF(ISBLANK(H220), "N/A", _xlfn.IFS(K220="AS", H220+15, K220="NCR", H220+30, K220="submitted", H220+30, TRUE, "N/A")), _xlfn.IFS(K220="AS", I220+15, K220="NCR", I220+30, K220="submitted", I220+30, TRUE, "N/A"))</f>
        <v>N/A</v>
      </c>
      <c r="K220" s="22"/>
      <c r="L220" s="318"/>
      <c r="M220" s="750"/>
      <c r="N220" s="751"/>
      <c r="O220" s="751"/>
      <c r="P220" s="752"/>
    </row>
    <row r="221" spans="1:16" s="1" customFormat="1" ht="15" customHeight="1">
      <c r="A221" s="9"/>
      <c r="B221" s="790" t="s">
        <v>1850</v>
      </c>
      <c r="C221" s="792" t="s">
        <v>1851</v>
      </c>
      <c r="D221" s="37"/>
      <c r="E221" s="37"/>
      <c r="F221" s="9" t="s">
        <v>205</v>
      </c>
      <c r="G221" s="13" t="s">
        <v>1852</v>
      </c>
      <c r="H221" s="14"/>
      <c r="I221" s="14"/>
      <c r="J221" s="289" t="str" cm="1">
        <f t="array" ref="J221">IF(ISBLANK(I221), IF(ISBLANK(H221), "N/A", _xlfn.IFS(K221="AS", H221+15, K221="NCR", H221+30, K221="submitted", H221+30, TRUE, "N/A")), _xlfn.IFS(K221="AS", I221+15, K221="NCR", I221+30, K221="submitted", I221+30, TRUE, "N/A"))</f>
        <v>N/A</v>
      </c>
      <c r="K221" s="9"/>
      <c r="L221" s="318"/>
      <c r="M221" s="750"/>
      <c r="N221" s="751"/>
      <c r="O221" s="751"/>
      <c r="P221" s="752"/>
    </row>
    <row r="222" spans="1:16" s="1" customFormat="1" ht="15" customHeight="1">
      <c r="A222" s="9"/>
      <c r="B222" s="791"/>
      <c r="C222" s="793"/>
      <c r="D222" s="39"/>
      <c r="E222" s="39"/>
      <c r="F222" s="9" t="s">
        <v>275</v>
      </c>
      <c r="G222" s="13" t="s">
        <v>1853</v>
      </c>
      <c r="H222" s="14"/>
      <c r="I222" s="14"/>
      <c r="J222" s="289" t="str" cm="1">
        <f t="array" ref="J222">IF(ISBLANK(I222), IF(ISBLANK(H222), "N/A", _xlfn.IFS(K222="AS", H222+15, K222="NCR", H222+30, K222="submitted", H222+30, TRUE, "N/A")), _xlfn.IFS(K222="AS", I222+15, K222="NCR", I222+30, K222="submitted", I222+30, TRUE, "N/A"))</f>
        <v>N/A</v>
      </c>
      <c r="K222" s="9"/>
      <c r="L222" s="318"/>
      <c r="M222" s="750"/>
      <c r="N222" s="751"/>
      <c r="O222" s="751"/>
      <c r="P222" s="752"/>
    </row>
    <row r="223" spans="1:16" s="1" customFormat="1" ht="15" customHeight="1">
      <c r="A223" s="9"/>
      <c r="B223" s="791"/>
      <c r="C223" s="793"/>
      <c r="D223" s="39"/>
      <c r="E223" s="39"/>
      <c r="F223" s="9" t="s">
        <v>263</v>
      </c>
      <c r="G223" s="13" t="s">
        <v>1854</v>
      </c>
      <c r="H223" s="14"/>
      <c r="I223" s="14"/>
      <c r="J223" s="289" t="str" cm="1">
        <f t="array" ref="J223">IF(ISBLANK(I223), IF(ISBLANK(H223), "N/A", _xlfn.IFS(K223="AS", H223+15, K223="NCR", H223+30, K223="submitted", H223+30, TRUE, "N/A")), _xlfn.IFS(K223="AS", I223+15, K223="NCR", I223+30, K223="submitted", I223+30, TRUE, "N/A"))</f>
        <v>N/A</v>
      </c>
      <c r="K223" s="9"/>
      <c r="L223" s="318"/>
      <c r="M223" s="750"/>
      <c r="N223" s="751"/>
      <c r="O223" s="751"/>
      <c r="P223" s="752"/>
    </row>
    <row r="224" spans="1:16" s="1" customFormat="1" ht="15" customHeight="1">
      <c r="A224" s="9"/>
      <c r="B224" s="791"/>
      <c r="C224" s="793"/>
      <c r="D224" s="39"/>
      <c r="E224" s="39"/>
      <c r="F224" s="9" t="s">
        <v>253</v>
      </c>
      <c r="G224" s="13" t="s">
        <v>436</v>
      </c>
      <c r="H224" s="14"/>
      <c r="I224" s="14"/>
      <c r="J224" s="289" t="str" cm="1">
        <f t="array" ref="J224">IF(ISBLANK(I224), IF(ISBLANK(H224), "N/A", _xlfn.IFS(K224="AS", H224+15, K224="NCR", H224+30, K224="submitted", H224+30, TRUE, "N/A")), _xlfn.IFS(K224="AS", I224+15, K224="NCR", I224+30, K224="submitted", I224+30, TRUE, "N/A"))</f>
        <v>N/A</v>
      </c>
      <c r="K224" s="9"/>
      <c r="L224" s="318"/>
      <c r="M224" s="750"/>
      <c r="N224" s="751"/>
      <c r="O224" s="751"/>
      <c r="P224" s="752"/>
    </row>
    <row r="225" spans="1:11" s="1" customFormat="1" ht="15" customHeight="1">
      <c r="A225" s="9"/>
      <c r="B225" s="791"/>
      <c r="C225" s="793"/>
      <c r="D225" s="39"/>
      <c r="E225" s="39"/>
      <c r="F225" s="9" t="s">
        <v>495</v>
      </c>
      <c r="G225" s="13" t="s">
        <v>1855</v>
      </c>
      <c r="H225" s="14"/>
      <c r="I225" s="14"/>
      <c r="J225" s="289" t="str" cm="1">
        <f t="array" ref="J225">IF(ISBLANK(I225), IF(ISBLANK(H225), "N/A", _xlfn.IFS(K225="AS", H225+15, K225="NCR", H225+30, K225="submitted", H225+30, TRUE, "N/A")), _xlfn.IFS(K225="AS", I225+15, K225="NCR", I225+30, K225="submitted", I225+30, TRUE, "N/A"))</f>
        <v>N/A</v>
      </c>
      <c r="K225" s="9"/>
    </row>
    <row r="226" spans="1:11" s="1" customFormat="1" ht="27" customHeight="1">
      <c r="A226" s="9"/>
      <c r="B226" s="791"/>
      <c r="C226" s="793"/>
      <c r="D226" s="39"/>
      <c r="E226" s="39"/>
      <c r="F226" s="9" t="s">
        <v>1110</v>
      </c>
      <c r="G226" s="7" t="s">
        <v>1856</v>
      </c>
      <c r="H226" s="14"/>
      <c r="I226" s="14"/>
      <c r="J226" s="289" t="str" cm="1">
        <f t="array" ref="J226">IF(ISBLANK(I226), IF(ISBLANK(H226), "N/A", _xlfn.IFS(K226="AS", H226+15, K226="NCR", H226+30, K226="submitted", H226+30, TRUE, "N/A")), _xlfn.IFS(K226="AS", I226+15, K226="NCR", I226+30, K226="submitted", I226+30, TRUE, "N/A"))</f>
        <v>N/A</v>
      </c>
      <c r="K226" s="9"/>
    </row>
    <row r="227" spans="1:11" s="1" customFormat="1" ht="15" customHeight="1">
      <c r="A227" s="9"/>
      <c r="B227" s="791"/>
      <c r="C227" s="793"/>
      <c r="D227" s="39"/>
      <c r="E227" s="39"/>
      <c r="F227" s="9" t="s">
        <v>1857</v>
      </c>
      <c r="G227" s="13" t="s">
        <v>1858</v>
      </c>
      <c r="H227" s="14"/>
      <c r="I227" s="14"/>
      <c r="J227" s="289" t="str" cm="1">
        <f t="array" ref="J227">IF(ISBLANK(I227), IF(ISBLANK(H227), "N/A", _xlfn.IFS(K227="AS", H227+15, K227="NCR", H227+30, K227="submitted", H227+30, TRUE, "N/A")), _xlfn.IFS(K227="AS", I227+15, K227="NCR", I227+30, K227="submitted", I227+30, TRUE, "N/A"))</f>
        <v>N/A</v>
      </c>
      <c r="K227" s="9"/>
    </row>
    <row r="228" spans="1:11" s="1" customFormat="1" ht="27" customHeight="1">
      <c r="A228" s="9"/>
      <c r="B228" s="791"/>
      <c r="C228" s="793"/>
      <c r="D228" s="39"/>
      <c r="E228" s="39"/>
      <c r="F228" s="9" t="s">
        <v>346</v>
      </c>
      <c r="G228" s="7" t="s">
        <v>1859</v>
      </c>
      <c r="H228" s="14"/>
      <c r="I228" s="14"/>
      <c r="J228" s="289" t="str" cm="1">
        <f t="array" ref="J228">IF(ISBLANK(I228), IF(ISBLANK(H228), "N/A", _xlfn.IFS(K228="AS", H228+15, K228="NCR", H228+30, K228="submitted", H228+30, TRUE, "N/A")), _xlfn.IFS(K228="AS", I228+15, K228="NCR", I228+30, K228="submitted", I228+30, TRUE, "N/A"))</f>
        <v>N/A</v>
      </c>
      <c r="K228" s="9"/>
    </row>
    <row r="229" spans="1:11" s="1" customFormat="1" ht="15" customHeight="1">
      <c r="A229" s="9"/>
      <c r="B229" s="791"/>
      <c r="C229" s="793"/>
      <c r="D229" s="39"/>
      <c r="E229" s="39"/>
      <c r="F229" s="9" t="s">
        <v>348</v>
      </c>
      <c r="G229" s="13" t="s">
        <v>1860</v>
      </c>
      <c r="H229" s="14"/>
      <c r="I229" s="14"/>
      <c r="J229" s="289" t="str" cm="1">
        <f t="array" ref="J229">IF(ISBLANK(I229), IF(ISBLANK(H229), "N/A", _xlfn.IFS(K229="AS", H229+15, K229="NCR", H229+30, K229="submitted", H229+30, TRUE, "N/A")), _xlfn.IFS(K229="AS", I229+15, K229="NCR", I229+30, K229="submitted", I229+30, TRUE, "N/A"))</f>
        <v>N/A</v>
      </c>
      <c r="K229" s="9"/>
    </row>
    <row r="230" spans="1:11" s="1" customFormat="1" ht="15" customHeight="1">
      <c r="A230" s="9"/>
      <c r="B230" s="791"/>
      <c r="C230" s="793"/>
      <c r="D230" s="39"/>
      <c r="E230" s="39"/>
      <c r="F230" s="9" t="s">
        <v>1123</v>
      </c>
      <c r="G230" s="13" t="s">
        <v>1861</v>
      </c>
      <c r="H230" s="14"/>
      <c r="I230" s="14"/>
      <c r="J230" s="289" t="str" cm="1">
        <f t="array" ref="J230">IF(ISBLANK(I230), IF(ISBLANK(H230), "N/A", _xlfn.IFS(K230="AS", H230+15, K230="NCR", H230+30, K230="submitted", H230+30, TRUE, "N/A")), _xlfn.IFS(K230="AS", I230+15, K230="NCR", I230+30, K230="submitted", I230+30, TRUE, "N/A"))</f>
        <v>N/A</v>
      </c>
      <c r="K230" s="9"/>
    </row>
    <row r="231" spans="1:11" s="1" customFormat="1" ht="27" customHeight="1">
      <c r="A231" s="9"/>
      <c r="B231" s="791"/>
      <c r="C231" s="793"/>
      <c r="D231" s="39"/>
      <c r="E231" s="39"/>
      <c r="F231" s="9" t="s">
        <v>1862</v>
      </c>
      <c r="G231" s="7" t="s">
        <v>1863</v>
      </c>
      <c r="H231" s="14"/>
      <c r="I231" s="14"/>
      <c r="J231" s="289" t="str" cm="1">
        <f t="array" ref="J231">IF(ISBLANK(I231), IF(ISBLANK(H231), "N/A", _xlfn.IFS(K231="AS", H231+15, K231="NCR", H231+30, K231="submitted", H231+30, TRUE, "N/A")), _xlfn.IFS(K231="AS", I231+15, K231="NCR", I231+30, K231="submitted", I231+30, TRUE, "N/A"))</f>
        <v>N/A</v>
      </c>
      <c r="K231" s="9"/>
    </row>
    <row r="232" spans="1:11" s="1" customFormat="1" ht="27" customHeight="1">
      <c r="A232" s="9"/>
      <c r="B232" s="791"/>
      <c r="C232" s="793"/>
      <c r="D232" s="39"/>
      <c r="E232" s="39"/>
      <c r="F232" s="9" t="s">
        <v>1864</v>
      </c>
      <c r="G232" s="7" t="s">
        <v>1865</v>
      </c>
      <c r="H232" s="14"/>
      <c r="I232" s="14"/>
      <c r="J232" s="289" t="str" cm="1">
        <f t="array" ref="J232">IF(ISBLANK(I232), IF(ISBLANK(H232), "N/A", _xlfn.IFS(K232="AS", H232+15, K232="NCR", H232+30, K232="submitted", H232+30, TRUE, "N/A")), _xlfn.IFS(K232="AS", I232+15, K232="NCR", I232+30, K232="submitted", I232+30, TRUE, "N/A"))</f>
        <v>N/A</v>
      </c>
      <c r="K232" s="9"/>
    </row>
    <row r="233" spans="1:11" s="1" customFormat="1" ht="15" customHeight="1">
      <c r="A233" s="9"/>
      <c r="B233" s="777"/>
      <c r="C233" s="779"/>
      <c r="D233" s="46"/>
      <c r="E233" s="46"/>
      <c r="F233" s="9" t="s">
        <v>1308</v>
      </c>
      <c r="G233" s="13" t="s">
        <v>1866</v>
      </c>
      <c r="H233" s="14"/>
      <c r="I233" s="14"/>
      <c r="J233" s="289" t="str" cm="1">
        <f t="array" ref="J233">IF(ISBLANK(I233), IF(ISBLANK(H233), "N/A", _xlfn.IFS(K233="AS", H233+15, K233="NCR", H233+30, K233="submitted", H233+30, TRUE, "N/A")), _xlfn.IFS(K233="AS", I233+15, K233="NCR", I233+30, K233="submitted", I233+30, TRUE, "N/A"))</f>
        <v>N/A</v>
      </c>
      <c r="K233" s="9"/>
    </row>
    <row r="234" spans="1:11" s="5" customFormat="1" ht="15" customHeight="1">
      <c r="A234" s="4"/>
      <c r="B234" s="794" t="s">
        <v>1867</v>
      </c>
      <c r="C234" s="796" t="s">
        <v>1868</v>
      </c>
      <c r="D234" s="34"/>
      <c r="E234" s="34"/>
      <c r="F234" s="4" t="s">
        <v>205</v>
      </c>
      <c r="G234" s="17" t="s">
        <v>1869</v>
      </c>
      <c r="H234" s="18"/>
      <c r="I234" s="18"/>
      <c r="J234" s="289" t="str" cm="1">
        <f t="array" ref="J234">IF(ISBLANK(I234), IF(ISBLANK(H234), "N/A", _xlfn.IFS(K234="AS", H234+15, K234="NCR", H234+30, K234="submitted", H234+30, TRUE, "N/A")), _xlfn.IFS(K234="AS", I234+15, K234="NCR", I234+30, K234="submitted", I234+30, TRUE, "N/A"))</f>
        <v>N/A</v>
      </c>
      <c r="K234" s="4"/>
    </row>
    <row r="235" spans="1:11" s="5" customFormat="1" ht="15" customHeight="1">
      <c r="A235" s="4"/>
      <c r="B235" s="798"/>
      <c r="C235" s="799"/>
      <c r="D235" s="35"/>
      <c r="E235" s="35"/>
      <c r="F235" s="4" t="s">
        <v>275</v>
      </c>
      <c r="G235" s="17" t="s">
        <v>1870</v>
      </c>
      <c r="H235" s="18"/>
      <c r="I235" s="18"/>
      <c r="J235" s="289" t="str" cm="1">
        <f t="array" ref="J235">IF(ISBLANK(I235), IF(ISBLANK(H235), "N/A", _xlfn.IFS(K235="AS", H235+15, K235="NCR", H235+30, K235="submitted", H235+30, TRUE, "N/A")), _xlfn.IFS(K235="AS", I235+15, K235="NCR", I235+30, K235="submitted", I235+30, TRUE, "N/A"))</f>
        <v>N/A</v>
      </c>
      <c r="K235" s="4"/>
    </row>
    <row r="236" spans="1:11" s="5" customFormat="1" ht="27" customHeight="1">
      <c r="A236" s="4"/>
      <c r="B236" s="798"/>
      <c r="C236" s="799"/>
      <c r="D236" s="35"/>
      <c r="E236" s="35"/>
      <c r="F236" s="4" t="s">
        <v>263</v>
      </c>
      <c r="G236" s="3" t="s">
        <v>1871</v>
      </c>
      <c r="H236" s="18"/>
      <c r="I236" s="18"/>
      <c r="J236" s="289" t="str" cm="1">
        <f t="array" ref="J236">IF(ISBLANK(I236), IF(ISBLANK(H236), "N/A", _xlfn.IFS(K236="AS", H236+15, K236="NCR", H236+30, K236="submitted", H236+30, TRUE, "N/A")), _xlfn.IFS(K236="AS", I236+15, K236="NCR", I236+30, K236="submitted", I236+30, TRUE, "N/A"))</f>
        <v>N/A</v>
      </c>
      <c r="K236" s="4"/>
    </row>
    <row r="237" spans="1:11" s="5" customFormat="1" ht="15" customHeight="1">
      <c r="A237" s="4"/>
      <c r="B237" s="798"/>
      <c r="C237" s="799"/>
      <c r="D237" s="35"/>
      <c r="E237" s="35"/>
      <c r="F237" s="4" t="s">
        <v>253</v>
      </c>
      <c r="G237" s="17" t="s">
        <v>1872</v>
      </c>
      <c r="H237" s="18"/>
      <c r="I237" s="18"/>
      <c r="J237" s="289" t="str" cm="1">
        <f t="array" ref="J237">IF(ISBLANK(I237), IF(ISBLANK(H237), "N/A", _xlfn.IFS(K237="AS", H237+15, K237="NCR", H237+30, K237="submitted", H237+30, TRUE, "N/A")), _xlfn.IFS(K237="AS", I237+15, K237="NCR", I237+30, K237="submitted", I237+30, TRUE, "N/A"))</f>
        <v>N/A</v>
      </c>
      <c r="K237" s="4"/>
    </row>
    <row r="238" spans="1:11" s="5" customFormat="1" ht="15" customHeight="1">
      <c r="A238" s="4"/>
      <c r="B238" s="798"/>
      <c r="C238" s="799"/>
      <c r="D238" s="35"/>
      <c r="E238" s="35"/>
      <c r="F238" s="4" t="s">
        <v>344</v>
      </c>
      <c r="G238" s="17" t="s">
        <v>436</v>
      </c>
      <c r="H238" s="18"/>
      <c r="I238" s="18"/>
      <c r="J238" s="289" t="str" cm="1">
        <f t="array" ref="J238">IF(ISBLANK(I238), IF(ISBLANK(H238), "N/A", _xlfn.IFS(K238="AS", H238+15, K238="NCR", H238+30, K238="submitted", H238+30, TRUE, "N/A")), _xlfn.IFS(K238="AS", I238+15, K238="NCR", I238+30, K238="submitted", I238+30, TRUE, "N/A"))</f>
        <v>N/A</v>
      </c>
      <c r="K238" s="4"/>
    </row>
    <row r="239" spans="1:11" s="5" customFormat="1" ht="15" customHeight="1">
      <c r="A239" s="4"/>
      <c r="B239" s="795"/>
      <c r="C239" s="797"/>
      <c r="D239" s="36"/>
      <c r="E239" s="36"/>
      <c r="F239" s="4" t="s">
        <v>346</v>
      </c>
      <c r="G239" s="17" t="s">
        <v>685</v>
      </c>
      <c r="H239" s="18"/>
      <c r="I239" s="18"/>
      <c r="J239" s="289" t="str" cm="1">
        <f t="array" ref="J239">IF(ISBLANK(I239), IF(ISBLANK(H239), "N/A", _xlfn.IFS(K239="AS", H239+15, K239="NCR", H239+30, K239="submitted", H239+30, TRUE, "N/A")), _xlfn.IFS(K239="AS", I239+15, K239="NCR", I239+30, K239="submitted", I239+30, TRUE, "N/A"))</f>
        <v>N/A</v>
      </c>
      <c r="K239" s="4"/>
    </row>
    <row r="240" spans="1:11" s="1" customFormat="1" ht="15" customHeight="1">
      <c r="A240" s="9"/>
      <c r="B240" s="790" t="s">
        <v>1873</v>
      </c>
      <c r="C240" s="792" t="s">
        <v>1874</v>
      </c>
      <c r="D240" s="37"/>
      <c r="E240" s="37"/>
      <c r="F240" s="9" t="s">
        <v>205</v>
      </c>
      <c r="G240" s="13" t="s">
        <v>1875</v>
      </c>
      <c r="H240" s="14"/>
      <c r="I240" s="14"/>
      <c r="J240" s="289" t="str" cm="1">
        <f t="array" ref="J240">IF(ISBLANK(I240), IF(ISBLANK(H240), "N/A", _xlfn.IFS(K240="AS", H240+15, K240="NCR", H240+30, K240="submitted", H240+30, TRUE, "N/A")), _xlfn.IFS(K240="AS", I240+15, K240="NCR", I240+30, K240="submitted", I240+30, TRUE, "N/A"))</f>
        <v>N/A</v>
      </c>
      <c r="K240" s="9"/>
    </row>
    <row r="241" spans="1:11" s="1" customFormat="1" ht="15" customHeight="1">
      <c r="A241" s="9"/>
      <c r="B241" s="791"/>
      <c r="C241" s="793"/>
      <c r="D241" s="39"/>
      <c r="E241" s="39"/>
      <c r="F241" s="9" t="s">
        <v>275</v>
      </c>
      <c r="G241" s="13" t="s">
        <v>1876</v>
      </c>
      <c r="H241" s="14"/>
      <c r="I241" s="14"/>
      <c r="J241" s="289" t="str" cm="1">
        <f t="array" ref="J241">IF(ISBLANK(I241), IF(ISBLANK(H241), "N/A", _xlfn.IFS(K241="AS", H241+15, K241="NCR", H241+30, K241="submitted", H241+30, TRUE, "N/A")), _xlfn.IFS(K241="AS", I241+15, K241="NCR", I241+30, K241="submitted", I241+30, TRUE, "N/A"))</f>
        <v>N/A</v>
      </c>
      <c r="K241" s="9"/>
    </row>
    <row r="242" spans="1:11" s="1" customFormat="1" ht="15" customHeight="1">
      <c r="A242" s="9"/>
      <c r="B242" s="777"/>
      <c r="C242" s="779"/>
      <c r="D242" s="46"/>
      <c r="E242" s="46"/>
      <c r="F242" s="9" t="s">
        <v>263</v>
      </c>
      <c r="G242" s="13" t="s">
        <v>436</v>
      </c>
      <c r="H242" s="14"/>
      <c r="I242" s="14"/>
      <c r="J242" s="289" t="str" cm="1">
        <f t="array" ref="J242">IF(ISBLANK(I242), IF(ISBLANK(H242), "N/A", _xlfn.IFS(K242="AS", H242+15, K242="NCR", H242+30, K242="submitted", H242+30, TRUE, "N/A")), _xlfn.IFS(K242="AS", I242+15, K242="NCR", I242+30, K242="submitted", I242+30, TRUE, "N/A"))</f>
        <v>N/A</v>
      </c>
      <c r="K242" s="9"/>
    </row>
    <row r="243" spans="1:11" s="5" customFormat="1" ht="15" customHeight="1">
      <c r="A243" s="4"/>
      <c r="B243" s="15" t="s">
        <v>1877</v>
      </c>
      <c r="C243" s="17" t="s">
        <v>1878</v>
      </c>
      <c r="D243" s="17"/>
      <c r="E243" s="17" t="s">
        <v>1879</v>
      </c>
      <c r="F243" s="4" t="s">
        <v>205</v>
      </c>
      <c r="G243" s="17" t="s">
        <v>1880</v>
      </c>
      <c r="H243" s="18"/>
      <c r="I243" s="18"/>
      <c r="J243" s="289" t="str" cm="1">
        <f t="array" ref="J243">IF(ISBLANK(I243), IF(ISBLANK(H243), "N/A", _xlfn.IFS(K243="AS", H243+15, K243="NCR", H243+30, K243="submitted", H243+30, TRUE, "N/A")), _xlfn.IFS(K243="AS", I243+15, K243="NCR", I243+30, K243="submitted", I243+30, TRUE, "N/A"))</f>
        <v>N/A</v>
      </c>
      <c r="K243" s="4"/>
    </row>
    <row r="244" spans="1:11" s="1" customFormat="1" ht="15" customHeight="1">
      <c r="A244" s="9"/>
      <c r="B244" s="790" t="s">
        <v>1881</v>
      </c>
      <c r="C244" s="792" t="s">
        <v>1882</v>
      </c>
      <c r="D244" s="37"/>
      <c r="E244" s="37"/>
      <c r="F244" s="9" t="s">
        <v>205</v>
      </c>
      <c r="G244" s="13" t="s">
        <v>476</v>
      </c>
      <c r="H244" s="14"/>
      <c r="I244" s="14"/>
      <c r="J244" s="289" t="str" cm="1">
        <f t="array" ref="J244">IF(ISBLANK(I244), IF(ISBLANK(H244), "N/A", _xlfn.IFS(K244="AS", H244+15, K244="NCR", H244+30, K244="submitted", H244+30, TRUE, "N/A")), _xlfn.IFS(K244="AS", I244+15, K244="NCR", I244+30, K244="submitted", I244+30, TRUE, "N/A"))</f>
        <v>N/A</v>
      </c>
      <c r="K244" s="9"/>
    </row>
    <row r="245" spans="1:11" s="1" customFormat="1" ht="15" customHeight="1">
      <c r="A245" s="38"/>
      <c r="B245" s="791"/>
      <c r="C245" s="793"/>
      <c r="D245" s="39"/>
      <c r="E245" s="39"/>
      <c r="F245" s="38" t="s">
        <v>275</v>
      </c>
      <c r="G245" s="37" t="s">
        <v>1883</v>
      </c>
      <c r="H245" s="41"/>
      <c r="I245" s="41"/>
      <c r="J245" s="289" t="str" cm="1">
        <f t="array" ref="J245">IF(ISBLANK(I245), IF(ISBLANK(H245), "N/A", _xlfn.IFS(K245="AS", H245+15, K245="NCR", H245+30, K245="submitted", H245+30, TRUE, "N/A")), _xlfn.IFS(K245="AS", I245+15, K245="NCR", I245+30, K245="submitted", I245+30, TRUE, "N/A"))</f>
        <v>N/A</v>
      </c>
      <c r="K245" s="38"/>
    </row>
    <row r="246" spans="1:11" s="1" customFormat="1" ht="15" customHeight="1">
      <c r="A246" s="38"/>
      <c r="B246" s="791"/>
      <c r="C246" s="793"/>
      <c r="D246" s="39"/>
      <c r="E246" s="39"/>
      <c r="F246" s="38" t="s">
        <v>263</v>
      </c>
      <c r="G246" s="37" t="s">
        <v>436</v>
      </c>
      <c r="H246" s="41"/>
      <c r="I246" s="41"/>
      <c r="J246" s="289" t="str" cm="1">
        <f t="array" ref="J246">IF(ISBLANK(I246), IF(ISBLANK(H246), "N/A", _xlfn.IFS(K246="AS", H246+15, K246="NCR", H246+30, K246="submitted", H246+30, TRUE, "N/A")), _xlfn.IFS(K246="AS", I246+15, K246="NCR", I246+30, K246="submitted", I246+30, TRUE, "N/A"))</f>
        <v>N/A</v>
      </c>
      <c r="K246" s="38"/>
    </row>
    <row r="247" spans="1:11" s="1" customFormat="1" ht="15" customHeight="1">
      <c r="A247" s="38"/>
      <c r="B247" s="777"/>
      <c r="C247" s="779"/>
      <c r="D247" s="39"/>
      <c r="E247" s="39"/>
      <c r="F247" s="38" t="s">
        <v>253</v>
      </c>
      <c r="G247" s="37" t="s">
        <v>498</v>
      </c>
      <c r="H247" s="41"/>
      <c r="I247" s="41"/>
      <c r="J247" s="289" t="str" cm="1">
        <f t="array" ref="J247">IF(ISBLANK(I247), IF(ISBLANK(H247), "N/A", _xlfn.IFS(K247="AS", H247+15, K247="NCR", H247+30, K247="submitted", H247+30, TRUE, "N/A")), _xlfn.IFS(K247="AS", I247+15, K247="NCR", I247+30, K247="submitted", I247+30, TRUE, "N/A"))</f>
        <v>N/A</v>
      </c>
      <c r="K247" s="38"/>
    </row>
    <row r="248" spans="1:11" s="5" customFormat="1" ht="15" customHeight="1">
      <c r="A248" s="19"/>
      <c r="B248" s="86" t="s">
        <v>1884</v>
      </c>
      <c r="C248" s="34" t="s">
        <v>1885</v>
      </c>
      <c r="D248" s="34"/>
      <c r="E248" s="34"/>
      <c r="F248" s="19" t="s">
        <v>144</v>
      </c>
      <c r="G248" s="34"/>
      <c r="H248" s="30"/>
      <c r="I248" s="30"/>
      <c r="J248" s="289" t="str" cm="1">
        <f t="array" ref="J248">IF(ISBLANK(I248), IF(ISBLANK(H248), "N/A", _xlfn.IFS(K248="AS", H248+15, K248="NCR", H248+30, K248="submitted", H248+30, TRUE, "N/A")), _xlfn.IFS(K248="AS", I248+15, K248="NCR", I248+30, K248="submitted", I248+30, TRUE, "N/A"))</f>
        <v>N/A</v>
      </c>
      <c r="K248" s="19"/>
    </row>
    <row r="249" spans="1:11" s="82" customFormat="1" ht="53.25" customHeight="1">
      <c r="B249" s="87" t="s">
        <v>1886</v>
      </c>
      <c r="C249" s="88" t="s">
        <v>1887</v>
      </c>
      <c r="D249" s="88"/>
      <c r="E249" s="88"/>
      <c r="F249" s="82" t="s">
        <v>144</v>
      </c>
      <c r="G249" s="88"/>
      <c r="H249" s="89"/>
      <c r="I249" s="89"/>
      <c r="J249" s="289" t="str" cm="1">
        <f t="array" ref="J249">IF(ISBLANK(I249), IF(ISBLANK(H249), "N/A", _xlfn.IFS(K249="AS", H249+15, K249="NCR", H249+30, K249="submitted", H249+30, TRUE, "N/A")), _xlfn.IFS(K249="AS", I249+15, K249="NCR", I249+30, K249="submitted", I249+30, TRUE, "N/A"))</f>
        <v>N/A</v>
      </c>
    </row>
    <row r="250" spans="1:11" s="21" customFormat="1" ht="15" customHeight="1">
      <c r="B250" s="790" t="s">
        <v>1888</v>
      </c>
      <c r="C250" s="792" t="s">
        <v>1889</v>
      </c>
      <c r="D250" s="39"/>
      <c r="E250" s="39"/>
      <c r="F250" s="21" t="s">
        <v>1670</v>
      </c>
      <c r="G250" s="46" t="s">
        <v>1890</v>
      </c>
      <c r="H250" s="51"/>
      <c r="I250" s="51"/>
      <c r="J250" s="289" t="str" cm="1">
        <f t="array" ref="J250">IF(ISBLANK(I250), IF(ISBLANK(H250), "N/A", _xlfn.IFS(K250="AS", H250+15, K250="NCR", H250+30, K250="submitted", H250+30, TRUE, "N/A")), _xlfn.IFS(K250="AS", I250+15, K250="NCR", I250+30, K250="submitted", I250+30, TRUE, "N/A"))</f>
        <v>N/A</v>
      </c>
    </row>
    <row r="251" spans="1:11" s="1" customFormat="1" ht="15" customHeight="1">
      <c r="A251" s="21"/>
      <c r="B251" s="791"/>
      <c r="C251" s="793"/>
      <c r="D251" s="39"/>
      <c r="E251" s="39"/>
      <c r="F251" s="21" t="s">
        <v>133</v>
      </c>
      <c r="G251" s="46" t="s">
        <v>276</v>
      </c>
      <c r="H251" s="51"/>
      <c r="I251" s="51"/>
      <c r="J251" s="289" t="str" cm="1">
        <f t="array" ref="J251">IF(ISBLANK(I251), IF(ISBLANK(H251), "N/A", _xlfn.IFS(K251="AS", H251+15, K251="NCR", H251+30, K251="submitted", H251+30, TRUE, "N/A")), _xlfn.IFS(K251="AS", I251+15, K251="NCR", I251+30, K251="submitted", I251+30, TRUE, "N/A"))</f>
        <v>N/A</v>
      </c>
      <c r="K251" s="21"/>
    </row>
    <row r="252" spans="1:11" s="1" customFormat="1" ht="27" customHeight="1">
      <c r="A252" s="21"/>
      <c r="B252" s="791"/>
      <c r="C252" s="793"/>
      <c r="D252" s="39"/>
      <c r="E252" s="39"/>
      <c r="F252" s="21" t="s">
        <v>135</v>
      </c>
      <c r="G252" s="52" t="s">
        <v>1891</v>
      </c>
      <c r="H252" s="51"/>
      <c r="I252" s="51"/>
      <c r="J252" s="289" t="str" cm="1">
        <f t="array" ref="J252">IF(ISBLANK(I252), IF(ISBLANK(H252), "N/A", _xlfn.IFS(K252="AS", H252+15, K252="NCR", H252+30, K252="submitted", H252+30, TRUE, "N/A")), _xlfn.IFS(K252="AS", I252+15, K252="NCR", I252+30, K252="submitted", I252+30, TRUE, "N/A"))</f>
        <v>N/A</v>
      </c>
      <c r="K252" s="21"/>
    </row>
    <row r="253" spans="1:11" s="1" customFormat="1" ht="15" customHeight="1">
      <c r="A253" s="21"/>
      <c r="B253" s="777"/>
      <c r="C253" s="779"/>
      <c r="D253" s="46"/>
      <c r="E253" s="46"/>
      <c r="F253" s="21" t="s">
        <v>137</v>
      </c>
      <c r="G253" s="46" t="s">
        <v>1892</v>
      </c>
      <c r="H253" s="51"/>
      <c r="I253" s="51"/>
      <c r="J253" s="289" t="str" cm="1">
        <f t="array" ref="J253">IF(ISBLANK(I253), IF(ISBLANK(H253), "N/A", _xlfn.IFS(K253="AS", H253+15, K253="NCR", H253+30, K253="submitted", H253+30, TRUE, "N/A")), _xlfn.IFS(K253="AS", I253+15, K253="NCR", I253+30, K253="submitted", I253+30, TRUE, "N/A"))</f>
        <v>N/A</v>
      </c>
      <c r="K253" s="21"/>
    </row>
    <row r="254" spans="1:11" s="5" customFormat="1" ht="15" customHeight="1">
      <c r="A254" s="4"/>
      <c r="B254" s="794" t="s">
        <v>1893</v>
      </c>
      <c r="C254" s="796" t="s">
        <v>1894</v>
      </c>
      <c r="D254" s="34"/>
      <c r="E254" s="34"/>
      <c r="F254" s="4" t="s">
        <v>205</v>
      </c>
      <c r="G254" s="17" t="s">
        <v>476</v>
      </c>
      <c r="H254" s="18"/>
      <c r="I254" s="18"/>
      <c r="J254" s="289" t="str" cm="1">
        <f t="array" ref="J254">IF(ISBLANK(I254), IF(ISBLANK(H254), "N/A", _xlfn.IFS(K254="AS", H254+15, K254="NCR", H254+30, K254="submitted", H254+30, TRUE, "N/A")), _xlfn.IFS(K254="AS", I254+15, K254="NCR", I254+30, K254="submitted", I254+30, TRUE, "N/A"))</f>
        <v>N/A</v>
      </c>
      <c r="K254" s="4"/>
    </row>
    <row r="255" spans="1:11" s="5" customFormat="1" ht="15" customHeight="1">
      <c r="A255" s="4"/>
      <c r="B255" s="795"/>
      <c r="C255" s="797"/>
      <c r="D255" s="36"/>
      <c r="E255" s="36"/>
      <c r="F255" s="4" t="s">
        <v>275</v>
      </c>
      <c r="G255" s="17" t="s">
        <v>276</v>
      </c>
      <c r="H255" s="18"/>
      <c r="I255" s="18"/>
      <c r="J255" s="289" t="str" cm="1">
        <f t="array" ref="J255">IF(ISBLANK(I255), IF(ISBLANK(H255), "N/A", _xlfn.IFS(K255="AS", H255+15, K255="NCR", H255+30, K255="submitted", H255+30, TRUE, "N/A")), _xlfn.IFS(K255="AS", I255+15, K255="NCR", I255+30, K255="submitted", I255+30, TRUE, "N/A"))</f>
        <v>N/A</v>
      </c>
      <c r="K255" s="4"/>
    </row>
    <row r="256" spans="1:11" s="1" customFormat="1" ht="15" customHeight="1">
      <c r="A256" s="9"/>
      <c r="B256" s="790" t="s">
        <v>1895</v>
      </c>
      <c r="C256" s="792" t="s">
        <v>1896</v>
      </c>
      <c r="D256" s="37"/>
      <c r="E256" s="37"/>
      <c r="F256" s="9" t="s">
        <v>205</v>
      </c>
      <c r="G256" s="13" t="s">
        <v>229</v>
      </c>
      <c r="H256" s="14"/>
      <c r="I256" s="14"/>
      <c r="J256" s="289" t="str" cm="1">
        <f t="array" ref="J256">IF(ISBLANK(I256), IF(ISBLANK(H256), "N/A", _xlfn.IFS(K256="AS", H256+15, K256="NCR", H256+30, K256="submitted", H256+30, TRUE, "N/A")), _xlfn.IFS(K256="AS", I256+15, K256="NCR", I256+30, K256="submitted", I256+30, TRUE, "N/A"))</f>
        <v>N/A</v>
      </c>
      <c r="K256" s="9"/>
    </row>
    <row r="257" spans="1:11" s="1" customFormat="1" ht="15" customHeight="1">
      <c r="A257" s="9"/>
      <c r="B257" s="791"/>
      <c r="C257" s="793"/>
      <c r="D257" s="39"/>
      <c r="E257" s="39"/>
      <c r="F257" s="9" t="s">
        <v>275</v>
      </c>
      <c r="G257" s="13" t="s">
        <v>276</v>
      </c>
      <c r="H257" s="14"/>
      <c r="I257" s="14"/>
      <c r="J257" s="289" t="str" cm="1">
        <f t="array" ref="J257">IF(ISBLANK(I257), IF(ISBLANK(H257), "N/A", _xlfn.IFS(K257="AS", H257+15, K257="NCR", H257+30, K257="submitted", H257+30, TRUE, "N/A")), _xlfn.IFS(K257="AS", I257+15, K257="NCR", I257+30, K257="submitted", I257+30, TRUE, "N/A"))</f>
        <v>N/A</v>
      </c>
      <c r="K257" s="9"/>
    </row>
    <row r="258" spans="1:11" s="1" customFormat="1" ht="15" customHeight="1">
      <c r="A258" s="9"/>
      <c r="B258" s="791"/>
      <c r="C258" s="793"/>
      <c r="D258" s="39"/>
      <c r="E258" s="39"/>
      <c r="F258" s="9" t="s">
        <v>263</v>
      </c>
      <c r="G258" s="13" t="s">
        <v>1897</v>
      </c>
      <c r="H258" s="14"/>
      <c r="I258" s="14"/>
      <c r="J258" s="289" t="str" cm="1">
        <f t="array" ref="J258">IF(ISBLANK(I258), IF(ISBLANK(H258), "N/A", _xlfn.IFS(K258="AS", H258+15, K258="NCR", H258+30, K258="submitted", H258+30, TRUE, "N/A")), _xlfn.IFS(K258="AS", I258+15, K258="NCR", I258+30, K258="submitted", I258+30, TRUE, "N/A"))</f>
        <v>N/A</v>
      </c>
      <c r="K258" s="9"/>
    </row>
    <row r="259" spans="1:11" s="1" customFormat="1" ht="15" customHeight="1">
      <c r="A259" s="9"/>
      <c r="B259" s="791"/>
      <c r="C259" s="793"/>
      <c r="D259" s="39"/>
      <c r="E259" s="39"/>
      <c r="F259" s="9" t="s">
        <v>253</v>
      </c>
      <c r="G259" s="7" t="s">
        <v>1898</v>
      </c>
      <c r="H259" s="14"/>
      <c r="I259" s="14"/>
      <c r="J259" s="289" t="str" cm="1">
        <f t="array" ref="J259">IF(ISBLANK(I259), IF(ISBLANK(H259), "N/A", _xlfn.IFS(K259="AS", H259+15, K259="NCR", H259+30, K259="submitted", H259+30, TRUE, "N/A")), _xlfn.IFS(K259="AS", I259+15, K259="NCR", I259+30, K259="submitted", I259+30, TRUE, "N/A"))</f>
        <v>N/A</v>
      </c>
      <c r="K259" s="9"/>
    </row>
    <row r="260" spans="1:11" s="1" customFormat="1" ht="15" customHeight="1">
      <c r="A260" s="9"/>
      <c r="B260" s="791"/>
      <c r="C260" s="793"/>
      <c r="D260" s="39"/>
      <c r="E260" s="39"/>
      <c r="F260" s="9" t="s">
        <v>495</v>
      </c>
      <c r="G260" s="13" t="s">
        <v>1143</v>
      </c>
      <c r="H260" s="14"/>
      <c r="I260" s="14"/>
      <c r="J260" s="289" t="str" cm="1">
        <f t="array" ref="J260">IF(ISBLANK(I260), IF(ISBLANK(H260), "N/A", _xlfn.IFS(K260="AS", H260+15, K260="NCR", H260+30, K260="submitted", H260+30, TRUE, "N/A")), _xlfn.IFS(K260="AS", I260+15, K260="NCR", I260+30, K260="submitted", I260+30, TRUE, "N/A"))</f>
        <v>N/A</v>
      </c>
      <c r="K260" s="9"/>
    </row>
    <row r="261" spans="1:11" s="1" customFormat="1" ht="15" customHeight="1">
      <c r="A261" s="9"/>
      <c r="B261" s="791"/>
      <c r="C261" s="793"/>
      <c r="D261" s="39"/>
      <c r="E261" s="39"/>
      <c r="F261" s="9" t="s">
        <v>805</v>
      </c>
      <c r="G261" s="13" t="s">
        <v>1899</v>
      </c>
      <c r="H261" s="14"/>
      <c r="I261" s="14"/>
      <c r="J261" s="289" t="str" cm="1">
        <f t="array" ref="J261">IF(ISBLANK(I261), IF(ISBLANK(H261), "N/A", _xlfn.IFS(K261="AS", H261+15, K261="NCR", H261+30, K261="submitted", H261+30, TRUE, "N/A")), _xlfn.IFS(K261="AS", I261+15, K261="NCR", I261+30, K261="submitted", I261+30, TRUE, "N/A"))</f>
        <v>N/A</v>
      </c>
      <c r="K261" s="9"/>
    </row>
    <row r="262" spans="1:11" s="1" customFormat="1" ht="15" customHeight="1">
      <c r="A262" s="9"/>
      <c r="B262" s="777"/>
      <c r="C262" s="779"/>
      <c r="D262" s="46"/>
      <c r="E262" s="46"/>
      <c r="F262" s="9" t="s">
        <v>806</v>
      </c>
      <c r="G262" s="13" t="s">
        <v>1900</v>
      </c>
      <c r="H262" s="14"/>
      <c r="I262" s="14"/>
      <c r="J262" s="289" t="str" cm="1">
        <f t="array" ref="J262">IF(ISBLANK(I262), IF(ISBLANK(H262), "N/A", _xlfn.IFS(K262="AS", H262+15, K262="NCR", H262+30, K262="submitted", H262+30, TRUE, "N/A")), _xlfn.IFS(K262="AS", I262+15, K262="NCR", I262+30, K262="submitted", I262+30, TRUE, "N/A"))</f>
        <v>N/A</v>
      </c>
      <c r="K262" s="9"/>
    </row>
    <row r="263" spans="1:11" s="5" customFormat="1" ht="15" customHeight="1">
      <c r="A263" s="4"/>
      <c r="B263" s="794" t="s">
        <v>1901</v>
      </c>
      <c r="C263" s="796" t="s">
        <v>1902</v>
      </c>
      <c r="D263" s="34"/>
      <c r="E263" s="34"/>
      <c r="F263" s="4" t="s">
        <v>1433</v>
      </c>
      <c r="G263" s="17" t="s">
        <v>1758</v>
      </c>
      <c r="H263" s="18"/>
      <c r="I263" s="18"/>
      <c r="J263" s="289" t="str" cm="1">
        <f t="array" ref="J263">IF(ISBLANK(I263), IF(ISBLANK(H263), "N/A", _xlfn.IFS(K263="AS", H263+15, K263="NCR", H263+30, K263="submitted", H263+30, TRUE, "N/A")), _xlfn.IFS(K263="AS", I263+15, K263="NCR", I263+30, K263="submitted", I263+30, TRUE, "N/A"))</f>
        <v>N/A</v>
      </c>
      <c r="K263" s="4"/>
    </row>
    <row r="264" spans="1:11" s="5" customFormat="1" ht="15" customHeight="1">
      <c r="A264" s="4"/>
      <c r="B264" s="798"/>
      <c r="C264" s="799"/>
      <c r="D264" s="35"/>
      <c r="E264" s="35"/>
      <c r="F264" s="4" t="s">
        <v>1435</v>
      </c>
      <c r="G264" s="17" t="s">
        <v>1146</v>
      </c>
      <c r="H264" s="18"/>
      <c r="I264" s="18"/>
      <c r="J264" s="289" t="str" cm="1">
        <f t="array" ref="J264">IF(ISBLANK(I264), IF(ISBLANK(H264), "N/A", _xlfn.IFS(K264="AS", H264+15, K264="NCR", H264+30, K264="submitted", H264+30, TRUE, "N/A")), _xlfn.IFS(K264="AS", I264+15, K264="NCR", I264+30, K264="submitted", I264+30, TRUE, "N/A"))</f>
        <v>N/A</v>
      </c>
      <c r="K264" s="4"/>
    </row>
    <row r="265" spans="1:11" s="5" customFormat="1" ht="15" customHeight="1">
      <c r="A265" s="4"/>
      <c r="B265" s="798"/>
      <c r="C265" s="799"/>
      <c r="D265" s="35"/>
      <c r="E265" s="35"/>
      <c r="F265" s="4" t="s">
        <v>1903</v>
      </c>
      <c r="G265" s="17" t="s">
        <v>1904</v>
      </c>
      <c r="H265" s="18"/>
      <c r="I265" s="18"/>
      <c r="J265" s="289" t="str" cm="1">
        <f t="array" ref="J265">IF(ISBLANK(I265), IF(ISBLANK(H265), "N/A", _xlfn.IFS(K265="AS", H265+15, K265="NCR", H265+30, K265="submitted", H265+30, TRUE, "N/A")), _xlfn.IFS(K265="AS", I265+15, K265="NCR", I265+30, K265="submitted", I265+30, TRUE, "N/A"))</f>
        <v>N/A</v>
      </c>
      <c r="K265" s="4"/>
    </row>
    <row r="266" spans="1:11" s="5" customFormat="1" ht="15" customHeight="1">
      <c r="A266" s="4"/>
      <c r="B266" s="798"/>
      <c r="C266" s="799"/>
      <c r="D266" s="35"/>
      <c r="E266" s="35"/>
      <c r="F266" s="4" t="s">
        <v>1905</v>
      </c>
      <c r="G266" s="17" t="s">
        <v>276</v>
      </c>
      <c r="H266" s="18"/>
      <c r="I266" s="18"/>
      <c r="J266" s="289" t="str" cm="1">
        <f t="array" ref="J266">IF(ISBLANK(I266), IF(ISBLANK(H266), "N/A", _xlfn.IFS(K266="AS", H266+15, K266="NCR", H266+30, K266="submitted", H266+30, TRUE, "N/A")), _xlfn.IFS(K266="AS", I266+15, K266="NCR", I266+30, K266="submitted", I266+30, TRUE, "N/A"))</f>
        <v>N/A</v>
      </c>
      <c r="K266" s="4"/>
    </row>
    <row r="267" spans="1:11" s="5" customFormat="1" ht="27" customHeight="1">
      <c r="A267" s="4"/>
      <c r="B267" s="798"/>
      <c r="C267" s="799"/>
      <c r="D267" s="35"/>
      <c r="E267" s="35"/>
      <c r="F267" s="4" t="s">
        <v>1906</v>
      </c>
      <c r="G267" s="3" t="s">
        <v>1907</v>
      </c>
      <c r="H267" s="18"/>
      <c r="I267" s="18"/>
      <c r="J267" s="289" t="str" cm="1">
        <f t="array" ref="J267">IF(ISBLANK(I267), IF(ISBLANK(H267), "N/A", _xlfn.IFS(K267="AS", H267+15, K267="NCR", H267+30, K267="submitted", H267+30, TRUE, "N/A")), _xlfn.IFS(K267="AS", I267+15, K267="NCR", I267+30, K267="submitted", I267+30, TRUE, "N/A"))</f>
        <v>N/A</v>
      </c>
      <c r="K267" s="4"/>
    </row>
    <row r="268" spans="1:11" s="5" customFormat="1" ht="27" customHeight="1">
      <c r="A268" s="4"/>
      <c r="B268" s="798"/>
      <c r="C268" s="799"/>
      <c r="D268" s="35"/>
      <c r="E268" s="35"/>
      <c r="F268" s="4" t="s">
        <v>504</v>
      </c>
      <c r="G268" s="3" t="s">
        <v>1908</v>
      </c>
      <c r="H268" s="18"/>
      <c r="I268" s="18"/>
      <c r="J268" s="289" t="str" cm="1">
        <f t="array" ref="J268">IF(ISBLANK(I268), IF(ISBLANK(H268), "N/A", _xlfn.IFS(K268="AS", H268+15, K268="NCR", H268+30, K268="submitted", H268+30, TRUE, "N/A")), _xlfn.IFS(K268="AS", I268+15, K268="NCR", I268+30, K268="submitted", I268+30, TRUE, "N/A"))</f>
        <v>N/A</v>
      </c>
      <c r="K268" s="4"/>
    </row>
    <row r="269" spans="1:11" s="5" customFormat="1" ht="15" customHeight="1">
      <c r="A269" s="4"/>
      <c r="B269" s="798"/>
      <c r="C269" s="799"/>
      <c r="D269" s="35"/>
      <c r="E269" s="35"/>
      <c r="F269" s="4" t="s">
        <v>1909</v>
      </c>
      <c r="G269" s="17" t="s">
        <v>1910</v>
      </c>
      <c r="H269" s="18"/>
      <c r="I269" s="18"/>
      <c r="J269" s="289" t="str" cm="1">
        <f t="array" ref="J269">IF(ISBLANK(I269), IF(ISBLANK(H269), "N/A", _xlfn.IFS(K269="AS", H269+15, K269="NCR", H269+30, K269="submitted", H269+30, TRUE, "N/A")), _xlfn.IFS(K269="AS", I269+15, K269="NCR", I269+30, K269="submitted", I269+30, TRUE, "N/A"))</f>
        <v>N/A</v>
      </c>
      <c r="K269" s="4"/>
    </row>
    <row r="270" spans="1:11" s="5" customFormat="1" ht="15" customHeight="1">
      <c r="A270" s="4"/>
      <c r="B270" s="798"/>
      <c r="C270" s="799"/>
      <c r="D270" s="35"/>
      <c r="E270" s="35" t="s">
        <v>158</v>
      </c>
      <c r="F270" s="4" t="s">
        <v>1911</v>
      </c>
      <c r="G270" s="17" t="s">
        <v>1912</v>
      </c>
      <c r="H270" s="18"/>
      <c r="I270" s="18"/>
      <c r="J270" s="289" t="str" cm="1">
        <f t="array" ref="J270">IF(ISBLANK(I270), IF(ISBLANK(H270), "N/A", _xlfn.IFS(K270="AS", H270+15, K270="NCR", H270+30, K270="submitted", H270+30, TRUE, "N/A")), _xlfn.IFS(K270="AS", I270+15, K270="NCR", I270+30, K270="submitted", I270+30, TRUE, "N/A"))</f>
        <v>N/A</v>
      </c>
      <c r="K270" s="4"/>
    </row>
    <row r="271" spans="1:11" s="5" customFormat="1" ht="15" customHeight="1">
      <c r="A271" s="4"/>
      <c r="B271" s="798"/>
      <c r="C271" s="799"/>
      <c r="D271" s="35"/>
      <c r="E271" s="35" t="s">
        <v>158</v>
      </c>
      <c r="F271" s="4" t="s">
        <v>1913</v>
      </c>
      <c r="G271" s="3" t="s">
        <v>1914</v>
      </c>
      <c r="H271" s="18"/>
      <c r="I271" s="18"/>
      <c r="J271" s="289" t="str" cm="1">
        <f t="array" ref="J271">IF(ISBLANK(I271), IF(ISBLANK(H271), "N/A", _xlfn.IFS(K271="AS", H271+15, K271="NCR", H271+30, K271="submitted", H271+30, TRUE, "N/A")), _xlfn.IFS(K271="AS", I271+15, K271="NCR", I271+30, K271="submitted", I271+30, TRUE, "N/A"))</f>
        <v>N/A</v>
      </c>
      <c r="K271" s="4"/>
    </row>
    <row r="272" spans="1:11" s="5" customFormat="1" ht="15" customHeight="1">
      <c r="A272" s="4"/>
      <c r="B272" s="798"/>
      <c r="C272" s="799"/>
      <c r="D272" s="35"/>
      <c r="E272" s="35" t="s">
        <v>158</v>
      </c>
      <c r="F272" s="4" t="s">
        <v>1915</v>
      </c>
      <c r="G272" s="3" t="s">
        <v>1916</v>
      </c>
      <c r="H272" s="18"/>
      <c r="I272" s="18"/>
      <c r="J272" s="289" t="str" cm="1">
        <f t="array" ref="J272">IF(ISBLANK(I272), IF(ISBLANK(H272), "N/A", _xlfn.IFS(K272="AS", H272+15, K272="NCR", H272+30, K272="submitted", H272+30, TRUE, "N/A")), _xlfn.IFS(K272="AS", I272+15, K272="NCR", I272+30, K272="submitted", I272+30, TRUE, "N/A"))</f>
        <v>N/A</v>
      </c>
      <c r="K272" s="4"/>
    </row>
    <row r="273" spans="1:13" s="5" customFormat="1" ht="15" customHeight="1">
      <c r="A273" s="4"/>
      <c r="B273" s="798"/>
      <c r="C273" s="799"/>
      <c r="D273" s="35"/>
      <c r="E273" s="35" t="s">
        <v>158</v>
      </c>
      <c r="F273" s="4" t="s">
        <v>1917</v>
      </c>
      <c r="G273" s="3" t="s">
        <v>1918</v>
      </c>
      <c r="H273" s="18"/>
      <c r="I273" s="18"/>
      <c r="J273" s="289" t="str" cm="1">
        <f t="array" ref="J273">IF(ISBLANK(I273), IF(ISBLANK(H273), "N/A", _xlfn.IFS(K273="AS", H273+15, K273="NCR", H273+30, K273="submitted", H273+30, TRUE, "N/A")), _xlfn.IFS(K273="AS", I273+15, K273="NCR", I273+30, K273="submitted", I273+30, TRUE, "N/A"))</f>
        <v>N/A</v>
      </c>
      <c r="K273" s="4"/>
      <c r="L273" s="318"/>
      <c r="M273" s="750"/>
    </row>
    <row r="274" spans="1:13" s="5" customFormat="1" ht="27" customHeight="1">
      <c r="A274" s="4"/>
      <c r="B274" s="795"/>
      <c r="C274" s="797"/>
      <c r="D274" s="36"/>
      <c r="E274" s="36"/>
      <c r="F274" s="4" t="s">
        <v>824</v>
      </c>
      <c r="G274" s="3" t="s">
        <v>1919</v>
      </c>
      <c r="H274" s="18"/>
      <c r="I274" s="18"/>
      <c r="J274" s="289" t="str" cm="1">
        <f t="array" ref="J274">IF(ISBLANK(I274), IF(ISBLANK(H274), "N/A", _xlfn.IFS(K274="AS", H274+15, K274="NCR", H274+30, K274="submitted", H274+30, TRUE, "N/A")), _xlfn.IFS(K274="AS", I274+15, K274="NCR", I274+30, K274="submitted", I274+30, TRUE, "N/A"))</f>
        <v>N/A</v>
      </c>
      <c r="K274" s="4"/>
      <c r="L274" s="318"/>
      <c r="M274" s="750"/>
    </row>
    <row r="275" spans="1:13" s="26" customFormat="1" ht="27" customHeight="1">
      <c r="A275" s="22"/>
      <c r="B275" s="864" t="s">
        <v>1920</v>
      </c>
      <c r="C275" s="865" t="s">
        <v>1921</v>
      </c>
      <c r="D275" s="76"/>
      <c r="E275" s="76"/>
      <c r="F275" s="22" t="s">
        <v>133</v>
      </c>
      <c r="G275" s="28" t="s">
        <v>1922</v>
      </c>
      <c r="H275" s="25"/>
      <c r="I275" s="25"/>
      <c r="J275" s="289" t="str" cm="1">
        <f t="array" ref="J275">IF(ISBLANK(I275), IF(ISBLANK(H275), "N/A", _xlfn.IFS(K275="AS", H275+15, K275="NCR", H275+30, K275="submitted", H275+30, TRUE, "N/A")), _xlfn.IFS(K275="AS", I275+15, K275="NCR", I275+30, K275="submitted", I275+30, TRUE, "N/A"))</f>
        <v>N/A</v>
      </c>
      <c r="K275" s="22"/>
      <c r="L275" s="318"/>
      <c r="M275" s="750"/>
    </row>
    <row r="276" spans="1:13" s="26" customFormat="1" ht="15" customHeight="1">
      <c r="A276" s="22"/>
      <c r="B276" s="851"/>
      <c r="C276" s="854"/>
      <c r="D276" s="27"/>
      <c r="E276" s="27"/>
      <c r="F276" s="22" t="s">
        <v>135</v>
      </c>
      <c r="G276" s="28" t="s">
        <v>320</v>
      </c>
      <c r="H276" s="25"/>
      <c r="I276" s="25"/>
      <c r="J276" s="289" t="str" cm="1">
        <f t="array" ref="J276">IF(ISBLANK(I276), IF(ISBLANK(H276), "N/A", _xlfn.IFS(K276="AS", H276+15, K276="NCR", H276+30, K276="submitted", H276+30, TRUE, "N/A")), _xlfn.IFS(K276="AS", I276+15, K276="NCR", I276+30, K276="submitted", I276+30, TRUE, "N/A"))</f>
        <v>N/A</v>
      </c>
      <c r="K276" s="22"/>
      <c r="L276" s="318"/>
      <c r="M276" s="750"/>
    </row>
    <row r="277" spans="1:13" s="26" customFormat="1" ht="27" customHeight="1">
      <c r="A277" s="22"/>
      <c r="B277" s="851"/>
      <c r="C277" s="854"/>
      <c r="D277" s="27"/>
      <c r="E277" s="27"/>
      <c r="F277" s="22" t="s">
        <v>137</v>
      </c>
      <c r="G277" s="28" t="s">
        <v>1923</v>
      </c>
      <c r="H277" s="25"/>
      <c r="I277" s="25"/>
      <c r="J277" s="289" t="str" cm="1">
        <f t="array" ref="J277">IF(ISBLANK(I277), IF(ISBLANK(H277), "N/A", _xlfn.IFS(K277="AS", H277+15, K277="NCR", H277+30, K277="submitted", H277+30, TRUE, "N/A")), _xlfn.IFS(K277="AS", I277+15, K277="NCR", I277+30, K277="submitted", I277+30, TRUE, "N/A"))</f>
        <v>N/A</v>
      </c>
      <c r="K277" s="22"/>
      <c r="L277" s="318"/>
      <c r="M277" s="750"/>
    </row>
    <row r="278" spans="1:13" s="26" customFormat="1" ht="40.5" customHeight="1">
      <c r="A278" s="22"/>
      <c r="B278" s="851"/>
      <c r="C278" s="854"/>
      <c r="D278" s="27"/>
      <c r="E278" s="27" t="s">
        <v>158</v>
      </c>
      <c r="F278" s="22" t="s">
        <v>163</v>
      </c>
      <c r="G278" s="28" t="s">
        <v>1924</v>
      </c>
      <c r="H278" s="25"/>
      <c r="I278" s="25"/>
      <c r="J278" s="289" t="str" cm="1">
        <f t="array" ref="J278">IF(ISBLANK(I278), IF(ISBLANK(H278), "N/A", _xlfn.IFS(K278="AS", H278+15, K278="NCR", H278+30, K278="submitted", H278+30, TRUE, "N/A")), _xlfn.IFS(K278="AS", I278+15, K278="NCR", I278+30, K278="submitted", I278+30, TRUE, "N/A"))</f>
        <v>N/A</v>
      </c>
      <c r="K278" s="22"/>
      <c r="L278" s="318"/>
      <c r="M278" s="750"/>
    </row>
    <row r="279" spans="1:13" s="26" customFormat="1" ht="27" customHeight="1">
      <c r="A279" s="22"/>
      <c r="B279" s="851"/>
      <c r="C279" s="854"/>
      <c r="D279" s="27"/>
      <c r="E279" s="27"/>
      <c r="F279" s="22" t="s">
        <v>166</v>
      </c>
      <c r="G279" s="28" t="s">
        <v>1925</v>
      </c>
      <c r="H279" s="25"/>
      <c r="I279" s="25"/>
      <c r="J279" s="289" t="str" cm="1">
        <f t="array" ref="J279">IF(ISBLANK(I279), IF(ISBLANK(H279), "N/A", _xlfn.IFS(K279="AS", H279+15, K279="NCR", H279+30, K279="submitted", H279+30, TRUE, "N/A")), _xlfn.IFS(K279="AS", I279+15, K279="NCR", I279+30, K279="submitted", I279+30, TRUE, "N/A"))</f>
        <v>N/A</v>
      </c>
      <c r="K279" s="22"/>
      <c r="L279" s="318"/>
      <c r="M279" s="750"/>
    </row>
    <row r="280" spans="1:13" s="26" customFormat="1" ht="15" customHeight="1">
      <c r="A280" s="22"/>
      <c r="B280" s="851"/>
      <c r="C280" s="854"/>
      <c r="D280" s="27"/>
      <c r="E280" s="27"/>
      <c r="F280" s="22" t="s">
        <v>303</v>
      </c>
      <c r="G280" s="28" t="s">
        <v>1926</v>
      </c>
      <c r="H280" s="25"/>
      <c r="I280" s="25"/>
      <c r="J280" s="289" t="str" cm="1">
        <f t="array" ref="J280">IF(ISBLANK(I280), IF(ISBLANK(H280), "N/A", _xlfn.IFS(K280="AS", H280+15, K280="NCR", H280+30, K280="submitted", H280+30, TRUE, "N/A")), _xlfn.IFS(K280="AS", I280+15, K280="NCR", I280+30, K280="submitted", I280+30, TRUE, "N/A"))</f>
        <v>N/A</v>
      </c>
      <c r="K280" s="22"/>
      <c r="L280" s="318"/>
      <c r="M280" s="750"/>
    </row>
    <row r="281" spans="1:13" s="26" customFormat="1" ht="27" customHeight="1">
      <c r="A281" s="22"/>
      <c r="B281" s="852"/>
      <c r="C281" s="855"/>
      <c r="D281" s="29"/>
      <c r="E281" s="29"/>
      <c r="F281" s="22" t="s">
        <v>305</v>
      </c>
      <c r="G281" s="28" t="s">
        <v>1927</v>
      </c>
      <c r="H281" s="25"/>
      <c r="I281" s="25"/>
      <c r="J281" s="289" t="str" cm="1">
        <f t="array" ref="J281">IF(ISBLANK(I281), IF(ISBLANK(H281), "N/A", _xlfn.IFS(K281="AS", H281+15, K281="NCR", H281+30, K281="submitted", H281+30, TRUE, "N/A")), _xlfn.IFS(K281="AS", I281+15, K281="NCR", I281+30, K281="submitted", I281+30, TRUE, "N/A"))</f>
        <v>N/A</v>
      </c>
      <c r="K281" s="22"/>
      <c r="L281" s="318"/>
      <c r="M281" s="750"/>
    </row>
    <row r="282" spans="1:13" s="1" customFormat="1" ht="15" customHeight="1">
      <c r="A282" s="9"/>
      <c r="B282" s="790" t="s">
        <v>1928</v>
      </c>
      <c r="C282" s="792" t="s">
        <v>1929</v>
      </c>
      <c r="D282" s="37"/>
      <c r="E282" s="37"/>
      <c r="F282" s="9" t="s">
        <v>272</v>
      </c>
      <c r="G282" s="13" t="s">
        <v>1930</v>
      </c>
      <c r="H282" s="14"/>
      <c r="I282" s="14"/>
      <c r="J282" s="289" t="str" cm="1">
        <f t="array" ref="J282">IF(ISBLANK(I282), IF(ISBLANK(H282), "N/A", _xlfn.IFS(K282="AS", H282+15, K282="NCR", H282+30, K282="submitted", H282+30, TRUE, "N/A")), _xlfn.IFS(K282="AS", I282+15, K282="NCR", I282+30, K282="submitted", I282+30, TRUE, "N/A"))</f>
        <v>N/A</v>
      </c>
      <c r="K282" s="9"/>
      <c r="L282" s="318"/>
      <c r="M282" s="750"/>
    </row>
    <row r="283" spans="1:13" s="1" customFormat="1" ht="15" customHeight="1">
      <c r="A283" s="9"/>
      <c r="B283" s="791"/>
      <c r="C283" s="793"/>
      <c r="D283" s="39"/>
      <c r="E283" s="39"/>
      <c r="F283" s="9" t="s">
        <v>259</v>
      </c>
      <c r="G283" s="13" t="s">
        <v>1931</v>
      </c>
      <c r="H283" s="14"/>
      <c r="I283" s="14"/>
      <c r="J283" s="289" t="str" cm="1">
        <f t="array" ref="J283">IF(ISBLANK(I283), IF(ISBLANK(H283), "N/A", _xlfn.IFS(K283="AS", H283+15, K283="NCR", H283+30, K283="submitted", H283+30, TRUE, "N/A")), _xlfn.IFS(K283="AS", I283+15, K283="NCR", I283+30, K283="submitted", I283+30, TRUE, "N/A"))</f>
        <v>N/A</v>
      </c>
      <c r="K283" s="9"/>
      <c r="L283" s="318"/>
      <c r="M283" s="750"/>
    </row>
    <row r="284" spans="1:13" s="1" customFormat="1" ht="15" customHeight="1">
      <c r="A284" s="9"/>
      <c r="B284" s="791"/>
      <c r="C284" s="793"/>
      <c r="D284" s="39"/>
      <c r="E284" s="39"/>
      <c r="F284" s="9" t="s">
        <v>275</v>
      </c>
      <c r="G284" s="13" t="s">
        <v>1932</v>
      </c>
      <c r="H284" s="14"/>
      <c r="I284" s="14"/>
      <c r="J284" s="289" t="str" cm="1">
        <f t="array" ref="J284">IF(ISBLANK(I284), IF(ISBLANK(H284), "N/A", _xlfn.IFS(K284="AS", H284+15, K284="NCR", H284+30, K284="submitted", H284+30, TRUE, "N/A")), _xlfn.IFS(K284="AS", I284+15, K284="NCR", I284+30, K284="submitted", I284+30, TRUE, "N/A"))</f>
        <v>N/A</v>
      </c>
      <c r="K284" s="9"/>
      <c r="L284" s="318"/>
      <c r="M284" s="750"/>
    </row>
    <row r="285" spans="1:13" s="1" customFormat="1" ht="15" customHeight="1">
      <c r="A285" s="9"/>
      <c r="B285" s="791"/>
      <c r="C285" s="793"/>
      <c r="D285" s="39"/>
      <c r="E285" s="39"/>
      <c r="F285" s="9" t="s">
        <v>263</v>
      </c>
      <c r="G285" s="13" t="s">
        <v>1933</v>
      </c>
      <c r="H285" s="14"/>
      <c r="I285" s="14"/>
      <c r="J285" s="289" t="str" cm="1">
        <f t="array" ref="J285">IF(ISBLANK(I285), IF(ISBLANK(H285), "N/A", _xlfn.IFS(K285="AS", H285+15, K285="NCR", H285+30, K285="submitted", H285+30, TRUE, "N/A")), _xlfn.IFS(K285="AS", I285+15, K285="NCR", I285+30, K285="submitted", I285+30, TRUE, "N/A"))</f>
        <v>N/A</v>
      </c>
      <c r="K285" s="9"/>
      <c r="L285" s="318"/>
      <c r="M285" s="750"/>
    </row>
    <row r="286" spans="1:13" s="1" customFormat="1" ht="15" customHeight="1">
      <c r="A286" s="9"/>
      <c r="B286" s="791"/>
      <c r="C286" s="793"/>
      <c r="D286" s="39"/>
      <c r="E286" s="39"/>
      <c r="F286" s="9" t="s">
        <v>253</v>
      </c>
      <c r="G286" s="13" t="s">
        <v>1934</v>
      </c>
      <c r="H286" s="14"/>
      <c r="I286" s="14"/>
      <c r="J286" s="289" t="str" cm="1">
        <f t="array" ref="J286">IF(ISBLANK(I286), IF(ISBLANK(H286), "N/A", _xlfn.IFS(K286="AS", H286+15, K286="NCR", H286+30, K286="submitted", H286+30, TRUE, "N/A")), _xlfn.IFS(K286="AS", I286+15, K286="NCR", I286+30, K286="submitted", I286+30, TRUE, "N/A"))</f>
        <v>N/A</v>
      </c>
      <c r="K286" s="9"/>
      <c r="L286" s="318"/>
      <c r="M286" s="750"/>
    </row>
    <row r="287" spans="1:13" s="1" customFormat="1" ht="15" customHeight="1">
      <c r="A287" s="9"/>
      <c r="B287" s="791"/>
      <c r="C287" s="793"/>
      <c r="D287" s="39"/>
      <c r="E287" s="39"/>
      <c r="F287" s="9" t="s">
        <v>344</v>
      </c>
      <c r="G287" s="13" t="s">
        <v>1935</v>
      </c>
      <c r="H287" s="14"/>
      <c r="I287" s="14"/>
      <c r="J287" s="289" t="str" cm="1">
        <f t="array" ref="J287">IF(ISBLANK(I287), IF(ISBLANK(H287), "N/A", _xlfn.IFS(K287="AS", H287+15, K287="NCR", H287+30, K287="submitted", H287+30, TRUE, "N/A")), _xlfn.IFS(K287="AS", I287+15, K287="NCR", I287+30, K287="submitted", I287+30, TRUE, "N/A"))</f>
        <v>N/A</v>
      </c>
      <c r="K287" s="9"/>
      <c r="L287" s="318"/>
      <c r="M287" s="750"/>
    </row>
    <row r="288" spans="1:13" s="1" customFormat="1" ht="15" customHeight="1">
      <c r="A288" s="9"/>
      <c r="B288" s="791"/>
      <c r="C288" s="793"/>
      <c r="D288" s="39"/>
      <c r="E288" s="39"/>
      <c r="F288" s="9" t="s">
        <v>346</v>
      </c>
      <c r="G288" s="13" t="s">
        <v>1936</v>
      </c>
      <c r="H288" s="14"/>
      <c r="I288" s="14"/>
      <c r="J288" s="289" t="str" cm="1">
        <f t="array" ref="J288">IF(ISBLANK(I288), IF(ISBLANK(H288), "N/A", _xlfn.IFS(K288="AS", H288+15, K288="NCR", H288+30, K288="submitted", H288+30, TRUE, "N/A")), _xlfn.IFS(K288="AS", I288+15, K288="NCR", I288+30, K288="submitted", I288+30, TRUE, "N/A"))</f>
        <v>N/A</v>
      </c>
      <c r="K288" s="9"/>
      <c r="L288" s="318"/>
      <c r="M288" s="748" t="s">
        <v>132</v>
      </c>
    </row>
    <row r="289" spans="1:13" s="1" customFormat="1" ht="15" customHeight="1">
      <c r="A289" s="9"/>
      <c r="B289" s="777"/>
      <c r="C289" s="779"/>
      <c r="D289" s="46"/>
      <c r="E289" s="46"/>
      <c r="F289" s="9" t="s">
        <v>348</v>
      </c>
      <c r="G289" s="13" t="s">
        <v>1937</v>
      </c>
      <c r="H289" s="14"/>
      <c r="I289" s="14"/>
      <c r="J289" s="289" t="str" cm="1">
        <f t="array" ref="J289">IF(ISBLANK(I289), IF(ISBLANK(H289), "N/A", _xlfn.IFS(K289="AS", H289+15, K289="NCR", H289+30, K289="submitted", H289+30, TRUE, "N/A")), _xlfn.IFS(K289="AS", I289+15, K289="NCR", I289+30, K289="submitted", I289+30, TRUE, "N/A"))</f>
        <v>N/A</v>
      </c>
      <c r="K289" s="9"/>
      <c r="L289" s="318"/>
      <c r="M289" s="749"/>
    </row>
    <row r="290" spans="1:13" s="5" customFormat="1" ht="15" customHeight="1">
      <c r="A290" s="4"/>
      <c r="B290" s="794" t="s">
        <v>1938</v>
      </c>
      <c r="C290" s="796" t="s">
        <v>1939</v>
      </c>
      <c r="D290" s="34"/>
      <c r="E290" s="34"/>
      <c r="F290" s="4" t="s">
        <v>210</v>
      </c>
      <c r="G290" s="17" t="s">
        <v>229</v>
      </c>
      <c r="H290" s="18"/>
      <c r="I290" s="18"/>
      <c r="J290" s="289" t="str" cm="1">
        <f t="array" ref="J290">IF(ISBLANK(I290), IF(ISBLANK(H290), "N/A", _xlfn.IFS(K290="AS", H290+15, K290="NCR", H290+30, K290="submitted", H290+30, TRUE, "N/A")), _xlfn.IFS(K290="AS", I290+15, K290="NCR", I290+30, K290="submitted", I290+30, TRUE, "N/A"))</f>
        <v>N/A</v>
      </c>
      <c r="K290" s="4"/>
      <c r="L290" s="318"/>
      <c r="M290" s="749"/>
    </row>
    <row r="291" spans="1:13" s="5" customFormat="1" ht="15" customHeight="1">
      <c r="A291" s="19"/>
      <c r="B291" s="798"/>
      <c r="C291" s="799"/>
      <c r="D291" s="35"/>
      <c r="E291" s="35"/>
      <c r="F291" s="19" t="s">
        <v>328</v>
      </c>
      <c r="G291" s="34" t="s">
        <v>1940</v>
      </c>
      <c r="H291" s="30"/>
      <c r="I291" s="30"/>
      <c r="J291" s="289" t="str" cm="1">
        <f t="array" ref="J291">IF(ISBLANK(I291), IF(ISBLANK(H291), "N/A", _xlfn.IFS(K291="AS", H291+15, K291="NCR", H291+30, K291="submitted", H291+30, TRUE, "N/A")), _xlfn.IFS(K291="AS", I291+15, K291="NCR", I291+30, K291="submitted", I291+30, TRUE, "N/A"))</f>
        <v>N/A</v>
      </c>
      <c r="K291" s="19"/>
      <c r="L291" s="318"/>
      <c r="M291" s="749"/>
    </row>
    <row r="292" spans="1:13" s="5" customFormat="1" ht="15" customHeight="1">
      <c r="A292" s="19"/>
      <c r="B292" s="798"/>
      <c r="C292" s="799"/>
      <c r="D292" s="35"/>
      <c r="E292" s="35"/>
      <c r="F292" s="19" t="s">
        <v>234</v>
      </c>
      <c r="G292" s="34" t="s">
        <v>1941</v>
      </c>
      <c r="H292" s="30"/>
      <c r="I292" s="30"/>
      <c r="J292" s="289" t="str" cm="1">
        <f t="array" ref="J292">IF(ISBLANK(I292), IF(ISBLANK(H292), "N/A", _xlfn.IFS(K292="AS", H292+15, K292="NCR", H292+30, K292="submitted", H292+30, TRUE, "N/A")), _xlfn.IFS(K292="AS", I292+15, K292="NCR", I292+30, K292="submitted", I292+30, TRUE, "N/A"))</f>
        <v>N/A</v>
      </c>
      <c r="K292" s="19"/>
      <c r="L292" s="318"/>
      <c r="M292" s="749"/>
    </row>
    <row r="293" spans="1:13" s="5" customFormat="1" ht="15" customHeight="1">
      <c r="A293" s="19"/>
      <c r="B293" s="798"/>
      <c r="C293" s="799"/>
      <c r="D293" s="35"/>
      <c r="E293" s="35"/>
      <c r="F293" s="19" t="s">
        <v>236</v>
      </c>
      <c r="G293" s="34" t="s">
        <v>1942</v>
      </c>
      <c r="H293" s="30"/>
      <c r="I293" s="30"/>
      <c r="J293" s="289" t="str" cm="1">
        <f t="array" ref="J293">IF(ISBLANK(I293), IF(ISBLANK(H293), "N/A", _xlfn.IFS(K293="AS", H293+15, K293="NCR", H293+30, K293="submitted", H293+30, TRUE, "N/A")), _xlfn.IFS(K293="AS", I293+15, K293="NCR", I293+30, K293="submitted", I293+30, TRUE, "N/A"))</f>
        <v>N/A</v>
      </c>
      <c r="K293" s="19"/>
      <c r="L293" s="318"/>
      <c r="M293" s="749"/>
    </row>
    <row r="294" spans="1:13" s="5" customFormat="1" ht="27" customHeight="1">
      <c r="A294" s="19"/>
      <c r="B294" s="798"/>
      <c r="C294" s="799"/>
      <c r="D294" s="35"/>
      <c r="E294" s="35"/>
      <c r="F294" s="19" t="s">
        <v>396</v>
      </c>
      <c r="G294" s="53" t="s">
        <v>1943</v>
      </c>
      <c r="H294" s="30"/>
      <c r="I294" s="30"/>
      <c r="J294" s="289" t="str" cm="1">
        <f t="array" ref="J294">IF(ISBLANK(I294), IF(ISBLANK(H294), "N/A", _xlfn.IFS(K294="AS", H294+15, K294="NCR", H294+30, K294="submitted", H294+30, TRUE, "N/A")), _xlfn.IFS(K294="AS", I294+15, K294="NCR", I294+30, K294="submitted", I294+30, TRUE, "N/A"))</f>
        <v>N/A</v>
      </c>
      <c r="K294" s="19"/>
      <c r="L294" s="318"/>
      <c r="M294" s="749"/>
    </row>
    <row r="295" spans="1:13" s="5" customFormat="1" ht="15" customHeight="1">
      <c r="A295" s="19"/>
      <c r="B295" s="795"/>
      <c r="C295" s="797"/>
      <c r="D295" s="35"/>
      <c r="E295" s="35"/>
      <c r="F295" s="19" t="s">
        <v>397</v>
      </c>
      <c r="G295" s="34" t="s">
        <v>436</v>
      </c>
      <c r="H295" s="30"/>
      <c r="I295" s="30"/>
      <c r="J295" s="289" t="str" cm="1">
        <f t="array" ref="J295">IF(ISBLANK(I295), IF(ISBLANK(H295), "N/A", _xlfn.IFS(K295="AS", H295+15, K295="NCR", H295+30, K295="submitted", H295+30, TRUE, "N/A")), _xlfn.IFS(K295="AS", I295+15, K295="NCR", I295+30, K295="submitted", I295+30, TRUE, "N/A"))</f>
        <v>N/A</v>
      </c>
      <c r="K295" s="19"/>
      <c r="L295" s="318"/>
      <c r="M295" s="749"/>
    </row>
    <row r="296" spans="1:13" s="1" customFormat="1" ht="15" customHeight="1">
      <c r="A296" s="38"/>
      <c r="B296" s="790" t="s">
        <v>1944</v>
      </c>
      <c r="C296" s="792" t="s">
        <v>1945</v>
      </c>
      <c r="D296" s="37"/>
      <c r="E296" s="37"/>
      <c r="F296" s="38" t="s">
        <v>205</v>
      </c>
      <c r="G296" s="37" t="s">
        <v>276</v>
      </c>
      <c r="H296" s="41"/>
      <c r="I296" s="41"/>
      <c r="J296" s="289" t="str" cm="1">
        <f t="array" ref="J296">IF(ISBLANK(I296), IF(ISBLANK(H296), "N/A", _xlfn.IFS(K296="AS", H296+15, K296="NCR", H296+30, K296="submitted", H296+30, TRUE, "N/A")), _xlfn.IFS(K296="AS", I296+15, K296="NCR", I296+30, K296="submitted", I296+30, TRUE, "N/A"))</f>
        <v>N/A</v>
      </c>
      <c r="K296" s="38"/>
      <c r="L296" s="318"/>
      <c r="M296" s="750" t="s">
        <v>147</v>
      </c>
    </row>
    <row r="297" spans="1:13" s="1" customFormat="1" ht="27" customHeight="1">
      <c r="A297" s="38"/>
      <c r="B297" s="791"/>
      <c r="C297" s="793"/>
      <c r="D297" s="39"/>
      <c r="E297" s="39"/>
      <c r="F297" s="38" t="s">
        <v>275</v>
      </c>
      <c r="G297" s="40" t="s">
        <v>1946</v>
      </c>
      <c r="H297" s="41"/>
      <c r="I297" s="41"/>
      <c r="J297" s="289" t="str" cm="1">
        <f t="array" ref="J297">IF(ISBLANK(I297), IF(ISBLANK(H297), "N/A", _xlfn.IFS(K297="AS", H297+15, K297="NCR", H297+30, K297="submitted", H297+30, TRUE, "N/A")), _xlfn.IFS(K297="AS", I297+15, K297="NCR", I297+30, K297="submitted", I297+30, TRUE, "N/A"))</f>
        <v>N/A</v>
      </c>
      <c r="K297" s="38"/>
      <c r="L297" s="318"/>
      <c r="M297" s="750"/>
    </row>
    <row r="298" spans="1:13" s="1" customFormat="1" ht="27" customHeight="1">
      <c r="A298" s="38"/>
      <c r="B298" s="791"/>
      <c r="C298" s="793"/>
      <c r="D298" s="39"/>
      <c r="E298" s="39"/>
      <c r="F298" s="38" t="s">
        <v>263</v>
      </c>
      <c r="G298" s="40" t="s">
        <v>1947</v>
      </c>
      <c r="H298" s="41"/>
      <c r="I298" s="41"/>
      <c r="J298" s="289" t="str" cm="1">
        <f t="array" ref="J298">IF(ISBLANK(I298), IF(ISBLANK(H298), "N/A", _xlfn.IFS(K298="AS", H298+15, K298="NCR", H298+30, K298="submitted", H298+30, TRUE, "N/A")), _xlfn.IFS(K298="AS", I298+15, K298="NCR", I298+30, K298="submitted", I298+30, TRUE, "N/A"))</f>
        <v>N/A</v>
      </c>
      <c r="K298" s="38"/>
      <c r="L298" s="318"/>
      <c r="M298" s="750"/>
    </row>
    <row r="299" spans="1:13" s="1" customFormat="1" ht="15" customHeight="1">
      <c r="A299" s="38"/>
      <c r="B299" s="791"/>
      <c r="C299" s="793"/>
      <c r="D299" s="39"/>
      <c r="E299" s="39"/>
      <c r="F299" s="38" t="s">
        <v>253</v>
      </c>
      <c r="G299" s="37" t="s">
        <v>1948</v>
      </c>
      <c r="H299" s="41"/>
      <c r="I299" s="41"/>
      <c r="J299" s="289" t="str" cm="1">
        <f t="array" ref="J299">IF(ISBLANK(I299), IF(ISBLANK(H299), "N/A", _xlfn.IFS(K299="AS", H299+15, K299="NCR", H299+30, K299="submitted", H299+30, TRUE, "N/A")), _xlfn.IFS(K299="AS", I299+15, K299="NCR", I299+30, K299="submitted", I299+30, TRUE, "N/A"))</f>
        <v>N/A</v>
      </c>
      <c r="K299" s="38"/>
      <c r="L299" s="318"/>
      <c r="M299" s="750"/>
    </row>
    <row r="300" spans="1:13" s="1" customFormat="1" ht="15" customHeight="1">
      <c r="A300" s="38"/>
      <c r="B300" s="791"/>
      <c r="C300" s="793"/>
      <c r="D300" s="39"/>
      <c r="E300" s="39"/>
      <c r="F300" s="38" t="s">
        <v>344</v>
      </c>
      <c r="G300" s="37" t="s">
        <v>357</v>
      </c>
      <c r="H300" s="41"/>
      <c r="I300" s="41"/>
      <c r="J300" s="289" t="str" cm="1">
        <f t="array" ref="J300">IF(ISBLANK(I300), IF(ISBLANK(H300), "N/A", _xlfn.IFS(K300="AS", H300+15, K300="NCR", H300+30, K300="submitted", H300+30, TRUE, "N/A")), _xlfn.IFS(K300="AS", I300+15, K300="NCR", I300+30, K300="submitted", I300+30, TRUE, "N/A"))</f>
        <v>N/A</v>
      </c>
      <c r="K300" s="38"/>
      <c r="L300" s="318"/>
      <c r="M300" s="750"/>
    </row>
    <row r="301" spans="1:13" s="1" customFormat="1" ht="15" customHeight="1">
      <c r="A301" s="38"/>
      <c r="B301" s="791"/>
      <c r="C301" s="793"/>
      <c r="D301" s="39"/>
      <c r="E301" s="39"/>
      <c r="F301" s="38" t="s">
        <v>346</v>
      </c>
      <c r="G301" s="40" t="s">
        <v>1949</v>
      </c>
      <c r="H301" s="41"/>
      <c r="I301" s="41"/>
      <c r="J301" s="289" t="str" cm="1">
        <f t="array" ref="J301">IF(ISBLANK(I301), IF(ISBLANK(H301), "N/A", _xlfn.IFS(K301="AS", H301+15, K301="NCR", H301+30, K301="submitted", H301+30, TRUE, "N/A")), _xlfn.IFS(K301="AS", I301+15, K301="NCR", I301+30, K301="submitted", I301+30, TRUE, "N/A"))</f>
        <v>N/A</v>
      </c>
      <c r="K301" s="38"/>
      <c r="L301" s="319"/>
      <c r="M301" s="750"/>
    </row>
    <row r="302" spans="1:13" s="1" customFormat="1" ht="15" customHeight="1">
      <c r="A302" s="38"/>
      <c r="B302" s="791"/>
      <c r="C302" s="793"/>
      <c r="D302" s="39"/>
      <c r="E302" s="39"/>
      <c r="F302" s="38" t="s">
        <v>348</v>
      </c>
      <c r="G302" s="40" t="s">
        <v>1950</v>
      </c>
      <c r="H302" s="41"/>
      <c r="I302" s="41"/>
      <c r="J302" s="289" t="str" cm="1">
        <f t="array" ref="J302">IF(ISBLANK(I302), IF(ISBLANK(H302), "N/A", _xlfn.IFS(K302="AS", H302+15, K302="NCR", H302+30, K302="submitted", H302+30, TRUE, "N/A")), _xlfn.IFS(K302="AS", I302+15, K302="NCR", I302+30, K302="submitted", I302+30, TRUE, "N/A"))</f>
        <v>N/A</v>
      </c>
      <c r="K302" s="38"/>
      <c r="L302" s="318"/>
      <c r="M302" s="750"/>
    </row>
    <row r="303" spans="1:13" s="94" customFormat="1" ht="27" customHeight="1">
      <c r="A303" s="90"/>
      <c r="B303" s="866"/>
      <c r="C303" s="867"/>
      <c r="D303" s="91"/>
      <c r="E303" s="91"/>
      <c r="F303" s="90" t="s">
        <v>350</v>
      </c>
      <c r="G303" s="92" t="s">
        <v>1951</v>
      </c>
      <c r="H303" s="93"/>
      <c r="I303" s="93"/>
      <c r="J303" s="289" t="str" cm="1">
        <f t="array" ref="J303">IF(ISBLANK(I303), IF(ISBLANK(H303), "N/A", _xlfn.IFS(K303="AS", H303+15, K303="NCR", H303+30, K303="submitted", H303+30, TRUE, "N/A")), _xlfn.IFS(K303="AS", I303+15, K303="NCR", I303+30, K303="submitted", I303+30, TRUE, "N/A"))</f>
        <v>N/A</v>
      </c>
      <c r="K303" s="90"/>
      <c r="L303" s="318"/>
      <c r="M303" s="750"/>
    </row>
    <row r="304" spans="1:13" s="5" customFormat="1" ht="15" customHeight="1">
      <c r="A304" s="73"/>
      <c r="B304" s="95" t="s">
        <v>1952</v>
      </c>
      <c r="C304" s="36" t="s">
        <v>1953</v>
      </c>
      <c r="D304" s="36"/>
      <c r="E304" s="36"/>
      <c r="F304" s="73" t="s">
        <v>205</v>
      </c>
      <c r="G304" s="36" t="s">
        <v>1954</v>
      </c>
      <c r="H304" s="74"/>
      <c r="I304" s="74"/>
      <c r="J304" s="289" t="str" cm="1">
        <f t="array" ref="J304">IF(ISBLANK(I304), IF(ISBLANK(H304), "N/A", _xlfn.IFS(K304="AS", H304+15, K304="NCR", H304+30, K304="submitted", H304+30, TRUE, "N/A")), _xlfn.IFS(K304="AS", I304+15, K304="NCR", I304+30, K304="submitted", I304+30, TRUE, "N/A"))</f>
        <v>N/A</v>
      </c>
      <c r="K304" s="73"/>
      <c r="L304" s="318"/>
      <c r="M304" s="750"/>
    </row>
    <row r="305" spans="1:11" s="1" customFormat="1" ht="15" customHeight="1">
      <c r="A305" s="9"/>
      <c r="B305" s="790" t="s">
        <v>1955</v>
      </c>
      <c r="C305" s="792" t="s">
        <v>1956</v>
      </c>
      <c r="D305" s="37"/>
      <c r="E305" s="37"/>
      <c r="F305" s="9" t="s">
        <v>205</v>
      </c>
      <c r="G305" s="13" t="s">
        <v>1957</v>
      </c>
      <c r="H305" s="14"/>
      <c r="I305" s="14"/>
      <c r="J305" s="289" t="str" cm="1">
        <f t="array" ref="J305">IF(ISBLANK(I305), IF(ISBLANK(H305), "N/A", _xlfn.IFS(K305="AS", H305+15, K305="NCR", H305+30, K305="submitted", H305+30, TRUE, "N/A")), _xlfn.IFS(K305="AS", I305+15, K305="NCR", I305+30, K305="submitted", I305+30, TRUE, "N/A"))</f>
        <v>N/A</v>
      </c>
      <c r="K305" s="9"/>
    </row>
    <row r="306" spans="1:11" s="1" customFormat="1" ht="15" customHeight="1">
      <c r="A306" s="9"/>
      <c r="B306" s="791"/>
      <c r="C306" s="793"/>
      <c r="D306" s="39"/>
      <c r="E306" s="39"/>
      <c r="F306" s="9" t="s">
        <v>275</v>
      </c>
      <c r="G306" s="13" t="s">
        <v>1958</v>
      </c>
      <c r="H306" s="14"/>
      <c r="I306" s="14"/>
      <c r="J306" s="289" t="str" cm="1">
        <f t="array" ref="J306">IF(ISBLANK(I306), IF(ISBLANK(H306), "N/A", _xlfn.IFS(K306="AS", H306+15, K306="NCR", H306+30, K306="submitted", H306+30, TRUE, "N/A")), _xlfn.IFS(K306="AS", I306+15, K306="NCR", I306+30, K306="submitted", I306+30, TRUE, "N/A"))</f>
        <v>N/A</v>
      </c>
      <c r="K306" s="9"/>
    </row>
    <row r="307" spans="1:11" s="1" customFormat="1" ht="27" customHeight="1">
      <c r="A307" s="9"/>
      <c r="B307" s="777"/>
      <c r="C307" s="779"/>
      <c r="D307" s="46"/>
      <c r="E307" s="46"/>
      <c r="F307" s="9" t="s">
        <v>263</v>
      </c>
      <c r="G307" s="7" t="s">
        <v>1959</v>
      </c>
      <c r="H307" s="14"/>
      <c r="I307" s="14"/>
      <c r="J307" s="289" t="str" cm="1">
        <f t="array" ref="J307">IF(ISBLANK(I307), IF(ISBLANK(H307), "N/A", _xlfn.IFS(K307="AS", H307+15, K307="NCR", H307+30, K307="submitted", H307+30, TRUE, "N/A")), _xlfn.IFS(K307="AS", I307+15, K307="NCR", I307+30, K307="submitted", I307+30, TRUE, "N/A"))</f>
        <v>N/A</v>
      </c>
      <c r="K307" s="9"/>
    </row>
    <row r="308" spans="1:11" s="5" customFormat="1" ht="27" customHeight="1">
      <c r="A308" s="4"/>
      <c r="B308" s="794" t="s">
        <v>1960</v>
      </c>
      <c r="C308" s="796" t="s">
        <v>1961</v>
      </c>
      <c r="D308" s="34"/>
      <c r="E308" s="34"/>
      <c r="F308" s="4" t="s">
        <v>205</v>
      </c>
      <c r="G308" s="3" t="s">
        <v>1962</v>
      </c>
      <c r="H308" s="18"/>
      <c r="I308" s="18"/>
      <c r="J308" s="289" t="str" cm="1">
        <f t="array" ref="J308">IF(ISBLANK(I308), IF(ISBLANK(H308), "N/A", _xlfn.IFS(K308="AS", H308+15, K308="NCR", H308+30, K308="submitted", H308+30, TRUE, "N/A")), _xlfn.IFS(K308="AS", I308+15, K308="NCR", I308+30, K308="submitted", I308+30, TRUE, "N/A"))</f>
        <v>N/A</v>
      </c>
      <c r="K308" s="4"/>
    </row>
    <row r="309" spans="1:11" s="5" customFormat="1" ht="15" customHeight="1">
      <c r="A309" s="4"/>
      <c r="B309" s="795"/>
      <c r="C309" s="797"/>
      <c r="D309" s="36"/>
      <c r="E309" s="36"/>
      <c r="F309" s="4" t="s">
        <v>275</v>
      </c>
      <c r="G309" s="17" t="s">
        <v>1963</v>
      </c>
      <c r="H309" s="18"/>
      <c r="I309" s="18"/>
      <c r="J309" s="289" t="str" cm="1">
        <f t="array" ref="J309">IF(ISBLANK(I309), IF(ISBLANK(H309), "N/A", _xlfn.IFS(K309="AS", H309+15, K309="NCR", H309+30, K309="submitted", H309+30, TRUE, "N/A")), _xlfn.IFS(K309="AS", I309+15, K309="NCR", I309+30, K309="submitted", I309+30, TRUE, "N/A"))</f>
        <v>N/A</v>
      </c>
      <c r="K309" s="4"/>
    </row>
    <row r="310" spans="1:11" s="486" customFormat="1" ht="15" customHeight="1">
      <c r="A310" s="350" t="s">
        <v>44</v>
      </c>
      <c r="B310" s="555" t="s">
        <v>1964</v>
      </c>
      <c r="C310" s="353" t="s">
        <v>1965</v>
      </c>
      <c r="D310" s="483" t="s">
        <v>1267</v>
      </c>
      <c r="E310" s="483" t="s">
        <v>1966</v>
      </c>
      <c r="F310" s="350" t="s">
        <v>205</v>
      </c>
      <c r="G310" s="354" t="s">
        <v>1967</v>
      </c>
      <c r="H310" s="485">
        <v>45867</v>
      </c>
      <c r="I310" s="485">
        <v>45903</v>
      </c>
      <c r="J310" s="289" t="str" cm="1">
        <f t="array" ref="J310">IF(ISBLANK(I310), IF(ISBLANK(H310), "N/A", _xlfn.IFS(K310="AS", H310+15, K310="NCR", H310+30, K310="submitted", H310+30, TRUE, "N/A")), _xlfn.IFS(K310="AS", I310+15, K310="NCR", I310+30, K310="submitted", I310+30, TRUE, "N/A"))</f>
        <v>N/A</v>
      </c>
      <c r="K310" s="350" t="s">
        <v>645</v>
      </c>
    </row>
    <row r="311" spans="1:11" s="561" customFormat="1" ht="27" customHeight="1">
      <c r="A311" s="122"/>
      <c r="B311" s="556" t="s">
        <v>1964</v>
      </c>
      <c r="C311" s="557" t="s">
        <v>1965</v>
      </c>
      <c r="D311" s="558" t="s">
        <v>1968</v>
      </c>
      <c r="E311" s="558"/>
      <c r="F311" s="122" t="s">
        <v>275</v>
      </c>
      <c r="G311" s="559" t="s">
        <v>1969</v>
      </c>
      <c r="H311" s="560"/>
      <c r="I311" s="560"/>
      <c r="J311" s="289" t="str" cm="1">
        <f t="array" ref="J311">IF(ISBLANK(I311), IF(ISBLANK(H311), "N/A", _xlfn.IFS(K311="AS", H311+15, K311="NCR", H311+30, K311="submitted", H311+30, TRUE, "N/A")), _xlfn.IFS(K311="AS", I311+15, K311="NCR", I311+30, K311="submitted", I311+30, TRUE, "N/A"))</f>
        <v>N/A</v>
      </c>
      <c r="K311" s="122"/>
    </row>
    <row r="312" spans="1:11" s="26" customFormat="1" ht="15" customHeight="1">
      <c r="A312" s="22"/>
      <c r="B312" s="96" t="s">
        <v>1970</v>
      </c>
      <c r="C312" s="27" t="s">
        <v>1971</v>
      </c>
      <c r="D312" s="27"/>
      <c r="E312" s="27"/>
      <c r="F312" s="22" t="s">
        <v>144</v>
      </c>
      <c r="G312" s="28"/>
      <c r="H312" s="25"/>
      <c r="I312" s="25"/>
      <c r="J312" s="289" t="str" cm="1">
        <f t="array" ref="J312">IF(ISBLANK(I312), IF(ISBLANK(H312), "N/A", _xlfn.IFS(K312="AS", H312+15, K312="NCR", H312+30, K312="submitted", H312+30, TRUE, "N/A")), _xlfn.IFS(K312="AS", I312+15, K312="NCR", I312+30, K312="submitted", I312+30, TRUE, "N/A"))</f>
        <v>N/A</v>
      </c>
      <c r="K312" s="22"/>
    </row>
    <row r="313" spans="1:11" s="5" customFormat="1" ht="15" customHeight="1">
      <c r="A313" s="4"/>
      <c r="B313" s="794" t="s">
        <v>1972</v>
      </c>
      <c r="C313" s="796" t="s">
        <v>1973</v>
      </c>
      <c r="D313" s="34"/>
      <c r="E313" s="34"/>
      <c r="F313" s="4" t="s">
        <v>205</v>
      </c>
      <c r="G313" s="17" t="s">
        <v>476</v>
      </c>
      <c r="H313" s="18"/>
      <c r="I313" s="18"/>
      <c r="J313" s="289" t="str" cm="1">
        <f t="array" ref="J313">IF(ISBLANK(I313), IF(ISBLANK(H313), "N/A", _xlfn.IFS(K313="AS", H313+15, K313="NCR", H313+30, K313="submitted", H313+30, TRUE, "N/A")), _xlfn.IFS(K313="AS", I313+15, K313="NCR", I313+30, K313="submitted", I313+30, TRUE, "N/A"))</f>
        <v>N/A</v>
      </c>
      <c r="K313" s="4"/>
    </row>
    <row r="314" spans="1:11" s="5" customFormat="1" ht="15" customHeight="1">
      <c r="A314" s="4"/>
      <c r="B314" s="798"/>
      <c r="C314" s="799"/>
      <c r="D314" s="35"/>
      <c r="E314" s="35"/>
      <c r="F314" s="4" t="s">
        <v>275</v>
      </c>
      <c r="G314" s="17" t="s">
        <v>1974</v>
      </c>
      <c r="H314" s="18"/>
      <c r="I314" s="18"/>
      <c r="J314" s="289" t="str" cm="1">
        <f t="array" ref="J314">IF(ISBLANK(I314), IF(ISBLANK(H314), "N/A", _xlfn.IFS(K314="AS", H314+15, K314="NCR", H314+30, K314="submitted", H314+30, TRUE, "N/A")), _xlfn.IFS(K314="AS", I314+15, K314="NCR", I314+30, K314="submitted", I314+30, TRUE, "N/A"))</f>
        <v>N/A</v>
      </c>
      <c r="K314" s="4"/>
    </row>
    <row r="315" spans="1:11" s="5" customFormat="1" ht="15" customHeight="1">
      <c r="A315" s="4"/>
      <c r="B315" s="795"/>
      <c r="C315" s="797"/>
      <c r="D315" s="36"/>
      <c r="E315" s="36"/>
      <c r="F315" s="4" t="s">
        <v>263</v>
      </c>
      <c r="G315" s="17" t="s">
        <v>1948</v>
      </c>
      <c r="H315" s="18"/>
      <c r="I315" s="18"/>
      <c r="J315" s="289" t="str" cm="1">
        <f t="array" ref="J315">IF(ISBLANK(I315), IF(ISBLANK(H315), "N/A", _xlfn.IFS(K315="AS", H315+15, K315="NCR", H315+30, K315="submitted", H315+30, TRUE, "N/A")), _xlfn.IFS(K315="AS", I315+15, K315="NCR", I315+30, K315="submitted", I315+30, TRUE, "N/A"))</f>
        <v>N/A</v>
      </c>
      <c r="K315" s="4"/>
    </row>
    <row r="316" spans="1:11" s="1" customFormat="1" ht="27" customHeight="1">
      <c r="A316" s="9"/>
      <c r="B316" s="790" t="s">
        <v>1975</v>
      </c>
      <c r="C316" s="792" t="s">
        <v>1976</v>
      </c>
      <c r="D316" s="37"/>
      <c r="E316" s="37"/>
      <c r="F316" s="9" t="s">
        <v>205</v>
      </c>
      <c r="G316" s="7" t="s">
        <v>1977</v>
      </c>
      <c r="H316" s="14"/>
      <c r="I316" s="14"/>
      <c r="J316" s="289" t="str" cm="1">
        <f t="array" ref="J316">IF(ISBLANK(I316), IF(ISBLANK(H316), "N/A", _xlfn.IFS(K316="AS", H316+15, K316="NCR", H316+30, K316="submitted", H316+30, TRUE, "N/A")), _xlfn.IFS(K316="AS", I316+15, K316="NCR", I316+30, K316="submitted", I316+30, TRUE, "N/A"))</f>
        <v>N/A</v>
      </c>
      <c r="K316" s="9"/>
    </row>
    <row r="317" spans="1:11" s="1" customFormat="1" ht="15" customHeight="1">
      <c r="A317" s="9"/>
      <c r="B317" s="791"/>
      <c r="C317" s="793"/>
      <c r="D317" s="39"/>
      <c r="E317" s="39"/>
      <c r="F317" s="9" t="s">
        <v>275</v>
      </c>
      <c r="G317" s="13" t="s">
        <v>276</v>
      </c>
      <c r="H317" s="14"/>
      <c r="I317" s="14"/>
      <c r="J317" s="289" t="str" cm="1">
        <f t="array" ref="J317">IF(ISBLANK(I317), IF(ISBLANK(H317), "N/A", _xlfn.IFS(K317="AS", H317+15, K317="NCR", H317+30, K317="submitted", H317+30, TRUE, "N/A")), _xlfn.IFS(K317="AS", I317+15, K317="NCR", I317+30, K317="submitted", I317+30, TRUE, "N/A"))</f>
        <v>N/A</v>
      </c>
      <c r="K317" s="9"/>
    </row>
    <row r="318" spans="1:11" s="1" customFormat="1" ht="15" customHeight="1">
      <c r="A318" s="9"/>
      <c r="B318" s="791"/>
      <c r="C318" s="793"/>
      <c r="D318" s="39"/>
      <c r="E318" s="39" t="s">
        <v>158</v>
      </c>
      <c r="F318" s="9" t="s">
        <v>263</v>
      </c>
      <c r="G318" s="7" t="s">
        <v>1978</v>
      </c>
      <c r="H318" s="14"/>
      <c r="I318" s="14"/>
      <c r="J318" s="289" t="str" cm="1">
        <f t="array" ref="J318">IF(ISBLANK(I318), IF(ISBLANK(H318), "N/A", _xlfn.IFS(K318="AS", H318+15, K318="NCR", H318+30, K318="submitted", H318+30, TRUE, "N/A")), _xlfn.IFS(K318="AS", I318+15, K318="NCR", I318+30, K318="submitted", I318+30, TRUE, "N/A"))</f>
        <v>N/A</v>
      </c>
      <c r="K318" s="9"/>
    </row>
    <row r="319" spans="1:11" s="1" customFormat="1" ht="27" customHeight="1">
      <c r="A319" s="9"/>
      <c r="B319" s="791"/>
      <c r="C319" s="793"/>
      <c r="D319" s="39"/>
      <c r="E319" s="39"/>
      <c r="F319" s="9" t="s">
        <v>253</v>
      </c>
      <c r="G319" s="7" t="s">
        <v>1979</v>
      </c>
      <c r="H319" s="14"/>
      <c r="I319" s="14"/>
      <c r="J319" s="289" t="str" cm="1">
        <f t="array" ref="J319">IF(ISBLANK(I319), IF(ISBLANK(H319), "N/A", _xlfn.IFS(K319="AS", H319+15, K319="NCR", H319+30, K319="submitted", H319+30, TRUE, "N/A")), _xlfn.IFS(K319="AS", I319+15, K319="NCR", I319+30, K319="submitted", I319+30, TRUE, "N/A"))</f>
        <v>N/A</v>
      </c>
      <c r="K319" s="9"/>
    </row>
    <row r="320" spans="1:11" s="1" customFormat="1" ht="15" customHeight="1">
      <c r="A320" s="9"/>
      <c r="B320" s="777"/>
      <c r="C320" s="779"/>
      <c r="D320" s="46"/>
      <c r="E320" s="46"/>
      <c r="F320" s="9" t="s">
        <v>344</v>
      </c>
      <c r="G320" s="13" t="s">
        <v>1854</v>
      </c>
      <c r="H320" s="14"/>
      <c r="I320" s="14"/>
      <c r="J320" s="289" t="str" cm="1">
        <f t="array" ref="J320">IF(ISBLANK(I320), IF(ISBLANK(H320), "N/A", _xlfn.IFS(K320="AS", H320+15, K320="NCR", H320+30, K320="submitted", H320+30, TRUE, "N/A")), _xlfn.IFS(K320="AS", I320+15, K320="NCR", I320+30, K320="submitted", I320+30, TRUE, "N/A"))</f>
        <v>N/A</v>
      </c>
      <c r="K320" s="9"/>
    </row>
    <row r="321" spans="1:11" s="655" customFormat="1" ht="27" customHeight="1">
      <c r="A321" s="188" t="s">
        <v>48</v>
      </c>
      <c r="B321" s="858" t="s">
        <v>1980</v>
      </c>
      <c r="C321" s="861" t="s">
        <v>1981</v>
      </c>
      <c r="D321" s="650" t="s">
        <v>49</v>
      </c>
      <c r="E321" s="650"/>
      <c r="F321" s="188" t="s">
        <v>133</v>
      </c>
      <c r="G321" s="651" t="s">
        <v>1982</v>
      </c>
      <c r="H321" s="652">
        <v>45854</v>
      </c>
      <c r="I321" s="652">
        <v>45922</v>
      </c>
      <c r="J321" s="289" cm="1">
        <f t="array" ref="J321">IF(ISBLANK(I321), IF(ISBLANK(H321), "N/A", _xlfn.IFS(K321="AS", H321+15, K321="NCR", H321+30, K321="submitted", H321+30, TRUE, "N/A")), _xlfn.IFS(K321="AS", I321+15, K321="NCR", I321+30, K321="submitted", I321+30, TRUE, "N/A"))</f>
        <v>45952</v>
      </c>
      <c r="K321" s="188" t="s">
        <v>207</v>
      </c>
    </row>
    <row r="322" spans="1:11" s="655" customFormat="1" ht="27" customHeight="1">
      <c r="A322" s="188" t="s">
        <v>48</v>
      </c>
      <c r="B322" s="859"/>
      <c r="C322" s="862"/>
      <c r="D322" s="674"/>
      <c r="E322" s="674"/>
      <c r="F322" s="188" t="s">
        <v>135</v>
      </c>
      <c r="G322" s="651" t="s">
        <v>1983</v>
      </c>
      <c r="H322" s="652">
        <v>45854</v>
      </c>
      <c r="I322" s="652">
        <v>45922</v>
      </c>
      <c r="J322" s="289" cm="1">
        <f t="array" ref="J322">IF(ISBLANK(I322), IF(ISBLANK(H322), "N/A", _xlfn.IFS(K322="AS", H322+15, K322="NCR", H322+30, K322="submitted", H322+30, TRUE, "N/A")), _xlfn.IFS(K322="AS", I322+15, K322="NCR", I322+30, K322="submitted", I322+30, TRUE, "N/A"))</f>
        <v>45952</v>
      </c>
      <c r="K322" s="188" t="s">
        <v>207</v>
      </c>
    </row>
    <row r="323" spans="1:11" s="655" customFormat="1" ht="27" customHeight="1">
      <c r="A323" s="188" t="s">
        <v>48</v>
      </c>
      <c r="B323" s="859"/>
      <c r="C323" s="862"/>
      <c r="D323" s="650" t="s">
        <v>49</v>
      </c>
      <c r="E323" s="674"/>
      <c r="F323" s="188" t="s">
        <v>137</v>
      </c>
      <c r="G323" s="651" t="s">
        <v>1984</v>
      </c>
      <c r="H323" s="652">
        <v>45854</v>
      </c>
      <c r="I323" s="652">
        <v>45922</v>
      </c>
      <c r="J323" s="289" cm="1">
        <f t="array" ref="J323">IF(ISBLANK(I323), IF(ISBLANK(H323), "N/A", _xlfn.IFS(K323="AS", H323+15, K323="NCR", H323+30, K323="submitted", H323+30, TRUE, "N/A")), _xlfn.IFS(K323="AS", I323+15, K323="NCR", I323+30, K323="submitted", I323+30, TRUE, "N/A"))</f>
        <v>45952</v>
      </c>
      <c r="K323" s="188" t="s">
        <v>207</v>
      </c>
    </row>
    <row r="324" spans="1:11" s="655" customFormat="1" ht="27" customHeight="1">
      <c r="A324" s="188" t="s">
        <v>48</v>
      </c>
      <c r="B324" s="859"/>
      <c r="C324" s="862"/>
      <c r="D324" s="650" t="s">
        <v>49</v>
      </c>
      <c r="E324" s="674" t="s">
        <v>158</v>
      </c>
      <c r="F324" s="188" t="s">
        <v>163</v>
      </c>
      <c r="G324" s="651" t="s">
        <v>1985</v>
      </c>
      <c r="H324" s="652">
        <v>45854</v>
      </c>
      <c r="I324" s="652">
        <v>45922</v>
      </c>
      <c r="J324" s="289" cm="1">
        <f t="array" ref="J324">IF(ISBLANK(I324), IF(ISBLANK(H324), "N/A", _xlfn.IFS(K324="AS", H324+15, K324="NCR", H324+30, K324="submitted", H324+30, TRUE, "N/A")), _xlfn.IFS(K324="AS", I324+15, K324="NCR", I324+30, K324="submitted", I324+30, TRUE, "N/A"))</f>
        <v>45952</v>
      </c>
      <c r="K324" s="188" t="s">
        <v>207</v>
      </c>
    </row>
    <row r="325" spans="1:11" s="655" customFormat="1" ht="27" customHeight="1">
      <c r="A325" s="188" t="s">
        <v>48</v>
      </c>
      <c r="B325" s="860"/>
      <c r="C325" s="863"/>
      <c r="D325" s="650" t="s">
        <v>49</v>
      </c>
      <c r="E325" s="675"/>
      <c r="F325" s="188" t="s">
        <v>166</v>
      </c>
      <c r="G325" s="651" t="s">
        <v>1986</v>
      </c>
      <c r="H325" s="652">
        <v>45854</v>
      </c>
      <c r="I325" s="652">
        <v>45922</v>
      </c>
      <c r="J325" s="289" cm="1">
        <f t="array" ref="J325">IF(ISBLANK(I325), IF(ISBLANK(H325), "N/A", _xlfn.IFS(K325="AS", H325+15, K325="NCR", H325+30, K325="submitted", H325+30, TRUE, "N/A")), _xlfn.IFS(K325="AS", I325+15, K325="NCR", I325+30, K325="submitted", I325+30, TRUE, "N/A"))</f>
        <v>45952</v>
      </c>
      <c r="K325" s="188" t="s">
        <v>207</v>
      </c>
    </row>
    <row r="326" spans="1:11" s="138" customFormat="1" ht="27" customHeight="1">
      <c r="A326" s="152" t="s">
        <v>50</v>
      </c>
      <c r="B326" s="170" t="s">
        <v>1987</v>
      </c>
      <c r="C326" s="390" t="s">
        <v>1988</v>
      </c>
      <c r="D326" s="156" t="s">
        <v>1989</v>
      </c>
      <c r="E326" s="539"/>
      <c r="F326" s="152" t="s">
        <v>130</v>
      </c>
      <c r="G326" s="153" t="s">
        <v>476</v>
      </c>
      <c r="H326" s="262">
        <v>45854</v>
      </c>
      <c r="I326" s="262">
        <v>45922</v>
      </c>
      <c r="J326" s="289" t="str" cm="1">
        <f t="array" ref="J326">IF(ISBLANK(I326), IF(ISBLANK(H326), "N/A", _xlfn.IFS(K326="AS", H326+15, K326="NCR", H326+30, K326="submitted", H326+30, TRUE, "N/A")), _xlfn.IFS(K326="AS", I326+15, K326="NCR", I326+30, K326="submitted", I326+30, TRUE, "N/A"))</f>
        <v>N/A</v>
      </c>
      <c r="K326" s="152" t="s">
        <v>645</v>
      </c>
    </row>
    <row r="327" spans="1:11" s="5" customFormat="1" ht="15" customHeight="1">
      <c r="A327" s="4"/>
      <c r="B327" s="54" t="s">
        <v>1987</v>
      </c>
      <c r="C327" s="347" t="s">
        <v>1988</v>
      </c>
      <c r="D327" s="158"/>
      <c r="E327" s="309"/>
      <c r="F327" s="4" t="s">
        <v>130</v>
      </c>
      <c r="G327" s="17" t="s">
        <v>476</v>
      </c>
      <c r="H327" s="18"/>
      <c r="I327" s="18"/>
      <c r="J327" s="289" t="str" cm="1">
        <f t="array" ref="J327">IF(ISBLANK(I327), IF(ISBLANK(H327), "N/A", _xlfn.IFS(K327="AS", H327+15, K327="NCR", H327+30, K327="submitted", H327+30, TRUE, "N/A")), _xlfn.IFS(K327="AS", I327+15, K327="NCR", I327+30, K327="submitted", I327+30, TRUE, "N/A"))</f>
        <v>N/A</v>
      </c>
      <c r="K327" s="4"/>
    </row>
    <row r="328" spans="1:11" s="5" customFormat="1" ht="15" customHeight="1">
      <c r="A328" s="4"/>
      <c r="B328" s="54" t="s">
        <v>1987</v>
      </c>
      <c r="C328" s="347" t="s">
        <v>1988</v>
      </c>
      <c r="D328" s="144"/>
      <c r="E328" s="310"/>
      <c r="F328" s="4" t="s">
        <v>133</v>
      </c>
      <c r="G328" s="3" t="s">
        <v>1990</v>
      </c>
      <c r="H328" s="18"/>
      <c r="I328" s="18"/>
      <c r="J328" s="289" t="str" cm="1">
        <f t="array" ref="J328">IF(ISBLANK(I328), IF(ISBLANK(H328), "N/A", _xlfn.IFS(K328="AS", H328+15, K328="NCR", H328+30, K328="submitted", H328+30, TRUE, "N/A")), _xlfn.IFS(K328="AS", I328+15, K328="NCR", I328+30, K328="submitted", I328+30, TRUE, "N/A"))</f>
        <v>N/A</v>
      </c>
      <c r="K328" s="4"/>
    </row>
    <row r="329" spans="1:11" s="1" customFormat="1" ht="15" customHeight="1">
      <c r="A329" s="9"/>
      <c r="B329" s="790" t="s">
        <v>1991</v>
      </c>
      <c r="C329" s="792" t="s">
        <v>1992</v>
      </c>
      <c r="D329" s="39"/>
      <c r="E329" s="37"/>
      <c r="F329" s="9" t="s">
        <v>205</v>
      </c>
      <c r="G329" s="13" t="s">
        <v>476</v>
      </c>
      <c r="H329" s="14"/>
      <c r="I329" s="14"/>
      <c r="J329" s="289" t="str" cm="1">
        <f t="array" ref="J329">IF(ISBLANK(I329), IF(ISBLANK(H329), "N/A", _xlfn.IFS(K329="AS", H329+15, K329="NCR", H329+30, K329="submitted", H329+30, TRUE, "N/A")), _xlfn.IFS(K329="AS", I329+15, K329="NCR", I329+30, K329="submitted", I329+30, TRUE, "N/A"))</f>
        <v>N/A</v>
      </c>
      <c r="K329" s="9"/>
    </row>
    <row r="330" spans="1:11" s="1" customFormat="1" ht="15" customHeight="1">
      <c r="A330" s="9"/>
      <c r="B330" s="791"/>
      <c r="C330" s="793"/>
      <c r="D330" s="39"/>
      <c r="E330" s="39"/>
      <c r="F330" s="9" t="s">
        <v>275</v>
      </c>
      <c r="G330" s="13" t="s">
        <v>276</v>
      </c>
      <c r="H330" s="14"/>
      <c r="I330" s="14"/>
      <c r="J330" s="289" t="str" cm="1">
        <f t="array" ref="J330">IF(ISBLANK(I330), IF(ISBLANK(H330), "N/A", _xlfn.IFS(K330="AS", H330+15, K330="NCR", H330+30, K330="submitted", H330+30, TRUE, "N/A")), _xlfn.IFS(K330="AS", I330+15, K330="NCR", I330+30, K330="submitted", I330+30, TRUE, "N/A"))</f>
        <v>N/A</v>
      </c>
      <c r="K330" s="9"/>
    </row>
    <row r="331" spans="1:11" s="1" customFormat="1" ht="15" customHeight="1">
      <c r="A331" s="9"/>
      <c r="B331" s="791"/>
      <c r="C331" s="793"/>
      <c r="D331" s="39"/>
      <c r="E331" s="39"/>
      <c r="F331" s="9" t="s">
        <v>263</v>
      </c>
      <c r="G331" s="7" t="s">
        <v>1993</v>
      </c>
      <c r="H331" s="14"/>
      <c r="I331" s="14"/>
      <c r="J331" s="289" t="str" cm="1">
        <f t="array" ref="J331">IF(ISBLANK(I331), IF(ISBLANK(H331), "N/A", _xlfn.IFS(K331="AS", H331+15, K331="NCR", H331+30, K331="submitted", H331+30, TRUE, "N/A")), _xlfn.IFS(K331="AS", I331+15, K331="NCR", I331+30, K331="submitted", I331+30, TRUE, "N/A"))</f>
        <v>N/A</v>
      </c>
      <c r="K331" s="9"/>
    </row>
    <row r="332" spans="1:11" s="1" customFormat="1" ht="15" customHeight="1">
      <c r="A332" s="9"/>
      <c r="B332" s="777"/>
      <c r="C332" s="779"/>
      <c r="D332" s="46"/>
      <c r="E332" s="46"/>
      <c r="F332" s="9" t="s">
        <v>253</v>
      </c>
      <c r="G332" s="13" t="s">
        <v>333</v>
      </c>
      <c r="H332" s="14"/>
      <c r="I332" s="14"/>
      <c r="J332" s="289" t="str" cm="1">
        <f t="array" ref="J332">IF(ISBLANK(I332), IF(ISBLANK(H332), "N/A", _xlfn.IFS(K332="AS", H332+15, K332="NCR", H332+30, K332="submitted", H332+30, TRUE, "N/A")), _xlfn.IFS(K332="AS", I332+15, K332="NCR", I332+30, K332="submitted", I332+30, TRUE, "N/A"))</f>
        <v>N/A</v>
      </c>
      <c r="K332" s="9"/>
    </row>
    <row r="333" spans="1:11" s="26" customFormat="1" ht="46.5" customHeight="1">
      <c r="A333" s="22" t="s">
        <v>1994</v>
      </c>
      <c r="B333" s="128" t="s">
        <v>1995</v>
      </c>
      <c r="C333" s="129" t="s">
        <v>1996</v>
      </c>
      <c r="D333" s="27" t="s">
        <v>1997</v>
      </c>
      <c r="E333" s="76" t="s">
        <v>516</v>
      </c>
      <c r="F333" s="22" t="s">
        <v>205</v>
      </c>
      <c r="G333" s="28" t="s">
        <v>1998</v>
      </c>
      <c r="H333" s="25">
        <v>45912</v>
      </c>
      <c r="I333" s="25">
        <v>45926</v>
      </c>
      <c r="J333" s="289" cm="1">
        <f t="array" ref="J333">IF(ISBLANK(I333), IF(ISBLANK(H333), "N/A", _xlfn.IFS(K333="AS", H333+15, K333="NCR", H333+30, K333="submitted", H333+30, TRUE, "N/A")), _xlfn.IFS(K333="AS", I333+15, K333="NCR", I333+30, K333="submitted", I333+30, TRUE, "N/A"))</f>
        <v>45956</v>
      </c>
      <c r="K333" s="22" t="s">
        <v>207</v>
      </c>
    </row>
    <row r="334" spans="1:11" s="26" customFormat="1" ht="61.5" customHeight="1">
      <c r="A334" s="22"/>
      <c r="B334" s="128" t="s">
        <v>1995</v>
      </c>
      <c r="C334" s="360" t="s">
        <v>1996</v>
      </c>
      <c r="D334" s="203"/>
      <c r="E334" s="203"/>
      <c r="F334" s="204" t="s">
        <v>275</v>
      </c>
      <c r="G334" s="28" t="s">
        <v>1999</v>
      </c>
      <c r="H334" s="25"/>
      <c r="I334" s="25"/>
      <c r="J334" s="289" t="str" cm="1">
        <f t="array" ref="J334">IF(ISBLANK(I334), IF(ISBLANK(H334), "N/A", _xlfn.IFS(K334="AS", H334+15, K334="NCR", H334+30, K334="submitted", H334+30, TRUE, "N/A")), _xlfn.IFS(K334="AS", I334+15, K334="NCR", I334+30, K334="submitted", I334+30, TRUE, "N/A"))</f>
        <v>N/A</v>
      </c>
      <c r="K334" s="22"/>
    </row>
    <row r="335" spans="1:11" s="26" customFormat="1" ht="30.75" customHeight="1">
      <c r="A335" s="22"/>
      <c r="B335" s="128" t="s">
        <v>1995</v>
      </c>
      <c r="C335" s="360" t="s">
        <v>1996</v>
      </c>
      <c r="D335" s="628"/>
      <c r="E335" s="203"/>
      <c r="F335" s="204" t="s">
        <v>263</v>
      </c>
      <c r="G335" s="28" t="s">
        <v>2000</v>
      </c>
      <c r="H335" s="25"/>
      <c r="I335" s="25"/>
      <c r="J335" s="289" t="str" cm="1">
        <f t="array" ref="J335">IF(ISBLANK(I335), IF(ISBLANK(H335), "N/A", _xlfn.IFS(K335="AS", H335+15, K335="NCR", H335+30, K335="submitted", H335+30, TRUE, "N/A")), _xlfn.IFS(K335="AS", I335+15, K335="NCR", I335+30, K335="submitted", I335+30, TRUE, "N/A"))</f>
        <v>N/A</v>
      </c>
      <c r="K335" s="22"/>
    </row>
    <row r="336" spans="1:11" s="26" customFormat="1" ht="53.25" customHeight="1">
      <c r="A336" s="22" t="s">
        <v>1994</v>
      </c>
      <c r="B336" s="128" t="s">
        <v>1995</v>
      </c>
      <c r="C336" s="360" t="s">
        <v>1996</v>
      </c>
      <c r="D336" s="203" t="s">
        <v>1997</v>
      </c>
      <c r="E336" s="590" t="s">
        <v>516</v>
      </c>
      <c r="F336" s="22" t="s">
        <v>253</v>
      </c>
      <c r="G336" s="28" t="s">
        <v>2001</v>
      </c>
      <c r="H336" s="25">
        <v>45912</v>
      </c>
      <c r="I336" s="25">
        <v>45926</v>
      </c>
      <c r="J336" s="289" cm="1">
        <f t="array" ref="J336">IF(ISBLANK(I336), IF(ISBLANK(H336), "N/A", _xlfn.IFS(K336="AS", H336+15, K336="NCR", H336+30, K336="submitted", H336+30, TRUE, "N/A")), _xlfn.IFS(K336="AS", I336+15, K336="NCR", I336+30, K336="submitted", I336+30, TRUE, "N/A"))</f>
        <v>45956</v>
      </c>
      <c r="K336" s="22" t="s">
        <v>207</v>
      </c>
    </row>
    <row r="337" spans="1:11" s="26" customFormat="1" ht="65.25" customHeight="1">
      <c r="A337" s="22" t="s">
        <v>1994</v>
      </c>
      <c r="B337" s="128" t="s">
        <v>1995</v>
      </c>
      <c r="C337" s="360" t="s">
        <v>1996</v>
      </c>
      <c r="D337" s="203" t="s">
        <v>1997</v>
      </c>
      <c r="E337" s="361" t="s">
        <v>516</v>
      </c>
      <c r="F337" s="22" t="s">
        <v>344</v>
      </c>
      <c r="G337" s="28" t="s">
        <v>2002</v>
      </c>
      <c r="H337" s="25">
        <v>45912</v>
      </c>
      <c r="I337" s="25">
        <v>45926</v>
      </c>
      <c r="J337" s="289" cm="1">
        <f t="array" ref="J337">IF(ISBLANK(I337), IF(ISBLANK(H337), "N/A", _xlfn.IFS(K337="AS", H337+15, K337="NCR", H337+30, K337="submitted", H337+30, TRUE, "N/A")), _xlfn.IFS(K337="AS", I337+15, K337="NCR", I337+30, K337="submitted", I337+30, TRUE, "N/A"))</f>
        <v>45956</v>
      </c>
      <c r="K337" s="22" t="s">
        <v>207</v>
      </c>
    </row>
    <row r="338" spans="1:11" s="26" customFormat="1" ht="27" customHeight="1">
      <c r="A338" s="22" t="s">
        <v>1994</v>
      </c>
      <c r="B338" s="128" t="s">
        <v>1995</v>
      </c>
      <c r="C338" s="360" t="s">
        <v>1996</v>
      </c>
      <c r="D338" s="203" t="s">
        <v>1997</v>
      </c>
      <c r="E338" s="361" t="s">
        <v>516</v>
      </c>
      <c r="F338" s="22" t="s">
        <v>346</v>
      </c>
      <c r="G338" s="28" t="s">
        <v>2003</v>
      </c>
      <c r="H338" s="25">
        <v>45912</v>
      </c>
      <c r="I338" s="25">
        <v>45926</v>
      </c>
      <c r="J338" s="289" cm="1">
        <f t="array" ref="J338">IF(ISBLANK(I338), IF(ISBLANK(H338), "N/A", _xlfn.IFS(K338="AS", H338+15, K338="NCR", H338+30, K338="submitted", H338+30, TRUE, "N/A")), _xlfn.IFS(K338="AS", I338+15, K338="NCR", I338+30, K338="submitted", I338+30, TRUE, "N/A"))</f>
        <v>45956</v>
      </c>
      <c r="K338" s="22" t="s">
        <v>207</v>
      </c>
    </row>
    <row r="339" spans="1:11" s="138" customFormat="1" ht="15" customHeight="1">
      <c r="A339" s="152" t="s">
        <v>2004</v>
      </c>
      <c r="B339" s="170" t="s">
        <v>2005</v>
      </c>
      <c r="C339" s="261" t="s">
        <v>2006</v>
      </c>
      <c r="D339" s="521" t="s">
        <v>2006</v>
      </c>
      <c r="E339" s="169" t="s">
        <v>2007</v>
      </c>
      <c r="F339" s="152" t="s">
        <v>275</v>
      </c>
      <c r="G339" s="153" t="s">
        <v>276</v>
      </c>
      <c r="H339" s="262">
        <v>45908</v>
      </c>
      <c r="I339" s="262"/>
      <c r="J339" s="289" t="str" cm="1">
        <f t="array" ref="J339">IF(ISBLANK(I339), IF(ISBLANK(H339), "N/A", _xlfn.IFS(K339="AS", H339+15, K339="NCR", H339+30, K339="submitted", H339+30, TRUE, "N/A")), _xlfn.IFS(K339="AS", I339+15, K339="NCR", I339+30, K339="submitted", I339+30, TRUE, "N/A"))</f>
        <v>N/A</v>
      </c>
      <c r="K339" s="152" t="s">
        <v>645</v>
      </c>
    </row>
    <row r="340" spans="1:11" s="138" customFormat="1" ht="54.75" customHeight="1">
      <c r="A340" s="152" t="s">
        <v>2004</v>
      </c>
      <c r="B340" s="170" t="s">
        <v>2005</v>
      </c>
      <c r="C340" s="261" t="s">
        <v>2006</v>
      </c>
      <c r="D340" s="348" t="s">
        <v>2006</v>
      </c>
      <c r="E340" s="169" t="s">
        <v>2007</v>
      </c>
      <c r="F340" s="152" t="s">
        <v>263</v>
      </c>
      <c r="G340" s="154" t="s">
        <v>2008</v>
      </c>
      <c r="H340" s="262">
        <v>45908</v>
      </c>
      <c r="I340" s="262"/>
      <c r="J340" s="289" t="str" cm="1">
        <f t="array" ref="J340">IF(ISBLANK(I340), IF(ISBLANK(H340), "N/A", _xlfn.IFS(K340="AS", H340+15, K340="NCR", H340+30, K340="submitted", H340+30, TRUE, "N/A")), _xlfn.IFS(K340="AS", I340+15, K340="NCR", I340+30, K340="submitted", I340+30, TRUE, "N/A"))</f>
        <v>N/A</v>
      </c>
      <c r="K340" s="152" t="s">
        <v>645</v>
      </c>
    </row>
    <row r="341" spans="1:11" s="679" customFormat="1" ht="53.25" customHeight="1">
      <c r="A341" s="676"/>
      <c r="B341" s="677" t="s">
        <v>2005</v>
      </c>
      <c r="C341" s="678" t="s">
        <v>2006</v>
      </c>
      <c r="E341" s="679" t="s">
        <v>158</v>
      </c>
      <c r="F341" s="676" t="s">
        <v>253</v>
      </c>
      <c r="G341" s="680" t="s">
        <v>2009</v>
      </c>
      <c r="H341" s="681"/>
      <c r="I341" s="681"/>
      <c r="J341" s="289" t="str" cm="1">
        <f t="array" ref="J341">IF(ISBLANK(I341), IF(ISBLANK(H341), "N/A", _xlfn.IFS(K341="AS", H341+15, K341="NCR", H341+30, K341="submitted", H341+30, TRUE, "N/A")), _xlfn.IFS(K341="AS", I341+15, K341="NCR", I341+30, K341="submitted", I341+30, TRUE, "N/A"))</f>
        <v>N/A</v>
      </c>
      <c r="K341" s="676"/>
    </row>
    <row r="342" spans="1:11" s="138" customFormat="1" ht="45" customHeight="1">
      <c r="A342" s="152" t="s">
        <v>2004</v>
      </c>
      <c r="B342" s="170" t="s">
        <v>2005</v>
      </c>
      <c r="C342" s="261" t="s">
        <v>2006</v>
      </c>
      <c r="D342" s="348" t="s">
        <v>2006</v>
      </c>
      <c r="E342" s="169" t="s">
        <v>2007</v>
      </c>
      <c r="F342" s="152" t="s">
        <v>344</v>
      </c>
      <c r="G342" s="154" t="s">
        <v>2010</v>
      </c>
      <c r="H342" s="262">
        <v>45908</v>
      </c>
      <c r="I342" s="262"/>
      <c r="J342" s="289" t="str" cm="1">
        <f t="array" ref="J342">IF(ISBLANK(I342), IF(ISBLANK(H342), "N/A", _xlfn.IFS(K342="AS", H342+15, K342="NCR", H342+30, K342="submitted", H342+30, TRUE, "N/A")), _xlfn.IFS(K342="AS", I342+15, K342="NCR", I342+30, K342="submitted", I342+30, TRUE, "N/A"))</f>
        <v>N/A</v>
      </c>
      <c r="K342" s="152" t="s">
        <v>645</v>
      </c>
    </row>
    <row r="343" spans="1:11" s="1" customFormat="1" ht="15" customHeight="1">
      <c r="A343" s="9"/>
      <c r="B343" s="47" t="s">
        <v>2011</v>
      </c>
      <c r="C343" s="2" t="s">
        <v>2012</v>
      </c>
      <c r="D343" s="37"/>
      <c r="E343" s="37"/>
      <c r="F343" s="9" t="s">
        <v>2013</v>
      </c>
      <c r="G343" s="13" t="s">
        <v>2014</v>
      </c>
      <c r="H343" s="14"/>
      <c r="I343" s="14"/>
      <c r="J343" s="289" t="str" cm="1">
        <f t="array" ref="J343">IF(ISBLANK(I343), IF(ISBLANK(H343), "N/A", _xlfn.IFS(K343="AS", H343+15, K343="NCR", H343+30, K343="submitted", H343+30, TRUE, "N/A")), _xlfn.IFS(K343="AS", I343+15, K343="NCR", I343+30, K343="submitted", I343+30, TRUE, "N/A"))</f>
        <v>N/A</v>
      </c>
      <c r="K343" s="9"/>
    </row>
    <row r="344" spans="1:11" s="1" customFormat="1" ht="15" customHeight="1">
      <c r="A344" s="38"/>
      <c r="B344" s="47" t="s">
        <v>2011</v>
      </c>
      <c r="C344" s="2" t="s">
        <v>2012</v>
      </c>
      <c r="D344" s="39"/>
      <c r="E344" s="39"/>
      <c r="F344" s="38" t="s">
        <v>1747</v>
      </c>
      <c r="G344" s="37" t="s">
        <v>2015</v>
      </c>
      <c r="H344" s="41"/>
      <c r="I344" s="41"/>
      <c r="J344" s="289" t="str" cm="1">
        <f t="array" ref="J344">IF(ISBLANK(I344), IF(ISBLANK(H344), "N/A", _xlfn.IFS(K344="AS", H344+15, K344="NCR", H344+30, K344="submitted", H344+30, TRUE, "N/A")), _xlfn.IFS(K344="AS", I344+15, K344="NCR", I344+30, K344="submitted", I344+30, TRUE, "N/A"))</f>
        <v>N/A</v>
      </c>
      <c r="K344" s="38"/>
    </row>
    <row r="345" spans="1:11" s="1" customFormat="1" ht="15" customHeight="1">
      <c r="A345" s="38"/>
      <c r="B345" s="47" t="s">
        <v>2011</v>
      </c>
      <c r="C345" s="2" t="s">
        <v>2012</v>
      </c>
      <c r="D345" s="39"/>
      <c r="E345" s="39"/>
      <c r="F345" s="38" t="s">
        <v>2016</v>
      </c>
      <c r="G345" s="37" t="s">
        <v>2017</v>
      </c>
      <c r="H345" s="41"/>
      <c r="I345" s="41"/>
      <c r="J345" s="289" t="str" cm="1">
        <f t="array" ref="J345">IF(ISBLANK(I345), IF(ISBLANK(H345), "N/A", _xlfn.IFS(K345="AS", H345+15, K345="NCR", H345+30, K345="submitted", H345+30, TRUE, "N/A")), _xlfn.IFS(K345="AS", I345+15, K345="NCR", I345+30, K345="submitted", I345+30, TRUE, "N/A"))</f>
        <v>N/A</v>
      </c>
      <c r="K345" s="38"/>
    </row>
    <row r="346" spans="1:11" s="26" customFormat="1" ht="15" customHeight="1">
      <c r="A346" s="99" t="s">
        <v>2018</v>
      </c>
      <c r="B346" s="128" t="s">
        <v>2011</v>
      </c>
      <c r="C346" s="129" t="s">
        <v>2012</v>
      </c>
      <c r="D346" s="27" t="s">
        <v>2019</v>
      </c>
      <c r="E346" s="27"/>
      <c r="F346" s="99" t="s">
        <v>2020</v>
      </c>
      <c r="G346" s="76" t="s">
        <v>229</v>
      </c>
      <c r="H346" s="611">
        <v>45909</v>
      </c>
      <c r="I346" s="611"/>
      <c r="J346" s="289" cm="1">
        <f t="array" ref="J346">IF(ISBLANK(I346), IF(ISBLANK(H346), "N/A", _xlfn.IFS(K346="AS", H346+15, K346="NCR", H346+30, K346="submitted", H346+30, TRUE, "N/A")), _xlfn.IFS(K346="AS", I346+15, K346="NCR", I346+30, K346="submitted", I346+30, TRUE, "N/A"))</f>
        <v>45939</v>
      </c>
      <c r="K346" s="99" t="s">
        <v>154</v>
      </c>
    </row>
    <row r="347" spans="1:11" s="1" customFormat="1" ht="15" customHeight="1">
      <c r="A347" s="38"/>
      <c r="B347" s="47" t="s">
        <v>2011</v>
      </c>
      <c r="C347" s="2" t="s">
        <v>2012</v>
      </c>
      <c r="D347" s="39"/>
      <c r="E347" s="39"/>
      <c r="F347" s="38" t="s">
        <v>2021</v>
      </c>
      <c r="G347" s="37" t="s">
        <v>2022</v>
      </c>
      <c r="H347" s="41"/>
      <c r="I347" s="41"/>
      <c r="J347" s="289" t="str" cm="1">
        <f t="array" ref="J347">IF(ISBLANK(I347), IF(ISBLANK(H347), "N/A", _xlfn.IFS(K347="AS", H347+15, K347="NCR", H347+30, K347="submitted", H347+30, TRUE, "N/A")), _xlfn.IFS(K347="AS", I347+15, K347="NCR", I347+30, K347="submitted", I347+30, TRUE, "N/A"))</f>
        <v>N/A</v>
      </c>
      <c r="K347" s="38"/>
    </row>
    <row r="348" spans="1:11" s="1" customFormat="1" ht="15" customHeight="1">
      <c r="A348" s="38"/>
      <c r="B348" s="47" t="s">
        <v>2011</v>
      </c>
      <c r="C348" s="2" t="s">
        <v>2012</v>
      </c>
      <c r="D348" s="39"/>
      <c r="E348" s="39"/>
      <c r="F348" s="38" t="s">
        <v>2023</v>
      </c>
      <c r="G348" s="37" t="s">
        <v>2024</v>
      </c>
      <c r="H348" s="41"/>
      <c r="I348" s="41"/>
      <c r="J348" s="289" t="str" cm="1">
        <f t="array" ref="J348">IF(ISBLANK(I348), IF(ISBLANK(H348), "N/A", _xlfn.IFS(K348="AS", H348+15, K348="NCR", H348+30, K348="submitted", H348+30, TRUE, "N/A")), _xlfn.IFS(K348="AS", I348+15, K348="NCR", I348+30, K348="submitted", I348+30, TRUE, "N/A"))</f>
        <v>N/A</v>
      </c>
      <c r="K348" s="38"/>
    </row>
    <row r="349" spans="1:11" s="1" customFormat="1" ht="15" customHeight="1">
      <c r="A349" s="38"/>
      <c r="B349" s="47" t="s">
        <v>2011</v>
      </c>
      <c r="C349" s="2" t="s">
        <v>2012</v>
      </c>
      <c r="D349" s="39"/>
      <c r="E349" s="39"/>
      <c r="F349" s="38" t="s">
        <v>2025</v>
      </c>
      <c r="G349" s="37" t="s">
        <v>2026</v>
      </c>
      <c r="H349" s="41"/>
      <c r="I349" s="41"/>
      <c r="J349" s="289" t="str" cm="1">
        <f t="array" ref="J349">IF(ISBLANK(I349), IF(ISBLANK(H349), "N/A", _xlfn.IFS(K349="AS", H349+15, K349="NCR", H349+30, K349="submitted", H349+30, TRUE, "N/A")), _xlfn.IFS(K349="AS", I349+15, K349="NCR", I349+30, K349="submitted", I349+30, TRUE, "N/A"))</f>
        <v>N/A</v>
      </c>
      <c r="K349" s="38"/>
    </row>
    <row r="350" spans="1:11" s="1" customFormat="1" ht="15" customHeight="1">
      <c r="A350" s="38"/>
      <c r="B350" s="47" t="s">
        <v>2011</v>
      </c>
      <c r="C350" s="2" t="s">
        <v>2012</v>
      </c>
      <c r="D350" s="39"/>
      <c r="E350" s="39"/>
      <c r="F350" s="38" t="s">
        <v>2027</v>
      </c>
      <c r="G350" s="37" t="s">
        <v>2028</v>
      </c>
      <c r="H350" s="41"/>
      <c r="I350" s="41"/>
      <c r="J350" s="289" t="str" cm="1">
        <f t="array" ref="J350">IF(ISBLANK(I350), IF(ISBLANK(H350), "N/A", _xlfn.IFS(K350="AS", H350+15, K350="NCR", H350+30, K350="submitted", H350+30, TRUE, "N/A")), _xlfn.IFS(K350="AS", I350+15, K350="NCR", I350+30, K350="submitted", I350+30, TRUE, "N/A"))</f>
        <v>N/A</v>
      </c>
      <c r="K350" s="38"/>
    </row>
    <row r="351" spans="1:11" s="5" customFormat="1" ht="15" customHeight="1">
      <c r="A351" s="19"/>
      <c r="B351" s="794" t="s">
        <v>2029</v>
      </c>
      <c r="C351" s="796" t="s">
        <v>2030</v>
      </c>
      <c r="D351" s="34"/>
      <c r="E351" s="34"/>
      <c r="F351" s="19" t="s">
        <v>383</v>
      </c>
      <c r="G351" s="34" t="s">
        <v>276</v>
      </c>
      <c r="H351" s="30"/>
      <c r="I351" s="30"/>
      <c r="J351" s="289" t="str" cm="1">
        <f t="array" ref="J351">IF(ISBLANK(I351), IF(ISBLANK(H351), "N/A", _xlfn.IFS(K351="AS", H351+15, K351="NCR", H351+30, K351="submitted", H351+30, TRUE, "N/A")), _xlfn.IFS(K351="AS", I351+15, K351="NCR", I351+30, K351="submitted", I351+30, TRUE, "N/A"))</f>
        <v>N/A</v>
      </c>
      <c r="K351" s="19"/>
    </row>
    <row r="352" spans="1:11" s="5" customFormat="1" ht="15.75" customHeight="1">
      <c r="A352" s="19"/>
      <c r="B352" s="798"/>
      <c r="C352" s="799"/>
      <c r="D352" s="35"/>
      <c r="E352" s="35"/>
      <c r="F352" s="19" t="s">
        <v>385</v>
      </c>
      <c r="G352" s="34" t="s">
        <v>2031</v>
      </c>
      <c r="H352" s="30"/>
      <c r="I352" s="30"/>
      <c r="J352" s="289" t="str" cm="1">
        <f t="array" ref="J352">IF(ISBLANK(I352), IF(ISBLANK(H352), "N/A", _xlfn.IFS(K352="AS", H352+15, K352="NCR", H352+30, K352="submitted", H352+30, TRUE, "N/A")), _xlfn.IFS(K352="AS", I352+15, K352="NCR", I352+30, K352="submitted", I352+30, TRUE, "N/A"))</f>
        <v>N/A</v>
      </c>
      <c r="K352" s="19"/>
    </row>
    <row r="353" spans="1:11" s="5" customFormat="1" ht="27" customHeight="1">
      <c r="A353" s="19"/>
      <c r="B353" s="798"/>
      <c r="C353" s="799"/>
      <c r="D353" s="35"/>
      <c r="E353" s="35"/>
      <c r="F353" s="19" t="s">
        <v>2032</v>
      </c>
      <c r="G353" s="53" t="s">
        <v>2033</v>
      </c>
      <c r="H353" s="30"/>
      <c r="I353" s="30"/>
      <c r="J353" s="289" t="str" cm="1">
        <f t="array" ref="J353">IF(ISBLANK(I353), IF(ISBLANK(H353), "N/A", _xlfn.IFS(K353="AS", H353+15, K353="NCR", H353+30, K353="submitted", H353+30, TRUE, "N/A")), _xlfn.IFS(K353="AS", I353+15, K353="NCR", I353+30, K353="submitted", I353+30, TRUE, "N/A"))</f>
        <v>N/A</v>
      </c>
      <c r="K353" s="19"/>
    </row>
    <row r="354" spans="1:11" s="5" customFormat="1" ht="40.5" customHeight="1">
      <c r="A354" s="19"/>
      <c r="B354" s="798"/>
      <c r="C354" s="799"/>
      <c r="D354" s="35"/>
      <c r="E354" s="35"/>
      <c r="F354" s="19" t="s">
        <v>2034</v>
      </c>
      <c r="G354" s="53" t="s">
        <v>2035</v>
      </c>
      <c r="H354" s="30"/>
      <c r="I354" s="30"/>
      <c r="J354" s="289" t="str" cm="1">
        <f t="array" ref="J354">IF(ISBLANK(I354), IF(ISBLANK(H354), "N/A", _xlfn.IFS(K354="AS", H354+15, K354="NCR", H354+30, K354="submitted", H354+30, TRUE, "N/A")), _xlfn.IFS(K354="AS", I354+15, K354="NCR", I354+30, K354="submitted", I354+30, TRUE, "N/A"))</f>
        <v>N/A</v>
      </c>
      <c r="K354" s="19"/>
    </row>
    <row r="355" spans="1:11" s="5" customFormat="1" ht="40.5" customHeight="1">
      <c r="A355" s="19"/>
      <c r="B355" s="798"/>
      <c r="C355" s="799"/>
      <c r="D355" s="35"/>
      <c r="E355" s="35"/>
      <c r="F355" s="19" t="s">
        <v>2036</v>
      </c>
      <c r="G355" s="53" t="s">
        <v>2037</v>
      </c>
      <c r="H355" s="30"/>
      <c r="I355" s="30"/>
      <c r="J355" s="289" t="str" cm="1">
        <f t="array" ref="J355">IF(ISBLANK(I355), IF(ISBLANK(H355), "N/A", _xlfn.IFS(K355="AS", H355+15, K355="NCR", H355+30, K355="submitted", H355+30, TRUE, "N/A")), _xlfn.IFS(K355="AS", I355+15, K355="NCR", I355+30, K355="submitted", I355+30, TRUE, "N/A"))</f>
        <v>N/A</v>
      </c>
      <c r="K355" s="19"/>
    </row>
    <row r="356" spans="1:11" s="5" customFormat="1" ht="27" customHeight="1">
      <c r="A356" s="19"/>
      <c r="B356" s="798"/>
      <c r="C356" s="799"/>
      <c r="D356" s="35"/>
      <c r="E356" s="35"/>
      <c r="F356" s="19" t="s">
        <v>2038</v>
      </c>
      <c r="G356" s="53" t="s">
        <v>2039</v>
      </c>
      <c r="H356" s="30"/>
      <c r="I356" s="30"/>
      <c r="J356" s="289" t="str" cm="1">
        <f t="array" ref="J356">IF(ISBLANK(I356), IF(ISBLANK(H356), "N/A", _xlfn.IFS(K356="AS", H356+15, K356="NCR", H356+30, K356="submitted", H356+30, TRUE, "N/A")), _xlfn.IFS(K356="AS", I356+15, K356="NCR", I356+30, K356="submitted", I356+30, TRUE, "N/A"))</f>
        <v>N/A</v>
      </c>
      <c r="K356" s="19"/>
    </row>
    <row r="357" spans="1:11" s="5" customFormat="1" ht="15" customHeight="1">
      <c r="A357" s="19"/>
      <c r="B357" s="798"/>
      <c r="C357" s="799"/>
      <c r="D357" s="35"/>
      <c r="E357" s="35"/>
      <c r="F357" s="19" t="s">
        <v>505</v>
      </c>
      <c r="G357" s="34" t="s">
        <v>2040</v>
      </c>
      <c r="H357" s="30"/>
      <c r="I357" s="30"/>
      <c r="J357" s="289" t="str" cm="1">
        <f t="array" ref="J357">IF(ISBLANK(I357), IF(ISBLANK(H357), "N/A", _xlfn.IFS(K357="AS", H357+15, K357="NCR", H357+30, K357="submitted", H357+30, TRUE, "N/A")), _xlfn.IFS(K357="AS", I357+15, K357="NCR", I357+30, K357="submitted", I357+30, TRUE, "N/A"))</f>
        <v>N/A</v>
      </c>
      <c r="K357" s="19"/>
    </row>
    <row r="358" spans="1:11" s="5" customFormat="1" ht="15" customHeight="1">
      <c r="A358" s="19"/>
      <c r="B358" s="798"/>
      <c r="C358" s="799"/>
      <c r="D358" s="35"/>
      <c r="E358" s="35"/>
      <c r="F358" s="19" t="s">
        <v>506</v>
      </c>
      <c r="G358" s="34" t="s">
        <v>2041</v>
      </c>
      <c r="H358" s="30"/>
      <c r="I358" s="30"/>
      <c r="J358" s="289" t="str" cm="1">
        <f t="array" ref="J358">IF(ISBLANK(I358), IF(ISBLANK(H358), "N/A", _xlfn.IFS(K358="AS", H358+15, K358="NCR", H358+30, K358="submitted", H358+30, TRUE, "N/A")), _xlfn.IFS(K358="AS", I358+15, K358="NCR", I358+30, K358="submitted", I358+30, TRUE, "N/A"))</f>
        <v>N/A</v>
      </c>
      <c r="K358" s="19"/>
    </row>
    <row r="359" spans="1:11" s="5" customFormat="1" ht="55.5" customHeight="1">
      <c r="A359" s="19"/>
      <c r="B359" s="798"/>
      <c r="C359" s="799"/>
      <c r="D359" s="35"/>
      <c r="E359" s="35"/>
      <c r="F359" s="19" t="s">
        <v>2042</v>
      </c>
      <c r="G359" s="53" t="s">
        <v>2043</v>
      </c>
      <c r="H359" s="30"/>
      <c r="I359" s="30"/>
      <c r="J359" s="289" t="str" cm="1">
        <f t="array" ref="J359">IF(ISBLANK(I359), IF(ISBLANK(H359), "N/A", _xlfn.IFS(K359="AS", H359+15, K359="NCR", H359+30, K359="submitted", H359+30, TRUE, "N/A")), _xlfn.IFS(K359="AS", I359+15, K359="NCR", I359+30, K359="submitted", I359+30, TRUE, "N/A"))</f>
        <v>N/A</v>
      </c>
      <c r="K359" s="19"/>
    </row>
    <row r="360" spans="1:11" s="5" customFormat="1" ht="51.75" customHeight="1">
      <c r="A360" s="19"/>
      <c r="B360" s="798"/>
      <c r="C360" s="799"/>
      <c r="D360" s="35"/>
      <c r="E360" s="35"/>
      <c r="F360" s="19" t="s">
        <v>508</v>
      </c>
      <c r="G360" s="53" t="s">
        <v>2044</v>
      </c>
      <c r="H360" s="30"/>
      <c r="I360" s="30"/>
      <c r="J360" s="289" t="str" cm="1">
        <f t="array" ref="J360">IF(ISBLANK(I360), IF(ISBLANK(H360), "N/A", _xlfn.IFS(K360="AS", H360+15, K360="NCR", H360+30, K360="submitted", H360+30, TRUE, "N/A")), _xlfn.IFS(K360="AS", I360+15, K360="NCR", I360+30, K360="submitted", I360+30, TRUE, "N/A"))</f>
        <v>N/A</v>
      </c>
      <c r="K360" s="19"/>
    </row>
    <row r="361" spans="1:11" s="45" customFormat="1" ht="15.75" customHeight="1">
      <c r="A361" s="42"/>
      <c r="B361" s="834"/>
      <c r="C361" s="835"/>
      <c r="D361" s="49"/>
      <c r="E361" s="49"/>
      <c r="F361" s="42" t="s">
        <v>510</v>
      </c>
      <c r="G361" s="43" t="s">
        <v>2045</v>
      </c>
      <c r="H361" s="44"/>
      <c r="I361" s="44"/>
      <c r="J361" s="289" t="str" cm="1">
        <f t="array" ref="J361">IF(ISBLANK(I361), IF(ISBLANK(H361), "N/A", _xlfn.IFS(K361="AS", H361+15, K361="NCR", H361+30, K361="submitted", H361+30, TRUE, "N/A")), _xlfn.IFS(K361="AS", I361+15, K361="NCR", I361+30, K361="submitted", I361+30, TRUE, "N/A"))</f>
        <v>N/A</v>
      </c>
      <c r="K361" s="42"/>
    </row>
    <row r="362" spans="1:11" s="1" customFormat="1" ht="15" customHeight="1">
      <c r="A362" s="21"/>
      <c r="B362" s="856" t="s">
        <v>2046</v>
      </c>
      <c r="C362" s="857" t="s">
        <v>2047</v>
      </c>
      <c r="D362" s="39"/>
      <c r="E362" s="39"/>
      <c r="F362" s="21" t="s">
        <v>130</v>
      </c>
      <c r="G362" s="46" t="s">
        <v>476</v>
      </c>
      <c r="H362" s="51"/>
      <c r="I362" s="51"/>
      <c r="J362" s="289" t="str" cm="1">
        <f t="array" ref="J362">IF(ISBLANK(I362), IF(ISBLANK(H362), "N/A", _xlfn.IFS(K362="AS", H362+15, K362="NCR", H362+30, K362="submitted", H362+30, TRUE, "N/A")), _xlfn.IFS(K362="AS", I362+15, K362="NCR", I362+30, K362="submitted", I362+30, TRUE, "N/A"))</f>
        <v>N/A</v>
      </c>
      <c r="K362" s="21"/>
    </row>
    <row r="363" spans="1:11" s="1" customFormat="1" ht="15" customHeight="1">
      <c r="A363" s="21"/>
      <c r="B363" s="791"/>
      <c r="C363" s="793"/>
      <c r="D363" s="39"/>
      <c r="E363" s="39"/>
      <c r="F363" s="21" t="s">
        <v>133</v>
      </c>
      <c r="G363" s="46" t="s">
        <v>2048</v>
      </c>
      <c r="H363" s="51"/>
      <c r="I363" s="51"/>
      <c r="J363" s="289" t="str" cm="1">
        <f t="array" ref="J363">IF(ISBLANK(I363), IF(ISBLANK(H363), "N/A", _xlfn.IFS(K363="AS", H363+15, K363="NCR", H363+30, K363="submitted", H363+30, TRUE, "N/A")), _xlfn.IFS(K363="AS", I363+15, K363="NCR", I363+30, K363="submitted", I363+30, TRUE, "N/A"))</f>
        <v>N/A</v>
      </c>
      <c r="K363" s="21"/>
    </row>
    <row r="364" spans="1:11" s="1" customFormat="1" ht="15" customHeight="1">
      <c r="A364" s="21"/>
      <c r="B364" s="791"/>
      <c r="C364" s="793"/>
      <c r="D364" s="39"/>
      <c r="E364" s="39"/>
      <c r="F364" s="21" t="s">
        <v>135</v>
      </c>
      <c r="G364" s="46" t="s">
        <v>333</v>
      </c>
      <c r="H364" s="51"/>
      <c r="I364" s="51"/>
      <c r="J364" s="289" t="str" cm="1">
        <f t="array" ref="J364">IF(ISBLANK(I364), IF(ISBLANK(H364), "N/A", _xlfn.IFS(K364="AS", H364+15, K364="NCR", H364+30, K364="submitted", H364+30, TRUE, "N/A")), _xlfn.IFS(K364="AS", I364+15, K364="NCR", I364+30, K364="submitted", I364+30, TRUE, "N/A"))</f>
        <v>N/A</v>
      </c>
      <c r="K364" s="21"/>
    </row>
    <row r="365" spans="1:11" s="1" customFormat="1" ht="15" customHeight="1">
      <c r="A365" s="21"/>
      <c r="B365" s="777"/>
      <c r="C365" s="779"/>
      <c r="D365" s="46"/>
      <c r="E365" s="46"/>
      <c r="F365" s="21" t="s">
        <v>137</v>
      </c>
      <c r="G365" s="46" t="s">
        <v>2049</v>
      </c>
      <c r="H365" s="51"/>
      <c r="I365" s="51"/>
      <c r="J365" s="289" t="str" cm="1">
        <f t="array" ref="J365">IF(ISBLANK(I365), IF(ISBLANK(H365), "N/A", _xlfn.IFS(K365="AS", H365+15, K365="NCR", H365+30, K365="submitted", H365+30, TRUE, "N/A")), _xlfn.IFS(K365="AS", I365+15, K365="NCR", I365+30, K365="submitted", I365+30, TRUE, "N/A"))</f>
        <v>N/A</v>
      </c>
      <c r="K365" s="21"/>
    </row>
    <row r="366" spans="1:11" s="5" customFormat="1" ht="15" customHeight="1">
      <c r="A366" s="4"/>
      <c r="B366" s="794" t="s">
        <v>2050</v>
      </c>
      <c r="C366" s="796" t="s">
        <v>2051</v>
      </c>
      <c r="D366" s="34"/>
      <c r="E366" s="34"/>
      <c r="F366" s="4" t="s">
        <v>205</v>
      </c>
      <c r="G366" s="17" t="s">
        <v>476</v>
      </c>
      <c r="H366" s="18"/>
      <c r="I366" s="18"/>
      <c r="J366" s="289" t="str" cm="1">
        <f t="array" ref="J366">IF(ISBLANK(I366), IF(ISBLANK(H366), "N/A", _xlfn.IFS(K366="AS", H366+15, K366="NCR", H366+30, K366="submitted", H366+30, TRUE, "N/A")), _xlfn.IFS(K366="AS", I366+15, K366="NCR", I366+30, K366="submitted", I366+30, TRUE, "N/A"))</f>
        <v>N/A</v>
      </c>
      <c r="K366" s="4"/>
    </row>
    <row r="367" spans="1:11" s="5" customFormat="1" ht="15" customHeight="1">
      <c r="A367" s="4"/>
      <c r="B367" s="798"/>
      <c r="C367" s="799"/>
      <c r="D367" s="35"/>
      <c r="E367" s="35"/>
      <c r="F367" s="4" t="s">
        <v>275</v>
      </c>
      <c r="G367" s="17" t="s">
        <v>276</v>
      </c>
      <c r="H367" s="18"/>
      <c r="I367" s="18"/>
      <c r="J367" s="289" t="str" cm="1">
        <f t="array" ref="J367">IF(ISBLANK(I367), IF(ISBLANK(H367), "N/A", _xlfn.IFS(K367="AS", H367+15, K367="NCR", H367+30, K367="submitted", H367+30, TRUE, "N/A")), _xlfn.IFS(K367="AS", I367+15, K367="NCR", I367+30, K367="submitted", I367+30, TRUE, "N/A"))</f>
        <v>N/A</v>
      </c>
      <c r="K367" s="4"/>
    </row>
    <row r="368" spans="1:11" s="5" customFormat="1" ht="15" customHeight="1">
      <c r="A368" s="4"/>
      <c r="B368" s="798"/>
      <c r="C368" s="799"/>
      <c r="D368" s="35"/>
      <c r="E368" s="35"/>
      <c r="F368" s="4" t="s">
        <v>263</v>
      </c>
      <c r="G368" s="17" t="s">
        <v>2052</v>
      </c>
      <c r="H368" s="18"/>
      <c r="I368" s="18"/>
      <c r="J368" s="289" t="str" cm="1">
        <f t="array" ref="J368">IF(ISBLANK(I368), IF(ISBLANK(H368), "N/A", _xlfn.IFS(K368="AS", H368+15, K368="NCR", H368+30, K368="submitted", H368+30, TRUE, "N/A")), _xlfn.IFS(K368="AS", I368+15, K368="NCR", I368+30, K368="submitted", I368+30, TRUE, "N/A"))</f>
        <v>N/A</v>
      </c>
      <c r="K368" s="4"/>
    </row>
    <row r="369" spans="1:11" s="5" customFormat="1" ht="15" customHeight="1">
      <c r="A369" s="4"/>
      <c r="B369" s="795"/>
      <c r="C369" s="797"/>
      <c r="D369" s="36"/>
      <c r="E369" s="36"/>
      <c r="F369" s="4" t="s">
        <v>253</v>
      </c>
      <c r="G369" s="17" t="s">
        <v>333</v>
      </c>
      <c r="H369" s="18"/>
      <c r="I369" s="18"/>
      <c r="J369" s="289" t="str" cm="1">
        <f t="array" ref="J369">IF(ISBLANK(I369), IF(ISBLANK(H369), "N/A", _xlfn.IFS(K369="AS", H369+15, K369="NCR", H369+30, K369="submitted", H369+30, TRUE, "N/A")), _xlfn.IFS(K369="AS", I369+15, K369="NCR", I369+30, K369="submitted", I369+30, TRUE, "N/A"))</f>
        <v>N/A</v>
      </c>
      <c r="K369" s="4"/>
    </row>
    <row r="370" spans="1:11" s="1" customFormat="1" ht="15" customHeight="1">
      <c r="A370" s="38"/>
      <c r="B370" s="47" t="s">
        <v>2053</v>
      </c>
      <c r="C370" s="2" t="s">
        <v>2054</v>
      </c>
      <c r="D370" s="37"/>
      <c r="F370" s="38" t="s">
        <v>205</v>
      </c>
      <c r="G370" s="37" t="s">
        <v>276</v>
      </c>
      <c r="H370" s="38"/>
      <c r="I370" s="41"/>
      <c r="J370" s="289" t="str" cm="1">
        <f t="array" ref="J370">IF(ISBLANK(I370), IF(ISBLANK(H370), "N/A", _xlfn.IFS(K370="AS", H370+15, K370="NCR", H370+30, K370="submitted", H370+30, TRUE, "N/A")), _xlfn.IFS(K370="AS", I370+15, K370="NCR", I370+30, K370="submitted", I370+30, TRUE, "N/A"))</f>
        <v>N/A</v>
      </c>
      <c r="K370" s="41"/>
    </row>
    <row r="371" spans="1:11" s="1" customFormat="1" ht="33.6" customHeight="1">
      <c r="A371" s="38"/>
      <c r="B371" s="48"/>
      <c r="C371" s="2" t="s">
        <v>2054</v>
      </c>
      <c r="D371" s="39"/>
      <c r="F371" s="38" t="s">
        <v>275</v>
      </c>
      <c r="G371" s="40" t="s">
        <v>2055</v>
      </c>
      <c r="H371" s="38"/>
      <c r="I371" s="41"/>
      <c r="J371" s="289" t="str" cm="1">
        <f t="array" ref="J371">IF(ISBLANK(I371), IF(ISBLANK(H371), "N/A", _xlfn.IFS(K371="AS", H371+15, K371="NCR", H371+30, K371="submitted", H371+30, TRUE, "N/A")), _xlfn.IFS(K371="AS", I371+15, K371="NCR", I371+30, K371="submitted", I371+30, TRUE, "N/A"))</f>
        <v>N/A</v>
      </c>
      <c r="K371" s="41"/>
    </row>
    <row r="372" spans="1:11" s="94" customFormat="1" ht="15.75" customHeight="1">
      <c r="A372" s="90"/>
      <c r="B372" s="127"/>
      <c r="C372" s="2" t="s">
        <v>2054</v>
      </c>
      <c r="D372" s="91"/>
      <c r="F372" s="90" t="s">
        <v>321</v>
      </c>
      <c r="G372" s="98" t="s">
        <v>2056</v>
      </c>
      <c r="H372" s="90"/>
      <c r="I372" s="93"/>
      <c r="J372" s="289" t="str" cm="1">
        <f t="array" ref="J372">IF(ISBLANK(I372), IF(ISBLANK(H372), "N/A", _xlfn.IFS(K372="AS", H372+15, K372="NCR", H372+30, K372="submitted", H372+30, TRUE, "N/A")), _xlfn.IFS(K372="AS", I372+15, K372="NCR", I372+30, K372="submitted", I372+30, TRUE, "N/A"))</f>
        <v>N/A</v>
      </c>
      <c r="K372" s="93"/>
    </row>
    <row r="373" spans="1:11" s="150" customFormat="1" ht="15.75" customHeight="1">
      <c r="A373" s="544" t="s">
        <v>52</v>
      </c>
      <c r="B373" s="850" t="s">
        <v>2057</v>
      </c>
      <c r="C373" s="853" t="s">
        <v>2058</v>
      </c>
      <c r="D373" s="220" t="s">
        <v>53</v>
      </c>
      <c r="E373" s="150" t="s">
        <v>1632</v>
      </c>
      <c r="F373" s="335" t="s">
        <v>747</v>
      </c>
      <c r="G373" s="220" t="s">
        <v>2059</v>
      </c>
      <c r="H373" s="545">
        <v>45869</v>
      </c>
      <c r="I373" s="545">
        <v>45903</v>
      </c>
      <c r="J373" s="289" t="str" cm="1">
        <f t="array" ref="J373">IF(ISBLANK(I373), IF(ISBLANK(H373), "N/A", _xlfn.IFS(K373="AS", H373+15, K373="NCR", H373+30, K373="submitted", H373+30, TRUE, "N/A")), _xlfn.IFS(K373="AS", I373+15, K373="NCR", I373+30, K373="submitted", I373+30, TRUE, "N/A"))</f>
        <v>N/A</v>
      </c>
      <c r="K373" s="545" t="s">
        <v>146</v>
      </c>
    </row>
    <row r="374" spans="1:11" s="528" customFormat="1" ht="15.75" customHeight="1">
      <c r="A374" s="757" t="s">
        <v>2060</v>
      </c>
      <c r="B374" s="851"/>
      <c r="C374" s="854"/>
      <c r="D374" s="613" t="s">
        <v>53</v>
      </c>
      <c r="E374" s="528" t="s">
        <v>1632</v>
      </c>
      <c r="F374" s="758" t="s">
        <v>747</v>
      </c>
      <c r="G374" s="613" t="s">
        <v>2059</v>
      </c>
      <c r="H374" s="759">
        <v>45929</v>
      </c>
      <c r="I374" s="759"/>
      <c r="J374" s="756" cm="1">
        <f t="array" ref="J374">IF(ISBLANK(I374), IF(ISBLANK(H374), "N/A", _xlfn.IFS(K374="AS", H374+15, K374="NCR", H374+30, K374="submitted", H374+30, TRUE, "N/A")), _xlfn.IFS(K374="AS", I374+15, K374="NCR", I374+30, K374="submitted", I374+30, TRUE, "N/A"))</f>
        <v>45959</v>
      </c>
      <c r="K374" s="759" t="s">
        <v>154</v>
      </c>
    </row>
    <row r="375" spans="1:11" s="26" customFormat="1" ht="15.75" customHeight="1">
      <c r="A375" s="78"/>
      <c r="B375" s="851"/>
      <c r="C375" s="854"/>
      <c r="D375" s="27"/>
      <c r="F375" s="22" t="s">
        <v>475</v>
      </c>
      <c r="G375" s="24" t="s">
        <v>320</v>
      </c>
      <c r="H375" s="78"/>
      <c r="I375" s="80"/>
      <c r="J375" s="289" t="str" cm="1">
        <f t="array" ref="J375">IF(ISBLANK(I375), IF(ISBLANK(H375), "N/A", _xlfn.IFS(K375="AS", H375+15, K375="NCR", H375+30, K375="submitted", H375+30, TRUE, "N/A")), _xlfn.IFS(K375="AS", I375+15, K375="NCR", I375+30, K375="submitted", I375+30, TRUE, "N/A"))</f>
        <v>N/A</v>
      </c>
      <c r="K375" s="80"/>
    </row>
    <row r="376" spans="1:11" s="26" customFormat="1" ht="27" customHeight="1">
      <c r="A376" s="78"/>
      <c r="B376" s="851"/>
      <c r="C376" s="854"/>
      <c r="D376" s="27"/>
      <c r="F376" s="22" t="s">
        <v>477</v>
      </c>
      <c r="G376" s="28" t="s">
        <v>2061</v>
      </c>
      <c r="H376" s="78"/>
      <c r="I376" s="80"/>
      <c r="J376" s="289" t="str" cm="1">
        <f t="array" ref="J376">IF(ISBLANK(I376), IF(ISBLANK(H376), "N/A", _xlfn.IFS(K376="AS", H376+15, K376="NCR", H376+30, K376="submitted", H376+30, TRUE, "N/A")), _xlfn.IFS(K376="AS", I376+15, K376="NCR", I376+30, K376="submitted", I376+30, TRUE, "N/A"))</f>
        <v>N/A</v>
      </c>
      <c r="K376" s="80"/>
    </row>
    <row r="377" spans="1:11" s="26" customFormat="1" ht="15.75" customHeight="1">
      <c r="A377" s="78"/>
      <c r="B377" s="851"/>
      <c r="C377" s="854"/>
      <c r="D377" s="27"/>
      <c r="F377" s="22" t="s">
        <v>478</v>
      </c>
      <c r="G377" s="24" t="s">
        <v>2062</v>
      </c>
      <c r="H377" s="78"/>
      <c r="I377" s="80"/>
      <c r="J377" s="289" t="str" cm="1">
        <f t="array" ref="J377">IF(ISBLANK(I377), IF(ISBLANK(H377), "N/A", _xlfn.IFS(K377="AS", H377+15, K377="NCR", H377+30, K377="submitted", H377+30, TRUE, "N/A")), _xlfn.IFS(K377="AS", I377+15, K377="NCR", I377+30, K377="submitted", I377+30, TRUE, "N/A"))</f>
        <v>N/A</v>
      </c>
      <c r="K377" s="80"/>
    </row>
    <row r="378" spans="1:11" s="26" customFormat="1" ht="27" customHeight="1">
      <c r="A378" s="78"/>
      <c r="B378" s="851"/>
      <c r="C378" s="854"/>
      <c r="D378" s="27"/>
      <c r="F378" s="22" t="s">
        <v>850</v>
      </c>
      <c r="G378" s="28" t="s">
        <v>2063</v>
      </c>
      <c r="H378" s="78"/>
      <c r="I378" s="80"/>
      <c r="J378" s="289" t="str" cm="1">
        <f t="array" ref="J378">IF(ISBLANK(I378), IF(ISBLANK(H378), "N/A", _xlfn.IFS(K378="AS", H378+15, K378="NCR", H378+30, K378="submitted", H378+30, TRUE, "N/A")), _xlfn.IFS(K378="AS", I378+15, K378="NCR", I378+30, K378="submitted", I378+30, TRUE, "N/A"))</f>
        <v>N/A</v>
      </c>
      <c r="K378" s="80"/>
    </row>
    <row r="379" spans="1:11" s="26" customFormat="1" ht="15.75" customHeight="1">
      <c r="A379" s="78"/>
      <c r="B379" s="851"/>
      <c r="C379" s="854"/>
      <c r="D379" s="27"/>
      <c r="F379" s="22" t="s">
        <v>489</v>
      </c>
      <c r="G379" s="24" t="s">
        <v>2064</v>
      </c>
      <c r="H379" s="78"/>
      <c r="I379" s="80"/>
      <c r="J379" s="289" t="str" cm="1">
        <f t="array" ref="J379">IF(ISBLANK(I379), IF(ISBLANK(H379), "N/A", _xlfn.IFS(K379="AS", H379+15, K379="NCR", H379+30, K379="submitted", H379+30, TRUE, "N/A")), _xlfn.IFS(K379="AS", I379+15, K379="NCR", I379+30, K379="submitted", I379+30, TRUE, "N/A"))</f>
        <v>N/A</v>
      </c>
      <c r="K379" s="80"/>
    </row>
    <row r="380" spans="1:11" s="26" customFormat="1" ht="45" customHeight="1">
      <c r="A380" s="78"/>
      <c r="B380" s="852"/>
      <c r="C380" s="855"/>
      <c r="D380" s="29"/>
      <c r="F380" s="22" t="s">
        <v>481</v>
      </c>
      <c r="G380" s="28" t="s">
        <v>2065</v>
      </c>
      <c r="H380" s="78"/>
      <c r="I380" s="80"/>
      <c r="J380" s="289" t="str" cm="1">
        <f t="array" ref="J380">IF(ISBLANK(I380), IF(ISBLANK(H380), "N/A", _xlfn.IFS(K380="AS", H380+15, K380="NCR", H380+30, K380="submitted", H380+30, TRUE, "N/A")), _xlfn.IFS(K380="AS", I380+15, K380="NCR", I380+30, K380="submitted", I380+30, TRUE, "N/A"))</f>
        <v>N/A</v>
      </c>
      <c r="K380" s="80"/>
    </row>
  </sheetData>
  <mergeCells count="109">
    <mergeCell ref="B85:B89"/>
    <mergeCell ref="C85:C89"/>
    <mergeCell ref="B155:B159"/>
    <mergeCell ref="C155:C159"/>
    <mergeCell ref="A1:G1"/>
    <mergeCell ref="C3:C6"/>
    <mergeCell ref="B12:B13"/>
    <mergeCell ref="C12:C13"/>
    <mergeCell ref="B15:B17"/>
    <mergeCell ref="C15:C17"/>
    <mergeCell ref="B18:B19"/>
    <mergeCell ref="C18:C19"/>
    <mergeCell ref="B116:B127"/>
    <mergeCell ref="C116:C127"/>
    <mergeCell ref="B22:B23"/>
    <mergeCell ref="C22:C23"/>
    <mergeCell ref="B138:B145"/>
    <mergeCell ref="C138:C145"/>
    <mergeCell ref="B146:B147"/>
    <mergeCell ref="C146:C147"/>
    <mergeCell ref="B128:B135"/>
    <mergeCell ref="C128:C135"/>
    <mergeCell ref="B136:B137"/>
    <mergeCell ref="C136:C137"/>
    <mergeCell ref="B110:B115"/>
    <mergeCell ref="C110:C115"/>
    <mergeCell ref="B170:B172"/>
    <mergeCell ref="C170:C172"/>
    <mergeCell ref="B173:B178"/>
    <mergeCell ref="C173:C178"/>
    <mergeCell ref="B179:B181"/>
    <mergeCell ref="C179:C181"/>
    <mergeCell ref="B160:B162"/>
    <mergeCell ref="C160:C162"/>
    <mergeCell ref="B163:B169"/>
    <mergeCell ref="C163:C169"/>
    <mergeCell ref="B192:B195"/>
    <mergeCell ref="C192:C195"/>
    <mergeCell ref="B196:B199"/>
    <mergeCell ref="C196:C199"/>
    <mergeCell ref="B200:B202"/>
    <mergeCell ref="C200:C202"/>
    <mergeCell ref="B182:B186"/>
    <mergeCell ref="C182:C186"/>
    <mergeCell ref="B187:B188"/>
    <mergeCell ref="C187:C188"/>
    <mergeCell ref="B189:B191"/>
    <mergeCell ref="C189:C191"/>
    <mergeCell ref="C205:C206"/>
    <mergeCell ref="B207:B214"/>
    <mergeCell ref="C207:C214"/>
    <mergeCell ref="B250:B253"/>
    <mergeCell ref="C250:C253"/>
    <mergeCell ref="B254:B255"/>
    <mergeCell ref="C254:C255"/>
    <mergeCell ref="B256:B262"/>
    <mergeCell ref="C256:C262"/>
    <mergeCell ref="B240:B242"/>
    <mergeCell ref="C240:C242"/>
    <mergeCell ref="B244:B247"/>
    <mergeCell ref="C244:C247"/>
    <mergeCell ref="C313:C315"/>
    <mergeCell ref="B20:B21"/>
    <mergeCell ref="C20:C21"/>
    <mergeCell ref="B24:B25"/>
    <mergeCell ref="C24:C25"/>
    <mergeCell ref="B290:B295"/>
    <mergeCell ref="C290:C295"/>
    <mergeCell ref="B296:B303"/>
    <mergeCell ref="C296:C303"/>
    <mergeCell ref="B305:B307"/>
    <mergeCell ref="C305:C307"/>
    <mergeCell ref="B275:B281"/>
    <mergeCell ref="C275:C281"/>
    <mergeCell ref="B282:B289"/>
    <mergeCell ref="C282:C289"/>
    <mergeCell ref="B221:B233"/>
    <mergeCell ref="C221:C233"/>
    <mergeCell ref="B234:B239"/>
    <mergeCell ref="C234:C239"/>
    <mergeCell ref="B263:B274"/>
    <mergeCell ref="C263:C274"/>
    <mergeCell ref="B203:B204"/>
    <mergeCell ref="C203:C204"/>
    <mergeCell ref="B205:B206"/>
    <mergeCell ref="B373:B380"/>
    <mergeCell ref="C373:C380"/>
    <mergeCell ref="B351:B361"/>
    <mergeCell ref="C351:C361"/>
    <mergeCell ref="B362:B365"/>
    <mergeCell ref="C362:C365"/>
    <mergeCell ref="B329:B332"/>
    <mergeCell ref="C329:C332"/>
    <mergeCell ref="M3:P6"/>
    <mergeCell ref="M7:P39"/>
    <mergeCell ref="M40:P47"/>
    <mergeCell ref="M48:P119"/>
    <mergeCell ref="M120:P127"/>
    <mergeCell ref="M128:P202"/>
    <mergeCell ref="M203:P210"/>
    <mergeCell ref="B366:B369"/>
    <mergeCell ref="C366:C369"/>
    <mergeCell ref="B316:B320"/>
    <mergeCell ref="C316:C320"/>
    <mergeCell ref="B321:B325"/>
    <mergeCell ref="C321:C325"/>
    <mergeCell ref="B308:B309"/>
    <mergeCell ref="C308:C309"/>
    <mergeCell ref="B313:B315"/>
  </mergeCells>
  <conditionalFormatting sqref="A3:C3 E3:G6 A4:A6 C59:C60 A91:A92 A59:B75 C61:H74 D91:H92 E59:H60 H32 B30 A32:B32 A56:H58 E54:H55 C54:C55 A36:H42 D29:H31 C29:C32 A29:A31 D27 H27 B5 A76:H90 A93:H93 A26:I26 A7:I17 F341:I342 A33:H33 B34:H34 B35:C35 E35:H35 A340:C342 A149:A154 C149:I154 A343:I369 I44:I93 A44:B55 C44:H53 A43:I43 A22:I23 A24:G25 D340:I340 A94:I148 I32:I42 D75:H75 K7:K27 K29:K369 A155:I339">
    <cfRule type="expression" dxfId="135" priority="71">
      <formula>$K3="IN PROGRESS"</formula>
    </cfRule>
    <cfRule type="expression" dxfId="134" priority="72">
      <formula>$K3="Rejected"</formula>
    </cfRule>
  </conditionalFormatting>
  <conditionalFormatting sqref="D60">
    <cfRule type="expression" dxfId="133" priority="62">
      <formula>$K59="IN PROGRESS"</formula>
    </cfRule>
    <cfRule type="expression" dxfId="132" priority="63">
      <formula>$K59="N"</formula>
    </cfRule>
    <cfRule type="expression" dxfId="131" priority="64">
      <formula>$K59="Y"</formula>
    </cfRule>
  </conditionalFormatting>
  <conditionalFormatting sqref="D59">
    <cfRule type="expression" dxfId="130" priority="50">
      <formula>$K59="IN PROGRESS"</formula>
    </cfRule>
    <cfRule type="expression" dxfId="129" priority="51">
      <formula>$K59="N"</formula>
    </cfRule>
    <cfRule type="expression" dxfId="128" priority="52">
      <formula>$K59="Y"</formula>
    </cfRule>
  </conditionalFormatting>
  <conditionalFormatting sqref="A370:D380 F370:I380 K370:K380">
    <cfRule type="expression" dxfId="127" priority="380">
      <formula>#REF!="IN PROGRESS"</formula>
    </cfRule>
    <cfRule type="expression" dxfId="126" priority="381">
      <formula>#REF!="N"</formula>
    </cfRule>
    <cfRule type="expression" dxfId="125" priority="382">
      <formula>#REF!="Y"</formula>
    </cfRule>
  </conditionalFormatting>
  <conditionalFormatting sqref="A3:C3 E3:G6 A4:A6 C59:C60 A91:A92 A59:B75 C61:H74 D91:H92 E59:H60 H32 B30 A32:B32 A56:H58 E54:H55 C54:C55 A36:H42 D29:H31 C29:C32 A29:A31 D27 H27 B5 A76:H90 A93:H93 A26:I26 A7:I17 F341:I342 A33:H33 B34:H34 B35:C35 E35:H35 A340:C342 A149:A154 C149:I154 A343:I369 I44:I93 A44:B55 C44:H53 A43:I43 A22:I23 A24:G25 D340:I340 A94:I148 I32:I42 D75:H75 K7:K27 K29:K369 A155:I339">
    <cfRule type="expression" dxfId="124" priority="73">
      <formula>$K3="Accepted"</formula>
    </cfRule>
  </conditionalFormatting>
  <conditionalFormatting sqref="B29 B31">
    <cfRule type="expression" dxfId="123" priority="46">
      <formula>$K29="IN PROGRESS"</formula>
    </cfRule>
    <cfRule type="expression" dxfId="122" priority="47">
      <formula>$K29="Rejected"</formula>
    </cfRule>
  </conditionalFormatting>
  <conditionalFormatting sqref="B29 B31">
    <cfRule type="expression" dxfId="121" priority="48">
      <formula>$K29="Accepted"</formula>
    </cfRule>
  </conditionalFormatting>
  <conditionalFormatting sqref="D32:G32">
    <cfRule type="expression" dxfId="120" priority="412">
      <formula>#REF!="IN PROGRESS"</formula>
    </cfRule>
    <cfRule type="expression" dxfId="119" priority="413">
      <formula>#REF!="Rejected"</formula>
    </cfRule>
  </conditionalFormatting>
  <conditionalFormatting sqref="D32:G32">
    <cfRule type="expression" dxfId="118" priority="414">
      <formula>#REF!="Accepted"</formula>
    </cfRule>
  </conditionalFormatting>
  <conditionalFormatting sqref="A28:C28 I28 E28:G28 A19:I19 D342:E342 A35 A21:G21">
    <cfRule type="expression" dxfId="117" priority="423">
      <formula>$K18="IN PROGRESS"</formula>
    </cfRule>
    <cfRule type="expression" dxfId="116" priority="424">
      <formula>$K18="Rejected"</formula>
    </cfRule>
  </conditionalFormatting>
  <conditionalFormatting sqref="I27 E27:G27 A27:C27">
    <cfRule type="expression" dxfId="115" priority="425">
      <formula>#REF!="IN PROGRESS"</formula>
    </cfRule>
    <cfRule type="expression" dxfId="114" priority="426">
      <formula>#REF!="Rejected"</formula>
    </cfRule>
  </conditionalFormatting>
  <conditionalFormatting sqref="A28:C28 I28 E28:G28 A19:I19 D342:E342 A35 A21:G21">
    <cfRule type="expression" dxfId="113" priority="448">
      <formula>$K18="Accepted"</formula>
    </cfRule>
  </conditionalFormatting>
  <conditionalFormatting sqref="I27 E27:G27 A27:C27">
    <cfRule type="expression" dxfId="112" priority="449">
      <formula>#REF!="Accepted"</formula>
    </cfRule>
  </conditionalFormatting>
  <conditionalFormatting sqref="B4 B6">
    <cfRule type="expression" dxfId="111" priority="43">
      <formula>$K4="IN PROGRESS"</formula>
    </cfRule>
    <cfRule type="expression" dxfId="110" priority="44">
      <formula>$K4="Rejected"</formula>
    </cfRule>
  </conditionalFormatting>
  <conditionalFormatting sqref="B4 B6">
    <cfRule type="expression" dxfId="109" priority="45">
      <formula>$K4="Accepted"</formula>
    </cfRule>
  </conditionalFormatting>
  <conditionalFormatting sqref="A18:I18">
    <cfRule type="expression" dxfId="108" priority="462">
      <formula>#REF!="IN PROGRESS"</formula>
    </cfRule>
    <cfRule type="expression" dxfId="107" priority="463">
      <formula>#REF!="Rejected"</formula>
    </cfRule>
  </conditionalFormatting>
  <conditionalFormatting sqref="A18:I18">
    <cfRule type="expression" dxfId="106" priority="467">
      <formula>#REF!="Accepted"</formula>
    </cfRule>
  </conditionalFormatting>
  <conditionalFormatting sqref="B149">
    <cfRule type="expression" dxfId="105" priority="40">
      <formula>$K149="IN PROGRESS"</formula>
    </cfRule>
    <cfRule type="expression" dxfId="104" priority="41">
      <formula>$K149="Rejected"</formula>
    </cfRule>
  </conditionalFormatting>
  <conditionalFormatting sqref="B149">
    <cfRule type="expression" dxfId="103" priority="42">
      <formula>$K149="Accepted"</formula>
    </cfRule>
  </conditionalFormatting>
  <conditionalFormatting sqref="B150">
    <cfRule type="expression" dxfId="102" priority="37">
      <formula>$K150="IN PROGRESS"</formula>
    </cfRule>
    <cfRule type="expression" dxfId="101" priority="38">
      <formula>$K150="Rejected"</formula>
    </cfRule>
  </conditionalFormatting>
  <conditionalFormatting sqref="B150">
    <cfRule type="expression" dxfId="100" priority="39">
      <formula>$K150="Accepted"</formula>
    </cfRule>
  </conditionalFormatting>
  <conditionalFormatting sqref="B151">
    <cfRule type="expression" dxfId="99" priority="34">
      <formula>$K151="IN PROGRESS"</formula>
    </cfRule>
    <cfRule type="expression" dxfId="98" priority="35">
      <formula>$K151="Rejected"</formula>
    </cfRule>
  </conditionalFormatting>
  <conditionalFormatting sqref="B151">
    <cfRule type="expression" dxfId="97" priority="36">
      <formula>$K151="Accepted"</formula>
    </cfRule>
  </conditionalFormatting>
  <conditionalFormatting sqref="B152 B154">
    <cfRule type="expression" dxfId="96" priority="31">
      <formula>$K152="IN PROGRESS"</formula>
    </cfRule>
    <cfRule type="expression" dxfId="95" priority="32">
      <formula>$K152="Rejected"</formula>
    </cfRule>
  </conditionalFormatting>
  <conditionalFormatting sqref="B152 B154">
    <cfRule type="expression" dxfId="94" priority="33">
      <formula>$K152="Accepted"</formula>
    </cfRule>
  </conditionalFormatting>
  <conditionalFormatting sqref="B153">
    <cfRule type="expression" dxfId="93" priority="28">
      <formula>$K153="IN PROGRESS"</formula>
    </cfRule>
    <cfRule type="expression" dxfId="92" priority="29">
      <formula>$K153="Rejected"</formula>
    </cfRule>
  </conditionalFormatting>
  <conditionalFormatting sqref="B153">
    <cfRule type="expression" dxfId="91" priority="30">
      <formula>$K153="Accepted"</formula>
    </cfRule>
  </conditionalFormatting>
  <conditionalFormatting sqref="A20:I20">
    <cfRule type="expression" dxfId="90" priority="25">
      <formula>#REF!="IN PROGRESS"</formula>
    </cfRule>
    <cfRule type="expression" dxfId="89" priority="26">
      <formula>#REF!="Rejected"</formula>
    </cfRule>
  </conditionalFormatting>
  <conditionalFormatting sqref="A20:I20">
    <cfRule type="expression" dxfId="88" priority="27">
      <formula>#REF!="Accepted"</formula>
    </cfRule>
  </conditionalFormatting>
  <conditionalFormatting sqref="H21">
    <cfRule type="expression" dxfId="87" priority="22">
      <formula>#REF!="IN PROGRESS"</formula>
    </cfRule>
    <cfRule type="expression" dxfId="86" priority="23">
      <formula>#REF!="Rejected"</formula>
    </cfRule>
  </conditionalFormatting>
  <conditionalFormatting sqref="H21">
    <cfRule type="expression" dxfId="85" priority="24">
      <formula>#REF!="Accepted"</formula>
    </cfRule>
  </conditionalFormatting>
  <conditionalFormatting sqref="I25">
    <cfRule type="expression" dxfId="84" priority="19">
      <formula>$K24="IN PROGRESS"</formula>
    </cfRule>
    <cfRule type="expression" dxfId="83" priority="20">
      <formula>$K24="Rejected"</formula>
    </cfRule>
  </conditionalFormatting>
  <conditionalFormatting sqref="I25">
    <cfRule type="expression" dxfId="82" priority="21">
      <formula>$K24="Accepted"</formula>
    </cfRule>
  </conditionalFormatting>
  <conditionalFormatting sqref="H24:I24">
    <cfRule type="expression" dxfId="81" priority="16">
      <formula>#REF!="IN PROGRESS"</formula>
    </cfRule>
    <cfRule type="expression" dxfId="80" priority="17">
      <formula>#REF!="Rejected"</formula>
    </cfRule>
  </conditionalFormatting>
  <conditionalFormatting sqref="H24:I24">
    <cfRule type="expression" dxfId="79" priority="18">
      <formula>#REF!="Accepted"</formula>
    </cfRule>
  </conditionalFormatting>
  <conditionalFormatting sqref="H25">
    <cfRule type="expression" dxfId="78" priority="13">
      <formula>#REF!="IN PROGRESS"</formula>
    </cfRule>
    <cfRule type="expression" dxfId="77" priority="14">
      <formula>#REF!="Rejected"</formula>
    </cfRule>
  </conditionalFormatting>
  <conditionalFormatting sqref="H25">
    <cfRule type="expression" dxfId="76" priority="15">
      <formula>#REF!="Accepted"</formula>
    </cfRule>
  </conditionalFormatting>
  <conditionalFormatting sqref="I21">
    <cfRule type="expression" dxfId="75" priority="10">
      <formula>#REF!="IN PROGRESS"</formula>
    </cfRule>
    <cfRule type="expression" dxfId="74" priority="11">
      <formula>#REF!="Rejected"</formula>
    </cfRule>
  </conditionalFormatting>
  <conditionalFormatting sqref="I21">
    <cfRule type="expression" dxfId="73" priority="12">
      <formula>#REF!="Accepted"</formula>
    </cfRule>
  </conditionalFormatting>
  <conditionalFormatting sqref="I29:I31">
    <cfRule type="expression" dxfId="72" priority="1">
      <formula>#REF!="IN PROGRESS"</formula>
    </cfRule>
    <cfRule type="expression" dxfId="71" priority="2">
      <formula>#REF!="Rejected"</formula>
    </cfRule>
  </conditionalFormatting>
  <conditionalFormatting sqref="I29:I31">
    <cfRule type="expression" dxfId="70" priority="3">
      <formula>#REF!="Accepted"</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236CF-92B3-440D-8E83-C009931B4CA6}">
  <dimension ref="A1:P309"/>
  <sheetViews>
    <sheetView workbookViewId="0">
      <pane ySplit="2" topLeftCell="B3" activePane="bottomLeft" state="frozen"/>
      <selection pane="bottomLeft" activeCell="J3" sqref="J3"/>
    </sheetView>
  </sheetViews>
  <sheetFormatPr defaultRowHeight="15"/>
  <cols>
    <col min="1" max="1" width="24.7109375" customWidth="1"/>
    <col min="2" max="2" width="10.5703125" bestFit="1" customWidth="1"/>
    <col min="3" max="3" width="51.28515625" bestFit="1" customWidth="1"/>
    <col min="4" max="4" width="34.28515625" bestFit="1" customWidth="1"/>
    <col min="5" max="5" width="26.28515625" customWidth="1"/>
    <col min="6" max="6" width="18" customWidth="1"/>
    <col min="7" max="7" width="64.28515625" customWidth="1"/>
    <col min="8" max="8" width="11.7109375" customWidth="1"/>
    <col min="9" max="9" width="19" customWidth="1"/>
    <col min="10" max="10" width="20.42578125" customWidth="1"/>
    <col min="11" max="11" width="20.7109375" customWidth="1"/>
    <col min="12" max="12" width="1.7109375" customWidth="1"/>
    <col min="17" max="17" width="1.85546875" customWidth="1"/>
  </cols>
  <sheetData>
    <row r="1" spans="1:16" ht="32.450000000000003" customHeight="1">
      <c r="A1" s="775" t="s">
        <v>2066</v>
      </c>
      <c r="B1" s="776"/>
      <c r="C1" s="776"/>
      <c r="D1" s="776"/>
      <c r="E1" s="776"/>
      <c r="F1" s="776"/>
      <c r="G1" s="776"/>
      <c r="L1" s="318"/>
      <c r="M1" s="315"/>
      <c r="N1" s="316"/>
      <c r="O1" s="316"/>
      <c r="P1" s="317"/>
    </row>
    <row r="2" spans="1:16" ht="40.5">
      <c r="A2" s="283" t="s">
        <v>112</v>
      </c>
      <c r="B2" s="284" t="s">
        <v>113</v>
      </c>
      <c r="C2" s="284" t="s">
        <v>114</v>
      </c>
      <c r="D2" s="284" t="s">
        <v>115</v>
      </c>
      <c r="E2" s="284" t="s">
        <v>116</v>
      </c>
      <c r="F2" s="284" t="s">
        <v>117</v>
      </c>
      <c r="G2" s="284" t="s">
        <v>118</v>
      </c>
      <c r="H2" s="291" t="s">
        <v>2067</v>
      </c>
      <c r="I2" s="291" t="s">
        <v>120</v>
      </c>
      <c r="J2" s="291" t="s">
        <v>121</v>
      </c>
      <c r="K2" s="292" t="s">
        <v>122</v>
      </c>
      <c r="L2" s="320"/>
      <c r="M2" s="312" t="s">
        <v>123</v>
      </c>
      <c r="N2" s="294" t="s">
        <v>124</v>
      </c>
      <c r="O2" s="295" t="s">
        <v>125</v>
      </c>
      <c r="P2" s="296" t="s">
        <v>126</v>
      </c>
    </row>
    <row r="3" spans="1:16" s="5" customFormat="1" ht="27" customHeight="1">
      <c r="A3" s="73"/>
      <c r="B3" s="111" t="s">
        <v>282</v>
      </c>
      <c r="C3" s="35" t="s">
        <v>283</v>
      </c>
      <c r="D3" s="35"/>
      <c r="E3" s="35"/>
      <c r="F3" s="73" t="s">
        <v>284</v>
      </c>
      <c r="G3" s="75" t="s">
        <v>285</v>
      </c>
      <c r="H3" s="74"/>
      <c r="I3" s="74"/>
      <c r="J3" s="74" t="str" cm="1">
        <f t="array" ref="J3">IF(ISBLANK(I3), IF(ISBLANK(H3), "N/A", _xlfn.IFS(K3="AS", H3+15, K3="NCR", H3+30, K3="submitted", H3+30, TRUE, "N/A")), _xlfn.IFS(K3="AS", I3+15, K3="NCR", I3+30, K3="submitted", I3+30, TRUE, "N/A"))</f>
        <v>N/A</v>
      </c>
      <c r="K3" s="73"/>
      <c r="L3" s="318"/>
      <c r="M3" s="766" t="s">
        <v>132</v>
      </c>
      <c r="N3" s="767"/>
      <c r="O3" s="767"/>
      <c r="P3" s="768"/>
    </row>
    <row r="4" spans="1:16" s="1" customFormat="1" ht="15" customHeight="1">
      <c r="A4" s="4"/>
      <c r="B4" s="111"/>
      <c r="C4" s="35"/>
      <c r="D4" s="35"/>
      <c r="E4" s="35"/>
      <c r="F4" s="4" t="s">
        <v>286</v>
      </c>
      <c r="G4" s="17" t="s">
        <v>287</v>
      </c>
      <c r="H4" s="18"/>
      <c r="I4" s="18"/>
      <c r="J4" s="74" t="str" cm="1">
        <f t="array" ref="J4">IF(ISBLANK(I4), IF(ISBLANK(H4), "N/A", _xlfn.IFS(K4="AS", H4+15, K4="NCR", H4+30, K4="submitted", H4+30, TRUE, "N/A")), _xlfn.IFS(K4="AS", I4+15, K4="NCR", I4+30, K4="submitted", I4+30, TRUE, "N/A"))</f>
        <v>N/A</v>
      </c>
      <c r="K4" s="4"/>
      <c r="L4" s="318"/>
      <c r="M4" s="769"/>
      <c r="N4" s="770"/>
      <c r="O4" s="770"/>
      <c r="P4" s="771"/>
    </row>
    <row r="5" spans="1:16" s="1" customFormat="1" ht="27" customHeight="1">
      <c r="A5" s="4"/>
      <c r="B5" s="95"/>
      <c r="C5" s="36"/>
      <c r="D5" s="36"/>
      <c r="E5" s="36"/>
      <c r="F5" s="4" t="s">
        <v>133</v>
      </c>
      <c r="G5" s="3" t="s">
        <v>288</v>
      </c>
      <c r="H5" s="18"/>
      <c r="I5" s="18"/>
      <c r="J5" s="74" t="str" cm="1">
        <f t="array" ref="J5">IF(ISBLANK(I5), IF(ISBLANK(H5), "N/A", _xlfn.IFS(K5="AS", H5+15, K5="NCR", H5+30, K5="submitted", H5+30, TRUE, "N/A")), _xlfn.IFS(K5="AS", I5+15, K5="NCR", I5+30, K5="submitted", I5+30, TRUE, "N/A"))</f>
        <v>N/A</v>
      </c>
      <c r="K5" s="4"/>
      <c r="L5" s="318"/>
      <c r="M5" s="769"/>
      <c r="N5" s="770"/>
      <c r="O5" s="770"/>
      <c r="P5" s="771"/>
    </row>
    <row r="6" spans="1:16" s="1" customFormat="1" ht="15" customHeight="1">
      <c r="A6" s="9"/>
      <c r="B6" s="32" t="s">
        <v>2068</v>
      </c>
      <c r="C6" s="37" t="s">
        <v>2069</v>
      </c>
      <c r="D6" s="37"/>
      <c r="E6" s="37"/>
      <c r="F6" s="9" t="s">
        <v>210</v>
      </c>
      <c r="G6" s="13" t="s">
        <v>2070</v>
      </c>
      <c r="H6" s="18"/>
      <c r="I6" s="18"/>
      <c r="J6" s="74" t="str" cm="1">
        <f t="array" ref="J6">IF(ISBLANK(I6), IF(ISBLANK(H6), "N/A", _xlfn.IFS(K6="AS", H6+15, K6="NCR", H6+30, K6="submitted", H6+30, TRUE, "N/A")), _xlfn.IFS(K6="AS", I6+15, K6="NCR", I6+30, K6="submitted", I6+30, TRUE, "N/A"))</f>
        <v>N/A</v>
      </c>
      <c r="K6" s="9"/>
      <c r="L6" s="318"/>
      <c r="M6" s="769"/>
      <c r="N6" s="770"/>
      <c r="O6" s="770"/>
      <c r="P6" s="771"/>
    </row>
    <row r="7" spans="1:16" s="1" customFormat="1" ht="15" customHeight="1">
      <c r="A7" s="9"/>
      <c r="B7" s="32" t="s">
        <v>2068</v>
      </c>
      <c r="C7" s="37" t="s">
        <v>2069</v>
      </c>
      <c r="D7" s="37"/>
      <c r="E7" s="37"/>
      <c r="F7" s="9" t="s">
        <v>328</v>
      </c>
      <c r="G7" s="13" t="s">
        <v>276</v>
      </c>
      <c r="H7" s="18"/>
      <c r="I7" s="18"/>
      <c r="J7" s="74" t="str" cm="1">
        <f t="array" ref="J7">IF(ISBLANK(I7), IF(ISBLANK(H7), "N/A", _xlfn.IFS(K7="AS", H7+15, K7="NCR", H7+30, K7="submitted", H7+30, TRUE, "N/A")), _xlfn.IFS(K7="AS", I7+15, K7="NCR", I7+30, K7="submitted", I7+30, TRUE, "N/A"))</f>
        <v>N/A</v>
      </c>
      <c r="K7" s="9"/>
      <c r="L7" s="318"/>
      <c r="M7" s="772" t="s">
        <v>147</v>
      </c>
      <c r="N7" s="773"/>
      <c r="O7" s="773"/>
      <c r="P7" s="774"/>
    </row>
    <row r="8" spans="1:16" s="1" customFormat="1" ht="15" customHeight="1">
      <c r="A8" s="9"/>
      <c r="B8" s="32" t="s">
        <v>2068</v>
      </c>
      <c r="C8" s="37" t="s">
        <v>2069</v>
      </c>
      <c r="D8" s="37"/>
      <c r="E8" s="37"/>
      <c r="F8" s="9" t="s">
        <v>1132</v>
      </c>
      <c r="G8" s="13" t="s">
        <v>1950</v>
      </c>
      <c r="H8" s="18"/>
      <c r="I8" s="18"/>
      <c r="J8" s="74" t="str" cm="1">
        <f t="array" ref="J8">IF(ISBLANK(I8), IF(ISBLANK(H8), "N/A", _xlfn.IFS(K8="AS", H8+15, K8="NCR", H8+30, K8="submitted", H8+30, TRUE, "N/A")), _xlfn.IFS(K8="AS", I8+15, K8="NCR", I8+30, K8="submitted", I8+30, TRUE, "N/A"))</f>
        <v>N/A</v>
      </c>
      <c r="K8" s="9"/>
      <c r="L8" s="318"/>
      <c r="M8" s="772"/>
      <c r="N8" s="773"/>
      <c r="O8" s="773"/>
      <c r="P8" s="774"/>
    </row>
    <row r="9" spans="1:16" s="138" customFormat="1" ht="27" customHeight="1">
      <c r="A9" s="152" t="s">
        <v>102</v>
      </c>
      <c r="B9" s="240" t="s">
        <v>2068</v>
      </c>
      <c r="C9" s="169" t="s">
        <v>2069</v>
      </c>
      <c r="D9" s="169" t="s">
        <v>103</v>
      </c>
      <c r="E9" s="169"/>
      <c r="F9" s="152" t="s">
        <v>1134</v>
      </c>
      <c r="G9" s="154" t="s">
        <v>2071</v>
      </c>
      <c r="H9" s="262">
        <v>45820</v>
      </c>
      <c r="I9" s="262">
        <v>45889</v>
      </c>
      <c r="J9" s="74" t="str" cm="1">
        <f t="array" ref="J9">IF(ISBLANK(I9), IF(ISBLANK(H9), "N/A", _xlfn.IFS(K9="AS", H9+15, K9="NCR", H9+30, K9="submitted", H9+30, TRUE, "N/A")), _xlfn.IFS(K9="AS", I9+15, K9="NCR", I9+30, K9="submitted", I9+30, TRUE, "N/A"))</f>
        <v>N/A</v>
      </c>
      <c r="K9" s="152" t="s">
        <v>150</v>
      </c>
      <c r="L9" s="318"/>
      <c r="M9" s="772"/>
      <c r="N9" s="773"/>
      <c r="O9" s="773"/>
      <c r="P9" s="774"/>
    </row>
    <row r="10" spans="1:16" s="1" customFormat="1" ht="27" customHeight="1">
      <c r="A10" s="9"/>
      <c r="B10" s="32" t="s">
        <v>2068</v>
      </c>
      <c r="C10" s="37" t="s">
        <v>2069</v>
      </c>
      <c r="D10" s="37"/>
      <c r="E10" s="37"/>
      <c r="F10" s="9" t="s">
        <v>2072</v>
      </c>
      <c r="G10" s="7" t="s">
        <v>2073</v>
      </c>
      <c r="H10" s="18"/>
      <c r="I10" s="18"/>
      <c r="J10" s="74" t="str" cm="1">
        <f t="array" ref="J10">IF(ISBLANK(I10), IF(ISBLANK(H10), "N/A", _xlfn.IFS(K10="AS", H10+15, K10="NCR", H10+30, K10="submitted", H10+30, TRUE, "N/A")), _xlfn.IFS(K10="AS", I10+15, K10="NCR", I10+30, K10="submitted", I10+30, TRUE, "N/A"))</f>
        <v>N/A</v>
      </c>
      <c r="K10" s="9"/>
      <c r="L10" s="318"/>
      <c r="M10" s="772"/>
      <c r="N10" s="773"/>
      <c r="O10" s="773"/>
      <c r="P10" s="774"/>
    </row>
    <row r="11" spans="1:16" s="1" customFormat="1" ht="27" customHeight="1">
      <c r="A11" s="9"/>
      <c r="B11" s="32" t="s">
        <v>2068</v>
      </c>
      <c r="C11" s="37" t="s">
        <v>2069</v>
      </c>
      <c r="D11" s="37"/>
      <c r="E11" s="37"/>
      <c r="F11" s="9" t="s">
        <v>413</v>
      </c>
      <c r="G11" s="7" t="s">
        <v>2074</v>
      </c>
      <c r="H11" s="18"/>
      <c r="I11" s="18"/>
      <c r="J11" s="74" t="str" cm="1">
        <f t="array" ref="J11">IF(ISBLANK(I11), IF(ISBLANK(H11), "N/A", _xlfn.IFS(K11="AS", H11+15, K11="NCR", H11+30, K11="submitted", H11+30, TRUE, "N/A")), _xlfn.IFS(K11="AS", I11+15, K11="NCR", I11+30, K11="submitted", I11+30, TRUE, "N/A"))</f>
        <v>N/A</v>
      </c>
      <c r="K11" s="9"/>
      <c r="L11" s="318"/>
      <c r="M11" s="772"/>
      <c r="N11" s="773"/>
      <c r="O11" s="773"/>
      <c r="P11" s="774"/>
    </row>
    <row r="12" spans="1:16" s="1" customFormat="1" ht="27" customHeight="1">
      <c r="A12" s="9"/>
      <c r="B12" s="32" t="s">
        <v>2068</v>
      </c>
      <c r="C12" s="37" t="s">
        <v>2069</v>
      </c>
      <c r="D12" s="37"/>
      <c r="E12" s="37"/>
      <c r="F12" s="9" t="s">
        <v>415</v>
      </c>
      <c r="G12" s="7" t="s">
        <v>2075</v>
      </c>
      <c r="H12" s="18"/>
      <c r="I12" s="18"/>
      <c r="J12" s="74" t="str" cm="1">
        <f t="array" ref="J12">IF(ISBLANK(I12), IF(ISBLANK(H12), "N/A", _xlfn.IFS(K12="AS", H12+15, K12="NCR", H12+30, K12="submitted", H12+30, TRUE, "N/A")), _xlfn.IFS(K12="AS", I12+15, K12="NCR", I12+30, K12="submitted", I12+30, TRUE, "N/A"))</f>
        <v>N/A</v>
      </c>
      <c r="K12" s="9"/>
      <c r="L12" s="319"/>
      <c r="M12" s="772"/>
      <c r="N12" s="773"/>
      <c r="O12" s="773"/>
      <c r="P12" s="774"/>
    </row>
    <row r="13" spans="1:16" s="1" customFormat="1" ht="15" customHeight="1">
      <c r="A13" s="9"/>
      <c r="B13" s="32" t="s">
        <v>2068</v>
      </c>
      <c r="C13" s="37" t="s">
        <v>2069</v>
      </c>
      <c r="D13" s="37"/>
      <c r="E13" s="37"/>
      <c r="F13" s="9" t="s">
        <v>338</v>
      </c>
      <c r="G13" s="13" t="s">
        <v>2076</v>
      </c>
      <c r="H13" s="18"/>
      <c r="I13" s="18"/>
      <c r="J13" s="74" t="str" cm="1">
        <f t="array" ref="J13">IF(ISBLANK(I13), IF(ISBLANK(H13), "N/A", _xlfn.IFS(K13="AS", H13+15, K13="NCR", H13+30, K13="submitted", H13+30, TRUE, "N/A")), _xlfn.IFS(K13="AS", I13+15, K13="NCR", I13+30, K13="submitted", I13+30, TRUE, "N/A"))</f>
        <v>N/A</v>
      </c>
      <c r="K13" s="9"/>
      <c r="L13" s="318"/>
      <c r="M13" s="772"/>
      <c r="N13" s="773"/>
      <c r="O13" s="773"/>
      <c r="P13" s="774"/>
    </row>
    <row r="14" spans="1:16" s="1" customFormat="1" ht="15" customHeight="1">
      <c r="A14" s="9"/>
      <c r="B14" s="32" t="s">
        <v>2068</v>
      </c>
      <c r="C14" s="37" t="s">
        <v>2069</v>
      </c>
      <c r="D14" s="37"/>
      <c r="E14" s="37"/>
      <c r="F14" s="9" t="s">
        <v>1035</v>
      </c>
      <c r="G14" s="13" t="s">
        <v>2077</v>
      </c>
      <c r="H14" s="18"/>
      <c r="I14" s="18"/>
      <c r="J14" s="74" t="str" cm="1">
        <f t="array" ref="J14">IF(ISBLANK(I14), IF(ISBLANK(H14), "N/A", _xlfn.IFS(K14="AS", H14+15, K14="NCR", H14+30, K14="submitted", H14+30, TRUE, "N/A")), _xlfn.IFS(K14="AS", I14+15, K14="NCR", I14+30, K14="submitted", I14+30, TRUE, "N/A"))</f>
        <v>N/A</v>
      </c>
      <c r="K14" s="9"/>
      <c r="L14" s="318"/>
      <c r="M14" s="772"/>
      <c r="N14" s="773"/>
      <c r="O14" s="773"/>
      <c r="P14" s="774"/>
    </row>
    <row r="15" spans="1:16" s="1" customFormat="1" ht="15" customHeight="1">
      <c r="A15" s="9"/>
      <c r="B15" s="32" t="s">
        <v>2068</v>
      </c>
      <c r="C15" s="37" t="s">
        <v>2069</v>
      </c>
      <c r="D15" s="37"/>
      <c r="E15" s="37"/>
      <c r="F15" s="9" t="s">
        <v>1612</v>
      </c>
      <c r="G15" s="13" t="s">
        <v>2078</v>
      </c>
      <c r="H15" s="18"/>
      <c r="I15" s="18"/>
      <c r="J15" s="74" t="str" cm="1">
        <f t="array" ref="J15">IF(ISBLANK(I15), IF(ISBLANK(H15), "N/A", _xlfn.IFS(K15="AS", H15+15, K15="NCR", H15+30, K15="submitted", H15+30, TRUE, "N/A")), _xlfn.IFS(K15="AS", I15+15, K15="NCR", I15+30, K15="submitted", I15+30, TRUE, "N/A"))</f>
        <v>N/A</v>
      </c>
      <c r="K15" s="9"/>
      <c r="L15" s="318"/>
      <c r="M15" s="772"/>
      <c r="N15" s="773"/>
      <c r="O15" s="773"/>
      <c r="P15" s="774"/>
    </row>
    <row r="16" spans="1:16" s="1" customFormat="1" ht="15" customHeight="1">
      <c r="A16" s="9"/>
      <c r="B16" s="32" t="s">
        <v>2068</v>
      </c>
      <c r="C16" s="37" t="s">
        <v>2069</v>
      </c>
      <c r="D16" s="37"/>
      <c r="E16" s="37"/>
      <c r="F16" s="9" t="s">
        <v>402</v>
      </c>
      <c r="G16" s="13" t="s">
        <v>2079</v>
      </c>
      <c r="H16" s="18"/>
      <c r="I16" s="18"/>
      <c r="J16" s="74" t="str" cm="1">
        <f t="array" ref="J16">IF(ISBLANK(I16), IF(ISBLANK(H16), "N/A", _xlfn.IFS(K16="AS", H16+15, K16="NCR", H16+30, K16="submitted", H16+30, TRUE, "N/A")), _xlfn.IFS(K16="AS", I16+15, K16="NCR", I16+30, K16="submitted", I16+30, TRUE, "N/A"))</f>
        <v>N/A</v>
      </c>
      <c r="K16" s="9"/>
      <c r="L16" s="318"/>
      <c r="M16" s="772"/>
      <c r="N16" s="773"/>
      <c r="O16" s="773"/>
      <c r="P16" s="774"/>
    </row>
    <row r="17" spans="1:16" s="1" customFormat="1" ht="15" customHeight="1">
      <c r="A17" s="9"/>
      <c r="B17" s="32" t="s">
        <v>2068</v>
      </c>
      <c r="C17" s="37" t="s">
        <v>2069</v>
      </c>
      <c r="D17" s="37"/>
      <c r="E17" s="37"/>
      <c r="F17" s="9" t="s">
        <v>404</v>
      </c>
      <c r="G17" s="13" t="s">
        <v>2080</v>
      </c>
      <c r="H17" s="18"/>
      <c r="I17" s="18"/>
      <c r="J17" s="74" t="str" cm="1">
        <f t="array" ref="J17">IF(ISBLANK(I17), IF(ISBLANK(H17), "N/A", _xlfn.IFS(K17="AS", H17+15, K17="NCR", H17+30, K17="submitted", H17+30, TRUE, "N/A")), _xlfn.IFS(K17="AS", I17+15, K17="NCR", I17+30, K17="submitted", I17+30, TRUE, "N/A"))</f>
        <v>N/A</v>
      </c>
      <c r="K17" s="9"/>
      <c r="L17" s="318"/>
      <c r="M17" s="772"/>
      <c r="N17" s="773"/>
      <c r="O17" s="773"/>
      <c r="P17" s="774"/>
    </row>
    <row r="18" spans="1:16" s="26" customFormat="1" ht="15" customHeight="1">
      <c r="A18" s="22" t="s">
        <v>2081</v>
      </c>
      <c r="B18" s="191" t="s">
        <v>2082</v>
      </c>
      <c r="C18" s="24" t="s">
        <v>2083</v>
      </c>
      <c r="D18" s="24" t="s">
        <v>2084</v>
      </c>
      <c r="E18" s="24" t="s">
        <v>2085</v>
      </c>
      <c r="F18" s="22" t="s">
        <v>275</v>
      </c>
      <c r="G18" s="24" t="s">
        <v>229</v>
      </c>
      <c r="H18" s="25">
        <v>45911</v>
      </c>
      <c r="I18" s="25"/>
      <c r="J18" s="74" cm="1">
        <f t="array" ref="J18">IF(ISBLANK(I18), IF(ISBLANK(H18), "N/A", _xlfn.IFS(K18="AS", H18+15, K18="NCR", H18+30, K18="submitted", H18+30, TRUE, "N/A")), _xlfn.IFS(K18="AS", I18+15, K18="NCR", I18+30, K18="submitted", I18+30, TRUE, "N/A"))</f>
        <v>45941</v>
      </c>
      <c r="K18" s="22" t="s">
        <v>154</v>
      </c>
      <c r="L18" s="318"/>
      <c r="M18" s="772"/>
      <c r="N18" s="773"/>
      <c r="O18" s="773"/>
      <c r="P18" s="774"/>
    </row>
    <row r="19" spans="1:16" s="1" customFormat="1" ht="15" customHeight="1">
      <c r="A19" s="9"/>
      <c r="B19" s="32" t="s">
        <v>2086</v>
      </c>
      <c r="C19" s="37" t="s">
        <v>2087</v>
      </c>
      <c r="D19" s="37"/>
      <c r="E19" s="37"/>
      <c r="F19" s="9" t="s">
        <v>328</v>
      </c>
      <c r="G19" s="13" t="s">
        <v>229</v>
      </c>
      <c r="H19" s="18"/>
      <c r="I19" s="18"/>
      <c r="J19" s="74" t="str" cm="1">
        <f t="array" ref="J19">IF(ISBLANK(I19), IF(ISBLANK(H19), "N/A", _xlfn.IFS(K19="AS", H19+15, K19="NCR", H19+30, K19="submitted", H19+30, TRUE, "N/A")), _xlfn.IFS(K19="AS", I19+15, K19="NCR", I19+30, K19="submitted", I19+30, TRUE, "N/A"))</f>
        <v>N/A</v>
      </c>
      <c r="K19" s="9"/>
      <c r="L19" s="318"/>
      <c r="M19" s="772"/>
      <c r="N19" s="773"/>
      <c r="O19" s="773"/>
      <c r="P19" s="774"/>
    </row>
    <row r="20" spans="1:16" s="1" customFormat="1" ht="15" customHeight="1">
      <c r="A20" s="9"/>
      <c r="B20" s="33"/>
      <c r="C20" s="39"/>
      <c r="D20" s="39"/>
      <c r="E20" s="39"/>
      <c r="F20" s="9" t="s">
        <v>329</v>
      </c>
      <c r="G20" s="13" t="s">
        <v>276</v>
      </c>
      <c r="H20" s="18"/>
      <c r="I20" s="18"/>
      <c r="J20" s="74" t="str" cm="1">
        <f t="array" ref="J20">IF(ISBLANK(I20), IF(ISBLANK(H20), "N/A", _xlfn.IFS(K20="AS", H20+15, K20="NCR", H20+30, K20="submitted", H20+30, TRUE, "N/A")), _xlfn.IFS(K20="AS", I20+15, K20="NCR", I20+30, K20="submitted", I20+30, TRUE, "N/A"))</f>
        <v>N/A</v>
      </c>
      <c r="K20" s="9"/>
      <c r="L20" s="318"/>
      <c r="M20" s="772"/>
      <c r="N20" s="773"/>
      <c r="O20" s="773"/>
      <c r="P20" s="774"/>
    </row>
    <row r="21" spans="1:16" s="1" customFormat="1" ht="15" customHeight="1">
      <c r="A21" s="9"/>
      <c r="B21" s="33"/>
      <c r="C21" s="39"/>
      <c r="D21" s="39"/>
      <c r="E21" s="39"/>
      <c r="F21" s="9" t="s">
        <v>330</v>
      </c>
      <c r="G21" s="13" t="s">
        <v>2088</v>
      </c>
      <c r="H21" s="18"/>
      <c r="I21" s="18"/>
      <c r="J21" s="74" t="str" cm="1">
        <f t="array" ref="J21">IF(ISBLANK(I21), IF(ISBLANK(H21), "N/A", _xlfn.IFS(K21="AS", H21+15, K21="NCR", H21+30, K21="submitted", H21+30, TRUE, "N/A")), _xlfn.IFS(K21="AS", I21+15, K21="NCR", I21+30, K21="submitted", I21+30, TRUE, "N/A"))</f>
        <v>N/A</v>
      </c>
      <c r="K21" s="9"/>
      <c r="L21" s="318"/>
      <c r="M21" s="772"/>
      <c r="N21" s="773"/>
      <c r="O21" s="773"/>
      <c r="P21" s="774"/>
    </row>
    <row r="22" spans="1:16" s="1" customFormat="1" ht="27" customHeight="1">
      <c r="A22" s="9"/>
      <c r="B22" s="33"/>
      <c r="C22" s="39"/>
      <c r="D22" s="39"/>
      <c r="E22" s="39"/>
      <c r="F22" s="9" t="s">
        <v>1254</v>
      </c>
      <c r="G22" s="7" t="s">
        <v>2089</v>
      </c>
      <c r="H22" s="18"/>
      <c r="I22" s="18"/>
      <c r="J22" s="74" t="str" cm="1">
        <f t="array" ref="J22">IF(ISBLANK(I22), IF(ISBLANK(H22), "N/A", _xlfn.IFS(K22="AS", H22+15, K22="NCR", H22+30, K22="submitted", H22+30, TRUE, "N/A")), _xlfn.IFS(K22="AS", I22+15, K22="NCR", I22+30, K22="submitted", I22+30, TRUE, "N/A"))</f>
        <v>N/A</v>
      </c>
      <c r="K22" s="9"/>
      <c r="L22" s="318"/>
      <c r="M22" s="772"/>
      <c r="N22" s="773"/>
      <c r="O22" s="773"/>
      <c r="P22" s="774"/>
    </row>
    <row r="23" spans="1:16" s="1" customFormat="1" ht="27" customHeight="1">
      <c r="A23" s="9"/>
      <c r="B23" s="97"/>
      <c r="C23" s="46"/>
      <c r="D23" s="46"/>
      <c r="E23" s="46"/>
      <c r="F23" s="9" t="s">
        <v>1256</v>
      </c>
      <c r="G23" s="7" t="s">
        <v>2090</v>
      </c>
      <c r="H23" s="18"/>
      <c r="I23" s="18"/>
      <c r="J23" s="74" t="str" cm="1">
        <f t="array" ref="J23">IF(ISBLANK(I23), IF(ISBLANK(H23), "N/A", _xlfn.IFS(K23="AS", H23+15, K23="NCR", H23+30, K23="submitted", H23+30, TRUE, "N/A")), _xlfn.IFS(K23="AS", I23+15, K23="NCR", I23+30, K23="submitted", I23+30, TRUE, "N/A"))</f>
        <v>N/A</v>
      </c>
      <c r="K23" s="9"/>
      <c r="L23" s="318"/>
      <c r="M23" s="772"/>
      <c r="N23" s="773"/>
      <c r="O23" s="773"/>
      <c r="P23" s="774"/>
    </row>
    <row r="24" spans="1:16" s="5" customFormat="1" ht="15" customHeight="1">
      <c r="A24" s="4"/>
      <c r="B24" s="86" t="s">
        <v>2091</v>
      </c>
      <c r="C24" s="34" t="s">
        <v>2092</v>
      </c>
      <c r="D24" s="34"/>
      <c r="E24" s="34"/>
      <c r="F24" s="4" t="s">
        <v>275</v>
      </c>
      <c r="G24" s="17" t="s">
        <v>229</v>
      </c>
      <c r="H24" s="18"/>
      <c r="I24" s="18"/>
      <c r="J24" s="74" t="str" cm="1">
        <f t="array" ref="J24">IF(ISBLANK(I24), IF(ISBLANK(H24), "N/A", _xlfn.IFS(K24="AS", H24+15, K24="NCR", H24+30, K24="submitted", H24+30, TRUE, "N/A")), _xlfn.IFS(K24="AS", I24+15, K24="NCR", I24+30, K24="submitted", I24+30, TRUE, "N/A"))</f>
        <v>N/A</v>
      </c>
      <c r="K24" s="4"/>
      <c r="L24" s="318"/>
      <c r="M24" s="772"/>
      <c r="N24" s="773"/>
      <c r="O24" s="773"/>
      <c r="P24" s="774"/>
    </row>
    <row r="25" spans="1:16" s="5" customFormat="1" ht="27" customHeight="1">
      <c r="A25" s="4"/>
      <c r="B25" s="95"/>
      <c r="C25" s="36"/>
      <c r="D25" s="36"/>
      <c r="E25" s="36"/>
      <c r="F25" s="4" t="s">
        <v>321</v>
      </c>
      <c r="G25" s="3" t="s">
        <v>2093</v>
      </c>
      <c r="H25" s="18"/>
      <c r="I25" s="18"/>
      <c r="J25" s="74" t="str" cm="1">
        <f t="array" ref="J25">IF(ISBLANK(I25), IF(ISBLANK(H25), "N/A", _xlfn.IFS(K25="AS", H25+15, K25="NCR", H25+30, K25="submitted", H25+30, TRUE, "N/A")), _xlfn.IFS(K25="AS", I25+15, K25="NCR", I25+30, K25="submitted", I25+30, TRUE, "N/A"))</f>
        <v>N/A</v>
      </c>
      <c r="K25" s="4"/>
      <c r="L25" s="318"/>
      <c r="M25" s="772"/>
      <c r="N25" s="773"/>
      <c r="O25" s="773"/>
      <c r="P25" s="774"/>
    </row>
    <row r="26" spans="1:16" s="1" customFormat="1" ht="12" customHeight="1">
      <c r="A26" s="9"/>
      <c r="B26" s="32" t="s">
        <v>2094</v>
      </c>
      <c r="C26" s="37" t="s">
        <v>2095</v>
      </c>
      <c r="D26" s="37"/>
      <c r="E26" s="37"/>
      <c r="F26" s="9" t="s">
        <v>275</v>
      </c>
      <c r="G26" s="13" t="s">
        <v>229</v>
      </c>
      <c r="H26" s="18"/>
      <c r="I26" s="18"/>
      <c r="J26" s="74" t="str" cm="1">
        <f t="array" ref="J26">IF(ISBLANK(I26), IF(ISBLANK(H26), "N/A", _xlfn.IFS(K26="AS", H26+15, K26="NCR", H26+30, K26="submitted", H26+30, TRUE, "N/A")), _xlfn.IFS(K26="AS", I26+15, K26="NCR", I26+30, K26="submitted", I26+30, TRUE, "N/A"))</f>
        <v>N/A</v>
      </c>
      <c r="K26" s="9"/>
      <c r="L26" s="318"/>
      <c r="M26" s="772"/>
      <c r="N26" s="773"/>
      <c r="O26" s="773"/>
      <c r="P26" s="774"/>
    </row>
    <row r="27" spans="1:16" s="1" customFormat="1" ht="12" customHeight="1">
      <c r="A27" s="9"/>
      <c r="B27" s="33"/>
      <c r="C27" s="39"/>
      <c r="D27" s="39"/>
      <c r="E27" s="39"/>
      <c r="F27" s="9" t="s">
        <v>263</v>
      </c>
      <c r="G27" s="13" t="s">
        <v>276</v>
      </c>
      <c r="H27" s="18"/>
      <c r="I27" s="18"/>
      <c r="J27" s="74" t="str" cm="1">
        <f t="array" ref="J27">IF(ISBLANK(I27), IF(ISBLANK(H27), "N/A", _xlfn.IFS(K27="AS", H27+15, K27="NCR", H27+30, K27="submitted", H27+30, TRUE, "N/A")), _xlfn.IFS(K27="AS", I27+15, K27="NCR", I27+30, K27="submitted", I27+30, TRUE, "N/A"))</f>
        <v>N/A</v>
      </c>
      <c r="K27" s="9"/>
      <c r="L27" s="318"/>
      <c r="M27" s="772"/>
      <c r="N27" s="773"/>
      <c r="O27" s="773"/>
      <c r="P27" s="774"/>
    </row>
    <row r="28" spans="1:16" s="1" customFormat="1" ht="12" customHeight="1">
      <c r="A28" s="9"/>
      <c r="B28" s="33"/>
      <c r="C28" s="39"/>
      <c r="D28" s="20"/>
      <c r="E28" s="20"/>
      <c r="F28" s="1" t="s">
        <v>253</v>
      </c>
      <c r="G28" s="13" t="s">
        <v>1749</v>
      </c>
      <c r="H28" s="18"/>
      <c r="I28" s="18"/>
      <c r="J28" s="74" t="str" cm="1">
        <f t="array" ref="J28">IF(ISBLANK(I28), IF(ISBLANK(H28), "N/A", _xlfn.IFS(K28="AS", H28+15, K28="NCR", H28+30, K28="submitted", H28+30, TRUE, "N/A")), _xlfn.IFS(K28="AS", I28+15, K28="NCR", I28+30, K28="submitted", I28+30, TRUE, "N/A"))</f>
        <v>N/A</v>
      </c>
      <c r="K28" s="9"/>
      <c r="L28" s="318"/>
      <c r="M28" s="772"/>
      <c r="N28" s="773"/>
      <c r="O28" s="773"/>
      <c r="P28" s="774"/>
    </row>
    <row r="29" spans="1:16" s="1" customFormat="1" ht="12" customHeight="1">
      <c r="A29" s="9"/>
      <c r="B29" s="33"/>
      <c r="C29" s="39"/>
      <c r="D29" s="39"/>
      <c r="E29" s="39"/>
      <c r="F29" s="9" t="s">
        <v>344</v>
      </c>
      <c r="G29" s="13" t="s">
        <v>345</v>
      </c>
      <c r="H29" s="18"/>
      <c r="I29" s="18"/>
      <c r="J29" s="74" t="str" cm="1">
        <f t="array" ref="J29">IF(ISBLANK(I29), IF(ISBLANK(H29), "N/A", _xlfn.IFS(K29="AS", H29+15, K29="NCR", H29+30, K29="submitted", H29+30, TRUE, "N/A")), _xlfn.IFS(K29="AS", I29+15, K29="NCR", I29+30, K29="submitted", I29+30, TRUE, "N/A"))</f>
        <v>N/A</v>
      </c>
      <c r="K29" s="9"/>
      <c r="L29" s="318"/>
      <c r="M29" s="772"/>
      <c r="N29" s="773"/>
      <c r="O29" s="773"/>
      <c r="P29" s="774"/>
    </row>
    <row r="30" spans="1:16" s="1" customFormat="1" ht="28.5" customHeight="1">
      <c r="A30" s="9"/>
      <c r="B30" s="33"/>
      <c r="C30" s="39"/>
      <c r="D30" s="39"/>
      <c r="E30" s="39"/>
      <c r="F30" s="9" t="s">
        <v>374</v>
      </c>
      <c r="G30" s="7" t="s">
        <v>2096</v>
      </c>
      <c r="H30" s="18"/>
      <c r="I30" s="18"/>
      <c r="J30" s="74" t="str" cm="1">
        <f t="array" ref="J30">IF(ISBLANK(I30), IF(ISBLANK(H30), "N/A", _xlfn.IFS(K30="AS", H30+15, K30="NCR", H30+30, K30="submitted", H30+30, TRUE, "N/A")), _xlfn.IFS(K30="AS", I30+15, K30="NCR", I30+30, K30="submitted", I30+30, TRUE, "N/A"))</f>
        <v>N/A</v>
      </c>
      <c r="K30" s="9"/>
      <c r="L30" s="318"/>
      <c r="M30" s="772"/>
      <c r="N30" s="773"/>
      <c r="O30" s="773"/>
      <c r="P30" s="774"/>
    </row>
    <row r="31" spans="1:16" s="1" customFormat="1" ht="25.5" customHeight="1">
      <c r="A31" s="9"/>
      <c r="B31" s="97"/>
      <c r="C31" s="46"/>
      <c r="D31" s="46"/>
      <c r="E31" s="46"/>
      <c r="F31" s="9" t="s">
        <v>376</v>
      </c>
      <c r="G31" s="7" t="s">
        <v>2097</v>
      </c>
      <c r="H31" s="18"/>
      <c r="I31" s="18"/>
      <c r="J31" s="74" t="str" cm="1">
        <f t="array" ref="J31">IF(ISBLANK(I31), IF(ISBLANK(H31), "N/A", _xlfn.IFS(K31="AS", H31+15, K31="NCR", H31+30, K31="submitted", H31+30, TRUE, "N/A")), _xlfn.IFS(K31="AS", I31+15, K31="NCR", I31+30, K31="submitted", I31+30, TRUE, "N/A"))</f>
        <v>N/A</v>
      </c>
      <c r="K31" s="9"/>
      <c r="L31" s="318"/>
      <c r="M31" s="772"/>
      <c r="N31" s="773"/>
      <c r="O31" s="773"/>
      <c r="P31" s="774"/>
    </row>
    <row r="32" spans="1:16" s="107" customFormat="1" ht="15" customHeight="1">
      <c r="A32" s="104"/>
      <c r="B32" s="604" t="s">
        <v>2098</v>
      </c>
      <c r="C32" s="105" t="s">
        <v>2099</v>
      </c>
      <c r="D32" s="105"/>
      <c r="E32" s="105"/>
      <c r="F32" s="104" t="s">
        <v>275</v>
      </c>
      <c r="G32" s="106" t="s">
        <v>229</v>
      </c>
      <c r="H32" s="18"/>
      <c r="I32" s="18"/>
      <c r="J32" s="74" t="str" cm="1">
        <f t="array" ref="J32">IF(ISBLANK(I32), IF(ISBLANK(H32), "N/A", _xlfn.IFS(K32="AS", H32+15, K32="NCR", H32+30, K32="submitted", H32+30, TRUE, "N/A")), _xlfn.IFS(K32="AS", I32+15, K32="NCR", I32+30, K32="submitted", I32+30, TRUE, "N/A"))</f>
        <v>N/A</v>
      </c>
      <c r="K32" s="104"/>
      <c r="L32" s="318"/>
      <c r="M32" s="772"/>
      <c r="N32" s="773"/>
      <c r="O32" s="773"/>
      <c r="P32" s="774"/>
    </row>
    <row r="33" spans="1:16" s="107" customFormat="1" ht="15" customHeight="1">
      <c r="A33" s="104"/>
      <c r="B33" s="605"/>
      <c r="C33" s="108"/>
      <c r="D33" s="108"/>
      <c r="E33" s="108"/>
      <c r="F33" s="104" t="s">
        <v>263</v>
      </c>
      <c r="G33" s="106" t="s">
        <v>320</v>
      </c>
      <c r="H33" s="18"/>
      <c r="I33" s="18"/>
      <c r="J33" s="74" t="str" cm="1">
        <f t="array" ref="J33">IF(ISBLANK(I33), IF(ISBLANK(H33), "N/A", _xlfn.IFS(K33="AS", H33+15, K33="NCR", H33+30, K33="submitted", H33+30, TRUE, "N/A")), _xlfn.IFS(K33="AS", I33+15, K33="NCR", I33+30, K33="submitted", I33+30, TRUE, "N/A"))</f>
        <v>N/A</v>
      </c>
      <c r="K33" s="104"/>
      <c r="L33" s="318"/>
      <c r="M33" s="772"/>
      <c r="N33" s="773"/>
      <c r="O33" s="773"/>
      <c r="P33" s="774"/>
    </row>
    <row r="34" spans="1:16" s="107" customFormat="1" ht="15" customHeight="1">
      <c r="A34" s="104"/>
      <c r="B34" s="605"/>
      <c r="C34" s="108"/>
      <c r="D34" s="667"/>
      <c r="E34" s="108"/>
      <c r="F34" s="104" t="s">
        <v>253</v>
      </c>
      <c r="G34" s="106" t="s">
        <v>345</v>
      </c>
      <c r="H34" s="18"/>
      <c r="I34" s="18"/>
      <c r="J34" s="74" t="str" cm="1">
        <f t="array" ref="J34">IF(ISBLANK(I34), IF(ISBLANK(H34), "N/A", _xlfn.IFS(K34="AS", H34+15, K34="NCR", H34+30, K34="submitted", H34+30, TRUE, "N/A")), _xlfn.IFS(K34="AS", I34+15, K34="NCR", I34+30, K34="submitted", I34+30, TRUE, "N/A"))</f>
        <v>N/A</v>
      </c>
      <c r="K34" s="104"/>
      <c r="L34" s="318"/>
      <c r="M34" s="772"/>
      <c r="N34" s="773"/>
      <c r="O34" s="773"/>
      <c r="P34" s="774"/>
    </row>
    <row r="35" spans="1:16" s="107" customFormat="1" ht="15" customHeight="1">
      <c r="A35" s="104"/>
      <c r="B35" s="605"/>
      <c r="C35" s="108"/>
      <c r="D35" s="108"/>
      <c r="E35" s="108"/>
      <c r="F35" s="104" t="s">
        <v>344</v>
      </c>
      <c r="G35" s="106" t="s">
        <v>2100</v>
      </c>
      <c r="H35" s="18"/>
      <c r="I35" s="18"/>
      <c r="J35" s="74" t="str" cm="1">
        <f t="array" ref="J35">IF(ISBLANK(I35), IF(ISBLANK(H35), "N/A", _xlfn.IFS(K35="AS", H35+15, K35="NCR", H35+30, K35="submitted", H35+30, TRUE, "N/A")), _xlfn.IFS(K35="AS", I35+15, K35="NCR", I35+30, K35="submitted", I35+30, TRUE, "N/A"))</f>
        <v>N/A</v>
      </c>
      <c r="K35" s="104"/>
      <c r="L35" s="318"/>
      <c r="M35" s="772"/>
      <c r="N35" s="773"/>
      <c r="O35" s="773"/>
      <c r="P35" s="774"/>
    </row>
    <row r="36" spans="1:16" s="107" customFormat="1" ht="15" customHeight="1">
      <c r="A36" s="104"/>
      <c r="B36" s="605"/>
      <c r="C36" s="108"/>
      <c r="D36" s="108"/>
      <c r="E36" s="108"/>
      <c r="F36" s="104" t="s">
        <v>346</v>
      </c>
      <c r="G36" s="106" t="s">
        <v>1749</v>
      </c>
      <c r="H36" s="18"/>
      <c r="I36" s="18"/>
      <c r="J36" s="74" t="str" cm="1">
        <f t="array" ref="J36">IF(ISBLANK(I36), IF(ISBLANK(H36), "N/A", _xlfn.IFS(K36="AS", H36+15, K36="NCR", H36+30, K36="submitted", H36+30, TRUE, "N/A")), _xlfn.IFS(K36="AS", I36+15, K36="NCR", I36+30, K36="submitted", I36+30, TRUE, "N/A"))</f>
        <v>N/A</v>
      </c>
      <c r="K36" s="104"/>
      <c r="L36" s="318"/>
      <c r="M36" s="772"/>
      <c r="N36" s="773"/>
      <c r="O36" s="773"/>
      <c r="P36" s="774"/>
    </row>
    <row r="37" spans="1:16" s="107" customFormat="1" ht="27" customHeight="1">
      <c r="A37" s="104"/>
      <c r="B37" s="605"/>
      <c r="C37" s="108"/>
      <c r="D37" s="108"/>
      <c r="E37" s="108"/>
      <c r="F37" s="104" t="s">
        <v>587</v>
      </c>
      <c r="G37" s="109" t="s">
        <v>2101</v>
      </c>
      <c r="H37" s="18"/>
      <c r="I37" s="18"/>
      <c r="J37" s="74" t="str" cm="1">
        <f t="array" ref="J37">IF(ISBLANK(I37), IF(ISBLANK(H37), "N/A", _xlfn.IFS(K37="AS", H37+15, K37="NCR", H37+30, K37="submitted", H37+30, TRUE, "N/A")), _xlfn.IFS(K37="AS", I37+15, K37="NCR", I37+30, K37="submitted", I37+30, TRUE, "N/A"))</f>
        <v>N/A</v>
      </c>
      <c r="K37" s="104"/>
      <c r="L37" s="318"/>
      <c r="M37" s="772"/>
      <c r="N37" s="773"/>
      <c r="O37" s="773"/>
      <c r="P37" s="774"/>
    </row>
    <row r="38" spans="1:16" s="107" customFormat="1" ht="15" customHeight="1">
      <c r="A38" s="104"/>
      <c r="B38" s="606"/>
      <c r="C38" s="110"/>
      <c r="D38" s="110"/>
      <c r="E38" s="110"/>
      <c r="F38" s="104" t="s">
        <v>350</v>
      </c>
      <c r="G38" s="106" t="s">
        <v>2102</v>
      </c>
      <c r="H38" s="18"/>
      <c r="I38" s="18"/>
      <c r="J38" s="74" t="str" cm="1">
        <f t="array" ref="J38">IF(ISBLANK(I38), IF(ISBLANK(H38), "N/A", _xlfn.IFS(K38="AS", H38+15, K38="NCR", H38+30, K38="submitted", H38+30, TRUE, "N/A")), _xlfn.IFS(K38="AS", I38+15, K38="NCR", I38+30, K38="submitted", I38+30, TRUE, "N/A"))</f>
        <v>N/A</v>
      </c>
      <c r="K38" s="104"/>
      <c r="L38" s="318"/>
      <c r="M38" s="772"/>
      <c r="N38" s="773"/>
      <c r="O38" s="773"/>
      <c r="P38" s="774"/>
    </row>
    <row r="39" spans="1:16" s="1" customFormat="1" ht="15" customHeight="1">
      <c r="A39" s="9"/>
      <c r="B39" s="32" t="s">
        <v>2103</v>
      </c>
      <c r="C39" s="37" t="s">
        <v>2104</v>
      </c>
      <c r="D39" s="37"/>
      <c r="E39" s="37"/>
      <c r="F39" s="9" t="s">
        <v>275</v>
      </c>
      <c r="G39" s="13" t="s">
        <v>229</v>
      </c>
      <c r="H39" s="18"/>
      <c r="I39" s="18"/>
      <c r="J39" s="74" t="str" cm="1">
        <f t="array" ref="J39">IF(ISBLANK(I39), IF(ISBLANK(H39), "N/A", _xlfn.IFS(K39="AS", H39+15, K39="NCR", H39+30, K39="submitted", H39+30, TRUE, "N/A")), _xlfn.IFS(K39="AS", I39+15, K39="NCR", I39+30, K39="submitted", I39+30, TRUE, "N/A"))</f>
        <v>N/A</v>
      </c>
      <c r="K39" s="9"/>
      <c r="L39" s="318"/>
      <c r="M39" s="781"/>
      <c r="N39" s="782"/>
      <c r="O39" s="782"/>
      <c r="P39" s="783"/>
    </row>
    <row r="40" spans="1:16" s="1" customFormat="1" ht="15" customHeight="1">
      <c r="A40" s="9"/>
      <c r="B40" s="33"/>
      <c r="C40" s="39"/>
      <c r="D40" s="39"/>
      <c r="E40" s="39"/>
      <c r="F40" s="9" t="s">
        <v>263</v>
      </c>
      <c r="G40" s="13" t="s">
        <v>276</v>
      </c>
      <c r="H40" s="18"/>
      <c r="I40" s="18"/>
      <c r="J40" s="74" t="str" cm="1">
        <f t="array" ref="J40">IF(ISBLANK(I40), IF(ISBLANK(H40), "N/A", _xlfn.IFS(K40="AS", H40+15, K40="NCR", H40+30, K40="submitted", H40+30, TRUE, "N/A")), _xlfn.IFS(K40="AS", I40+15, K40="NCR", I40+30, K40="submitted", I40+30, TRUE, "N/A"))</f>
        <v>N/A</v>
      </c>
      <c r="K40" s="9"/>
      <c r="L40" s="318"/>
      <c r="M40" s="766" t="s">
        <v>132</v>
      </c>
      <c r="N40" s="767"/>
      <c r="O40" s="767"/>
      <c r="P40" s="768"/>
    </row>
    <row r="41" spans="1:16" s="1" customFormat="1" ht="15" customHeight="1">
      <c r="A41" s="9"/>
      <c r="B41" s="33"/>
      <c r="C41" s="39"/>
      <c r="D41" s="39"/>
      <c r="E41" s="39"/>
      <c r="F41" s="9" t="s">
        <v>253</v>
      </c>
      <c r="G41" s="13" t="s">
        <v>2105</v>
      </c>
      <c r="H41" s="18"/>
      <c r="I41" s="18"/>
      <c r="J41" s="74" t="str" cm="1">
        <f t="array" ref="J41">IF(ISBLANK(I41), IF(ISBLANK(H41), "N/A", _xlfn.IFS(K41="AS", H41+15, K41="NCR", H41+30, K41="submitted", H41+30, TRUE, "N/A")), _xlfn.IFS(K41="AS", I41+15, K41="NCR", I41+30, K41="submitted", I41+30, TRUE, "N/A"))</f>
        <v>N/A</v>
      </c>
      <c r="K41" s="9"/>
      <c r="L41" s="318"/>
      <c r="M41" s="769"/>
      <c r="N41" s="770"/>
      <c r="O41" s="770"/>
      <c r="P41" s="771"/>
    </row>
    <row r="42" spans="1:16" s="1" customFormat="1" ht="15" customHeight="1">
      <c r="A42" s="9"/>
      <c r="B42" s="33"/>
      <c r="C42" s="39"/>
      <c r="D42" s="39"/>
      <c r="E42" s="39"/>
      <c r="F42" s="9" t="s">
        <v>495</v>
      </c>
      <c r="G42" s="13" t="s">
        <v>908</v>
      </c>
      <c r="H42" s="18"/>
      <c r="I42" s="18"/>
      <c r="J42" s="74" t="str" cm="1">
        <f t="array" ref="J42">IF(ISBLANK(I42), IF(ISBLANK(H42), "N/A", _xlfn.IFS(K42="AS", H42+15, K42="NCR", H42+30, K42="submitted", H42+30, TRUE, "N/A")), _xlfn.IFS(K42="AS", I42+15, K42="NCR", I42+30, K42="submitted", I42+30, TRUE, "N/A"))</f>
        <v>N/A</v>
      </c>
      <c r="K42" s="9"/>
      <c r="L42" s="318"/>
      <c r="M42" s="769"/>
      <c r="N42" s="770"/>
      <c r="O42" s="770"/>
      <c r="P42" s="771"/>
    </row>
    <row r="43" spans="1:16" s="1" customFormat="1" ht="15" customHeight="1">
      <c r="A43" s="9"/>
      <c r="B43" s="33"/>
      <c r="C43" s="39"/>
      <c r="D43" s="39"/>
      <c r="E43" s="39"/>
      <c r="F43" s="9" t="s">
        <v>346</v>
      </c>
      <c r="G43" s="13" t="s">
        <v>372</v>
      </c>
      <c r="H43" s="18"/>
      <c r="I43" s="18"/>
      <c r="J43" s="74" t="str" cm="1">
        <f t="array" ref="J43">IF(ISBLANK(I43), IF(ISBLANK(H43), "N/A", _xlfn.IFS(K43="AS", H43+15, K43="NCR", H43+30, K43="submitted", H43+30, TRUE, "N/A")), _xlfn.IFS(K43="AS", I43+15, K43="NCR", I43+30, K43="submitted", I43+30, TRUE, "N/A"))</f>
        <v>N/A</v>
      </c>
      <c r="K43" s="9"/>
      <c r="L43" s="318"/>
      <c r="M43" s="769"/>
      <c r="N43" s="770"/>
      <c r="O43" s="770"/>
      <c r="P43" s="771"/>
    </row>
    <row r="44" spans="1:16" s="1" customFormat="1" ht="15" customHeight="1">
      <c r="A44" s="9"/>
      <c r="B44" s="33"/>
      <c r="C44" s="39"/>
      <c r="D44" s="39"/>
      <c r="E44" s="39"/>
      <c r="F44" s="9" t="s">
        <v>348</v>
      </c>
      <c r="G44" s="13" t="s">
        <v>1749</v>
      </c>
      <c r="H44" s="18"/>
      <c r="I44" s="18"/>
      <c r="J44" s="74" t="str" cm="1">
        <f t="array" ref="J44">IF(ISBLANK(I44), IF(ISBLANK(H44), "N/A", _xlfn.IFS(K44="AS", H44+15, K44="NCR", H44+30, K44="submitted", H44+30, TRUE, "N/A")), _xlfn.IFS(K44="AS", I44+15, K44="NCR", I44+30, K44="submitted", I44+30, TRUE, "N/A"))</f>
        <v>N/A</v>
      </c>
      <c r="K44" s="9"/>
      <c r="L44" s="318"/>
      <c r="M44" s="769"/>
      <c r="N44" s="770"/>
      <c r="O44" s="770"/>
      <c r="P44" s="771"/>
    </row>
    <row r="45" spans="1:16" s="1" customFormat="1" ht="15" customHeight="1">
      <c r="A45" s="9"/>
      <c r="B45" s="33"/>
      <c r="C45" s="39"/>
      <c r="D45" s="39"/>
      <c r="E45" s="39"/>
      <c r="F45" s="9" t="s">
        <v>350</v>
      </c>
      <c r="G45" s="13" t="s">
        <v>2102</v>
      </c>
      <c r="H45" s="18"/>
      <c r="I45" s="18"/>
      <c r="J45" s="74" t="str" cm="1">
        <f t="array" ref="J45">IF(ISBLANK(I45), IF(ISBLANK(H45), "N/A", _xlfn.IFS(K45="AS", H45+15, K45="NCR", H45+30, K45="submitted", H45+30, TRUE, "N/A")), _xlfn.IFS(K45="AS", I45+15, K45="NCR", I45+30, K45="submitted", I45+30, TRUE, "N/A"))</f>
        <v>N/A</v>
      </c>
      <c r="K45" s="9"/>
      <c r="L45" s="318"/>
      <c r="M45" s="769"/>
      <c r="N45" s="770"/>
      <c r="O45" s="770"/>
      <c r="P45" s="771"/>
    </row>
    <row r="46" spans="1:16" s="1" customFormat="1" ht="15" customHeight="1">
      <c r="A46" s="9"/>
      <c r="B46" s="97"/>
      <c r="C46" s="46"/>
      <c r="D46" s="46"/>
      <c r="E46" s="46"/>
      <c r="F46" s="9" t="s">
        <v>352</v>
      </c>
      <c r="G46" s="13" t="s">
        <v>2106</v>
      </c>
      <c r="H46" s="18"/>
      <c r="I46" s="18"/>
      <c r="J46" s="74" t="str" cm="1">
        <f t="array" ref="J46">IF(ISBLANK(I46), IF(ISBLANK(H46), "N/A", _xlfn.IFS(K46="AS", H46+15, K46="NCR", H46+30, K46="submitted", H46+30, TRUE, "N/A")), _xlfn.IFS(K46="AS", I46+15, K46="NCR", I46+30, K46="submitted", I46+30, TRUE, "N/A"))</f>
        <v>N/A</v>
      </c>
      <c r="K46" s="9"/>
      <c r="L46" s="318"/>
      <c r="M46" s="769"/>
      <c r="N46" s="770"/>
      <c r="O46" s="770"/>
      <c r="P46" s="771"/>
    </row>
    <row r="47" spans="1:16" s="655" customFormat="1" ht="15" customHeight="1">
      <c r="A47" s="188" t="s">
        <v>2107</v>
      </c>
      <c r="B47" s="649" t="s">
        <v>2108</v>
      </c>
      <c r="C47" s="650" t="s">
        <v>2109</v>
      </c>
      <c r="D47" s="650" t="s">
        <v>2110</v>
      </c>
      <c r="E47" s="650"/>
      <c r="F47" s="188" t="s">
        <v>328</v>
      </c>
      <c r="G47" s="656" t="s">
        <v>229</v>
      </c>
      <c r="H47" s="652">
        <v>45910</v>
      </c>
      <c r="I47" s="652">
        <v>45911</v>
      </c>
      <c r="J47" s="74" t="str" cm="1">
        <f t="array" ref="J47">IF(ISBLANK(I47), IF(ISBLANK(H47), "N/A", _xlfn.IFS(K47="AS", H47+15, K47="NCR", H47+30, K47="submitted", H47+30, TRUE, "N/A")), _xlfn.IFS(K47="AS", I47+15, K47="NCR", I47+30, K47="submitted", I47+30, TRUE, "N/A"))</f>
        <v>N/A</v>
      </c>
      <c r="K47" s="188" t="s">
        <v>146</v>
      </c>
      <c r="L47" s="318"/>
      <c r="M47" s="769"/>
      <c r="N47" s="770"/>
      <c r="O47" s="770"/>
      <c r="P47" s="771"/>
    </row>
    <row r="48" spans="1:16" s="26" customFormat="1" ht="15" customHeight="1">
      <c r="A48" s="22" t="s">
        <v>2111</v>
      </c>
      <c r="B48" s="311" t="s">
        <v>2108</v>
      </c>
      <c r="C48" s="76" t="s">
        <v>2109</v>
      </c>
      <c r="D48" s="76" t="s">
        <v>2110</v>
      </c>
      <c r="E48" s="76"/>
      <c r="F48" s="22" t="s">
        <v>328</v>
      </c>
      <c r="G48" s="24" t="s">
        <v>229</v>
      </c>
      <c r="H48" s="25">
        <v>45911</v>
      </c>
      <c r="I48" s="25"/>
      <c r="J48" s="74" cm="1">
        <f t="array" ref="J48">IF(ISBLANK(I48), IF(ISBLANK(H48), "N/A", _xlfn.IFS(K48="AS", H48+15, K48="NCR", H48+30, K48="submitted", H48+30, TRUE, "N/A")), _xlfn.IFS(K48="AS", I48+15, K48="NCR", I48+30, K48="submitted", I48+30, TRUE, "N/A"))</f>
        <v>45941</v>
      </c>
      <c r="K48" s="22" t="s">
        <v>154</v>
      </c>
      <c r="L48" s="318"/>
      <c r="M48" s="772" t="s">
        <v>147</v>
      </c>
      <c r="N48" s="773"/>
      <c r="O48" s="773"/>
      <c r="P48" s="774"/>
    </row>
    <row r="49" spans="1:16" s="138" customFormat="1" ht="15" customHeight="1">
      <c r="A49" s="152" t="s">
        <v>2112</v>
      </c>
      <c r="B49" s="240" t="s">
        <v>2108</v>
      </c>
      <c r="C49" s="169" t="s">
        <v>2109</v>
      </c>
      <c r="D49" s="169" t="s">
        <v>2113</v>
      </c>
      <c r="E49" s="169"/>
      <c r="F49" s="152" t="s">
        <v>328</v>
      </c>
      <c r="G49" s="153" t="s">
        <v>229</v>
      </c>
      <c r="H49" s="262">
        <v>45910</v>
      </c>
      <c r="I49" s="262">
        <v>45922</v>
      </c>
      <c r="J49" s="74" t="str" cm="1">
        <f t="array" ref="J49">IF(ISBLANK(I49), IF(ISBLANK(H49), "N/A", _xlfn.IFS(K49="AS", H49+15, K49="NCR", H49+30, K49="submitted", H49+30, TRUE, "N/A")), _xlfn.IFS(K49="AS", I49+15, K49="NCR", I49+30, K49="submitted", I49+30, TRUE, "N/A"))</f>
        <v>N/A</v>
      </c>
      <c r="K49" s="152" t="s">
        <v>645</v>
      </c>
      <c r="L49" s="318"/>
      <c r="M49" s="772"/>
      <c r="N49" s="773"/>
      <c r="O49" s="773"/>
      <c r="P49" s="774"/>
    </row>
    <row r="50" spans="1:16" s="673" customFormat="1" ht="15" customHeight="1">
      <c r="A50" s="668" t="s">
        <v>2114</v>
      </c>
      <c r="B50" s="669" t="s">
        <v>2108</v>
      </c>
      <c r="C50" s="670" t="s">
        <v>2109</v>
      </c>
      <c r="D50" s="670" t="s">
        <v>2115</v>
      </c>
      <c r="E50" s="670"/>
      <c r="F50" s="668" t="s">
        <v>328</v>
      </c>
      <c r="G50" s="671" t="s">
        <v>229</v>
      </c>
      <c r="H50" s="672">
        <v>45910</v>
      </c>
      <c r="I50" s="672">
        <v>45922</v>
      </c>
      <c r="J50" s="74" cm="1">
        <f t="array" ref="J50">IF(ISBLANK(I50), IF(ISBLANK(H50), "N/A", _xlfn.IFS(K50="AS", H50+15, K50="NCR", H50+30, K50="submitted", H50+30, TRUE, "N/A")), _xlfn.IFS(K50="AS", I50+15, K50="NCR", I50+30, K50="submitted", I50+30, TRUE, "N/A"))</f>
        <v>45952</v>
      </c>
      <c r="K50" s="668" t="s">
        <v>207</v>
      </c>
      <c r="L50" s="318"/>
      <c r="M50" s="772"/>
      <c r="N50" s="773"/>
      <c r="O50" s="773"/>
      <c r="P50" s="774"/>
    </row>
    <row r="51" spans="1:16" s="673" customFormat="1" ht="15" customHeight="1">
      <c r="A51" s="668" t="s">
        <v>2116</v>
      </c>
      <c r="B51" s="669" t="s">
        <v>2108</v>
      </c>
      <c r="C51" s="670" t="s">
        <v>2109</v>
      </c>
      <c r="D51" s="670" t="s">
        <v>2117</v>
      </c>
      <c r="E51" s="670"/>
      <c r="F51" s="668" t="s">
        <v>328</v>
      </c>
      <c r="G51" s="671" t="s">
        <v>229</v>
      </c>
      <c r="H51" s="672">
        <v>45910</v>
      </c>
      <c r="I51" s="672">
        <v>45922</v>
      </c>
      <c r="J51" s="74" cm="1">
        <f t="array" ref="J51">IF(ISBLANK(I51), IF(ISBLANK(H51), "N/A", _xlfn.IFS(K51="AS", H51+15, K51="NCR", H51+30, K51="submitted", H51+30, TRUE, "N/A")), _xlfn.IFS(K51="AS", I51+15, K51="NCR", I51+30, K51="submitted", I51+30, TRUE, "N/A"))</f>
        <v>45952</v>
      </c>
      <c r="K51" s="668" t="s">
        <v>207</v>
      </c>
      <c r="L51" s="318"/>
      <c r="M51" s="772"/>
      <c r="N51" s="773"/>
      <c r="O51" s="773"/>
      <c r="P51" s="774"/>
    </row>
    <row r="52" spans="1:16" s="5" customFormat="1" ht="15" customHeight="1">
      <c r="A52" s="4"/>
      <c r="B52" s="111"/>
      <c r="C52" s="35"/>
      <c r="D52" s="35"/>
      <c r="E52" s="35"/>
      <c r="F52" s="4" t="s">
        <v>329</v>
      </c>
      <c r="G52" s="17" t="s">
        <v>276</v>
      </c>
      <c r="H52" s="18"/>
      <c r="I52" s="18"/>
      <c r="J52" s="74" t="str" cm="1">
        <f t="array" ref="J52">IF(ISBLANK(I52), IF(ISBLANK(H52), "N/A", _xlfn.IFS(K52="AS", H52+15, K52="NCR", H52+30, K52="submitted", H52+30, TRUE, "N/A")), _xlfn.IFS(K52="AS", I52+15, K52="NCR", I52+30, K52="submitted", I52+30, TRUE, "N/A"))</f>
        <v>N/A</v>
      </c>
      <c r="K52" s="4"/>
      <c r="L52" s="318"/>
      <c r="M52" s="772"/>
      <c r="N52" s="773"/>
      <c r="O52" s="773"/>
      <c r="P52" s="774"/>
    </row>
    <row r="53" spans="1:16" s="5" customFormat="1" ht="15" customHeight="1">
      <c r="A53" s="4"/>
      <c r="B53" s="111"/>
      <c r="C53" s="35"/>
      <c r="D53" s="35"/>
      <c r="E53" s="35"/>
      <c r="F53" s="4" t="s">
        <v>396</v>
      </c>
      <c r="G53" s="17" t="s">
        <v>2118</v>
      </c>
      <c r="H53" s="18"/>
      <c r="I53" s="18"/>
      <c r="J53" s="74" t="str" cm="1">
        <f t="array" ref="J53">IF(ISBLANK(I53), IF(ISBLANK(H53), "N/A", _xlfn.IFS(K53="AS", H53+15, K53="NCR", H53+30, K53="submitted", H53+30, TRUE, "N/A")), _xlfn.IFS(K53="AS", I53+15, K53="NCR", I53+30, K53="submitted", I53+30, TRUE, "N/A"))</f>
        <v>N/A</v>
      </c>
      <c r="K53" s="4"/>
      <c r="L53" s="319"/>
      <c r="M53" s="772"/>
      <c r="N53" s="773"/>
      <c r="O53" s="773"/>
      <c r="P53" s="774"/>
    </row>
    <row r="54" spans="1:16" s="5" customFormat="1" ht="15" customHeight="1">
      <c r="A54" s="4"/>
      <c r="B54" s="111"/>
      <c r="C54" s="35"/>
      <c r="D54" s="35"/>
      <c r="E54" s="35"/>
      <c r="F54" s="4" t="s">
        <v>397</v>
      </c>
      <c r="G54" s="17" t="s">
        <v>2119</v>
      </c>
      <c r="H54" s="18"/>
      <c r="I54" s="18"/>
      <c r="J54" s="74" t="str" cm="1">
        <f t="array" ref="J54">IF(ISBLANK(I54), IF(ISBLANK(H54), "N/A", _xlfn.IFS(K54="AS", H54+15, K54="NCR", H54+30, K54="submitted", H54+30, TRUE, "N/A")), _xlfn.IFS(K54="AS", I54+15, K54="NCR", I54+30, K54="submitted", I54+30, TRUE, "N/A"))</f>
        <v>N/A</v>
      </c>
      <c r="K54" s="4"/>
      <c r="L54" s="318"/>
      <c r="M54" s="772"/>
      <c r="N54" s="773"/>
      <c r="O54" s="773"/>
      <c r="P54" s="774"/>
    </row>
    <row r="55" spans="1:16" s="5" customFormat="1" ht="15" customHeight="1">
      <c r="A55" s="4"/>
      <c r="B55" s="111"/>
      <c r="C55" s="35"/>
      <c r="D55" s="35"/>
      <c r="E55" s="35"/>
      <c r="F55" s="4" t="s">
        <v>398</v>
      </c>
      <c r="G55" s="17" t="s">
        <v>2120</v>
      </c>
      <c r="H55" s="18"/>
      <c r="I55" s="18"/>
      <c r="J55" s="74" t="str" cm="1">
        <f t="array" ref="J55">IF(ISBLANK(I55), IF(ISBLANK(H55), "N/A", _xlfn.IFS(K55="AS", H55+15, K55="NCR", H55+30, K55="submitted", H55+30, TRUE, "N/A")), _xlfn.IFS(K55="AS", I55+15, K55="NCR", I55+30, K55="submitted", I55+30, TRUE, "N/A"))</f>
        <v>N/A</v>
      </c>
      <c r="K55" s="4"/>
      <c r="L55" s="318"/>
      <c r="M55" s="772"/>
      <c r="N55" s="773"/>
      <c r="O55" s="773"/>
      <c r="P55" s="774"/>
    </row>
    <row r="56" spans="1:16" s="5" customFormat="1" ht="15" customHeight="1">
      <c r="A56" s="4"/>
      <c r="B56" s="95"/>
      <c r="C56" s="36"/>
      <c r="D56" s="36"/>
      <c r="E56" s="36"/>
      <c r="F56" s="4" t="s">
        <v>400</v>
      </c>
      <c r="G56" s="17" t="s">
        <v>2121</v>
      </c>
      <c r="H56" s="18"/>
      <c r="I56" s="18"/>
      <c r="J56" s="74" t="str" cm="1">
        <f t="array" ref="J56">IF(ISBLANK(I56), IF(ISBLANK(H56), "N/A", _xlfn.IFS(K56="AS", H56+15, K56="NCR", H56+30, K56="submitted", H56+30, TRUE, "N/A")), _xlfn.IFS(K56="AS", I56+15, K56="NCR", I56+30, K56="submitted", I56+30, TRUE, "N/A"))</f>
        <v>N/A</v>
      </c>
      <c r="K56" s="4"/>
      <c r="L56" s="318"/>
      <c r="M56" s="772"/>
      <c r="N56" s="773"/>
      <c r="O56" s="773"/>
      <c r="P56" s="774"/>
    </row>
    <row r="57" spans="1:16" s="138" customFormat="1" ht="15" customHeight="1">
      <c r="A57" s="152" t="s">
        <v>69</v>
      </c>
      <c r="B57" s="240" t="s">
        <v>2122</v>
      </c>
      <c r="C57" s="169" t="s">
        <v>2123</v>
      </c>
      <c r="D57" s="169" t="s">
        <v>2124</v>
      </c>
      <c r="E57" s="169"/>
      <c r="F57" s="152" t="s">
        <v>2125</v>
      </c>
      <c r="G57" s="153" t="s">
        <v>2126</v>
      </c>
      <c r="H57" s="262"/>
      <c r="I57" s="262">
        <v>45810</v>
      </c>
      <c r="J57" s="74" t="str" cm="1">
        <f t="array" ref="J57">IF(ISBLANK(I57), IF(ISBLANK(H57), "N/A", _xlfn.IFS(K57="AS", H57+15, K57="NCR", H57+30, K57="submitted", H57+30, TRUE, "N/A")), _xlfn.IFS(K57="AS", I57+15, K57="NCR", I57+30, K57="submitted", I57+30, TRUE, "N/A"))</f>
        <v>N/A</v>
      </c>
      <c r="K57" s="152" t="s">
        <v>150</v>
      </c>
      <c r="L57" s="318"/>
      <c r="M57" s="772"/>
      <c r="N57" s="773"/>
      <c r="O57" s="773"/>
      <c r="P57" s="774"/>
    </row>
    <row r="58" spans="1:16" s="150" customFormat="1" ht="15" customHeight="1">
      <c r="A58" s="147" t="s">
        <v>2127</v>
      </c>
      <c r="B58" s="427" t="s">
        <v>2122</v>
      </c>
      <c r="C58" s="232" t="s">
        <v>2123</v>
      </c>
      <c r="D58" s="232" t="s">
        <v>2128</v>
      </c>
      <c r="E58" s="232"/>
      <c r="F58" s="147" t="s">
        <v>2129</v>
      </c>
      <c r="G58" s="148" t="s">
        <v>2130</v>
      </c>
      <c r="H58" s="234">
        <v>45884</v>
      </c>
      <c r="I58" s="234">
        <v>45903</v>
      </c>
      <c r="J58" s="74" t="str" cm="1">
        <f t="array" ref="J58">IF(ISBLANK(I58), IF(ISBLANK(H58), "N/A", _xlfn.IFS(K58="AS", H58+15, K58="NCR", H58+30, K58="submitted", H58+30, TRUE, "N/A")), _xlfn.IFS(K58="AS", I58+15, K58="NCR", I58+30, K58="submitted", I58+30, TRUE, "N/A"))</f>
        <v>N/A</v>
      </c>
      <c r="K58" s="147" t="s">
        <v>146</v>
      </c>
      <c r="L58" s="318"/>
      <c r="M58" s="772"/>
      <c r="N58" s="773"/>
      <c r="O58" s="773"/>
      <c r="P58" s="774"/>
    </row>
    <row r="59" spans="1:16" s="528" customFormat="1" ht="15" customHeight="1">
      <c r="A59" s="526" t="s">
        <v>2131</v>
      </c>
      <c r="B59" s="540" t="s">
        <v>2122</v>
      </c>
      <c r="C59" s="527" t="s">
        <v>2123</v>
      </c>
      <c r="D59" s="527" t="s">
        <v>2128</v>
      </c>
      <c r="E59" s="527"/>
      <c r="F59" s="526" t="s">
        <v>2129</v>
      </c>
      <c r="G59" s="535" t="s">
        <v>2130</v>
      </c>
      <c r="H59" s="536">
        <v>45919</v>
      </c>
      <c r="I59" s="536"/>
      <c r="J59" s="74" cm="1">
        <f t="array" ref="J59">IF(ISBLANK(I59), IF(ISBLANK(H59), "N/A", _xlfn.IFS(K59="AS", H59+15, K59="NCR", H59+30, K59="submitted", H59+30, TRUE, "N/A")), _xlfn.IFS(K59="AS", I59+15, K59="NCR", I59+30, K59="submitted", I59+30, TRUE, "N/A"))</f>
        <v>45949</v>
      </c>
      <c r="K59" s="526" t="s">
        <v>154</v>
      </c>
      <c r="L59" s="318"/>
      <c r="M59" s="772"/>
      <c r="N59" s="773"/>
      <c r="O59" s="773"/>
      <c r="P59" s="774"/>
    </row>
    <row r="60" spans="1:16" s="528" customFormat="1" ht="15" customHeight="1">
      <c r="A60" s="526" t="s">
        <v>2132</v>
      </c>
      <c r="B60" s="540" t="s">
        <v>2122</v>
      </c>
      <c r="C60" s="527" t="s">
        <v>2123</v>
      </c>
      <c r="D60" s="527" t="s">
        <v>2133</v>
      </c>
      <c r="E60" s="527"/>
      <c r="F60" s="526" t="s">
        <v>2125</v>
      </c>
      <c r="G60" s="535" t="s">
        <v>2126</v>
      </c>
      <c r="H60" s="536">
        <v>45910</v>
      </c>
      <c r="I60" s="536"/>
      <c r="J60" s="74" cm="1">
        <f t="array" ref="J60">IF(ISBLANK(I60), IF(ISBLANK(H60), "N/A", _xlfn.IFS(K60="AS", H60+15, K60="NCR", H60+30, K60="submitted", H60+30, TRUE, "N/A")), _xlfn.IFS(K60="AS", I60+15, K60="NCR", I60+30, K60="submitted", I60+30, TRUE, "N/A"))</f>
        <v>45940</v>
      </c>
      <c r="K60" s="526" t="s">
        <v>154</v>
      </c>
      <c r="L60" s="318"/>
      <c r="M60" s="772"/>
      <c r="N60" s="773"/>
      <c r="O60" s="773"/>
      <c r="P60" s="774"/>
    </row>
    <row r="61" spans="1:16" s="5" customFormat="1" ht="15" customHeight="1">
      <c r="A61" s="4"/>
      <c r="B61" s="86" t="s">
        <v>2134</v>
      </c>
      <c r="C61" s="34" t="s">
        <v>2135</v>
      </c>
      <c r="D61" s="34"/>
      <c r="E61" s="34"/>
      <c r="F61" s="4" t="s">
        <v>275</v>
      </c>
      <c r="G61" s="17" t="s">
        <v>229</v>
      </c>
      <c r="H61" s="18"/>
      <c r="I61" s="18"/>
      <c r="J61" s="74" t="str" cm="1">
        <f t="array" ref="J61">IF(ISBLANK(I61), IF(ISBLANK(H61), "N/A", _xlfn.IFS(K61="AS", H61+15, K61="NCR", H61+30, K61="submitted", H61+30, TRUE, "N/A")), _xlfn.IFS(K61="AS", I61+15, K61="NCR", I61+30, K61="submitted", I61+30, TRUE, "N/A"))</f>
        <v>N/A</v>
      </c>
      <c r="K61" s="4"/>
      <c r="L61" s="318"/>
      <c r="M61" s="772"/>
      <c r="N61" s="773"/>
      <c r="O61" s="773"/>
      <c r="P61" s="774"/>
    </row>
    <row r="62" spans="1:16" s="5" customFormat="1" ht="15" customHeight="1">
      <c r="A62" s="4"/>
      <c r="B62" s="111"/>
      <c r="C62" s="35"/>
      <c r="D62" s="35"/>
      <c r="E62" s="35"/>
      <c r="F62" s="4" t="s">
        <v>263</v>
      </c>
      <c r="G62" s="17" t="s">
        <v>276</v>
      </c>
      <c r="H62" s="18"/>
      <c r="I62" s="18"/>
      <c r="J62" s="74" t="str" cm="1">
        <f t="array" ref="J62">IF(ISBLANK(I62), IF(ISBLANK(H62), "N/A", _xlfn.IFS(K62="AS", H62+15, K62="NCR", H62+30, K62="submitted", H62+30, TRUE, "N/A")), _xlfn.IFS(K62="AS", I62+15, K62="NCR", I62+30, K62="submitted", I62+30, TRUE, "N/A"))</f>
        <v>N/A</v>
      </c>
      <c r="K62" s="4"/>
      <c r="L62" s="318"/>
      <c r="M62" s="772"/>
      <c r="N62" s="773"/>
      <c r="O62" s="773"/>
      <c r="P62" s="774"/>
    </row>
    <row r="63" spans="1:16" s="5" customFormat="1" ht="15" customHeight="1">
      <c r="A63" s="4"/>
      <c r="B63" s="95"/>
      <c r="C63" s="36"/>
      <c r="D63" s="36"/>
      <c r="E63" s="36"/>
      <c r="F63" s="4" t="s">
        <v>253</v>
      </c>
      <c r="G63" s="17" t="s">
        <v>345</v>
      </c>
      <c r="H63" s="18"/>
      <c r="I63" s="18"/>
      <c r="J63" s="74" t="str" cm="1">
        <f t="array" ref="J63">IF(ISBLANK(I63), IF(ISBLANK(H63), "N/A", _xlfn.IFS(K63="AS", H63+15, K63="NCR", H63+30, K63="submitted", H63+30, TRUE, "N/A")), _xlfn.IFS(K63="AS", I63+15, K63="NCR", I63+30, K63="submitted", I63+30, TRUE, "N/A"))</f>
        <v>N/A</v>
      </c>
      <c r="K63" s="4"/>
      <c r="L63" s="318"/>
      <c r="M63" s="772"/>
      <c r="N63" s="773"/>
      <c r="O63" s="773"/>
      <c r="P63" s="774"/>
    </row>
    <row r="64" spans="1:16" s="1" customFormat="1" ht="15" customHeight="1">
      <c r="A64" s="9"/>
      <c r="B64" s="32" t="s">
        <v>2136</v>
      </c>
      <c r="C64" s="37" t="s">
        <v>2137</v>
      </c>
      <c r="D64" s="37"/>
      <c r="E64" s="37"/>
      <c r="F64" s="9" t="s">
        <v>275</v>
      </c>
      <c r="G64" s="13" t="s">
        <v>229</v>
      </c>
      <c r="H64" s="18"/>
      <c r="I64" s="18"/>
      <c r="J64" s="74" t="str" cm="1">
        <f t="array" ref="J64">IF(ISBLANK(I64), IF(ISBLANK(H64), "N/A", _xlfn.IFS(K64="AS", H64+15, K64="NCR", H64+30, K64="submitted", H64+30, TRUE, "N/A")), _xlfn.IFS(K64="AS", I64+15, K64="NCR", I64+30, K64="submitted", I64+30, TRUE, "N/A"))</f>
        <v>N/A</v>
      </c>
      <c r="K64" s="9"/>
      <c r="L64" s="318"/>
      <c r="M64" s="772"/>
      <c r="N64" s="773"/>
      <c r="O64" s="773"/>
      <c r="P64" s="774"/>
    </row>
    <row r="65" spans="1:16" s="1" customFormat="1" ht="15" customHeight="1">
      <c r="A65" s="9"/>
      <c r="B65" s="97"/>
      <c r="C65" s="46"/>
      <c r="D65" s="46"/>
      <c r="E65" s="46"/>
      <c r="F65" s="9" t="s">
        <v>263</v>
      </c>
      <c r="G65" s="13" t="s">
        <v>276</v>
      </c>
      <c r="H65" s="18"/>
      <c r="I65" s="18"/>
      <c r="J65" s="74" t="str" cm="1">
        <f t="array" ref="J65">IF(ISBLANK(I65), IF(ISBLANK(H65), "N/A", _xlfn.IFS(K65="AS", H65+15, K65="NCR", H65+30, K65="submitted", H65+30, TRUE, "N/A")), _xlfn.IFS(K65="AS", I65+15, K65="NCR", I65+30, K65="submitted", I65+30, TRUE, "N/A"))</f>
        <v>N/A</v>
      </c>
      <c r="K65" s="9"/>
      <c r="L65" s="318"/>
      <c r="M65" s="772"/>
      <c r="N65" s="773"/>
      <c r="O65" s="773"/>
      <c r="P65" s="774"/>
    </row>
    <row r="66" spans="1:16" s="5" customFormat="1" ht="15" customHeight="1">
      <c r="A66" s="4"/>
      <c r="B66" s="15" t="s">
        <v>2138</v>
      </c>
      <c r="C66" s="17" t="s">
        <v>2139</v>
      </c>
      <c r="D66" s="17"/>
      <c r="E66" s="17"/>
      <c r="F66" s="4" t="s">
        <v>275</v>
      </c>
      <c r="G66" s="17" t="s">
        <v>229</v>
      </c>
      <c r="H66" s="18"/>
      <c r="I66" s="18"/>
      <c r="J66" s="74" t="str" cm="1">
        <f t="array" ref="J66">IF(ISBLANK(I66), IF(ISBLANK(H66), "N/A", _xlfn.IFS(K66="AS", H66+15, K66="NCR", H66+30, K66="submitted", H66+30, TRUE, "N/A")), _xlfn.IFS(K66="AS", I66+15, K66="NCR", I66+30, K66="submitted", I66+30, TRUE, "N/A"))</f>
        <v>N/A</v>
      </c>
      <c r="K66" s="4"/>
      <c r="L66" s="318"/>
      <c r="M66" s="772"/>
      <c r="N66" s="773"/>
      <c r="O66" s="773"/>
      <c r="P66" s="774"/>
    </row>
    <row r="67" spans="1:16" s="5" customFormat="1" ht="15" customHeight="1">
      <c r="A67" s="4"/>
      <c r="B67" s="15" t="s">
        <v>2140</v>
      </c>
      <c r="C67" s="17" t="s">
        <v>2141</v>
      </c>
      <c r="D67" s="17"/>
      <c r="E67" s="17"/>
      <c r="F67" s="4" t="s">
        <v>275</v>
      </c>
      <c r="G67" s="17" t="s">
        <v>2142</v>
      </c>
      <c r="H67" s="18"/>
      <c r="I67" s="18"/>
      <c r="J67" s="74" t="str" cm="1">
        <f t="array" ref="J67">IF(ISBLANK(I67), IF(ISBLANK(H67), "N/A", _xlfn.IFS(K67="AS", H67+15, K67="NCR", H67+30, K67="submitted", H67+30, TRUE, "N/A")), _xlfn.IFS(K67="AS", I67+15, K67="NCR", I67+30, K67="submitted", I67+30, TRUE, "N/A"))</f>
        <v>N/A</v>
      </c>
      <c r="K67" s="4"/>
      <c r="L67" s="318"/>
      <c r="M67" s="772"/>
      <c r="N67" s="773"/>
      <c r="O67" s="773"/>
      <c r="P67" s="774"/>
    </row>
    <row r="68" spans="1:16" s="1" customFormat="1" ht="15" customHeight="1">
      <c r="A68" s="9"/>
      <c r="B68" s="32" t="s">
        <v>2143</v>
      </c>
      <c r="C68" s="37" t="s">
        <v>2144</v>
      </c>
      <c r="D68" s="37"/>
      <c r="E68" s="37"/>
      <c r="F68" s="9" t="s">
        <v>275</v>
      </c>
      <c r="G68" s="13" t="s">
        <v>2145</v>
      </c>
      <c r="H68" s="18"/>
      <c r="I68" s="18"/>
      <c r="J68" s="74" t="str" cm="1">
        <f t="array" ref="J68">IF(ISBLANK(I68), IF(ISBLANK(H68), "N/A", _xlfn.IFS(K68="AS", H68+15, K68="NCR", H68+30, K68="submitted", H68+30, TRUE, "N/A")), _xlfn.IFS(K68="AS", I68+15, K68="NCR", I68+30, K68="submitted", I68+30, TRUE, "N/A"))</f>
        <v>N/A</v>
      </c>
      <c r="K68" s="9"/>
      <c r="L68" s="318"/>
      <c r="M68" s="772"/>
      <c r="N68" s="773"/>
      <c r="O68" s="773"/>
      <c r="P68" s="774"/>
    </row>
    <row r="69" spans="1:16" s="1" customFormat="1" ht="15" customHeight="1">
      <c r="A69" s="9"/>
      <c r="B69" s="33"/>
      <c r="C69" s="39"/>
      <c r="D69" s="39"/>
      <c r="E69" s="39"/>
      <c r="F69" s="9" t="s">
        <v>263</v>
      </c>
      <c r="G69" s="13" t="s">
        <v>229</v>
      </c>
      <c r="H69" s="18"/>
      <c r="I69" s="18"/>
      <c r="J69" s="74" t="str" cm="1">
        <f t="array" ref="J69">IF(ISBLANK(I69), IF(ISBLANK(H69), "N/A", _xlfn.IFS(K69="AS", H69+15, K69="NCR", H69+30, K69="submitted", H69+30, TRUE, "N/A")), _xlfn.IFS(K69="AS", I69+15, K69="NCR", I69+30, K69="submitted", I69+30, TRUE, "N/A"))</f>
        <v>N/A</v>
      </c>
      <c r="K69" s="9"/>
      <c r="L69" s="318"/>
      <c r="M69" s="772"/>
      <c r="N69" s="773"/>
      <c r="O69" s="773"/>
      <c r="P69" s="774"/>
    </row>
    <row r="70" spans="1:16" s="1" customFormat="1" ht="15" customHeight="1">
      <c r="A70" s="9"/>
      <c r="B70" s="33"/>
      <c r="C70" s="39"/>
      <c r="D70" s="39"/>
      <c r="E70" s="39"/>
      <c r="F70" s="9" t="s">
        <v>253</v>
      </c>
      <c r="G70" s="13" t="s">
        <v>276</v>
      </c>
      <c r="H70" s="18"/>
      <c r="I70" s="18"/>
      <c r="J70" s="74" t="str" cm="1">
        <f t="array" ref="J70">IF(ISBLANK(I70), IF(ISBLANK(H70), "N/A", _xlfn.IFS(K70="AS", H70+15, K70="NCR", H70+30, K70="submitted", H70+30, TRUE, "N/A")), _xlfn.IFS(K70="AS", I70+15, K70="NCR", I70+30, K70="submitted", I70+30, TRUE, "N/A"))</f>
        <v>N/A</v>
      </c>
      <c r="K70" s="9"/>
      <c r="L70" s="318"/>
      <c r="M70" s="772"/>
      <c r="N70" s="773"/>
      <c r="O70" s="773"/>
      <c r="P70" s="774"/>
    </row>
    <row r="71" spans="1:16" s="1" customFormat="1" ht="27" customHeight="1">
      <c r="A71" s="9"/>
      <c r="B71" s="33"/>
      <c r="C71" s="39"/>
      <c r="D71" s="39"/>
      <c r="E71" s="39"/>
      <c r="F71" s="9" t="s">
        <v>344</v>
      </c>
      <c r="G71" s="7" t="s">
        <v>2146</v>
      </c>
      <c r="H71" s="18"/>
      <c r="I71" s="18"/>
      <c r="J71" s="74" t="str" cm="1">
        <f t="array" ref="J71">IF(ISBLANK(I71), IF(ISBLANK(H71), "N/A", _xlfn.IFS(K71="AS", H71+15, K71="NCR", H71+30, K71="submitted", H71+30, TRUE, "N/A")), _xlfn.IFS(K71="AS", I71+15, K71="NCR", I71+30, K71="submitted", I71+30, TRUE, "N/A"))</f>
        <v>N/A</v>
      </c>
      <c r="K71" s="9"/>
      <c r="L71" s="318"/>
      <c r="M71" s="772"/>
      <c r="N71" s="773"/>
      <c r="O71" s="773"/>
      <c r="P71" s="774"/>
    </row>
    <row r="72" spans="1:16" s="1" customFormat="1" ht="15" customHeight="1">
      <c r="A72" s="9"/>
      <c r="B72" s="33"/>
      <c r="C72" s="39"/>
      <c r="D72" s="39"/>
      <c r="E72" s="39"/>
      <c r="F72" s="9" t="s">
        <v>346</v>
      </c>
      <c r="G72" s="13" t="s">
        <v>1749</v>
      </c>
      <c r="H72" s="18"/>
      <c r="I72" s="18"/>
      <c r="J72" s="74" t="str" cm="1">
        <f t="array" ref="J72">IF(ISBLANK(I72), IF(ISBLANK(H72), "N/A", _xlfn.IFS(K72="AS", H72+15, K72="NCR", H72+30, K72="submitted", H72+30, TRUE, "N/A")), _xlfn.IFS(K72="AS", I72+15, K72="NCR", I72+30, K72="submitted", I72+30, TRUE, "N/A"))</f>
        <v>N/A</v>
      </c>
      <c r="K72" s="9"/>
      <c r="L72" s="318"/>
      <c r="M72" s="772"/>
      <c r="N72" s="773"/>
      <c r="O72" s="773"/>
      <c r="P72" s="774"/>
    </row>
    <row r="73" spans="1:16" s="1" customFormat="1" ht="15" customHeight="1">
      <c r="A73" s="9"/>
      <c r="B73" s="33"/>
      <c r="C73" s="39"/>
      <c r="D73" s="39"/>
      <c r="E73" s="39"/>
      <c r="F73" s="9" t="s">
        <v>348</v>
      </c>
      <c r="G73" s="13" t="s">
        <v>2142</v>
      </c>
      <c r="H73" s="18"/>
      <c r="I73" s="18"/>
      <c r="J73" s="74" t="str" cm="1">
        <f t="array" ref="J73">IF(ISBLANK(I73), IF(ISBLANK(H73), "N/A", _xlfn.IFS(K73="AS", H73+15, K73="NCR", H73+30, K73="submitted", H73+30, TRUE, "N/A")), _xlfn.IFS(K73="AS", I73+15, K73="NCR", I73+30, K73="submitted", I73+30, TRUE, "N/A"))</f>
        <v>N/A</v>
      </c>
      <c r="K73" s="9"/>
      <c r="L73" s="318"/>
      <c r="M73" s="772"/>
      <c r="N73" s="773"/>
      <c r="O73" s="773"/>
      <c r="P73" s="774"/>
    </row>
    <row r="74" spans="1:16" s="1" customFormat="1" ht="15" customHeight="1">
      <c r="A74" s="9"/>
      <c r="B74" s="97"/>
      <c r="C74" s="46"/>
      <c r="D74" s="46"/>
      <c r="E74" s="46"/>
      <c r="F74" s="9" t="s">
        <v>350</v>
      </c>
      <c r="G74" s="13" t="s">
        <v>345</v>
      </c>
      <c r="H74" s="18"/>
      <c r="I74" s="18"/>
      <c r="J74" s="74" t="str" cm="1">
        <f t="array" ref="J74">IF(ISBLANK(I74), IF(ISBLANK(H74), "N/A", _xlfn.IFS(K74="AS", H74+15, K74="NCR", H74+30, K74="submitted", H74+30, TRUE, "N/A")), _xlfn.IFS(K74="AS", I74+15, K74="NCR", I74+30, K74="submitted", I74+30, TRUE, "N/A"))</f>
        <v>N/A</v>
      </c>
      <c r="K74" s="9"/>
      <c r="L74" s="318"/>
      <c r="M74" s="772"/>
      <c r="N74" s="773"/>
      <c r="O74" s="773"/>
      <c r="P74" s="774"/>
    </row>
    <row r="75" spans="1:16" s="5" customFormat="1" ht="15" customHeight="1">
      <c r="A75" s="4"/>
      <c r="B75" s="86" t="s">
        <v>2147</v>
      </c>
      <c r="C75" s="34" t="s">
        <v>2148</v>
      </c>
      <c r="D75" s="34"/>
      <c r="E75" s="34"/>
      <c r="F75" s="4" t="s">
        <v>328</v>
      </c>
      <c r="G75" s="17" t="s">
        <v>229</v>
      </c>
      <c r="H75" s="18"/>
      <c r="I75" s="18"/>
      <c r="J75" s="74" t="str" cm="1">
        <f t="array" ref="J75">IF(ISBLANK(I75), IF(ISBLANK(H75), "N/A", _xlfn.IFS(K75="AS", H75+15, K75="NCR", H75+30, K75="submitted", H75+30, TRUE, "N/A")), _xlfn.IFS(K75="AS", I75+15, K75="NCR", I75+30, K75="submitted", I75+30, TRUE, "N/A"))</f>
        <v>N/A</v>
      </c>
      <c r="K75" s="4"/>
      <c r="L75" s="318"/>
      <c r="M75" s="772"/>
      <c r="N75" s="773"/>
      <c r="O75" s="773"/>
      <c r="P75" s="774"/>
    </row>
    <row r="76" spans="1:16" s="5" customFormat="1" ht="15" customHeight="1">
      <c r="A76" s="4"/>
      <c r="B76" s="111"/>
      <c r="C76" s="35"/>
      <c r="D76" s="35"/>
      <c r="E76" s="35"/>
      <c r="F76" s="4" t="s">
        <v>329</v>
      </c>
      <c r="G76" s="17" t="s">
        <v>276</v>
      </c>
      <c r="H76" s="18"/>
      <c r="I76" s="18"/>
      <c r="J76" s="74" t="str" cm="1">
        <f t="array" ref="J76">IF(ISBLANK(I76), IF(ISBLANK(H76), "N/A", _xlfn.IFS(K76="AS", H76+15, K76="NCR", H76+30, K76="submitted", H76+30, TRUE, "N/A")), _xlfn.IFS(K76="AS", I76+15, K76="NCR", I76+30, K76="submitted", I76+30, TRUE, "N/A"))</f>
        <v>N/A</v>
      </c>
      <c r="K76" s="4"/>
      <c r="L76" s="318"/>
      <c r="M76" s="772"/>
      <c r="N76" s="773"/>
      <c r="O76" s="773"/>
      <c r="P76" s="774"/>
    </row>
    <row r="77" spans="1:16" s="5" customFormat="1" ht="40.5" customHeight="1">
      <c r="A77" s="4"/>
      <c r="B77" s="111"/>
      <c r="C77" s="35"/>
      <c r="D77" s="35"/>
      <c r="E77" s="35"/>
      <c r="F77" s="4" t="s">
        <v>396</v>
      </c>
      <c r="G77" s="3" t="s">
        <v>2149</v>
      </c>
      <c r="H77" s="18"/>
      <c r="I77" s="18"/>
      <c r="J77" s="74" t="str" cm="1">
        <f t="array" ref="J77">IF(ISBLANK(I77), IF(ISBLANK(H77), "N/A", _xlfn.IFS(K77="AS", H77+15, K77="NCR", H77+30, K77="submitted", H77+30, TRUE, "N/A")), _xlfn.IFS(K77="AS", I77+15, K77="NCR", I77+30, K77="submitted", I77+30, TRUE, "N/A"))</f>
        <v>N/A</v>
      </c>
      <c r="K77" s="4"/>
      <c r="L77" s="318"/>
      <c r="M77" s="772"/>
      <c r="N77" s="773"/>
      <c r="O77" s="773"/>
      <c r="P77" s="774"/>
    </row>
    <row r="78" spans="1:16" s="5" customFormat="1" ht="15" customHeight="1">
      <c r="A78" s="4"/>
      <c r="B78" s="111"/>
      <c r="C78" s="35"/>
      <c r="D78" s="35"/>
      <c r="E78" s="35"/>
      <c r="F78" s="4" t="s">
        <v>397</v>
      </c>
      <c r="G78" s="17" t="s">
        <v>2105</v>
      </c>
      <c r="H78" s="18"/>
      <c r="I78" s="18"/>
      <c r="J78" s="74" t="str" cm="1">
        <f t="array" ref="J78">IF(ISBLANK(I78), IF(ISBLANK(H78), "N/A", _xlfn.IFS(K78="AS", H78+15, K78="NCR", H78+30, K78="submitted", H78+30, TRUE, "N/A")), _xlfn.IFS(K78="AS", I78+15, K78="NCR", I78+30, K78="submitted", I78+30, TRUE, "N/A"))</f>
        <v>N/A</v>
      </c>
      <c r="K78" s="4"/>
      <c r="L78" s="318"/>
      <c r="M78" s="772"/>
      <c r="N78" s="773"/>
      <c r="O78" s="773"/>
      <c r="P78" s="774"/>
    </row>
    <row r="79" spans="1:16" s="5" customFormat="1" ht="27" customHeight="1">
      <c r="A79" s="4"/>
      <c r="B79" s="111"/>
      <c r="C79" s="35"/>
      <c r="D79" s="35"/>
      <c r="E79" s="35"/>
      <c r="F79" s="4" t="s">
        <v>398</v>
      </c>
      <c r="G79" s="3" t="s">
        <v>2150</v>
      </c>
      <c r="H79" s="18"/>
      <c r="I79" s="18"/>
      <c r="J79" s="74" t="str" cm="1">
        <f t="array" ref="J79">IF(ISBLANK(I79), IF(ISBLANK(H79), "N/A", _xlfn.IFS(K79="AS", H79+15, K79="NCR", H79+30, K79="submitted", H79+30, TRUE, "N/A")), _xlfn.IFS(K79="AS", I79+15, K79="NCR", I79+30, K79="submitted", I79+30, TRUE, "N/A"))</f>
        <v>N/A</v>
      </c>
      <c r="K79" s="4"/>
      <c r="L79" s="318"/>
      <c r="M79" s="772"/>
      <c r="N79" s="773"/>
      <c r="O79" s="773"/>
      <c r="P79" s="774"/>
    </row>
    <row r="80" spans="1:16" s="5" customFormat="1" ht="15" customHeight="1">
      <c r="A80" s="4"/>
      <c r="B80" s="111"/>
      <c r="C80" s="35"/>
      <c r="D80" s="35"/>
      <c r="E80" s="35"/>
      <c r="F80" s="4" t="s">
        <v>2151</v>
      </c>
      <c r="G80" s="17" t="s">
        <v>2152</v>
      </c>
      <c r="H80" s="18"/>
      <c r="I80" s="18"/>
      <c r="J80" s="74" t="str" cm="1">
        <f t="array" ref="J80">IF(ISBLANK(I80), IF(ISBLANK(H80), "N/A", _xlfn.IFS(K80="AS", H80+15, K80="NCR", H80+30, K80="submitted", H80+30, TRUE, "N/A")), _xlfn.IFS(K80="AS", I80+15, K80="NCR", I80+30, K80="submitted", I80+30, TRUE, "N/A"))</f>
        <v>N/A</v>
      </c>
      <c r="K80" s="4"/>
      <c r="L80" s="318"/>
      <c r="M80" s="772"/>
      <c r="N80" s="773"/>
      <c r="O80" s="773"/>
      <c r="P80" s="774"/>
    </row>
    <row r="81" spans="1:16" s="5" customFormat="1" ht="15" customHeight="1">
      <c r="A81" s="4"/>
      <c r="B81" s="111"/>
      <c r="C81" s="35"/>
      <c r="D81" s="35"/>
      <c r="E81" s="35"/>
      <c r="F81" s="4" t="s">
        <v>2153</v>
      </c>
      <c r="G81" s="17" t="s">
        <v>2154</v>
      </c>
      <c r="H81" s="18"/>
      <c r="I81" s="18"/>
      <c r="J81" s="74" t="str" cm="1">
        <f t="array" ref="J81">IF(ISBLANK(I81), IF(ISBLANK(H81), "N/A", _xlfn.IFS(K81="AS", H81+15, K81="NCR", H81+30, K81="submitted", H81+30, TRUE, "N/A")), _xlfn.IFS(K81="AS", I81+15, K81="NCR", I81+30, K81="submitted", I81+30, TRUE, "N/A"))</f>
        <v>N/A</v>
      </c>
      <c r="K81" s="4"/>
      <c r="L81" s="318"/>
      <c r="M81" s="772"/>
      <c r="N81" s="773"/>
      <c r="O81" s="773"/>
      <c r="P81" s="774"/>
    </row>
    <row r="82" spans="1:16" s="5" customFormat="1" ht="15" customHeight="1">
      <c r="A82" s="4"/>
      <c r="B82" s="111"/>
      <c r="C82" s="35"/>
      <c r="D82" s="35"/>
      <c r="E82" s="35"/>
      <c r="F82" s="4" t="s">
        <v>2155</v>
      </c>
      <c r="G82" s="17" t="s">
        <v>418</v>
      </c>
      <c r="H82" s="18"/>
      <c r="I82" s="18"/>
      <c r="J82" s="74" t="str" cm="1">
        <f t="array" ref="J82">IF(ISBLANK(I82), IF(ISBLANK(H82), "N/A", _xlfn.IFS(K82="AS", H82+15, K82="NCR", H82+30, K82="submitted", H82+30, TRUE, "N/A")), _xlfn.IFS(K82="AS", I82+15, K82="NCR", I82+30, K82="submitted", I82+30, TRUE, "N/A"))</f>
        <v>N/A</v>
      </c>
      <c r="K82" s="4"/>
      <c r="L82" s="318"/>
      <c r="M82" s="772"/>
      <c r="N82" s="773"/>
      <c r="O82" s="773"/>
      <c r="P82" s="774"/>
    </row>
    <row r="83" spans="1:16" s="5" customFormat="1" ht="15" customHeight="1">
      <c r="A83" s="4"/>
      <c r="B83" s="111"/>
      <c r="C83" s="35"/>
      <c r="D83" s="35"/>
      <c r="E83" s="35"/>
      <c r="F83" s="4" t="s">
        <v>2156</v>
      </c>
      <c r="G83" s="17" t="s">
        <v>2157</v>
      </c>
      <c r="H83" s="18"/>
      <c r="I83" s="18"/>
      <c r="J83" s="74" t="str" cm="1">
        <f t="array" ref="J83">IF(ISBLANK(I83), IF(ISBLANK(H83), "N/A", _xlfn.IFS(K83="AS", H83+15, K83="NCR", H83+30, K83="submitted", H83+30, TRUE, "N/A")), _xlfn.IFS(K83="AS", I83+15, K83="NCR", I83+30, K83="submitted", I83+30, TRUE, "N/A"))</f>
        <v>N/A</v>
      </c>
      <c r="K83" s="4"/>
      <c r="L83" s="318"/>
      <c r="M83" s="772"/>
      <c r="N83" s="773"/>
      <c r="O83" s="773"/>
      <c r="P83" s="774"/>
    </row>
    <row r="84" spans="1:16" s="5" customFormat="1" ht="15" customHeight="1">
      <c r="A84" s="4"/>
      <c r="B84" s="111"/>
      <c r="C84" s="35"/>
      <c r="D84" s="35"/>
      <c r="E84" s="35"/>
      <c r="F84" s="4" t="s">
        <v>2158</v>
      </c>
      <c r="G84" s="17" t="s">
        <v>2159</v>
      </c>
      <c r="H84" s="18"/>
      <c r="I84" s="18"/>
      <c r="J84" s="74" t="str" cm="1">
        <f t="array" ref="J84">IF(ISBLANK(I84), IF(ISBLANK(H84), "N/A", _xlfn.IFS(K84="AS", H84+15, K84="NCR", H84+30, K84="submitted", H84+30, TRUE, "N/A")), _xlfn.IFS(K84="AS", I84+15, K84="NCR", I84+30, K84="submitted", I84+30, TRUE, "N/A"))</f>
        <v>N/A</v>
      </c>
      <c r="K84" s="4"/>
      <c r="L84" s="318"/>
      <c r="M84" s="772"/>
      <c r="N84" s="773"/>
      <c r="O84" s="773"/>
      <c r="P84" s="774"/>
    </row>
    <row r="85" spans="1:16" s="5" customFormat="1" ht="15" customHeight="1">
      <c r="A85" s="4"/>
      <c r="B85" s="111"/>
      <c r="C85" s="35"/>
      <c r="D85" s="35"/>
      <c r="E85" s="35"/>
      <c r="F85" s="4" t="s">
        <v>2160</v>
      </c>
      <c r="G85" s="17" t="s">
        <v>2161</v>
      </c>
      <c r="H85" s="18"/>
      <c r="I85" s="18"/>
      <c r="J85" s="74" t="str" cm="1">
        <f t="array" ref="J85">IF(ISBLANK(I85), IF(ISBLANK(H85), "N/A", _xlfn.IFS(K85="AS", H85+15, K85="NCR", H85+30, K85="submitted", H85+30, TRUE, "N/A")), _xlfn.IFS(K85="AS", I85+15, K85="NCR", I85+30, K85="submitted", I85+30, TRUE, "N/A"))</f>
        <v>N/A</v>
      </c>
      <c r="K85" s="4"/>
      <c r="L85" s="318"/>
      <c r="M85" s="772"/>
      <c r="N85" s="773"/>
      <c r="O85" s="773"/>
      <c r="P85" s="774"/>
    </row>
    <row r="86" spans="1:16" s="5" customFormat="1" ht="15" customHeight="1">
      <c r="A86" s="4"/>
      <c r="B86" s="111"/>
      <c r="C86" s="35"/>
      <c r="D86" s="35"/>
      <c r="E86" s="35"/>
      <c r="F86" s="4" t="s">
        <v>433</v>
      </c>
      <c r="G86" s="17" t="s">
        <v>372</v>
      </c>
      <c r="H86" s="18"/>
      <c r="I86" s="18"/>
      <c r="J86" s="74" t="str" cm="1">
        <f t="array" ref="J86">IF(ISBLANK(I86), IF(ISBLANK(H86), "N/A", _xlfn.IFS(K86="AS", H86+15, K86="NCR", H86+30, K86="submitted", H86+30, TRUE, "N/A")), _xlfn.IFS(K86="AS", I86+15, K86="NCR", I86+30, K86="submitted", I86+30, TRUE, "N/A"))</f>
        <v>N/A</v>
      </c>
      <c r="K86" s="4"/>
      <c r="L86" s="318"/>
      <c r="M86" s="772"/>
      <c r="N86" s="773"/>
      <c r="O86" s="773"/>
      <c r="P86" s="774"/>
    </row>
    <row r="87" spans="1:16" s="5" customFormat="1" ht="15" customHeight="1">
      <c r="A87" s="4"/>
      <c r="B87" s="111"/>
      <c r="C87" s="35"/>
      <c r="D87" s="35"/>
      <c r="E87" s="35"/>
      <c r="F87" s="4" t="s">
        <v>435</v>
      </c>
      <c r="G87" s="17" t="s">
        <v>1749</v>
      </c>
      <c r="H87" s="18"/>
      <c r="I87" s="18"/>
      <c r="J87" s="74" t="str" cm="1">
        <f t="array" ref="J87">IF(ISBLANK(I87), IF(ISBLANK(H87), "N/A", _xlfn.IFS(K87="AS", H87+15, K87="NCR", H87+30, K87="submitted", H87+30, TRUE, "N/A")), _xlfn.IFS(K87="AS", I87+15, K87="NCR", I87+30, K87="submitted", I87+30, TRUE, "N/A"))</f>
        <v>N/A</v>
      </c>
      <c r="K87" s="4"/>
      <c r="L87" s="318"/>
      <c r="M87" s="772"/>
      <c r="N87" s="773"/>
      <c r="O87" s="773"/>
      <c r="P87" s="774"/>
    </row>
    <row r="88" spans="1:16" s="5" customFormat="1" ht="15" customHeight="1">
      <c r="A88" s="4"/>
      <c r="B88" s="111"/>
      <c r="C88" s="35"/>
      <c r="D88" s="35"/>
      <c r="E88" s="35"/>
      <c r="F88" s="4" t="s">
        <v>437</v>
      </c>
      <c r="G88" s="17" t="s">
        <v>482</v>
      </c>
      <c r="H88" s="18"/>
      <c r="I88" s="18"/>
      <c r="J88" s="74" t="str" cm="1">
        <f t="array" ref="J88">IF(ISBLANK(I88), IF(ISBLANK(H88), "N/A", _xlfn.IFS(K88="AS", H88+15, K88="NCR", H88+30, K88="submitted", H88+30, TRUE, "N/A")), _xlfn.IFS(K88="AS", I88+15, K88="NCR", I88+30, K88="submitted", I88+30, TRUE, "N/A"))</f>
        <v>N/A</v>
      </c>
      <c r="K88" s="4"/>
      <c r="L88" s="318"/>
      <c r="M88" s="772"/>
      <c r="N88" s="773"/>
      <c r="O88" s="773"/>
      <c r="P88" s="774"/>
    </row>
    <row r="89" spans="1:16" s="5" customFormat="1" ht="15" customHeight="1">
      <c r="A89" s="4"/>
      <c r="B89" s="95"/>
      <c r="C89" s="36"/>
      <c r="D89" s="36"/>
      <c r="E89" s="36"/>
      <c r="F89" s="4" t="s">
        <v>462</v>
      </c>
      <c r="G89" s="17" t="s">
        <v>345</v>
      </c>
      <c r="H89" s="18"/>
      <c r="I89" s="18"/>
      <c r="J89" s="74" t="str" cm="1">
        <f t="array" ref="J89">IF(ISBLANK(I89), IF(ISBLANK(H89), "N/A", _xlfn.IFS(K89="AS", H89+15, K89="NCR", H89+30, K89="submitted", H89+30, TRUE, "N/A")), _xlfn.IFS(K89="AS", I89+15, K89="NCR", I89+30, K89="submitted", I89+30, TRUE, "N/A"))</f>
        <v>N/A</v>
      </c>
      <c r="K89" s="4"/>
      <c r="L89" s="318"/>
      <c r="M89" s="772"/>
      <c r="N89" s="773"/>
      <c r="O89" s="773"/>
      <c r="P89" s="774"/>
    </row>
    <row r="90" spans="1:16" s="1" customFormat="1" ht="15" customHeight="1">
      <c r="A90" s="9"/>
      <c r="B90" s="32" t="s">
        <v>2162</v>
      </c>
      <c r="C90" s="37" t="s">
        <v>2163</v>
      </c>
      <c r="D90" s="37"/>
      <c r="E90" s="37"/>
      <c r="F90" s="9" t="s">
        <v>328</v>
      </c>
      <c r="G90" s="13" t="s">
        <v>229</v>
      </c>
      <c r="H90" s="18"/>
      <c r="I90" s="18"/>
      <c r="J90" s="74" t="str" cm="1">
        <f t="array" ref="J90">IF(ISBLANK(I90), IF(ISBLANK(H90), "N/A", _xlfn.IFS(K90="AS", H90+15, K90="NCR", H90+30, K90="submitted", H90+30, TRUE, "N/A")), _xlfn.IFS(K90="AS", I90+15, K90="NCR", I90+30, K90="submitted", I90+30, TRUE, "N/A"))</f>
        <v>N/A</v>
      </c>
      <c r="K90" s="9"/>
      <c r="L90" s="318"/>
      <c r="M90" s="772"/>
      <c r="N90" s="773"/>
      <c r="O90" s="773"/>
      <c r="P90" s="774"/>
    </row>
    <row r="91" spans="1:16" s="1" customFormat="1" ht="15" customHeight="1">
      <c r="A91" s="9"/>
      <c r="B91" s="33"/>
      <c r="C91" s="39"/>
      <c r="D91" s="39"/>
      <c r="E91" s="39"/>
      <c r="F91" s="9" t="s">
        <v>329</v>
      </c>
      <c r="G91" s="13" t="s">
        <v>320</v>
      </c>
      <c r="H91" s="18"/>
      <c r="I91" s="18"/>
      <c r="J91" s="74" t="str" cm="1">
        <f t="array" ref="J91">IF(ISBLANK(I91), IF(ISBLANK(H91), "N/A", _xlfn.IFS(K91="AS", H91+15, K91="NCR", H91+30, K91="submitted", H91+30, TRUE, "N/A")), _xlfn.IFS(K91="AS", I91+15, K91="NCR", I91+30, K91="submitted", I91+30, TRUE, "N/A"))</f>
        <v>N/A</v>
      </c>
      <c r="K91" s="9"/>
      <c r="L91" s="318"/>
      <c r="M91" s="772"/>
      <c r="N91" s="773"/>
      <c r="O91" s="773"/>
      <c r="P91" s="774"/>
    </row>
    <row r="92" spans="1:16" s="1" customFormat="1" ht="40.5">
      <c r="A92" s="9"/>
      <c r="B92" s="33"/>
      <c r="C92" s="39"/>
      <c r="D92" s="39"/>
      <c r="E92" s="39"/>
      <c r="F92" s="9" t="s">
        <v>330</v>
      </c>
      <c r="G92" s="7" t="s">
        <v>2164</v>
      </c>
      <c r="H92" s="18"/>
      <c r="I92" s="18"/>
      <c r="J92" s="74" t="str" cm="1">
        <f t="array" ref="J92">IF(ISBLANK(I92), IF(ISBLANK(H92), "N/A", _xlfn.IFS(K92="AS", H92+15, K92="NCR", H92+30, K92="submitted", H92+30, TRUE, "N/A")), _xlfn.IFS(K92="AS", I92+15, K92="NCR", I92+30, K92="submitted", I92+30, TRUE, "N/A"))</f>
        <v>N/A</v>
      </c>
      <c r="K92" s="9"/>
      <c r="L92" s="318"/>
      <c r="M92" s="772"/>
      <c r="N92" s="773"/>
      <c r="O92" s="773"/>
      <c r="P92" s="774"/>
    </row>
    <row r="93" spans="1:16" s="1" customFormat="1" ht="15" customHeight="1">
      <c r="A93" s="9"/>
      <c r="B93" s="33"/>
      <c r="C93" s="39"/>
      <c r="D93" s="39"/>
      <c r="E93" s="39"/>
      <c r="F93" s="9" t="s">
        <v>397</v>
      </c>
      <c r="G93" s="13" t="s">
        <v>2105</v>
      </c>
      <c r="H93" s="18"/>
      <c r="I93" s="18"/>
      <c r="J93" s="74" t="str" cm="1">
        <f t="array" ref="J93">IF(ISBLANK(I93), IF(ISBLANK(H93), "N/A", _xlfn.IFS(K93="AS", H93+15, K93="NCR", H93+30, K93="submitted", H93+30, TRUE, "N/A")), _xlfn.IFS(K93="AS", I93+15, K93="NCR", I93+30, K93="submitted", I93+30, TRUE, "N/A"))</f>
        <v>N/A</v>
      </c>
      <c r="K93" s="9"/>
      <c r="L93" s="318"/>
      <c r="M93" s="772"/>
      <c r="N93" s="773"/>
      <c r="O93" s="773"/>
      <c r="P93" s="774"/>
    </row>
    <row r="94" spans="1:16" s="1" customFormat="1" ht="27" customHeight="1">
      <c r="A94" s="9"/>
      <c r="B94" s="97"/>
      <c r="C94" s="46"/>
      <c r="D94" s="46"/>
      <c r="E94" s="46"/>
      <c r="F94" s="9" t="s">
        <v>398</v>
      </c>
      <c r="G94" s="7" t="s">
        <v>2165</v>
      </c>
      <c r="H94" s="18"/>
      <c r="I94" s="18"/>
      <c r="J94" s="74" t="str" cm="1">
        <f t="array" ref="J94">IF(ISBLANK(I94), IF(ISBLANK(H94), "N/A", _xlfn.IFS(K94="AS", H94+15, K94="NCR", H94+30, K94="submitted", H94+30, TRUE, "N/A")), _xlfn.IFS(K94="AS", I94+15, K94="NCR", I94+30, K94="submitted", I94+30, TRUE, "N/A"))</f>
        <v>N/A</v>
      </c>
      <c r="K94" s="9"/>
      <c r="L94" s="318"/>
      <c r="M94" s="772"/>
      <c r="N94" s="773"/>
      <c r="O94" s="773"/>
      <c r="P94" s="774"/>
    </row>
    <row r="95" spans="1:16" s="5" customFormat="1" ht="15" customHeight="1">
      <c r="A95" s="4"/>
      <c r="B95" s="794" t="s">
        <v>2166</v>
      </c>
      <c r="C95" s="796" t="s">
        <v>2167</v>
      </c>
      <c r="D95" s="34"/>
      <c r="E95" s="34"/>
      <c r="F95" s="4" t="s">
        <v>328</v>
      </c>
      <c r="G95" s="17" t="s">
        <v>229</v>
      </c>
      <c r="H95" s="18"/>
      <c r="I95" s="18"/>
      <c r="J95" s="74" t="str" cm="1">
        <f t="array" ref="J95">IF(ISBLANK(I95), IF(ISBLANK(H95), "N/A", _xlfn.IFS(K95="AS", H95+15, K95="NCR", H95+30, K95="submitted", H95+30, TRUE, "N/A")), _xlfn.IFS(K95="AS", I95+15, K95="NCR", I95+30, K95="submitted", I95+30, TRUE, "N/A"))</f>
        <v>N/A</v>
      </c>
      <c r="K95" s="4"/>
      <c r="L95" s="318"/>
      <c r="M95" s="772"/>
      <c r="N95" s="773"/>
      <c r="O95" s="773"/>
      <c r="P95" s="774"/>
    </row>
    <row r="96" spans="1:16" s="5" customFormat="1" ht="15" customHeight="1">
      <c r="A96" s="4"/>
      <c r="B96" s="798"/>
      <c r="C96" s="799"/>
      <c r="D96" s="35"/>
      <c r="E96" s="35"/>
      <c r="F96" s="4" t="s">
        <v>329</v>
      </c>
      <c r="G96" s="17" t="s">
        <v>276</v>
      </c>
      <c r="H96" s="18"/>
      <c r="I96" s="18"/>
      <c r="J96" s="74" t="str" cm="1">
        <f t="array" ref="J96">IF(ISBLANK(I96), IF(ISBLANK(H96), "N/A", _xlfn.IFS(K96="AS", H96+15, K96="NCR", H96+30, K96="submitted", H96+30, TRUE, "N/A")), _xlfn.IFS(K96="AS", I96+15, K96="NCR", I96+30, K96="submitted", I96+30, TRUE, "N/A"))</f>
        <v>N/A</v>
      </c>
      <c r="K96" s="4"/>
      <c r="L96" s="318"/>
      <c r="M96" s="772"/>
      <c r="N96" s="773"/>
      <c r="O96" s="773"/>
      <c r="P96" s="774"/>
    </row>
    <row r="97" spans="1:16" s="5" customFormat="1" ht="15" customHeight="1">
      <c r="A97" s="4"/>
      <c r="B97" s="798"/>
      <c r="C97" s="799"/>
      <c r="D97" s="35"/>
      <c r="E97" s="35"/>
      <c r="F97" s="4" t="s">
        <v>396</v>
      </c>
      <c r="G97" s="17" t="s">
        <v>2168</v>
      </c>
      <c r="H97" s="18"/>
      <c r="I97" s="18"/>
      <c r="J97" s="74" t="str" cm="1">
        <f t="array" ref="J97">IF(ISBLANK(I97), IF(ISBLANK(H97), "N/A", _xlfn.IFS(K97="AS", H97+15, K97="NCR", H97+30, K97="submitted", H97+30, TRUE, "N/A")), _xlfn.IFS(K97="AS", I97+15, K97="NCR", I97+30, K97="submitted", I97+30, TRUE, "N/A"))</f>
        <v>N/A</v>
      </c>
      <c r="K97" s="4"/>
      <c r="L97" s="318"/>
      <c r="M97" s="772"/>
      <c r="N97" s="773"/>
      <c r="O97" s="773"/>
      <c r="P97" s="774"/>
    </row>
    <row r="98" spans="1:16" s="5" customFormat="1" ht="15" customHeight="1">
      <c r="A98" s="4"/>
      <c r="B98" s="798"/>
      <c r="C98" s="799"/>
      <c r="D98" s="35"/>
      <c r="E98" s="35"/>
      <c r="F98" s="4" t="s">
        <v>397</v>
      </c>
      <c r="G98" s="17" t="s">
        <v>2105</v>
      </c>
      <c r="H98" s="18"/>
      <c r="I98" s="18"/>
      <c r="J98" s="74" t="str" cm="1">
        <f t="array" ref="J98">IF(ISBLANK(I98), IF(ISBLANK(H98), "N/A", _xlfn.IFS(K98="AS", H98+15, K98="NCR", H98+30, K98="submitted", H98+30, TRUE, "N/A")), _xlfn.IFS(K98="AS", I98+15, K98="NCR", I98+30, K98="submitted", I98+30, TRUE, "N/A"))</f>
        <v>N/A</v>
      </c>
      <c r="K98" s="4"/>
      <c r="L98" s="318"/>
      <c r="M98" s="772"/>
      <c r="N98" s="773"/>
      <c r="O98" s="773"/>
      <c r="P98" s="774"/>
    </row>
    <row r="99" spans="1:16" s="5" customFormat="1" ht="15" customHeight="1">
      <c r="A99" s="4"/>
      <c r="B99" s="798"/>
      <c r="C99" s="799"/>
      <c r="D99" s="35"/>
      <c r="E99" s="35"/>
      <c r="F99" s="4" t="s">
        <v>2169</v>
      </c>
      <c r="G99" s="17" t="s">
        <v>2152</v>
      </c>
      <c r="H99" s="18"/>
      <c r="I99" s="18"/>
      <c r="J99" s="74" t="str" cm="1">
        <f t="array" ref="J99">IF(ISBLANK(I99), IF(ISBLANK(H99), "N/A", _xlfn.IFS(K99="AS", H99+15, K99="NCR", H99+30, K99="submitted", H99+30, TRUE, "N/A")), _xlfn.IFS(K99="AS", I99+15, K99="NCR", I99+30, K99="submitted", I99+30, TRUE, "N/A"))</f>
        <v>N/A</v>
      </c>
      <c r="K99" s="4"/>
      <c r="L99" s="318"/>
      <c r="M99" s="772"/>
      <c r="N99" s="773"/>
      <c r="O99" s="773"/>
      <c r="P99" s="774"/>
    </row>
    <row r="100" spans="1:16" s="5" customFormat="1" ht="15" customHeight="1">
      <c r="A100" s="4"/>
      <c r="B100" s="798"/>
      <c r="C100" s="799"/>
      <c r="D100" s="35"/>
      <c r="E100" s="35"/>
      <c r="F100" s="4" t="s">
        <v>2170</v>
      </c>
      <c r="G100" s="17" t="s">
        <v>2154</v>
      </c>
      <c r="H100" s="18"/>
      <c r="I100" s="18"/>
      <c r="J100" s="74" t="str" cm="1">
        <f t="array" ref="J100">IF(ISBLANK(I100), IF(ISBLANK(H100), "N/A", _xlfn.IFS(K100="AS", H100+15, K100="NCR", H100+30, K100="submitted", H100+30, TRUE, "N/A")), _xlfn.IFS(K100="AS", I100+15, K100="NCR", I100+30, K100="submitted", I100+30, TRUE, "N/A"))</f>
        <v>N/A</v>
      </c>
      <c r="K100" s="4"/>
      <c r="L100" s="318"/>
      <c r="M100" s="772"/>
      <c r="N100" s="773"/>
      <c r="O100" s="773"/>
      <c r="P100" s="774"/>
    </row>
    <row r="101" spans="1:16" s="5" customFormat="1" ht="15" customHeight="1">
      <c r="A101" s="4"/>
      <c r="B101" s="798"/>
      <c r="C101" s="799"/>
      <c r="D101" s="35"/>
      <c r="E101" s="35"/>
      <c r="F101" s="4" t="s">
        <v>2171</v>
      </c>
      <c r="G101" s="17" t="s">
        <v>418</v>
      </c>
      <c r="H101" s="18"/>
      <c r="I101" s="18"/>
      <c r="J101" s="74" t="str" cm="1">
        <f t="array" ref="J101">IF(ISBLANK(I101), IF(ISBLANK(H101), "N/A", _xlfn.IFS(K101="AS", H101+15, K101="NCR", H101+30, K101="submitted", H101+30, TRUE, "N/A")), _xlfn.IFS(K101="AS", I101+15, K101="NCR", I101+30, K101="submitted", I101+30, TRUE, "N/A"))</f>
        <v>N/A</v>
      </c>
      <c r="K101" s="4"/>
      <c r="L101" s="318"/>
      <c r="M101" s="772"/>
      <c r="N101" s="773"/>
      <c r="O101" s="773"/>
      <c r="P101" s="774"/>
    </row>
    <row r="102" spans="1:16" s="5" customFormat="1" ht="15" customHeight="1">
      <c r="A102" s="4"/>
      <c r="B102" s="798"/>
      <c r="C102" s="799"/>
      <c r="D102" s="35"/>
      <c r="E102" s="35"/>
      <c r="F102" s="4" t="s">
        <v>2172</v>
      </c>
      <c r="G102" s="17" t="s">
        <v>2173</v>
      </c>
      <c r="H102" s="18"/>
      <c r="I102" s="18"/>
      <c r="J102" s="74" t="str" cm="1">
        <f t="array" ref="J102">IF(ISBLANK(I102), IF(ISBLANK(H102), "N/A", _xlfn.IFS(K102="AS", H102+15, K102="NCR", H102+30, K102="submitted", H102+30, TRUE, "N/A")), _xlfn.IFS(K102="AS", I102+15, K102="NCR", I102+30, K102="submitted", I102+30, TRUE, "N/A"))</f>
        <v>N/A</v>
      </c>
      <c r="K102" s="4"/>
      <c r="L102" s="318"/>
      <c r="M102" s="772"/>
      <c r="N102" s="773"/>
      <c r="O102" s="773"/>
      <c r="P102" s="774"/>
    </row>
    <row r="103" spans="1:16" s="5" customFormat="1" ht="15" customHeight="1">
      <c r="A103" s="4"/>
      <c r="B103" s="798"/>
      <c r="C103" s="799"/>
      <c r="D103" s="35"/>
      <c r="E103" s="35"/>
      <c r="F103" s="4" t="s">
        <v>2174</v>
      </c>
      <c r="G103" s="17" t="s">
        <v>2159</v>
      </c>
      <c r="H103" s="18"/>
      <c r="I103" s="18"/>
      <c r="J103" s="74" t="str" cm="1">
        <f t="array" ref="J103">IF(ISBLANK(I103), IF(ISBLANK(H103), "N/A", _xlfn.IFS(K103="AS", H103+15, K103="NCR", H103+30, K103="submitted", H103+30, TRUE, "N/A")), _xlfn.IFS(K103="AS", I103+15, K103="NCR", I103+30, K103="submitted", I103+30, TRUE, "N/A"))</f>
        <v>N/A</v>
      </c>
      <c r="K103" s="4"/>
      <c r="L103" s="318"/>
      <c r="M103" s="772"/>
      <c r="N103" s="773"/>
      <c r="O103" s="773"/>
      <c r="P103" s="774"/>
    </row>
    <row r="104" spans="1:16" s="5" customFormat="1" ht="15" customHeight="1">
      <c r="A104" s="4"/>
      <c r="B104" s="798"/>
      <c r="C104" s="799"/>
      <c r="D104" s="35"/>
      <c r="E104" s="35"/>
      <c r="F104" s="4" t="s">
        <v>2175</v>
      </c>
      <c r="G104" s="17" t="s">
        <v>2176</v>
      </c>
      <c r="H104" s="18"/>
      <c r="I104" s="18"/>
      <c r="J104" s="74" t="str" cm="1">
        <f t="array" ref="J104">IF(ISBLANK(I104), IF(ISBLANK(H104), "N/A", _xlfn.IFS(K104="AS", H104+15, K104="NCR", H104+30, K104="submitted", H104+30, TRUE, "N/A")), _xlfn.IFS(K104="AS", I104+15, K104="NCR", I104+30, K104="submitted", I104+30, TRUE, "N/A"))</f>
        <v>N/A</v>
      </c>
      <c r="K104" s="4"/>
      <c r="L104" s="318"/>
      <c r="M104" s="772"/>
      <c r="N104" s="773"/>
      <c r="O104" s="773"/>
      <c r="P104" s="774"/>
    </row>
    <row r="105" spans="1:16" s="5" customFormat="1" ht="15" customHeight="1">
      <c r="A105" s="4"/>
      <c r="B105" s="798"/>
      <c r="C105" s="799"/>
      <c r="D105" s="35"/>
      <c r="E105" s="35"/>
      <c r="F105" s="4" t="s">
        <v>400</v>
      </c>
      <c r="G105" s="17" t="s">
        <v>2177</v>
      </c>
      <c r="H105" s="18"/>
      <c r="I105" s="18"/>
      <c r="J105" s="74" t="str" cm="1">
        <f t="array" ref="J105">IF(ISBLANK(I105), IF(ISBLANK(H105), "N/A", _xlfn.IFS(K105="AS", H105+15, K105="NCR", H105+30, K105="submitted", H105+30, TRUE, "N/A")), _xlfn.IFS(K105="AS", I105+15, K105="NCR", I105+30, K105="submitted", I105+30, TRUE, "N/A"))</f>
        <v>N/A</v>
      </c>
      <c r="K105" s="4"/>
      <c r="L105" s="318"/>
      <c r="M105" s="772"/>
      <c r="N105" s="773"/>
      <c r="O105" s="773"/>
      <c r="P105" s="774"/>
    </row>
    <row r="106" spans="1:16" s="5" customFormat="1" ht="15" customHeight="1">
      <c r="A106" s="4"/>
      <c r="B106" s="795"/>
      <c r="C106" s="797"/>
      <c r="D106" s="36"/>
      <c r="E106" s="36"/>
      <c r="F106" s="4" t="s">
        <v>433</v>
      </c>
      <c r="G106" s="17" t="s">
        <v>372</v>
      </c>
      <c r="H106" s="18"/>
      <c r="I106" s="18"/>
      <c r="J106" s="74" t="str" cm="1">
        <f t="array" ref="J106">IF(ISBLANK(I106), IF(ISBLANK(H106), "N/A", _xlfn.IFS(K106="AS", H106+15, K106="NCR", H106+30, K106="submitted", H106+30, TRUE, "N/A")), _xlfn.IFS(K106="AS", I106+15, K106="NCR", I106+30, K106="submitted", I106+30, TRUE, "N/A"))</f>
        <v>N/A</v>
      </c>
      <c r="K106" s="4"/>
      <c r="L106" s="318"/>
      <c r="M106" s="772"/>
      <c r="N106" s="773"/>
      <c r="O106" s="773"/>
      <c r="P106" s="774"/>
    </row>
    <row r="107" spans="1:16" s="1" customFormat="1" ht="27" customHeight="1">
      <c r="A107" s="9"/>
      <c r="B107" s="790" t="s">
        <v>2178</v>
      </c>
      <c r="C107" s="792" t="s">
        <v>2179</v>
      </c>
      <c r="D107" s="37"/>
      <c r="E107" s="37"/>
      <c r="F107" s="9" t="s">
        <v>224</v>
      </c>
      <c r="G107" s="7" t="s">
        <v>2180</v>
      </c>
      <c r="H107" s="18"/>
      <c r="I107" s="18"/>
      <c r="J107" s="74" t="str" cm="1">
        <f t="array" ref="J107">IF(ISBLANK(I107), IF(ISBLANK(H107), "N/A", _xlfn.IFS(K107="AS", H107+15, K107="NCR", H107+30, K107="submitted", H107+30, TRUE, "N/A")), _xlfn.IFS(K107="AS", I107+15, K107="NCR", I107+30, K107="submitted", I107+30, TRUE, "N/A"))</f>
        <v>N/A</v>
      </c>
      <c r="K107" s="9"/>
      <c r="L107" s="318"/>
      <c r="M107" s="772"/>
      <c r="N107" s="773"/>
      <c r="O107" s="773"/>
      <c r="P107" s="774"/>
    </row>
    <row r="108" spans="1:16" s="1" customFormat="1" ht="15" customHeight="1">
      <c r="A108" s="9"/>
      <c r="B108" s="791"/>
      <c r="C108" s="793"/>
      <c r="D108" s="39"/>
      <c r="E108" s="39"/>
      <c r="F108" s="9" t="s">
        <v>328</v>
      </c>
      <c r="G108" s="13" t="s">
        <v>229</v>
      </c>
      <c r="H108" s="18"/>
      <c r="I108" s="18"/>
      <c r="J108" s="74" t="str" cm="1">
        <f t="array" ref="J108">IF(ISBLANK(I108), IF(ISBLANK(H108), "N/A", _xlfn.IFS(K108="AS", H108+15, K108="NCR", H108+30, K108="submitted", H108+30, TRUE, "N/A")), _xlfn.IFS(K108="AS", I108+15, K108="NCR", I108+30, K108="submitted", I108+30, TRUE, "N/A"))</f>
        <v>N/A</v>
      </c>
      <c r="K108" s="9"/>
      <c r="L108" s="318"/>
      <c r="M108" s="772"/>
      <c r="N108" s="773"/>
      <c r="O108" s="773"/>
      <c r="P108" s="774"/>
    </row>
    <row r="109" spans="1:16" s="1" customFormat="1" ht="15" customHeight="1">
      <c r="A109" s="9"/>
      <c r="B109" s="791"/>
      <c r="C109" s="793"/>
      <c r="D109" s="39"/>
      <c r="E109" s="39"/>
      <c r="F109" s="9" t="s">
        <v>329</v>
      </c>
      <c r="G109" s="13" t="s">
        <v>276</v>
      </c>
      <c r="H109" s="18"/>
      <c r="I109" s="18"/>
      <c r="J109" s="74" t="str" cm="1">
        <f t="array" ref="J109">IF(ISBLANK(I109), IF(ISBLANK(H109), "N/A", _xlfn.IFS(K109="AS", H109+15, K109="NCR", H109+30, K109="submitted", H109+30, TRUE, "N/A")), _xlfn.IFS(K109="AS", I109+15, K109="NCR", I109+30, K109="submitted", I109+30, TRUE, "N/A"))</f>
        <v>N/A</v>
      </c>
      <c r="K109" s="9"/>
      <c r="L109" s="318"/>
      <c r="M109" s="772"/>
      <c r="N109" s="773"/>
      <c r="O109" s="773"/>
      <c r="P109" s="774"/>
    </row>
    <row r="110" spans="1:16" s="1" customFormat="1" ht="67.5">
      <c r="A110" s="9"/>
      <c r="B110" s="791"/>
      <c r="C110" s="793"/>
      <c r="D110" s="39"/>
      <c r="E110" s="39"/>
      <c r="F110" s="9" t="s">
        <v>2072</v>
      </c>
      <c r="G110" s="7" t="s">
        <v>2181</v>
      </c>
      <c r="H110" s="18"/>
      <c r="I110" s="18"/>
      <c r="J110" s="74" t="str" cm="1">
        <f t="array" ref="J110">IF(ISBLANK(I110), IF(ISBLANK(H110), "N/A", _xlfn.IFS(K110="AS", H110+15, K110="NCR", H110+30, K110="submitted", H110+30, TRUE, "N/A")), _xlfn.IFS(K110="AS", I110+15, K110="NCR", I110+30, K110="submitted", I110+30, TRUE, "N/A"))</f>
        <v>N/A</v>
      </c>
      <c r="K110" s="9"/>
      <c r="L110" s="318"/>
      <c r="M110" s="772"/>
      <c r="N110" s="773"/>
      <c r="O110" s="773"/>
      <c r="P110" s="774"/>
    </row>
    <row r="111" spans="1:16" s="1" customFormat="1" ht="40.5" customHeight="1">
      <c r="A111" s="9"/>
      <c r="B111" s="791"/>
      <c r="C111" s="793"/>
      <c r="D111" s="39"/>
      <c r="E111" s="39"/>
      <c r="F111" s="9" t="s">
        <v>1764</v>
      </c>
      <c r="G111" s="7" t="s">
        <v>2182</v>
      </c>
      <c r="H111" s="18"/>
      <c r="I111" s="18"/>
      <c r="J111" s="74" t="str" cm="1">
        <f t="array" ref="J111">IF(ISBLANK(I111), IF(ISBLANK(H111), "N/A", _xlfn.IFS(K111="AS", H111+15, K111="NCR", H111+30, K111="submitted", H111+30, TRUE, "N/A")), _xlfn.IFS(K111="AS", I111+15, K111="NCR", I111+30, K111="submitted", I111+30, TRUE, "N/A"))</f>
        <v>N/A</v>
      </c>
      <c r="K111" s="9"/>
      <c r="L111" s="318"/>
      <c r="M111" s="772"/>
      <c r="N111" s="773"/>
      <c r="O111" s="773"/>
      <c r="P111" s="774"/>
    </row>
    <row r="112" spans="1:16" s="1" customFormat="1" ht="15" customHeight="1">
      <c r="A112" s="9"/>
      <c r="B112" s="791"/>
      <c r="C112" s="793"/>
      <c r="D112" s="39"/>
      <c r="E112" s="39"/>
      <c r="F112" s="9" t="s">
        <v>397</v>
      </c>
      <c r="G112" s="13" t="s">
        <v>2105</v>
      </c>
      <c r="H112" s="18"/>
      <c r="I112" s="18"/>
      <c r="J112" s="74" t="str" cm="1">
        <f t="array" ref="J112">IF(ISBLANK(I112), IF(ISBLANK(H112), "N/A", _xlfn.IFS(K112="AS", H112+15, K112="NCR", H112+30, K112="submitted", H112+30, TRUE, "N/A")), _xlfn.IFS(K112="AS", I112+15, K112="NCR", I112+30, K112="submitted", I112+30, TRUE, "N/A"))</f>
        <v>N/A</v>
      </c>
      <c r="K112" s="9"/>
      <c r="L112" s="318"/>
      <c r="M112" s="772"/>
      <c r="N112" s="773"/>
      <c r="O112" s="773"/>
      <c r="P112" s="774"/>
    </row>
    <row r="113" spans="1:16" s="1" customFormat="1" ht="40.5" customHeight="1">
      <c r="A113" s="9"/>
      <c r="B113" s="791"/>
      <c r="C113" s="793"/>
      <c r="D113" s="39"/>
      <c r="E113" s="39"/>
      <c r="F113" s="9" t="s">
        <v>338</v>
      </c>
      <c r="G113" s="7" t="s">
        <v>2183</v>
      </c>
      <c r="H113" s="18"/>
      <c r="I113" s="18"/>
      <c r="J113" s="74" t="str" cm="1">
        <f t="array" ref="J113">IF(ISBLANK(I113), IF(ISBLANK(H113), "N/A", _xlfn.IFS(K113="AS", H113+15, K113="NCR", H113+30, K113="submitted", H113+30, TRUE, "N/A")), _xlfn.IFS(K113="AS", I113+15, K113="NCR", I113+30, K113="submitted", I113+30, TRUE, "N/A"))</f>
        <v>N/A</v>
      </c>
      <c r="K113" s="9"/>
      <c r="L113" s="318"/>
      <c r="M113" s="772"/>
      <c r="N113" s="773"/>
      <c r="O113" s="773"/>
      <c r="P113" s="774"/>
    </row>
    <row r="114" spans="1:16" s="1" customFormat="1" ht="27" customHeight="1">
      <c r="A114" s="9"/>
      <c r="B114" s="791"/>
      <c r="C114" s="793"/>
      <c r="D114" s="39"/>
      <c r="E114" s="39"/>
      <c r="F114" s="9" t="s">
        <v>734</v>
      </c>
      <c r="G114" s="7" t="s">
        <v>2184</v>
      </c>
      <c r="H114" s="18"/>
      <c r="I114" s="18"/>
      <c r="J114" s="74" t="str" cm="1">
        <f t="array" ref="J114">IF(ISBLANK(I114), IF(ISBLANK(H114), "N/A", _xlfn.IFS(K114="AS", H114+15, K114="NCR", H114+30, K114="submitted", H114+30, TRUE, "N/A")), _xlfn.IFS(K114="AS", I114+15, K114="NCR", I114+30, K114="submitted", I114+30, TRUE, "N/A"))</f>
        <v>N/A</v>
      </c>
      <c r="K114" s="9"/>
      <c r="L114" s="318"/>
      <c r="M114" s="772"/>
      <c r="N114" s="773"/>
      <c r="O114" s="773"/>
      <c r="P114" s="774"/>
    </row>
    <row r="115" spans="1:16" s="1" customFormat="1" ht="15" customHeight="1">
      <c r="A115" s="9"/>
      <c r="B115" s="791"/>
      <c r="C115" s="793"/>
      <c r="D115" s="39"/>
      <c r="E115" s="39"/>
      <c r="F115" s="9" t="s">
        <v>400</v>
      </c>
      <c r="G115" s="13" t="s">
        <v>372</v>
      </c>
      <c r="H115" s="18"/>
      <c r="I115" s="18"/>
      <c r="J115" s="74" t="str" cm="1">
        <f t="array" ref="J115">IF(ISBLANK(I115), IF(ISBLANK(H115), "N/A", _xlfn.IFS(K115="AS", H115+15, K115="NCR", H115+30, K115="submitted", H115+30, TRUE, "N/A")), _xlfn.IFS(K115="AS", I115+15, K115="NCR", I115+30, K115="submitted", I115+30, TRUE, "N/A"))</f>
        <v>N/A</v>
      </c>
      <c r="K115" s="9"/>
      <c r="L115" s="318"/>
      <c r="M115" s="772"/>
      <c r="N115" s="773"/>
      <c r="O115" s="773"/>
      <c r="P115" s="774"/>
    </row>
    <row r="116" spans="1:16" s="1" customFormat="1" ht="15" customHeight="1">
      <c r="A116" s="9"/>
      <c r="B116" s="791"/>
      <c r="C116" s="793"/>
      <c r="D116" s="39"/>
      <c r="E116" s="39"/>
      <c r="F116" s="9" t="s">
        <v>433</v>
      </c>
      <c r="G116" s="13" t="s">
        <v>2185</v>
      </c>
      <c r="H116" s="18"/>
      <c r="I116" s="18"/>
      <c r="J116" s="74" t="str" cm="1">
        <f t="array" ref="J116">IF(ISBLANK(I116), IF(ISBLANK(H116), "N/A", _xlfn.IFS(K116="AS", H116+15, K116="NCR", H116+30, K116="submitted", H116+30, TRUE, "N/A")), _xlfn.IFS(K116="AS", I116+15, K116="NCR", I116+30, K116="submitted", I116+30, TRUE, "N/A"))</f>
        <v>N/A</v>
      </c>
      <c r="K116" s="9"/>
      <c r="L116" s="318"/>
      <c r="M116" s="772"/>
      <c r="N116" s="773"/>
      <c r="O116" s="773"/>
      <c r="P116" s="774"/>
    </row>
    <row r="117" spans="1:16" s="1" customFormat="1" ht="15" customHeight="1">
      <c r="A117" s="9"/>
      <c r="B117" s="791"/>
      <c r="C117" s="793"/>
      <c r="D117" s="39"/>
      <c r="E117" s="39"/>
      <c r="F117" s="9" t="s">
        <v>435</v>
      </c>
      <c r="G117" s="13" t="s">
        <v>2186</v>
      </c>
      <c r="H117" s="18"/>
      <c r="I117" s="18"/>
      <c r="J117" s="74" t="str" cm="1">
        <f t="array" ref="J117">IF(ISBLANK(I117), IF(ISBLANK(H117), "N/A", _xlfn.IFS(K117="AS", H117+15, K117="NCR", H117+30, K117="submitted", H117+30, TRUE, "N/A")), _xlfn.IFS(K117="AS", I117+15, K117="NCR", I117+30, K117="submitted", I117+30, TRUE, "N/A"))</f>
        <v>N/A</v>
      </c>
      <c r="K117" s="9"/>
      <c r="L117" s="318"/>
      <c r="M117" s="772"/>
      <c r="N117" s="773"/>
      <c r="O117" s="773"/>
      <c r="P117" s="774"/>
    </row>
    <row r="118" spans="1:16" s="1" customFormat="1" ht="15" customHeight="1">
      <c r="A118" s="9"/>
      <c r="B118" s="777"/>
      <c r="C118" s="779"/>
      <c r="D118" s="46"/>
      <c r="E118" s="46"/>
      <c r="F118" s="9" t="s">
        <v>437</v>
      </c>
      <c r="G118" s="13" t="s">
        <v>2120</v>
      </c>
      <c r="H118" s="18"/>
      <c r="I118" s="18"/>
      <c r="J118" s="74" t="str" cm="1">
        <f t="array" ref="J118">IF(ISBLANK(I118), IF(ISBLANK(H118), "N/A", _xlfn.IFS(K118="AS", H118+15, K118="NCR", H118+30, K118="submitted", H118+30, TRUE, "N/A")), _xlfn.IFS(K118="AS", I118+15, K118="NCR", I118+30, K118="submitted", I118+30, TRUE, "N/A"))</f>
        <v>N/A</v>
      </c>
      <c r="K118" s="9"/>
      <c r="L118" s="318"/>
      <c r="M118" s="772"/>
      <c r="N118" s="773"/>
      <c r="O118" s="773"/>
      <c r="P118" s="774"/>
    </row>
    <row r="119" spans="1:16" s="5" customFormat="1" ht="27" customHeight="1">
      <c r="A119" s="4"/>
      <c r="B119" s="794" t="s">
        <v>2187</v>
      </c>
      <c r="C119" s="796" t="s">
        <v>2188</v>
      </c>
      <c r="D119" s="34"/>
      <c r="E119" s="34"/>
      <c r="F119" s="4" t="s">
        <v>2013</v>
      </c>
      <c r="G119" s="3" t="s">
        <v>2180</v>
      </c>
      <c r="H119" s="18"/>
      <c r="I119" s="18"/>
      <c r="J119" s="74" t="str" cm="1">
        <f t="array" ref="J119">IF(ISBLANK(I119), IF(ISBLANK(H119), "N/A", _xlfn.IFS(K119="AS", H119+15, K119="NCR", H119+30, K119="submitted", H119+30, TRUE, "N/A")), _xlfn.IFS(K119="AS", I119+15, K119="NCR", I119+30, K119="submitted", I119+30, TRUE, "N/A"))</f>
        <v>N/A</v>
      </c>
      <c r="K119" s="4"/>
      <c r="L119" s="318"/>
      <c r="M119" s="772"/>
      <c r="N119" s="773"/>
      <c r="O119" s="773"/>
      <c r="P119" s="774"/>
    </row>
    <row r="120" spans="1:16" s="5" customFormat="1" ht="15" customHeight="1">
      <c r="A120" s="4"/>
      <c r="B120" s="798"/>
      <c r="C120" s="799"/>
      <c r="D120" s="35"/>
      <c r="E120" s="35"/>
      <c r="F120" s="4" t="s">
        <v>475</v>
      </c>
      <c r="G120" s="17" t="s">
        <v>229</v>
      </c>
      <c r="H120" s="18"/>
      <c r="I120" s="18"/>
      <c r="J120" s="74" t="str" cm="1">
        <f t="array" ref="J120">IF(ISBLANK(I120), IF(ISBLANK(H120), "N/A", _xlfn.IFS(K120="AS", H120+15, K120="NCR", H120+30, K120="submitted", H120+30, TRUE, "N/A")), _xlfn.IFS(K120="AS", I120+15, K120="NCR", I120+30, K120="submitted", I120+30, TRUE, "N/A"))</f>
        <v>N/A</v>
      </c>
      <c r="K120" s="4"/>
      <c r="L120" s="318"/>
      <c r="M120" s="766" t="s">
        <v>132</v>
      </c>
      <c r="N120" s="767"/>
      <c r="O120" s="767"/>
      <c r="P120" s="768"/>
    </row>
    <row r="121" spans="1:16" s="5" customFormat="1" ht="15" customHeight="1">
      <c r="A121" s="4"/>
      <c r="B121" s="798"/>
      <c r="C121" s="799"/>
      <c r="D121" s="35"/>
      <c r="E121" s="35"/>
      <c r="F121" s="4" t="s">
        <v>477</v>
      </c>
      <c r="G121" s="17" t="s">
        <v>320</v>
      </c>
      <c r="H121" s="18"/>
      <c r="I121" s="18"/>
      <c r="J121" s="74" t="str" cm="1">
        <f t="array" ref="J121">IF(ISBLANK(I121), IF(ISBLANK(H121), "N/A", _xlfn.IFS(K121="AS", H121+15, K121="NCR", H121+30, K121="submitted", H121+30, TRUE, "N/A")), _xlfn.IFS(K121="AS", I121+15, K121="NCR", I121+30, K121="submitted", I121+30, TRUE, "N/A"))</f>
        <v>N/A</v>
      </c>
      <c r="K121" s="4"/>
      <c r="L121" s="318"/>
      <c r="M121" s="769"/>
      <c r="N121" s="770"/>
      <c r="O121" s="770"/>
      <c r="P121" s="771"/>
    </row>
    <row r="122" spans="1:16" s="5" customFormat="1" ht="15" customHeight="1">
      <c r="A122" s="4"/>
      <c r="B122" s="798"/>
      <c r="C122" s="799"/>
      <c r="D122" s="35"/>
      <c r="E122" s="35"/>
      <c r="F122" s="4" t="s">
        <v>478</v>
      </c>
      <c r="G122" s="17" t="s">
        <v>345</v>
      </c>
      <c r="H122" s="18"/>
      <c r="I122" s="18"/>
      <c r="J122" s="74" t="str" cm="1">
        <f t="array" ref="J122">IF(ISBLANK(I122), IF(ISBLANK(H122), "N/A", _xlfn.IFS(K122="AS", H122+15, K122="NCR", H122+30, K122="submitted", H122+30, TRUE, "N/A")), _xlfn.IFS(K122="AS", I122+15, K122="NCR", I122+30, K122="submitted", I122+30, TRUE, "N/A"))</f>
        <v>N/A</v>
      </c>
      <c r="K122" s="4"/>
      <c r="L122" s="318"/>
      <c r="M122" s="769"/>
      <c r="N122" s="770"/>
      <c r="O122" s="770"/>
      <c r="P122" s="771"/>
    </row>
    <row r="123" spans="1:16" s="5" customFormat="1" ht="40.5" customHeight="1">
      <c r="A123" s="4"/>
      <c r="B123" s="798"/>
      <c r="C123" s="799"/>
      <c r="D123" s="35"/>
      <c r="E123" s="35"/>
      <c r="F123" s="4" t="s">
        <v>479</v>
      </c>
      <c r="G123" s="3" t="s">
        <v>2164</v>
      </c>
      <c r="H123" s="18"/>
      <c r="I123" s="18"/>
      <c r="J123" s="74" t="str" cm="1">
        <f t="array" ref="J123">IF(ISBLANK(I123), IF(ISBLANK(H123), "N/A", _xlfn.IFS(K123="AS", H123+15, K123="NCR", H123+30, K123="submitted", H123+30, TRUE, "N/A")), _xlfn.IFS(K123="AS", I123+15, K123="NCR", I123+30, K123="submitted", I123+30, TRUE, "N/A"))</f>
        <v>N/A</v>
      </c>
      <c r="K123" s="4"/>
      <c r="L123" s="318"/>
      <c r="M123" s="769"/>
      <c r="N123" s="770"/>
      <c r="O123" s="770"/>
      <c r="P123" s="771"/>
    </row>
    <row r="124" spans="1:16" s="5" customFormat="1" ht="15" customHeight="1">
      <c r="A124" s="4"/>
      <c r="B124" s="798"/>
      <c r="C124" s="799"/>
      <c r="D124" s="35"/>
      <c r="E124" s="35"/>
      <c r="F124" s="4" t="s">
        <v>489</v>
      </c>
      <c r="G124" s="17" t="s">
        <v>2105</v>
      </c>
      <c r="H124" s="18"/>
      <c r="I124" s="18"/>
      <c r="J124" s="74" t="str" cm="1">
        <f t="array" ref="J124">IF(ISBLANK(I124), IF(ISBLANK(H124), "N/A", _xlfn.IFS(K124="AS", H124+15, K124="NCR", H124+30, K124="submitted", H124+30, TRUE, "N/A")), _xlfn.IFS(K124="AS", I124+15, K124="NCR", I124+30, K124="submitted", I124+30, TRUE, "N/A"))</f>
        <v>N/A</v>
      </c>
      <c r="K124" s="4"/>
      <c r="L124" s="318"/>
      <c r="M124" s="769"/>
      <c r="N124" s="770"/>
      <c r="O124" s="770"/>
      <c r="P124" s="771"/>
    </row>
    <row r="125" spans="1:16" s="5" customFormat="1" ht="15" customHeight="1">
      <c r="A125" s="4"/>
      <c r="B125" s="798"/>
      <c r="C125" s="799"/>
      <c r="D125" s="35"/>
      <c r="E125" s="35"/>
      <c r="F125" s="4" t="s">
        <v>1182</v>
      </c>
      <c r="G125" s="17" t="s">
        <v>2189</v>
      </c>
      <c r="H125" s="18"/>
      <c r="I125" s="18"/>
      <c r="J125" s="74" t="str" cm="1">
        <f t="array" ref="J125">IF(ISBLANK(I125), IF(ISBLANK(H125), "N/A", _xlfn.IFS(K125="AS", H125+15, K125="NCR", H125+30, K125="submitted", H125+30, TRUE, "N/A")), _xlfn.IFS(K125="AS", I125+15, K125="NCR", I125+30, K125="submitted", I125+30, TRUE, "N/A"))</f>
        <v>N/A</v>
      </c>
      <c r="K125" s="4"/>
      <c r="L125" s="318"/>
      <c r="M125" s="769"/>
      <c r="N125" s="770"/>
      <c r="O125" s="770"/>
      <c r="P125" s="771"/>
    </row>
    <row r="126" spans="1:16" s="5" customFormat="1" ht="27" customHeight="1">
      <c r="A126" s="4"/>
      <c r="B126" s="798"/>
      <c r="C126" s="799"/>
      <c r="D126" s="35"/>
      <c r="E126" s="35"/>
      <c r="F126" s="4" t="s">
        <v>1184</v>
      </c>
      <c r="G126" s="3" t="s">
        <v>2165</v>
      </c>
      <c r="H126" s="18"/>
      <c r="I126" s="18"/>
      <c r="J126" s="74" t="str" cm="1">
        <f t="array" ref="J126">IF(ISBLANK(I126), IF(ISBLANK(H126), "N/A", _xlfn.IFS(K126="AS", H126+15, K126="NCR", H126+30, K126="submitted", H126+30, TRUE, "N/A")), _xlfn.IFS(K126="AS", I126+15, K126="NCR", I126+30, K126="submitted", I126+30, TRUE, "N/A"))</f>
        <v>N/A</v>
      </c>
      <c r="K126" s="4"/>
      <c r="L126" s="318"/>
      <c r="M126" s="769"/>
      <c r="N126" s="770"/>
      <c r="O126" s="770"/>
      <c r="P126" s="771"/>
    </row>
    <row r="127" spans="1:16" s="5" customFormat="1" ht="27" customHeight="1">
      <c r="A127" s="4"/>
      <c r="B127" s="798"/>
      <c r="C127" s="799"/>
      <c r="D127" s="35"/>
      <c r="E127" s="35"/>
      <c r="F127" s="4" t="s">
        <v>2190</v>
      </c>
      <c r="G127" s="3" t="s">
        <v>2191</v>
      </c>
      <c r="H127" s="18"/>
      <c r="I127" s="18"/>
      <c r="J127" s="74" t="str" cm="1">
        <f t="array" ref="J127">IF(ISBLANK(I127), IF(ISBLANK(H127), "N/A", _xlfn.IFS(K127="AS", H127+15, K127="NCR", H127+30, K127="submitted", H127+30, TRUE, "N/A")), _xlfn.IFS(K127="AS", I127+15, K127="NCR", I127+30, K127="submitted", I127+30, TRUE, "N/A"))</f>
        <v>N/A</v>
      </c>
      <c r="K127" s="4"/>
      <c r="L127" s="318"/>
      <c r="M127" s="769"/>
      <c r="N127" s="770"/>
      <c r="O127" s="770"/>
      <c r="P127" s="771"/>
    </row>
    <row r="128" spans="1:16" s="5" customFormat="1" ht="15" customHeight="1">
      <c r="A128" s="4"/>
      <c r="B128" s="798"/>
      <c r="C128" s="799"/>
      <c r="D128" s="35"/>
      <c r="E128" s="35"/>
      <c r="F128" s="4" t="s">
        <v>2192</v>
      </c>
      <c r="G128" s="17" t="s">
        <v>2193</v>
      </c>
      <c r="H128" s="18"/>
      <c r="I128" s="18"/>
      <c r="J128" s="74" t="str" cm="1">
        <f t="array" ref="J128">IF(ISBLANK(I128), IF(ISBLANK(H128), "N/A", _xlfn.IFS(K128="AS", H128+15, K128="NCR", H128+30, K128="submitted", H128+30, TRUE, "N/A")), _xlfn.IFS(K128="AS", I128+15, K128="NCR", I128+30, K128="submitted", I128+30, TRUE, "N/A"))</f>
        <v>N/A</v>
      </c>
      <c r="K128" s="4"/>
      <c r="L128" s="318"/>
      <c r="M128" s="772" t="s">
        <v>147</v>
      </c>
      <c r="N128" s="773"/>
      <c r="O128" s="773"/>
      <c r="P128" s="774"/>
    </row>
    <row r="129" spans="1:16" s="5" customFormat="1" ht="27" customHeight="1">
      <c r="A129" s="4"/>
      <c r="B129" s="798"/>
      <c r="C129" s="799"/>
      <c r="D129" s="35"/>
      <c r="E129" s="35"/>
      <c r="F129" s="4" t="s">
        <v>2194</v>
      </c>
      <c r="G129" s="3" t="s">
        <v>2195</v>
      </c>
      <c r="H129" s="18"/>
      <c r="I129" s="18"/>
      <c r="J129" s="74" t="str" cm="1">
        <f t="array" ref="J129">IF(ISBLANK(I129), IF(ISBLANK(H129), "N/A", _xlfn.IFS(K129="AS", H129+15, K129="NCR", H129+30, K129="submitted", H129+30, TRUE, "N/A")), _xlfn.IFS(K129="AS", I129+15, K129="NCR", I129+30, K129="submitted", I129+30, TRUE, "N/A"))</f>
        <v>N/A</v>
      </c>
      <c r="K129" s="4"/>
      <c r="L129" s="318"/>
      <c r="M129" s="772"/>
      <c r="N129" s="773"/>
      <c r="O129" s="773"/>
      <c r="P129" s="774"/>
    </row>
    <row r="130" spans="1:16" s="5" customFormat="1" ht="15" customHeight="1">
      <c r="A130" s="4"/>
      <c r="B130" s="798"/>
      <c r="C130" s="799"/>
      <c r="D130" s="35"/>
      <c r="E130" s="35"/>
      <c r="F130" s="4" t="s">
        <v>491</v>
      </c>
      <c r="G130" s="17" t="s">
        <v>2196</v>
      </c>
      <c r="H130" s="18"/>
      <c r="I130" s="18"/>
      <c r="J130" s="74" t="str" cm="1">
        <f t="array" ref="J130">IF(ISBLANK(I130), IF(ISBLANK(H130), "N/A", _xlfn.IFS(K130="AS", H130+15, K130="NCR", H130+30, K130="submitted", H130+30, TRUE, "N/A")), _xlfn.IFS(K130="AS", I130+15, K130="NCR", I130+30, K130="submitted", I130+30, TRUE, "N/A"))</f>
        <v>N/A</v>
      </c>
      <c r="K130" s="4"/>
      <c r="L130" s="318"/>
      <c r="M130" s="772"/>
      <c r="N130" s="773"/>
      <c r="O130" s="773"/>
      <c r="P130" s="774"/>
    </row>
    <row r="131" spans="1:16" s="5" customFormat="1" ht="15" customHeight="1">
      <c r="A131" s="4"/>
      <c r="B131" s="798"/>
      <c r="C131" s="799"/>
      <c r="D131" s="35"/>
      <c r="E131" s="35"/>
      <c r="F131" s="4" t="s">
        <v>1187</v>
      </c>
      <c r="G131" s="17" t="s">
        <v>2119</v>
      </c>
      <c r="H131" s="18"/>
      <c r="I131" s="18"/>
      <c r="J131" s="74" t="str" cm="1">
        <f t="array" ref="J131">IF(ISBLANK(I131), IF(ISBLANK(H131), "N/A", _xlfn.IFS(K131="AS", H131+15, K131="NCR", H131+30, K131="submitted", H131+30, TRUE, "N/A")), _xlfn.IFS(K131="AS", I131+15, K131="NCR", I131+30, K131="submitted", I131+30, TRUE, "N/A"))</f>
        <v>N/A</v>
      </c>
      <c r="K131" s="4"/>
      <c r="L131" s="318"/>
      <c r="M131" s="772"/>
      <c r="N131" s="773"/>
      <c r="O131" s="773"/>
      <c r="P131" s="774"/>
    </row>
    <row r="132" spans="1:16" s="5" customFormat="1" ht="15" customHeight="1">
      <c r="A132" s="4"/>
      <c r="B132" s="795"/>
      <c r="C132" s="797"/>
      <c r="D132" s="36"/>
      <c r="E132" s="36"/>
      <c r="F132" s="4" t="s">
        <v>2197</v>
      </c>
      <c r="G132" s="17" t="s">
        <v>372</v>
      </c>
      <c r="H132" s="18"/>
      <c r="I132" s="18"/>
      <c r="J132" s="74" t="str" cm="1">
        <f t="array" ref="J132">IF(ISBLANK(I132), IF(ISBLANK(H132), "N/A", _xlfn.IFS(K132="AS", H132+15, K132="NCR", H132+30, K132="submitted", H132+30, TRUE, "N/A")), _xlfn.IFS(K132="AS", I132+15, K132="NCR", I132+30, K132="submitted", I132+30, TRUE, "N/A"))</f>
        <v>N/A</v>
      </c>
      <c r="K132" s="4"/>
      <c r="L132" s="318"/>
      <c r="M132" s="772"/>
      <c r="N132" s="773"/>
      <c r="O132" s="773"/>
      <c r="P132" s="774"/>
    </row>
    <row r="133" spans="1:16" s="1" customFormat="1" ht="15" customHeight="1">
      <c r="A133" s="9"/>
      <c r="B133" s="790" t="s">
        <v>2198</v>
      </c>
      <c r="C133" s="792" t="s">
        <v>2199</v>
      </c>
      <c r="D133" s="37"/>
      <c r="E133" s="37"/>
      <c r="F133" s="9" t="s">
        <v>328</v>
      </c>
      <c r="G133" s="7" t="s">
        <v>229</v>
      </c>
      <c r="H133" s="18"/>
      <c r="I133" s="18"/>
      <c r="J133" s="74" t="str" cm="1">
        <f t="array" ref="J133">IF(ISBLANK(I133), IF(ISBLANK(H133), "N/A", _xlfn.IFS(K133="AS", H133+15, K133="NCR", H133+30, K133="submitted", H133+30, TRUE, "N/A")), _xlfn.IFS(K133="AS", I133+15, K133="NCR", I133+30, K133="submitted", I133+30, TRUE, "N/A"))</f>
        <v>N/A</v>
      </c>
      <c r="K133" s="9"/>
      <c r="L133" s="319"/>
      <c r="M133" s="772"/>
      <c r="N133" s="773"/>
      <c r="O133" s="773"/>
      <c r="P133" s="774"/>
    </row>
    <row r="134" spans="1:16" s="1" customFormat="1" ht="53.25">
      <c r="A134" s="9"/>
      <c r="B134" s="791"/>
      <c r="C134" s="793"/>
      <c r="D134" s="39"/>
      <c r="E134" s="39"/>
      <c r="F134" s="9" t="s">
        <v>1132</v>
      </c>
      <c r="G134" s="7" t="s">
        <v>2200</v>
      </c>
      <c r="H134" s="18"/>
      <c r="I134" s="18"/>
      <c r="J134" s="74" t="str" cm="1">
        <f t="array" ref="J134">IF(ISBLANK(I134), IF(ISBLANK(H134), "N/A", _xlfn.IFS(K134="AS", H134+15, K134="NCR", H134+30, K134="submitted", H134+30, TRUE, "N/A")), _xlfn.IFS(K134="AS", I134+15, K134="NCR", I134+30, K134="submitted", I134+30, TRUE, "N/A"))</f>
        <v>N/A</v>
      </c>
      <c r="K134" s="9"/>
      <c r="L134" s="318"/>
      <c r="M134" s="772"/>
      <c r="N134" s="773"/>
      <c r="O134" s="773"/>
      <c r="P134" s="774"/>
    </row>
    <row r="135" spans="1:16" s="1" customFormat="1" ht="40.5" customHeight="1">
      <c r="A135" s="9"/>
      <c r="B135" s="791"/>
      <c r="C135" s="793"/>
      <c r="D135" s="39"/>
      <c r="E135" s="39"/>
      <c r="F135" s="9" t="s">
        <v>2201</v>
      </c>
      <c r="G135" s="7" t="s">
        <v>2182</v>
      </c>
      <c r="H135" s="18"/>
      <c r="I135" s="18"/>
      <c r="J135" s="74" t="str" cm="1">
        <f t="array" ref="J135">IF(ISBLANK(I135), IF(ISBLANK(H135), "N/A", _xlfn.IFS(K135="AS", H135+15, K135="NCR", H135+30, K135="submitted", H135+30, TRUE, "N/A")), _xlfn.IFS(K135="AS", I135+15, K135="NCR", I135+30, K135="submitted", I135+30, TRUE, "N/A"))</f>
        <v>N/A</v>
      </c>
      <c r="K135" s="9"/>
      <c r="L135" s="318"/>
      <c r="M135" s="772"/>
      <c r="N135" s="773"/>
      <c r="O135" s="773"/>
      <c r="P135" s="774"/>
    </row>
    <row r="136" spans="1:16" s="1" customFormat="1" ht="15" customHeight="1">
      <c r="A136" s="9"/>
      <c r="B136" s="791"/>
      <c r="C136" s="793"/>
      <c r="D136" s="39"/>
      <c r="E136" s="39"/>
      <c r="F136" s="9" t="s">
        <v>396</v>
      </c>
      <c r="G136" s="13" t="s">
        <v>2105</v>
      </c>
      <c r="H136" s="18"/>
      <c r="I136" s="18"/>
      <c r="J136" s="74" t="str" cm="1">
        <f t="array" ref="J136">IF(ISBLANK(I136), IF(ISBLANK(H136), "N/A", _xlfn.IFS(K136="AS", H136+15, K136="NCR", H136+30, K136="submitted", H136+30, TRUE, "N/A")), _xlfn.IFS(K136="AS", I136+15, K136="NCR", I136+30, K136="submitted", I136+30, TRUE, "N/A"))</f>
        <v>N/A</v>
      </c>
      <c r="K136" s="9"/>
      <c r="L136" s="318"/>
      <c r="M136" s="772"/>
      <c r="N136" s="773"/>
      <c r="O136" s="773"/>
      <c r="P136" s="774"/>
    </row>
    <row r="137" spans="1:16" s="1" customFormat="1" ht="27" customHeight="1">
      <c r="A137" s="9"/>
      <c r="B137" s="777"/>
      <c r="C137" s="779"/>
      <c r="D137" s="46"/>
      <c r="E137" s="46"/>
      <c r="F137" s="9" t="s">
        <v>397</v>
      </c>
      <c r="G137" s="7" t="s">
        <v>2202</v>
      </c>
      <c r="H137" s="18"/>
      <c r="I137" s="18"/>
      <c r="J137" s="74" t="str" cm="1">
        <f t="array" ref="J137">IF(ISBLANK(I137), IF(ISBLANK(H137), "N/A", _xlfn.IFS(K137="AS", H137+15, K137="NCR", H137+30, K137="submitted", H137+30, TRUE, "N/A")), _xlfn.IFS(K137="AS", I137+15, K137="NCR", I137+30, K137="submitted", I137+30, TRUE, "N/A"))</f>
        <v>N/A</v>
      </c>
      <c r="K137" s="9"/>
      <c r="L137" s="318"/>
      <c r="M137" s="772"/>
      <c r="N137" s="773"/>
      <c r="O137" s="773"/>
      <c r="P137" s="774"/>
    </row>
    <row r="138" spans="1:16" s="1" customFormat="1" ht="15" customHeight="1">
      <c r="A138" s="9"/>
      <c r="B138" s="790" t="s">
        <v>2203</v>
      </c>
      <c r="C138" s="792" t="s">
        <v>2204</v>
      </c>
      <c r="D138" s="37"/>
      <c r="E138" s="37"/>
      <c r="F138" s="9" t="s">
        <v>328</v>
      </c>
      <c r="G138" s="13" t="s">
        <v>229</v>
      </c>
      <c r="H138" s="18"/>
      <c r="I138" s="18"/>
      <c r="J138" s="74" t="str" cm="1">
        <f t="array" ref="J138">IF(ISBLANK(I138), IF(ISBLANK(H138), "N/A", _xlfn.IFS(K138="AS", H138+15, K138="NCR", H138+30, K138="submitted", H138+30, TRUE, "N/A")), _xlfn.IFS(K138="AS", I138+15, K138="NCR", I138+30, K138="submitted", I138+30, TRUE, "N/A"))</f>
        <v>N/A</v>
      </c>
      <c r="K138" s="9"/>
      <c r="L138" s="318"/>
      <c r="M138" s="772"/>
      <c r="N138" s="773"/>
      <c r="O138" s="773"/>
      <c r="P138" s="774"/>
    </row>
    <row r="139" spans="1:16" s="1" customFormat="1" ht="15" customHeight="1">
      <c r="A139" s="9"/>
      <c r="B139" s="791"/>
      <c r="C139" s="793"/>
      <c r="D139" s="39"/>
      <c r="E139" s="39"/>
      <c r="F139" s="9" t="s">
        <v>329</v>
      </c>
      <c r="G139" s="13" t="s">
        <v>276</v>
      </c>
      <c r="H139" s="18"/>
      <c r="I139" s="18"/>
      <c r="J139" s="74" t="str" cm="1">
        <f t="array" ref="J139">IF(ISBLANK(I139), IF(ISBLANK(H139), "N/A", _xlfn.IFS(K139="AS", H139+15, K139="NCR", H139+30, K139="submitted", H139+30, TRUE, "N/A")), _xlfn.IFS(K139="AS", I139+15, K139="NCR", I139+30, K139="submitted", I139+30, TRUE, "N/A"))</f>
        <v>N/A</v>
      </c>
      <c r="K139" s="9"/>
      <c r="L139" s="318"/>
      <c r="M139" s="772"/>
      <c r="N139" s="773"/>
      <c r="O139" s="773"/>
      <c r="P139" s="774"/>
    </row>
    <row r="140" spans="1:16" s="1" customFormat="1" ht="40.5" customHeight="1">
      <c r="A140" s="9"/>
      <c r="B140" s="791"/>
      <c r="C140" s="793"/>
      <c r="D140" s="39"/>
      <c r="E140" s="39"/>
      <c r="F140" s="9" t="s">
        <v>330</v>
      </c>
      <c r="G140" s="7" t="s">
        <v>2205</v>
      </c>
      <c r="H140" s="18"/>
      <c r="I140" s="18"/>
      <c r="J140" s="74" t="str" cm="1">
        <f t="array" ref="J140">IF(ISBLANK(I140), IF(ISBLANK(H140), "N/A", _xlfn.IFS(K140="AS", H140+15, K140="NCR", H140+30, K140="submitted", H140+30, TRUE, "N/A")), _xlfn.IFS(K140="AS", I140+15, K140="NCR", I140+30, K140="submitted", I140+30, TRUE, "N/A"))</f>
        <v>N/A</v>
      </c>
      <c r="K140" s="9"/>
      <c r="L140" s="318"/>
      <c r="M140" s="772"/>
      <c r="N140" s="773"/>
      <c r="O140" s="773"/>
      <c r="P140" s="774"/>
    </row>
    <row r="141" spans="1:16" s="1" customFormat="1" ht="15" customHeight="1">
      <c r="A141" s="9"/>
      <c r="B141" s="791"/>
      <c r="C141" s="793"/>
      <c r="D141" s="39"/>
      <c r="E141" s="39"/>
      <c r="F141" s="9" t="s">
        <v>397</v>
      </c>
      <c r="G141" s="13" t="s">
        <v>2105</v>
      </c>
      <c r="H141" s="18"/>
      <c r="I141" s="18"/>
      <c r="J141" s="74" t="str" cm="1">
        <f t="array" ref="J141">IF(ISBLANK(I141), IF(ISBLANK(H141), "N/A", _xlfn.IFS(K141="AS", H141+15, K141="NCR", H141+30, K141="submitted", H141+30, TRUE, "N/A")), _xlfn.IFS(K141="AS", I141+15, K141="NCR", I141+30, K141="submitted", I141+30, TRUE, "N/A"))</f>
        <v>N/A</v>
      </c>
      <c r="K141" s="9"/>
      <c r="L141" s="318"/>
      <c r="M141" s="772"/>
      <c r="N141" s="773"/>
      <c r="O141" s="773"/>
      <c r="P141" s="774"/>
    </row>
    <row r="142" spans="1:16" s="1" customFormat="1" ht="15" customHeight="1">
      <c r="A142" s="9"/>
      <c r="B142" s="791"/>
      <c r="C142" s="793"/>
      <c r="D142" s="39"/>
      <c r="E142" s="39"/>
      <c r="F142" s="9" t="s">
        <v>2169</v>
      </c>
      <c r="G142" s="13" t="s">
        <v>2206</v>
      </c>
      <c r="H142" s="18"/>
      <c r="I142" s="18"/>
      <c r="J142" s="74" t="str" cm="1">
        <f t="array" ref="J142">IF(ISBLANK(I142), IF(ISBLANK(H142), "N/A", _xlfn.IFS(K142="AS", H142+15, K142="NCR", H142+30, K142="submitted", H142+30, TRUE, "N/A")), _xlfn.IFS(K142="AS", I142+15, K142="NCR", I142+30, K142="submitted", I142+30, TRUE, "N/A"))</f>
        <v>N/A</v>
      </c>
      <c r="K142" s="9"/>
      <c r="L142" s="318"/>
      <c r="M142" s="772"/>
      <c r="N142" s="773"/>
      <c r="O142" s="773"/>
      <c r="P142" s="774"/>
    </row>
    <row r="143" spans="1:16" s="1" customFormat="1" ht="15" customHeight="1">
      <c r="A143" s="9"/>
      <c r="B143" s="791"/>
      <c r="C143" s="793"/>
      <c r="D143" s="39"/>
      <c r="E143" s="39"/>
      <c r="F143" s="9" t="s">
        <v>2170</v>
      </c>
      <c r="G143" s="13" t="s">
        <v>2154</v>
      </c>
      <c r="H143" s="18"/>
      <c r="I143" s="18"/>
      <c r="J143" s="74" t="str" cm="1">
        <f t="array" ref="J143">IF(ISBLANK(I143), IF(ISBLANK(H143), "N/A", _xlfn.IFS(K143="AS", H143+15, K143="NCR", H143+30, K143="submitted", H143+30, TRUE, "N/A")), _xlfn.IFS(K143="AS", I143+15, K143="NCR", I143+30, K143="submitted", I143+30, TRUE, "N/A"))</f>
        <v>N/A</v>
      </c>
      <c r="K143" s="9"/>
      <c r="L143" s="318"/>
      <c r="M143" s="772"/>
      <c r="N143" s="773"/>
      <c r="O143" s="773"/>
      <c r="P143" s="774"/>
    </row>
    <row r="144" spans="1:16" s="1" customFormat="1" ht="15" customHeight="1">
      <c r="A144" s="9"/>
      <c r="B144" s="791"/>
      <c r="C144" s="793"/>
      <c r="D144" s="39"/>
      <c r="E144" s="39"/>
      <c r="F144" s="9" t="s">
        <v>2171</v>
      </c>
      <c r="G144" s="13" t="s">
        <v>418</v>
      </c>
      <c r="H144" s="18"/>
      <c r="I144" s="18"/>
      <c r="J144" s="74" t="str" cm="1">
        <f t="array" ref="J144">IF(ISBLANK(I144), IF(ISBLANK(H144), "N/A", _xlfn.IFS(K144="AS", H144+15, K144="NCR", H144+30, K144="submitted", H144+30, TRUE, "N/A")), _xlfn.IFS(K144="AS", I144+15, K144="NCR", I144+30, K144="submitted", I144+30, TRUE, "N/A"))</f>
        <v>N/A</v>
      </c>
      <c r="K144" s="9"/>
      <c r="L144" s="318"/>
      <c r="M144" s="772"/>
      <c r="N144" s="773"/>
      <c r="O144" s="773"/>
      <c r="P144" s="774"/>
    </row>
    <row r="145" spans="1:16" s="1" customFormat="1" ht="15" customHeight="1">
      <c r="A145" s="9"/>
      <c r="B145" s="791"/>
      <c r="C145" s="793"/>
      <c r="D145" s="39"/>
      <c r="E145" s="39"/>
      <c r="F145" s="9" t="s">
        <v>2172</v>
      </c>
      <c r="G145" s="13" t="s">
        <v>2173</v>
      </c>
      <c r="H145" s="18"/>
      <c r="I145" s="18"/>
      <c r="J145" s="74" t="str" cm="1">
        <f t="array" ref="J145">IF(ISBLANK(I145), IF(ISBLANK(H145), "N/A", _xlfn.IFS(K145="AS", H145+15, K145="NCR", H145+30, K145="submitted", H145+30, TRUE, "N/A")), _xlfn.IFS(K145="AS", I145+15, K145="NCR", I145+30, K145="submitted", I145+30, TRUE, "N/A"))</f>
        <v>N/A</v>
      </c>
      <c r="K145" s="9"/>
      <c r="L145" s="318"/>
      <c r="M145" s="772"/>
      <c r="N145" s="773"/>
      <c r="O145" s="773"/>
      <c r="P145" s="774"/>
    </row>
    <row r="146" spans="1:16" s="1" customFormat="1" ht="15" customHeight="1">
      <c r="A146" s="9"/>
      <c r="B146" s="791"/>
      <c r="C146" s="793"/>
      <c r="D146" s="39"/>
      <c r="E146" s="39"/>
      <c r="F146" s="9" t="s">
        <v>2174</v>
      </c>
      <c r="G146" s="13" t="s">
        <v>2207</v>
      </c>
      <c r="H146" s="18"/>
      <c r="I146" s="18"/>
      <c r="J146" s="74" t="str" cm="1">
        <f t="array" ref="J146">IF(ISBLANK(I146), IF(ISBLANK(H146), "N/A", _xlfn.IFS(K146="AS", H146+15, K146="NCR", H146+30, K146="submitted", H146+30, TRUE, "N/A")), _xlfn.IFS(K146="AS", I146+15, K146="NCR", I146+30, K146="submitted", I146+30, TRUE, "N/A"))</f>
        <v>N/A</v>
      </c>
      <c r="K146" s="9"/>
      <c r="L146" s="318"/>
      <c r="M146" s="772"/>
      <c r="N146" s="773"/>
      <c r="O146" s="773"/>
      <c r="P146" s="774"/>
    </row>
    <row r="147" spans="1:16" s="1" customFormat="1" ht="15" customHeight="1">
      <c r="A147" s="9"/>
      <c r="B147" s="791"/>
      <c r="C147" s="793"/>
      <c r="D147" s="39"/>
      <c r="E147" s="39"/>
      <c r="F147" s="9" t="s">
        <v>2175</v>
      </c>
      <c r="G147" s="13" t="s">
        <v>2176</v>
      </c>
      <c r="H147" s="18"/>
      <c r="I147" s="18"/>
      <c r="J147" s="74" t="str" cm="1">
        <f t="array" ref="J147">IF(ISBLANK(I147), IF(ISBLANK(H147), "N/A", _xlfn.IFS(K147="AS", H147+15, K147="NCR", H147+30, K147="submitted", H147+30, TRUE, "N/A")), _xlfn.IFS(K147="AS", I147+15, K147="NCR", I147+30, K147="submitted", I147+30, TRUE, "N/A"))</f>
        <v>N/A</v>
      </c>
      <c r="K147" s="9"/>
      <c r="L147" s="318"/>
      <c r="M147" s="772"/>
      <c r="N147" s="773"/>
      <c r="O147" s="773"/>
      <c r="P147" s="774"/>
    </row>
    <row r="148" spans="1:16" s="1" customFormat="1" ht="15" customHeight="1">
      <c r="A148" s="9"/>
      <c r="B148" s="791"/>
      <c r="C148" s="793"/>
      <c r="D148" s="39"/>
      <c r="E148" s="39"/>
      <c r="F148" s="9" t="s">
        <v>400</v>
      </c>
      <c r="G148" s="13" t="s">
        <v>345</v>
      </c>
      <c r="H148" s="18"/>
      <c r="I148" s="18"/>
      <c r="J148" s="74" t="str" cm="1">
        <f t="array" ref="J148">IF(ISBLANK(I148), IF(ISBLANK(H148), "N/A", _xlfn.IFS(K148="AS", H148+15, K148="NCR", H148+30, K148="submitted", H148+30, TRUE, "N/A")), _xlfn.IFS(K148="AS", I148+15, K148="NCR", I148+30, K148="submitted", I148+30, TRUE, "N/A"))</f>
        <v>N/A</v>
      </c>
      <c r="K148" s="9"/>
      <c r="L148" s="318"/>
      <c r="M148" s="772"/>
      <c r="N148" s="773"/>
      <c r="O148" s="773"/>
      <c r="P148" s="774"/>
    </row>
    <row r="149" spans="1:16" s="1" customFormat="1" ht="15" customHeight="1">
      <c r="A149" s="9"/>
      <c r="B149" s="791"/>
      <c r="C149" s="793"/>
      <c r="D149" s="39"/>
      <c r="E149" s="39"/>
      <c r="F149" s="9" t="s">
        <v>433</v>
      </c>
      <c r="G149" s="13" t="s">
        <v>2185</v>
      </c>
      <c r="H149" s="18"/>
      <c r="I149" s="18"/>
      <c r="J149" s="74" t="str" cm="1">
        <f t="array" ref="J149">IF(ISBLANK(I149), IF(ISBLANK(H149), "N/A", _xlfn.IFS(K149="AS", H149+15, K149="NCR", H149+30, K149="submitted", H149+30, TRUE, "N/A")), _xlfn.IFS(K149="AS", I149+15, K149="NCR", I149+30, K149="submitted", I149+30, TRUE, "N/A"))</f>
        <v>N/A</v>
      </c>
      <c r="K149" s="9"/>
      <c r="L149" s="318"/>
      <c r="M149" s="772"/>
      <c r="N149" s="773"/>
      <c r="O149" s="773"/>
      <c r="P149" s="774"/>
    </row>
    <row r="150" spans="1:16" s="1" customFormat="1" ht="15" customHeight="1">
      <c r="A150" s="9"/>
      <c r="B150" s="791"/>
      <c r="C150" s="793"/>
      <c r="D150" s="39"/>
      <c r="E150" s="39"/>
      <c r="F150" s="9" t="s">
        <v>435</v>
      </c>
      <c r="G150" s="13" t="s">
        <v>2102</v>
      </c>
      <c r="H150" s="18"/>
      <c r="I150" s="18"/>
      <c r="J150" s="74" t="str" cm="1">
        <f t="array" ref="J150">IF(ISBLANK(I150), IF(ISBLANK(H150), "N/A", _xlfn.IFS(K150="AS", H150+15, K150="NCR", H150+30, K150="submitted", H150+30, TRUE, "N/A")), _xlfn.IFS(K150="AS", I150+15, K150="NCR", I150+30, K150="submitted", I150+30, TRUE, "N/A"))</f>
        <v>N/A</v>
      </c>
      <c r="K150" s="9"/>
      <c r="L150" s="318"/>
      <c r="M150" s="772"/>
      <c r="N150" s="773"/>
      <c r="O150" s="773"/>
      <c r="P150" s="774"/>
    </row>
    <row r="151" spans="1:16" s="1" customFormat="1" ht="15" customHeight="1">
      <c r="A151" s="9"/>
      <c r="B151" s="777"/>
      <c r="C151" s="779"/>
      <c r="D151" s="46"/>
      <c r="E151" s="46"/>
      <c r="F151" s="9" t="s">
        <v>437</v>
      </c>
      <c r="G151" s="13" t="s">
        <v>372</v>
      </c>
      <c r="H151" s="18"/>
      <c r="I151" s="18"/>
      <c r="J151" s="74" t="str" cm="1">
        <f t="array" ref="J151">IF(ISBLANK(I151), IF(ISBLANK(H151), "N/A", _xlfn.IFS(K151="AS", H151+15, K151="NCR", H151+30, K151="submitted", H151+30, TRUE, "N/A")), _xlfn.IFS(K151="AS", I151+15, K151="NCR", I151+30, K151="submitted", I151+30, TRUE, "N/A"))</f>
        <v>N/A</v>
      </c>
      <c r="K151" s="9"/>
      <c r="L151" s="318"/>
      <c r="M151" s="772"/>
      <c r="N151" s="773"/>
      <c r="O151" s="773"/>
      <c r="P151" s="774"/>
    </row>
    <row r="152" spans="1:16" s="5" customFormat="1" ht="15" customHeight="1">
      <c r="A152" s="4"/>
      <c r="B152" s="794" t="s">
        <v>2208</v>
      </c>
      <c r="C152" s="796" t="s">
        <v>2209</v>
      </c>
      <c r="D152" s="34"/>
      <c r="E152" s="34"/>
      <c r="F152" s="4" t="s">
        <v>275</v>
      </c>
      <c r="G152" s="17" t="s">
        <v>229</v>
      </c>
      <c r="H152" s="18"/>
      <c r="I152" s="18"/>
      <c r="J152" s="74" t="str" cm="1">
        <f t="array" ref="J152">IF(ISBLANK(I152), IF(ISBLANK(H152), "N/A", _xlfn.IFS(K152="AS", H152+15, K152="NCR", H152+30, K152="submitted", H152+30, TRUE, "N/A")), _xlfn.IFS(K152="AS", I152+15, K152="NCR", I152+30, K152="submitted", I152+30, TRUE, "N/A"))</f>
        <v>N/A</v>
      </c>
      <c r="K152" s="4"/>
      <c r="L152" s="318"/>
      <c r="M152" s="772"/>
      <c r="N152" s="773"/>
      <c r="O152" s="773"/>
      <c r="P152" s="774"/>
    </row>
    <row r="153" spans="1:16" s="5" customFormat="1" ht="15" customHeight="1">
      <c r="A153" s="4"/>
      <c r="B153" s="798"/>
      <c r="C153" s="799"/>
      <c r="D153" s="35"/>
      <c r="E153" s="35"/>
      <c r="F153" s="4" t="s">
        <v>263</v>
      </c>
      <c r="G153" s="17" t="s">
        <v>276</v>
      </c>
      <c r="H153" s="18"/>
      <c r="I153" s="18"/>
      <c r="J153" s="74" t="str" cm="1">
        <f t="array" ref="J153">IF(ISBLANK(I153), IF(ISBLANK(H153), "N/A", _xlfn.IFS(K153="AS", H153+15, K153="NCR", H153+30, K153="submitted", H153+30, TRUE, "N/A")), _xlfn.IFS(K153="AS", I153+15, K153="NCR", I153+30, K153="submitted", I153+30, TRUE, "N/A"))</f>
        <v>N/A</v>
      </c>
      <c r="K153" s="4"/>
      <c r="L153" s="318"/>
      <c r="M153" s="772"/>
      <c r="N153" s="773"/>
      <c r="O153" s="773"/>
      <c r="P153" s="774"/>
    </row>
    <row r="154" spans="1:16" s="5" customFormat="1" ht="40.5" customHeight="1">
      <c r="A154" s="4"/>
      <c r="B154" s="798"/>
      <c r="C154" s="799"/>
      <c r="D154" s="35"/>
      <c r="E154" s="35"/>
      <c r="F154" s="4" t="s">
        <v>364</v>
      </c>
      <c r="G154" s="3" t="s">
        <v>2183</v>
      </c>
      <c r="H154" s="18"/>
      <c r="I154" s="18"/>
      <c r="J154" s="74" t="str" cm="1">
        <f t="array" ref="J154">IF(ISBLANK(I154), IF(ISBLANK(H154), "N/A", _xlfn.IFS(K154="AS", H154+15, K154="NCR", H154+30, K154="submitted", H154+30, TRUE, "N/A")), _xlfn.IFS(K154="AS", I154+15, K154="NCR", I154+30, K154="submitted", I154+30, TRUE, "N/A"))</f>
        <v>N/A</v>
      </c>
      <c r="K154" s="4"/>
      <c r="L154" s="318"/>
      <c r="M154" s="772"/>
      <c r="N154" s="773"/>
      <c r="O154" s="773"/>
      <c r="P154" s="774"/>
    </row>
    <row r="155" spans="1:16" s="5" customFormat="1" ht="27" customHeight="1">
      <c r="A155" s="4"/>
      <c r="B155" s="798"/>
      <c r="C155" s="799"/>
      <c r="D155" s="35"/>
      <c r="E155" s="35"/>
      <c r="F155" s="4" t="s">
        <v>366</v>
      </c>
      <c r="G155" s="3" t="s">
        <v>2184</v>
      </c>
      <c r="H155" s="18"/>
      <c r="I155" s="18"/>
      <c r="J155" s="74" t="str" cm="1">
        <f t="array" ref="J155">IF(ISBLANK(I155), IF(ISBLANK(H155), "N/A", _xlfn.IFS(K155="AS", H155+15, K155="NCR", H155+30, K155="submitted", H155+30, TRUE, "N/A")), _xlfn.IFS(K155="AS", I155+15, K155="NCR", I155+30, K155="submitted", I155+30, TRUE, "N/A"))</f>
        <v>N/A</v>
      </c>
      <c r="K155" s="4"/>
      <c r="L155" s="318"/>
      <c r="M155" s="772"/>
      <c r="N155" s="773"/>
      <c r="O155" s="773"/>
      <c r="P155" s="774"/>
    </row>
    <row r="156" spans="1:16" s="5" customFormat="1" ht="15" customHeight="1">
      <c r="A156" s="4"/>
      <c r="B156" s="795"/>
      <c r="C156" s="797"/>
      <c r="D156" s="36"/>
      <c r="E156" s="36"/>
      <c r="F156" s="4" t="s">
        <v>344</v>
      </c>
      <c r="G156" s="17" t="s">
        <v>372</v>
      </c>
      <c r="H156" s="18"/>
      <c r="I156" s="18"/>
      <c r="J156" s="74" t="str" cm="1">
        <f t="array" ref="J156">IF(ISBLANK(I156), IF(ISBLANK(H156), "N/A", _xlfn.IFS(K156="AS", H156+15, K156="NCR", H156+30, K156="submitted", H156+30, TRUE, "N/A")), _xlfn.IFS(K156="AS", I156+15, K156="NCR", I156+30, K156="submitted", I156+30, TRUE, "N/A"))</f>
        <v>N/A</v>
      </c>
      <c r="K156" s="4"/>
      <c r="L156" s="318"/>
      <c r="M156" s="772"/>
      <c r="N156" s="773"/>
      <c r="O156" s="773"/>
      <c r="P156" s="774"/>
    </row>
    <row r="157" spans="1:16" s="1" customFormat="1" ht="15" customHeight="1">
      <c r="A157" s="9"/>
      <c r="B157" s="790" t="s">
        <v>2210</v>
      </c>
      <c r="C157" s="792" t="s">
        <v>2211</v>
      </c>
      <c r="D157" s="37"/>
      <c r="E157" s="37"/>
      <c r="F157" s="9" t="s">
        <v>275</v>
      </c>
      <c r="G157" s="13" t="s">
        <v>229</v>
      </c>
      <c r="H157" s="18"/>
      <c r="I157" s="18"/>
      <c r="J157" s="74" t="str" cm="1">
        <f t="array" ref="J157">IF(ISBLANK(I157), IF(ISBLANK(H157), "N/A", _xlfn.IFS(K157="AS", H157+15, K157="NCR", H157+30, K157="submitted", H157+30, TRUE, "N/A")), _xlfn.IFS(K157="AS", I157+15, K157="NCR", I157+30, K157="submitted", I157+30, TRUE, "N/A"))</f>
        <v>N/A</v>
      </c>
      <c r="K157" s="9"/>
      <c r="L157" s="318"/>
      <c r="M157" s="772"/>
      <c r="N157" s="773"/>
      <c r="O157" s="773"/>
      <c r="P157" s="774"/>
    </row>
    <row r="158" spans="1:16" s="1" customFormat="1" ht="40.5">
      <c r="A158" s="9"/>
      <c r="B158" s="791"/>
      <c r="C158" s="793"/>
      <c r="D158" s="39"/>
      <c r="E158" s="39"/>
      <c r="F158" s="9" t="s">
        <v>321</v>
      </c>
      <c r="G158" s="7" t="s">
        <v>2183</v>
      </c>
      <c r="H158" s="18"/>
      <c r="I158" s="18"/>
      <c r="J158" s="74" t="str" cm="1">
        <f t="array" ref="J158">IF(ISBLANK(I158), IF(ISBLANK(H158), "N/A", _xlfn.IFS(K158="AS", H158+15, K158="NCR", H158+30, K158="submitted", H158+30, TRUE, "N/A")), _xlfn.IFS(K158="AS", I158+15, K158="NCR", I158+30, K158="submitted", I158+30, TRUE, "N/A"))</f>
        <v>N/A</v>
      </c>
      <c r="K158" s="9"/>
      <c r="L158" s="318"/>
      <c r="M158" s="772"/>
      <c r="N158" s="773"/>
      <c r="O158" s="773"/>
      <c r="P158" s="774"/>
    </row>
    <row r="159" spans="1:16" s="1" customFormat="1" ht="27" customHeight="1">
      <c r="A159" s="9"/>
      <c r="B159" s="791"/>
      <c r="C159" s="793"/>
      <c r="D159" s="39"/>
      <c r="E159" s="39"/>
      <c r="F159" s="9" t="s">
        <v>592</v>
      </c>
      <c r="G159" s="7" t="s">
        <v>2184</v>
      </c>
      <c r="H159" s="18"/>
      <c r="I159" s="18"/>
      <c r="J159" s="74" t="str" cm="1">
        <f t="array" ref="J159">IF(ISBLANK(I159), IF(ISBLANK(H159), "N/A", _xlfn.IFS(K159="AS", H159+15, K159="NCR", H159+30, K159="submitted", H159+30, TRUE, "N/A")), _xlfn.IFS(K159="AS", I159+15, K159="NCR", I159+30, K159="submitted", I159+30, TRUE, "N/A"))</f>
        <v>N/A</v>
      </c>
      <c r="K159" s="9"/>
      <c r="L159" s="318"/>
      <c r="M159" s="772"/>
      <c r="N159" s="773"/>
      <c r="O159" s="773"/>
      <c r="P159" s="774"/>
    </row>
    <row r="160" spans="1:16" s="1" customFormat="1" ht="15" customHeight="1">
      <c r="A160" s="9"/>
      <c r="B160" s="791"/>
      <c r="C160" s="793"/>
      <c r="D160" s="39"/>
      <c r="E160" s="39"/>
      <c r="F160" s="9" t="s">
        <v>253</v>
      </c>
      <c r="G160" s="13" t="s">
        <v>372</v>
      </c>
      <c r="H160" s="18"/>
      <c r="I160" s="18"/>
      <c r="J160" s="74" t="str" cm="1">
        <f t="array" ref="J160">IF(ISBLANK(I160), IF(ISBLANK(H160), "N/A", _xlfn.IFS(K160="AS", H160+15, K160="NCR", H160+30, K160="submitted", H160+30, TRUE, "N/A")), _xlfn.IFS(K160="AS", I160+15, K160="NCR", I160+30, K160="submitted", I160+30, TRUE, "N/A"))</f>
        <v>N/A</v>
      </c>
      <c r="K160" s="9"/>
      <c r="L160" s="318"/>
      <c r="M160" s="772"/>
      <c r="N160" s="773"/>
      <c r="O160" s="773"/>
      <c r="P160" s="774"/>
    </row>
    <row r="161" spans="1:16" s="1" customFormat="1" ht="15" customHeight="1">
      <c r="A161" s="9"/>
      <c r="B161" s="777"/>
      <c r="C161" s="779"/>
      <c r="D161" s="46"/>
      <c r="E161" s="46"/>
      <c r="F161" s="9" t="s">
        <v>344</v>
      </c>
      <c r="G161" s="13" t="s">
        <v>2212</v>
      </c>
      <c r="H161" s="18"/>
      <c r="I161" s="18"/>
      <c r="J161" s="74" t="str" cm="1">
        <f t="array" ref="J161">IF(ISBLANK(I161), IF(ISBLANK(H161), "N/A", _xlfn.IFS(K161="AS", H161+15, K161="NCR", H161+30, K161="submitted", H161+30, TRUE, "N/A")), _xlfn.IFS(K161="AS", I161+15, K161="NCR", I161+30, K161="submitted", I161+30, TRUE, "N/A"))</f>
        <v>N/A</v>
      </c>
      <c r="K161" s="9"/>
      <c r="L161" s="318"/>
      <c r="M161" s="772"/>
      <c r="N161" s="773"/>
      <c r="O161" s="773"/>
      <c r="P161" s="774"/>
    </row>
    <row r="162" spans="1:16" s="5" customFormat="1" ht="15" customHeight="1">
      <c r="A162" s="4"/>
      <c r="B162" s="54" t="s">
        <v>2213</v>
      </c>
      <c r="C162" s="55" t="s">
        <v>2214</v>
      </c>
      <c r="D162" s="34"/>
      <c r="E162" s="34"/>
      <c r="F162" s="4" t="s">
        <v>275</v>
      </c>
      <c r="G162" s="17" t="s">
        <v>2215</v>
      </c>
      <c r="H162" s="18"/>
      <c r="I162" s="18"/>
      <c r="J162" s="74" t="str" cm="1">
        <f t="array" ref="J162">IF(ISBLANK(I162), IF(ISBLANK(H162), "N/A", _xlfn.IFS(K162="AS", H162+15, K162="NCR", H162+30, K162="submitted", H162+30, TRUE, "N/A")), _xlfn.IFS(K162="AS", I162+15, K162="NCR", I162+30, K162="submitted", I162+30, TRUE, "N/A"))</f>
        <v>N/A</v>
      </c>
      <c r="K162" s="4"/>
      <c r="L162" s="318"/>
      <c r="M162" s="772"/>
      <c r="N162" s="773"/>
      <c r="O162" s="773"/>
      <c r="P162" s="774"/>
    </row>
    <row r="163" spans="1:16" s="5" customFormat="1" ht="15" customHeight="1">
      <c r="A163" s="4"/>
      <c r="B163" s="54" t="s">
        <v>2213</v>
      </c>
      <c r="C163" s="55" t="s">
        <v>2214</v>
      </c>
      <c r="D163" s="35"/>
      <c r="E163" s="35"/>
      <c r="F163" s="4" t="s">
        <v>263</v>
      </c>
      <c r="G163" s="17" t="s">
        <v>2216</v>
      </c>
      <c r="H163" s="18"/>
      <c r="I163" s="18"/>
      <c r="J163" s="74" t="str" cm="1">
        <f t="array" ref="J163">IF(ISBLANK(I163), IF(ISBLANK(H163), "N/A", _xlfn.IFS(K163="AS", H163+15, K163="NCR", H163+30, K163="submitted", H163+30, TRUE, "N/A")), _xlfn.IFS(K163="AS", I163+15, K163="NCR", I163+30, K163="submitted", I163+30, TRUE, "N/A"))</f>
        <v>N/A</v>
      </c>
      <c r="K163" s="4"/>
      <c r="L163" s="318"/>
      <c r="M163" s="772"/>
      <c r="N163" s="773"/>
      <c r="O163" s="773"/>
      <c r="P163" s="774"/>
    </row>
    <row r="164" spans="1:16" s="138" customFormat="1" ht="27" customHeight="1">
      <c r="A164" s="152" t="s">
        <v>2217</v>
      </c>
      <c r="B164" s="170" t="s">
        <v>2213</v>
      </c>
      <c r="C164" s="261" t="s">
        <v>2214</v>
      </c>
      <c r="D164" s="348" t="s">
        <v>2218</v>
      </c>
      <c r="E164" s="348"/>
      <c r="F164" s="152">
        <v>1.05</v>
      </c>
      <c r="G164" s="154" t="s">
        <v>2219</v>
      </c>
      <c r="H164" s="262">
        <v>45894</v>
      </c>
      <c r="I164" s="262">
        <v>45911</v>
      </c>
      <c r="J164" s="74" t="str" cm="1">
        <f t="array" ref="J164">IF(ISBLANK(I164), IF(ISBLANK(H164), "N/A", _xlfn.IFS(K164="AS", H164+15, K164="NCR", H164+30, K164="submitted", H164+30, TRUE, "N/A")), _xlfn.IFS(K164="AS", I164+15, K164="NCR", I164+30, K164="submitted", I164+30, TRUE, "N/A"))</f>
        <v>N/A</v>
      </c>
      <c r="K164" s="152" t="s">
        <v>150</v>
      </c>
      <c r="L164" s="318"/>
      <c r="M164" s="772"/>
      <c r="N164" s="773"/>
      <c r="O164" s="773"/>
      <c r="P164" s="774"/>
    </row>
    <row r="165" spans="1:16" s="5" customFormat="1" ht="15" customHeight="1">
      <c r="A165" s="4"/>
      <c r="B165" s="54" t="s">
        <v>2213</v>
      </c>
      <c r="C165" s="55" t="s">
        <v>2214</v>
      </c>
      <c r="D165" s="36"/>
      <c r="E165" s="36"/>
      <c r="F165" s="4" t="s">
        <v>344</v>
      </c>
      <c r="G165" s="17" t="s">
        <v>2220</v>
      </c>
      <c r="H165" s="18"/>
      <c r="I165" s="18"/>
      <c r="J165" s="74" t="str" cm="1">
        <f t="array" ref="J165">IF(ISBLANK(I165), IF(ISBLANK(H165), "N/A", _xlfn.IFS(K165="AS", H165+15, K165="NCR", H165+30, K165="submitted", H165+30, TRUE, "N/A")), _xlfn.IFS(K165="AS", I165+15, K165="NCR", I165+30, K165="submitted", I165+30, TRUE, "N/A"))</f>
        <v>N/A</v>
      </c>
      <c r="K165" s="4"/>
      <c r="L165" s="318"/>
      <c r="M165" s="772"/>
      <c r="N165" s="773"/>
      <c r="O165" s="773"/>
      <c r="P165" s="774"/>
    </row>
    <row r="166" spans="1:16" s="1" customFormat="1" ht="15" customHeight="1">
      <c r="A166" s="9"/>
      <c r="B166" s="790" t="s">
        <v>2221</v>
      </c>
      <c r="C166" s="792" t="s">
        <v>2222</v>
      </c>
      <c r="D166" s="37"/>
      <c r="E166" s="37"/>
      <c r="F166" s="9" t="s">
        <v>275</v>
      </c>
      <c r="G166" s="13" t="s">
        <v>229</v>
      </c>
      <c r="H166" s="18"/>
      <c r="I166" s="18"/>
      <c r="J166" s="74" t="str" cm="1">
        <f t="array" ref="J166">IF(ISBLANK(I166), IF(ISBLANK(H166), "N/A", _xlfn.IFS(K166="AS", H166+15, K166="NCR", H166+30, K166="submitted", H166+30, TRUE, "N/A")), _xlfn.IFS(K166="AS", I166+15, K166="NCR", I166+30, K166="submitted", I166+30, TRUE, "N/A"))</f>
        <v>N/A</v>
      </c>
      <c r="K166" s="9"/>
      <c r="L166" s="318"/>
      <c r="M166" s="772"/>
      <c r="N166" s="773"/>
      <c r="O166" s="773"/>
      <c r="P166" s="774"/>
    </row>
    <row r="167" spans="1:16" s="1" customFormat="1" ht="15" customHeight="1">
      <c r="A167" s="9"/>
      <c r="B167" s="791"/>
      <c r="C167" s="793"/>
      <c r="D167" s="39"/>
      <c r="E167" s="39"/>
      <c r="F167" s="9" t="s">
        <v>263</v>
      </c>
      <c r="G167" s="13" t="s">
        <v>276</v>
      </c>
      <c r="H167" s="18"/>
      <c r="I167" s="18"/>
      <c r="J167" s="74" t="str" cm="1">
        <f t="array" ref="J167">IF(ISBLANK(I167), IF(ISBLANK(H167), "N/A", _xlfn.IFS(K167="AS", H167+15, K167="NCR", H167+30, K167="submitted", H167+30, TRUE, "N/A")), _xlfn.IFS(K167="AS", I167+15, K167="NCR", I167+30, K167="submitted", I167+30, TRUE, "N/A"))</f>
        <v>N/A</v>
      </c>
      <c r="K167" s="9"/>
      <c r="L167" s="318"/>
      <c r="M167" s="772"/>
      <c r="N167" s="773"/>
      <c r="O167" s="773"/>
      <c r="P167" s="774"/>
    </row>
    <row r="168" spans="1:16" s="1" customFormat="1" ht="15" customHeight="1">
      <c r="A168" s="9"/>
      <c r="B168" s="777"/>
      <c r="C168" s="779"/>
      <c r="D168" s="46"/>
      <c r="E168" s="46"/>
      <c r="F168" s="9" t="s">
        <v>253</v>
      </c>
      <c r="G168" s="13" t="s">
        <v>2105</v>
      </c>
      <c r="H168" s="18"/>
      <c r="I168" s="18"/>
      <c r="J168" s="74" t="str" cm="1">
        <f t="array" ref="J168">IF(ISBLANK(I168), IF(ISBLANK(H168), "N/A", _xlfn.IFS(K168="AS", H168+15, K168="NCR", H168+30, K168="submitted", H168+30, TRUE, "N/A")), _xlfn.IFS(K168="AS", I168+15, K168="NCR", I168+30, K168="submitted", I168+30, TRUE, "N/A"))</f>
        <v>N/A</v>
      </c>
      <c r="K168" s="9"/>
      <c r="L168" s="318"/>
      <c r="M168" s="772"/>
      <c r="N168" s="773"/>
      <c r="O168" s="773"/>
      <c r="P168" s="774"/>
    </row>
    <row r="169" spans="1:16" s="5" customFormat="1" ht="15" customHeight="1">
      <c r="A169" s="4"/>
      <c r="B169" s="794" t="s">
        <v>2223</v>
      </c>
      <c r="C169" s="796" t="s">
        <v>2224</v>
      </c>
      <c r="D169" s="34"/>
      <c r="E169" s="34"/>
      <c r="F169" s="4" t="s">
        <v>328</v>
      </c>
      <c r="G169" s="17" t="s">
        <v>229</v>
      </c>
      <c r="H169" s="18"/>
      <c r="I169" s="18"/>
      <c r="J169" s="74" t="str" cm="1">
        <f t="array" ref="J169">IF(ISBLANK(I169), IF(ISBLANK(H169), "N/A", _xlfn.IFS(K169="AS", H169+15, K169="NCR", H169+30, K169="submitted", H169+30, TRUE, "N/A")), _xlfn.IFS(K169="AS", I169+15, K169="NCR", I169+30, K169="submitted", I169+30, TRUE, "N/A"))</f>
        <v>N/A</v>
      </c>
      <c r="K169" s="4"/>
      <c r="L169" s="318"/>
      <c r="M169" s="772"/>
      <c r="N169" s="773"/>
      <c r="O169" s="773"/>
      <c r="P169" s="774"/>
    </row>
    <row r="170" spans="1:16" s="5" customFormat="1" ht="27" customHeight="1">
      <c r="A170" s="4"/>
      <c r="B170" s="798"/>
      <c r="C170" s="799"/>
      <c r="D170" s="35"/>
      <c r="E170" s="35"/>
      <c r="F170" s="4" t="s">
        <v>234</v>
      </c>
      <c r="G170" s="3" t="s">
        <v>2184</v>
      </c>
      <c r="H170" s="18"/>
      <c r="I170" s="18"/>
      <c r="J170" s="74" t="str" cm="1">
        <f t="array" ref="J170">IF(ISBLANK(I170), IF(ISBLANK(H170), "N/A", _xlfn.IFS(K170="AS", H170+15, K170="NCR", H170+30, K170="submitted", H170+30, TRUE, "N/A")), _xlfn.IFS(K170="AS", I170+15, K170="NCR", I170+30, K170="submitted", I170+30, TRUE, "N/A"))</f>
        <v>N/A</v>
      </c>
      <c r="K170" s="4"/>
      <c r="L170" s="318"/>
      <c r="M170" s="772"/>
      <c r="N170" s="773"/>
      <c r="O170" s="773"/>
      <c r="P170" s="774"/>
    </row>
    <row r="171" spans="1:16" s="5" customFormat="1" ht="67.5">
      <c r="A171" s="4"/>
      <c r="B171" s="798"/>
      <c r="C171" s="799"/>
      <c r="D171" s="35"/>
      <c r="E171" s="35"/>
      <c r="F171" s="4" t="s">
        <v>2072</v>
      </c>
      <c r="G171" s="3" t="s">
        <v>2181</v>
      </c>
      <c r="H171" s="18"/>
      <c r="I171" s="18"/>
      <c r="J171" s="74" t="str" cm="1">
        <f t="array" ref="J171">IF(ISBLANK(I171), IF(ISBLANK(H171), "N/A", _xlfn.IFS(K171="AS", H171+15, K171="NCR", H171+30, K171="submitted", H171+30, TRUE, "N/A")), _xlfn.IFS(K171="AS", I171+15, K171="NCR", I171+30, K171="submitted", I171+30, TRUE, "N/A"))</f>
        <v>N/A</v>
      </c>
      <c r="K171" s="4"/>
      <c r="L171" s="318"/>
      <c r="M171" s="772"/>
      <c r="N171" s="773"/>
      <c r="O171" s="773"/>
      <c r="P171" s="774"/>
    </row>
    <row r="172" spans="1:16" s="5" customFormat="1" ht="40.5" customHeight="1">
      <c r="A172" s="4"/>
      <c r="B172" s="795"/>
      <c r="C172" s="797"/>
      <c r="D172" s="36"/>
      <c r="E172" s="36"/>
      <c r="F172" s="4" t="s">
        <v>1764</v>
      </c>
      <c r="G172" s="3" t="s">
        <v>2182</v>
      </c>
      <c r="H172" s="18"/>
      <c r="I172" s="18"/>
      <c r="J172" s="74" t="str" cm="1">
        <f t="array" ref="J172">IF(ISBLANK(I172), IF(ISBLANK(H172), "N/A", _xlfn.IFS(K172="AS", H172+15, K172="NCR", H172+30, K172="submitted", H172+30, TRUE, "N/A")), _xlfn.IFS(K172="AS", I172+15, K172="NCR", I172+30, K172="submitted", I172+30, TRUE, "N/A"))</f>
        <v>N/A</v>
      </c>
      <c r="K172" s="4"/>
      <c r="L172" s="318"/>
      <c r="M172" s="772"/>
      <c r="N172" s="773"/>
      <c r="O172" s="773"/>
      <c r="P172" s="774"/>
    </row>
    <row r="173" spans="1:16" s="1" customFormat="1" ht="15" customHeight="1">
      <c r="A173" s="9"/>
      <c r="B173" s="790" t="s">
        <v>2225</v>
      </c>
      <c r="C173" s="792" t="s">
        <v>2226</v>
      </c>
      <c r="D173" s="37"/>
      <c r="E173" s="37"/>
      <c r="F173" s="9" t="s">
        <v>275</v>
      </c>
      <c r="G173" s="13" t="s">
        <v>229</v>
      </c>
      <c r="H173" s="18"/>
      <c r="I173" s="18"/>
      <c r="J173" s="74" t="str" cm="1">
        <f t="array" ref="J173">IF(ISBLANK(I173), IF(ISBLANK(H173), "N/A", _xlfn.IFS(K173="AS", H173+15, K173="NCR", H173+30, K173="submitted", H173+30, TRUE, "N/A")), _xlfn.IFS(K173="AS", I173+15, K173="NCR", I173+30, K173="submitted", I173+30, TRUE, "N/A"))</f>
        <v>N/A</v>
      </c>
      <c r="K173" s="9"/>
      <c r="L173" s="318"/>
      <c r="M173" s="772"/>
      <c r="N173" s="773"/>
      <c r="O173" s="773"/>
      <c r="P173" s="774"/>
    </row>
    <row r="174" spans="1:16" s="1" customFormat="1" ht="15" customHeight="1">
      <c r="A174" s="9"/>
      <c r="B174" s="777"/>
      <c r="C174" s="779"/>
      <c r="D174" s="46"/>
      <c r="E174" s="46"/>
      <c r="F174" s="9" t="s">
        <v>321</v>
      </c>
      <c r="G174" s="13" t="s">
        <v>2196</v>
      </c>
      <c r="H174" s="18"/>
      <c r="I174" s="18"/>
      <c r="J174" s="74" t="str" cm="1">
        <f t="array" ref="J174">IF(ISBLANK(I174), IF(ISBLANK(H174), "N/A", _xlfn.IFS(K174="AS", H174+15, K174="NCR", H174+30, K174="submitted", H174+30, TRUE, "N/A")), _xlfn.IFS(K174="AS", I174+15, K174="NCR", I174+30, K174="submitted", I174+30, TRUE, "N/A"))</f>
        <v>N/A</v>
      </c>
      <c r="K174" s="9"/>
      <c r="L174" s="318"/>
      <c r="M174" s="772"/>
      <c r="N174" s="773"/>
      <c r="O174" s="773"/>
      <c r="P174" s="774"/>
    </row>
    <row r="175" spans="1:16" s="5" customFormat="1" ht="15" customHeight="1">
      <c r="A175" s="4"/>
      <c r="B175" s="794" t="s">
        <v>2227</v>
      </c>
      <c r="C175" s="796" t="s">
        <v>2228</v>
      </c>
      <c r="D175" s="34"/>
      <c r="E175" s="34"/>
      <c r="F175" s="4" t="s">
        <v>224</v>
      </c>
      <c r="G175" s="17" t="s">
        <v>2229</v>
      </c>
      <c r="H175" s="18"/>
      <c r="I175" s="18"/>
      <c r="J175" s="74" t="str" cm="1">
        <f t="array" ref="J175">IF(ISBLANK(I175), IF(ISBLANK(H175), "N/A", _xlfn.IFS(K175="AS", H175+15, K175="NCR", H175+30, K175="submitted", H175+30, TRUE, "N/A")), _xlfn.IFS(K175="AS", I175+15, K175="NCR", I175+30, K175="submitted", I175+30, TRUE, "N/A"))</f>
        <v>N/A</v>
      </c>
      <c r="K175" s="4"/>
      <c r="L175" s="318"/>
      <c r="M175" s="772"/>
      <c r="N175" s="773"/>
      <c r="O175" s="773"/>
      <c r="P175" s="774"/>
    </row>
    <row r="176" spans="1:16" s="5" customFormat="1" ht="15" customHeight="1">
      <c r="A176" s="4"/>
      <c r="B176" s="798"/>
      <c r="C176" s="799"/>
      <c r="D176" s="35"/>
      <c r="E176" s="35"/>
      <c r="F176" s="4" t="s">
        <v>328</v>
      </c>
      <c r="G176" s="17" t="s">
        <v>229</v>
      </c>
      <c r="H176" s="18"/>
      <c r="I176" s="18"/>
      <c r="J176" s="74" t="str" cm="1">
        <f t="array" ref="J176">IF(ISBLANK(I176), IF(ISBLANK(H176), "N/A", _xlfn.IFS(K176="AS", H176+15, K176="NCR", H176+30, K176="submitted", H176+30, TRUE, "N/A")), _xlfn.IFS(K176="AS", I176+15, K176="NCR", I176+30, K176="submitted", I176+30, TRUE, "N/A"))</f>
        <v>N/A</v>
      </c>
      <c r="K176" s="4"/>
      <c r="L176" s="318"/>
      <c r="M176" s="772"/>
      <c r="N176" s="773"/>
      <c r="O176" s="773"/>
      <c r="P176" s="774"/>
    </row>
    <row r="177" spans="1:16" s="5" customFormat="1" ht="15" customHeight="1">
      <c r="A177" s="4"/>
      <c r="B177" s="798"/>
      <c r="C177" s="799"/>
      <c r="D177" s="35"/>
      <c r="E177" s="35"/>
      <c r="F177" s="4" t="s">
        <v>329</v>
      </c>
      <c r="G177" s="17" t="s">
        <v>276</v>
      </c>
      <c r="H177" s="18"/>
      <c r="I177" s="18"/>
      <c r="J177" s="74" t="str" cm="1">
        <f t="array" ref="J177">IF(ISBLANK(I177), IF(ISBLANK(H177), "N/A", _xlfn.IFS(K177="AS", H177+15, K177="NCR", H177+30, K177="submitted", H177+30, TRUE, "N/A")), _xlfn.IFS(K177="AS", I177+15, K177="NCR", I177+30, K177="submitted", I177+30, TRUE, "N/A"))</f>
        <v>N/A</v>
      </c>
      <c r="K177" s="4"/>
      <c r="L177" s="318"/>
      <c r="M177" s="772"/>
      <c r="N177" s="773"/>
      <c r="O177" s="773"/>
      <c r="P177" s="774"/>
    </row>
    <row r="178" spans="1:16" s="5" customFormat="1" ht="67.5">
      <c r="A178" s="4"/>
      <c r="B178" s="798"/>
      <c r="C178" s="799"/>
      <c r="D178" s="35"/>
      <c r="E178" s="35"/>
      <c r="F178" s="4" t="s">
        <v>2072</v>
      </c>
      <c r="G178" s="3" t="s">
        <v>2181</v>
      </c>
      <c r="H178" s="18"/>
      <c r="I178" s="18"/>
      <c r="J178" s="74" t="str" cm="1">
        <f t="array" ref="J178">IF(ISBLANK(I178), IF(ISBLANK(H178), "N/A", _xlfn.IFS(K178="AS", H178+15, K178="NCR", H178+30, K178="submitted", H178+30, TRUE, "N/A")), _xlfn.IFS(K178="AS", I178+15, K178="NCR", I178+30, K178="submitted", I178+30, TRUE, "N/A"))</f>
        <v>N/A</v>
      </c>
      <c r="K178" s="4"/>
      <c r="L178" s="318"/>
      <c r="M178" s="772"/>
      <c r="N178" s="773"/>
      <c r="O178" s="773"/>
      <c r="P178" s="774"/>
    </row>
    <row r="179" spans="1:16" s="5" customFormat="1" ht="40.5" customHeight="1">
      <c r="A179" s="4"/>
      <c r="B179" s="798"/>
      <c r="C179" s="799"/>
      <c r="D179" s="35"/>
      <c r="E179" s="35"/>
      <c r="F179" s="4" t="s">
        <v>1764</v>
      </c>
      <c r="G179" s="3" t="s">
        <v>2182</v>
      </c>
      <c r="H179" s="18"/>
      <c r="I179" s="18"/>
      <c r="J179" s="74" t="str" cm="1">
        <f t="array" ref="J179">IF(ISBLANK(I179), IF(ISBLANK(H179), "N/A", _xlfn.IFS(K179="AS", H179+15, K179="NCR", H179+30, K179="submitted", H179+30, TRUE, "N/A")), _xlfn.IFS(K179="AS", I179+15, K179="NCR", I179+30, K179="submitted", I179+30, TRUE, "N/A"))</f>
        <v>N/A</v>
      </c>
      <c r="K179" s="4"/>
      <c r="L179" s="318"/>
      <c r="M179" s="772"/>
      <c r="N179" s="773"/>
      <c r="O179" s="773"/>
      <c r="P179" s="774"/>
    </row>
    <row r="180" spans="1:16" s="5" customFormat="1" ht="15" customHeight="1">
      <c r="A180" s="4"/>
      <c r="B180" s="795"/>
      <c r="C180" s="797"/>
      <c r="D180" s="36"/>
      <c r="E180" s="36"/>
      <c r="F180" s="4" t="s">
        <v>397</v>
      </c>
      <c r="G180" s="3" t="s">
        <v>372</v>
      </c>
      <c r="H180" s="18"/>
      <c r="I180" s="18"/>
      <c r="J180" s="74" t="str" cm="1">
        <f t="array" ref="J180">IF(ISBLANK(I180), IF(ISBLANK(H180), "N/A", _xlfn.IFS(K180="AS", H180+15, K180="NCR", H180+30, K180="submitted", H180+30, TRUE, "N/A")), _xlfn.IFS(K180="AS", I180+15, K180="NCR", I180+30, K180="submitted", I180+30, TRUE, "N/A"))</f>
        <v>N/A</v>
      </c>
      <c r="K180" s="4"/>
      <c r="L180" s="318"/>
      <c r="M180" s="772"/>
      <c r="N180" s="773"/>
      <c r="O180" s="773"/>
      <c r="P180" s="774"/>
    </row>
    <row r="181" spans="1:16" s="1" customFormat="1" ht="15" customHeight="1">
      <c r="A181" s="9"/>
      <c r="B181" s="790" t="s">
        <v>2230</v>
      </c>
      <c r="C181" s="792" t="s">
        <v>2231</v>
      </c>
      <c r="D181" s="37"/>
      <c r="E181" s="37"/>
      <c r="F181" s="9" t="s">
        <v>328</v>
      </c>
      <c r="G181" s="13" t="s">
        <v>229</v>
      </c>
      <c r="H181" s="18"/>
      <c r="I181" s="18"/>
      <c r="J181" s="74" t="str" cm="1">
        <f t="array" ref="J181">IF(ISBLANK(I181), IF(ISBLANK(H181), "N/A", _xlfn.IFS(K181="AS", H181+15, K181="NCR", H181+30, K181="submitted", H181+30, TRUE, "N/A")), _xlfn.IFS(K181="AS", I181+15, K181="NCR", I181+30, K181="submitted", I181+30, TRUE, "N/A"))</f>
        <v>N/A</v>
      </c>
      <c r="K181" s="9"/>
      <c r="L181" s="318"/>
      <c r="M181" s="772"/>
      <c r="N181" s="773"/>
      <c r="O181" s="773"/>
      <c r="P181" s="774"/>
    </row>
    <row r="182" spans="1:16" s="1" customFormat="1" ht="15" customHeight="1">
      <c r="A182" s="9"/>
      <c r="B182" s="791"/>
      <c r="C182" s="793"/>
      <c r="D182" s="39"/>
      <c r="E182" s="39"/>
      <c r="F182" s="9" t="s">
        <v>329</v>
      </c>
      <c r="G182" s="13" t="s">
        <v>320</v>
      </c>
      <c r="H182" s="18"/>
      <c r="I182" s="18"/>
      <c r="J182" s="74" t="str" cm="1">
        <f t="array" ref="J182">IF(ISBLANK(I182), IF(ISBLANK(H182), "N/A", _xlfn.IFS(K182="AS", H182+15, K182="NCR", H182+30, K182="submitted", H182+30, TRUE, "N/A")), _xlfn.IFS(K182="AS", I182+15, K182="NCR", I182+30, K182="submitted", I182+30, TRUE, "N/A"))</f>
        <v>N/A</v>
      </c>
      <c r="K182" s="9"/>
      <c r="L182" s="318"/>
      <c r="M182" s="772"/>
      <c r="N182" s="773"/>
      <c r="O182" s="773"/>
      <c r="P182" s="774"/>
    </row>
    <row r="183" spans="1:16" s="1" customFormat="1" ht="40.5" customHeight="1">
      <c r="A183" s="9"/>
      <c r="B183" s="791"/>
      <c r="C183" s="793"/>
      <c r="D183" s="39"/>
      <c r="E183" s="39"/>
      <c r="F183" s="9" t="s">
        <v>330</v>
      </c>
      <c r="G183" s="7" t="s">
        <v>2164</v>
      </c>
      <c r="H183" s="18"/>
      <c r="I183" s="18"/>
      <c r="J183" s="74" t="str" cm="1">
        <f t="array" ref="J183">IF(ISBLANK(I183), IF(ISBLANK(H183), "N/A", _xlfn.IFS(K183="AS", H183+15, K183="NCR", H183+30, K183="submitted", H183+30, TRUE, "N/A")), _xlfn.IFS(K183="AS", I183+15, K183="NCR", I183+30, K183="submitted", I183+30, TRUE, "N/A"))</f>
        <v>N/A</v>
      </c>
      <c r="K183" s="9"/>
      <c r="L183" s="318"/>
      <c r="M183" s="772"/>
      <c r="N183" s="773"/>
      <c r="O183" s="773"/>
      <c r="P183" s="774"/>
    </row>
    <row r="184" spans="1:16" s="1" customFormat="1" ht="15" customHeight="1">
      <c r="A184" s="9"/>
      <c r="B184" s="791"/>
      <c r="C184" s="793"/>
      <c r="D184" s="39"/>
      <c r="E184" s="39"/>
      <c r="F184" s="9" t="s">
        <v>397</v>
      </c>
      <c r="G184" s="13" t="s">
        <v>2105</v>
      </c>
      <c r="H184" s="18"/>
      <c r="I184" s="18"/>
      <c r="J184" s="74" t="str" cm="1">
        <f t="array" ref="J184">IF(ISBLANK(I184), IF(ISBLANK(H184), "N/A", _xlfn.IFS(K184="AS", H184+15, K184="NCR", H184+30, K184="submitted", H184+30, TRUE, "N/A")), _xlfn.IFS(K184="AS", I184+15, K184="NCR", I184+30, K184="submitted", I184+30, TRUE, "N/A"))</f>
        <v>N/A</v>
      </c>
      <c r="K184" s="9"/>
      <c r="L184" s="318"/>
      <c r="M184" s="772"/>
      <c r="N184" s="773"/>
      <c r="O184" s="773"/>
      <c r="P184" s="774"/>
    </row>
    <row r="185" spans="1:16" s="1" customFormat="1" ht="15" customHeight="1">
      <c r="A185" s="9"/>
      <c r="B185" s="791"/>
      <c r="C185" s="793"/>
      <c r="D185" s="39"/>
      <c r="E185" s="39"/>
      <c r="F185" s="9" t="s">
        <v>2169</v>
      </c>
      <c r="G185" s="13" t="s">
        <v>414</v>
      </c>
      <c r="H185" s="18"/>
      <c r="I185" s="18"/>
      <c r="J185" s="74" t="str" cm="1">
        <f t="array" ref="J185">IF(ISBLANK(I185), IF(ISBLANK(H185), "N/A", _xlfn.IFS(K185="AS", H185+15, K185="NCR", H185+30, K185="submitted", H185+30, TRUE, "N/A")), _xlfn.IFS(K185="AS", I185+15, K185="NCR", I185+30, K185="submitted", I185+30, TRUE, "N/A"))</f>
        <v>N/A</v>
      </c>
      <c r="K185" s="9"/>
      <c r="L185" s="318"/>
      <c r="M185" s="772"/>
      <c r="N185" s="773"/>
      <c r="O185" s="773"/>
      <c r="P185" s="774"/>
    </row>
    <row r="186" spans="1:16" s="1" customFormat="1" ht="15" customHeight="1">
      <c r="A186" s="9"/>
      <c r="B186" s="791"/>
      <c r="C186" s="793"/>
      <c r="D186" s="39"/>
      <c r="E186" s="39"/>
      <c r="F186" s="9" t="s">
        <v>2170</v>
      </c>
      <c r="G186" s="13" t="s">
        <v>416</v>
      </c>
      <c r="H186" s="18"/>
      <c r="I186" s="18"/>
      <c r="J186" s="74" t="str" cm="1">
        <f t="array" ref="J186">IF(ISBLANK(I186), IF(ISBLANK(H186), "N/A", _xlfn.IFS(K186="AS", H186+15, K186="NCR", H186+30, K186="submitted", H186+30, TRUE, "N/A")), _xlfn.IFS(K186="AS", I186+15, K186="NCR", I186+30, K186="submitted", I186+30, TRUE, "N/A"))</f>
        <v>N/A</v>
      </c>
      <c r="K186" s="9"/>
      <c r="L186" s="318"/>
      <c r="M186" s="772"/>
      <c r="N186" s="773"/>
      <c r="O186" s="773"/>
      <c r="P186" s="774"/>
    </row>
    <row r="187" spans="1:16" s="1" customFormat="1" ht="15" customHeight="1">
      <c r="A187" s="9"/>
      <c r="B187" s="791"/>
      <c r="C187" s="793"/>
      <c r="D187" s="39"/>
      <c r="E187" s="39"/>
      <c r="F187" s="9" t="s">
        <v>2171</v>
      </c>
      <c r="G187" s="13" t="s">
        <v>418</v>
      </c>
      <c r="H187" s="18"/>
      <c r="I187" s="18"/>
      <c r="J187" s="74" t="str" cm="1">
        <f t="array" ref="J187">IF(ISBLANK(I187), IF(ISBLANK(H187), "N/A", _xlfn.IFS(K187="AS", H187+15, K187="NCR", H187+30, K187="submitted", H187+30, TRUE, "N/A")), _xlfn.IFS(K187="AS", I187+15, K187="NCR", I187+30, K187="submitted", I187+30, TRUE, "N/A"))</f>
        <v>N/A</v>
      </c>
      <c r="K187" s="9"/>
      <c r="L187" s="318"/>
      <c r="M187" s="772"/>
      <c r="N187" s="773"/>
      <c r="O187" s="773"/>
      <c r="P187" s="774"/>
    </row>
    <row r="188" spans="1:16" s="1" customFormat="1" ht="15" customHeight="1">
      <c r="A188" s="9"/>
      <c r="B188" s="791"/>
      <c r="C188" s="793"/>
      <c r="D188" s="39"/>
      <c r="E188" s="39"/>
      <c r="F188" s="9" t="s">
        <v>2172</v>
      </c>
      <c r="G188" s="13" t="s">
        <v>2232</v>
      </c>
      <c r="H188" s="18"/>
      <c r="I188" s="18"/>
      <c r="J188" s="74" t="str" cm="1">
        <f t="array" ref="J188">IF(ISBLANK(I188), IF(ISBLANK(H188), "N/A", _xlfn.IFS(K188="AS", H188+15, K188="NCR", H188+30, K188="submitted", H188+30, TRUE, "N/A")), _xlfn.IFS(K188="AS", I188+15, K188="NCR", I188+30, K188="submitted", I188+30, TRUE, "N/A"))</f>
        <v>N/A</v>
      </c>
      <c r="K188" s="9"/>
      <c r="L188" s="318"/>
      <c r="M188" s="772"/>
      <c r="N188" s="773"/>
      <c r="O188" s="773"/>
      <c r="P188" s="774"/>
    </row>
    <row r="189" spans="1:16" s="1" customFormat="1" ht="15" customHeight="1">
      <c r="A189" s="9"/>
      <c r="B189" s="791"/>
      <c r="C189" s="793"/>
      <c r="D189" s="39"/>
      <c r="E189" s="39"/>
      <c r="F189" s="9" t="s">
        <v>2174</v>
      </c>
      <c r="G189" s="13" t="s">
        <v>422</v>
      </c>
      <c r="H189" s="18"/>
      <c r="I189" s="18"/>
      <c r="J189" s="74" t="str" cm="1">
        <f t="array" ref="J189">IF(ISBLANK(I189), IF(ISBLANK(H189), "N/A", _xlfn.IFS(K189="AS", H189+15, K189="NCR", H189+30, K189="submitted", H189+30, TRUE, "N/A")), _xlfn.IFS(K189="AS", I189+15, K189="NCR", I189+30, K189="submitted", I189+30, TRUE, "N/A"))</f>
        <v>N/A</v>
      </c>
      <c r="K189" s="9"/>
      <c r="L189" s="318"/>
      <c r="M189" s="772"/>
      <c r="N189" s="773"/>
      <c r="O189" s="773"/>
      <c r="P189" s="774"/>
    </row>
    <row r="190" spans="1:16" s="1" customFormat="1" ht="15" customHeight="1">
      <c r="A190" s="9"/>
      <c r="B190" s="791"/>
      <c r="C190" s="793"/>
      <c r="D190" s="39"/>
      <c r="E190" s="39"/>
      <c r="F190" s="9" t="s">
        <v>2175</v>
      </c>
      <c r="G190" s="13" t="s">
        <v>424</v>
      </c>
      <c r="H190" s="18"/>
      <c r="I190" s="18"/>
      <c r="J190" s="74" t="str" cm="1">
        <f t="array" ref="J190">IF(ISBLANK(I190), IF(ISBLANK(H190), "N/A", _xlfn.IFS(K190="AS", H190+15, K190="NCR", H190+30, K190="submitted", H190+30, TRUE, "N/A")), _xlfn.IFS(K190="AS", I190+15, K190="NCR", I190+30, K190="submitted", I190+30, TRUE, "N/A"))</f>
        <v>N/A</v>
      </c>
      <c r="K190" s="9"/>
      <c r="L190" s="318"/>
      <c r="M190" s="772"/>
      <c r="N190" s="773"/>
      <c r="O190" s="773"/>
      <c r="P190" s="774"/>
    </row>
    <row r="191" spans="1:16" s="1" customFormat="1" ht="27" customHeight="1">
      <c r="A191" s="9"/>
      <c r="B191" s="791"/>
      <c r="C191" s="793"/>
      <c r="D191" s="39"/>
      <c r="E191" s="39"/>
      <c r="F191" s="9" t="s">
        <v>735</v>
      </c>
      <c r="G191" s="7" t="s">
        <v>2233</v>
      </c>
      <c r="H191" s="18"/>
      <c r="I191" s="18"/>
      <c r="J191" s="74" t="str" cm="1">
        <f t="array" ref="J191">IF(ISBLANK(I191), IF(ISBLANK(H191), "N/A", _xlfn.IFS(K191="AS", H191+15, K191="NCR", H191+30, K191="submitted", H191+30, TRUE, "N/A")), _xlfn.IFS(K191="AS", I191+15, K191="NCR", I191+30, K191="submitted", I191+30, TRUE, "N/A"))</f>
        <v>N/A</v>
      </c>
      <c r="K191" s="9"/>
      <c r="L191" s="318"/>
      <c r="M191" s="772"/>
      <c r="N191" s="773"/>
      <c r="O191" s="773"/>
      <c r="P191" s="774"/>
    </row>
    <row r="192" spans="1:16" s="1" customFormat="1" ht="27" customHeight="1">
      <c r="A192" s="9"/>
      <c r="B192" s="791"/>
      <c r="C192" s="793"/>
      <c r="D192" s="39"/>
      <c r="E192" s="39"/>
      <c r="F192" s="9" t="s">
        <v>880</v>
      </c>
      <c r="G192" s="7" t="s">
        <v>2234</v>
      </c>
      <c r="H192" s="18"/>
      <c r="I192" s="18"/>
      <c r="J192" s="74" t="str" cm="1">
        <f t="array" ref="J192">IF(ISBLANK(I192), IF(ISBLANK(H192), "N/A", _xlfn.IFS(K192="AS", H192+15, K192="NCR", H192+30, K192="submitted", H192+30, TRUE, "N/A")), _xlfn.IFS(K192="AS", I192+15, K192="NCR", I192+30, K192="submitted", I192+30, TRUE, "N/A"))</f>
        <v>N/A</v>
      </c>
      <c r="K192" s="9"/>
      <c r="L192" s="318"/>
      <c r="M192" s="772"/>
      <c r="N192" s="773"/>
      <c r="O192" s="773"/>
      <c r="P192" s="774"/>
    </row>
    <row r="193" spans="1:16" s="1" customFormat="1" ht="15" customHeight="1">
      <c r="A193" s="9"/>
      <c r="B193" s="777"/>
      <c r="C193" s="779"/>
      <c r="D193" s="46"/>
      <c r="E193" s="46"/>
      <c r="F193" s="9" t="s">
        <v>433</v>
      </c>
      <c r="G193" s="13" t="s">
        <v>372</v>
      </c>
      <c r="H193" s="18"/>
      <c r="I193" s="18"/>
      <c r="J193" s="74" t="str" cm="1">
        <f t="array" ref="J193">IF(ISBLANK(I193), IF(ISBLANK(H193), "N/A", _xlfn.IFS(K193="AS", H193+15, K193="NCR", H193+30, K193="submitted", H193+30, TRUE, "N/A")), _xlfn.IFS(K193="AS", I193+15, K193="NCR", I193+30, K193="submitted", I193+30, TRUE, "N/A"))</f>
        <v>N/A</v>
      </c>
      <c r="K193" s="9"/>
      <c r="L193" s="318"/>
      <c r="M193" s="772"/>
      <c r="N193" s="773"/>
      <c r="O193" s="773"/>
      <c r="P193" s="774"/>
    </row>
    <row r="194" spans="1:16" s="5" customFormat="1" ht="15" customHeight="1">
      <c r="A194" s="4"/>
      <c r="B194" s="888" t="s">
        <v>2235</v>
      </c>
      <c r="C194" s="796" t="s">
        <v>2236</v>
      </c>
      <c r="D194" s="34"/>
      <c r="E194" s="34"/>
      <c r="F194" s="4" t="s">
        <v>328</v>
      </c>
      <c r="G194" s="17" t="s">
        <v>229</v>
      </c>
      <c r="H194" s="18"/>
      <c r="I194" s="18"/>
      <c r="J194" s="74" t="str" cm="1">
        <f t="array" ref="J194">IF(ISBLANK(I194), IF(ISBLANK(H194), "N/A", _xlfn.IFS(K194="AS", H194+15, K194="NCR", H194+30, K194="submitted", H194+30, TRUE, "N/A")), _xlfn.IFS(K194="AS", I194+15, K194="NCR", I194+30, K194="submitted", I194+30, TRUE, "N/A"))</f>
        <v>N/A</v>
      </c>
      <c r="K194" s="4"/>
      <c r="L194" s="318"/>
      <c r="M194" s="772"/>
      <c r="N194" s="773"/>
      <c r="O194" s="773"/>
      <c r="P194" s="774"/>
    </row>
    <row r="195" spans="1:16" s="5" customFormat="1" ht="15" customHeight="1">
      <c r="A195" s="4"/>
      <c r="B195" s="889"/>
      <c r="C195" s="799"/>
      <c r="D195" s="35"/>
      <c r="E195" s="35"/>
      <c r="F195" s="4" t="s">
        <v>329</v>
      </c>
      <c r="G195" s="17" t="s">
        <v>276</v>
      </c>
      <c r="H195" s="18"/>
      <c r="I195" s="18"/>
      <c r="J195" s="74" t="str" cm="1">
        <f t="array" ref="J195">IF(ISBLANK(I195), IF(ISBLANK(H195), "N/A", _xlfn.IFS(K195="AS", H195+15, K195="NCR", H195+30, K195="submitted", H195+30, TRUE, "N/A")), _xlfn.IFS(K195="AS", I195+15, K195="NCR", I195+30, K195="submitted", I195+30, TRUE, "N/A"))</f>
        <v>N/A</v>
      </c>
      <c r="K195" s="4"/>
      <c r="L195" s="318"/>
      <c r="M195" s="772"/>
      <c r="N195" s="773"/>
      <c r="O195" s="773"/>
      <c r="P195" s="774"/>
    </row>
    <row r="196" spans="1:16" s="5" customFormat="1" ht="40.5" customHeight="1">
      <c r="A196" s="4"/>
      <c r="B196" s="889"/>
      <c r="C196" s="799"/>
      <c r="D196" s="35"/>
      <c r="E196" s="35"/>
      <c r="F196" s="4" t="s">
        <v>330</v>
      </c>
      <c r="G196" s="3" t="s">
        <v>2205</v>
      </c>
      <c r="H196" s="18"/>
      <c r="I196" s="18"/>
      <c r="J196" s="74" t="str" cm="1">
        <f t="array" ref="J196">IF(ISBLANK(I196), IF(ISBLANK(H196), "N/A", _xlfn.IFS(K196="AS", H196+15, K196="NCR", H196+30, K196="submitted", H196+30, TRUE, "N/A")), _xlfn.IFS(K196="AS", I196+15, K196="NCR", I196+30, K196="submitted", I196+30, TRUE, "N/A"))</f>
        <v>N/A</v>
      </c>
      <c r="K196" s="4"/>
      <c r="L196" s="318"/>
      <c r="M196" s="772"/>
      <c r="N196" s="773"/>
      <c r="O196" s="773"/>
      <c r="P196" s="774"/>
    </row>
    <row r="197" spans="1:16" s="5" customFormat="1" ht="15" customHeight="1">
      <c r="A197" s="4"/>
      <c r="B197" s="889"/>
      <c r="C197" s="799"/>
      <c r="D197" s="35"/>
      <c r="E197" s="35"/>
      <c r="F197" s="4" t="s">
        <v>397</v>
      </c>
      <c r="G197" s="17" t="s">
        <v>2105</v>
      </c>
      <c r="H197" s="18"/>
      <c r="I197" s="18"/>
      <c r="J197" s="74" t="str" cm="1">
        <f t="array" ref="J197">IF(ISBLANK(I197), IF(ISBLANK(H197), "N/A", _xlfn.IFS(K197="AS", H197+15, K197="NCR", H197+30, K197="submitted", H197+30, TRUE, "N/A")), _xlfn.IFS(K197="AS", I197+15, K197="NCR", I197+30, K197="submitted", I197+30, TRUE, "N/A"))</f>
        <v>N/A</v>
      </c>
      <c r="K197" s="4"/>
      <c r="L197" s="318"/>
      <c r="M197" s="772"/>
      <c r="N197" s="773"/>
      <c r="O197" s="773"/>
      <c r="P197" s="774"/>
    </row>
    <row r="198" spans="1:16" s="5" customFormat="1" ht="15" customHeight="1">
      <c r="A198" s="4"/>
      <c r="B198" s="889"/>
      <c r="C198" s="799"/>
      <c r="D198" s="35"/>
      <c r="E198" s="35"/>
      <c r="F198" s="4" t="s">
        <v>2169</v>
      </c>
      <c r="G198" s="17" t="s">
        <v>2206</v>
      </c>
      <c r="H198" s="18"/>
      <c r="I198" s="18"/>
      <c r="J198" s="74" t="str" cm="1">
        <f t="array" ref="J198">IF(ISBLANK(I198), IF(ISBLANK(H198), "N/A", _xlfn.IFS(K198="AS", H198+15, K198="NCR", H198+30, K198="submitted", H198+30, TRUE, "N/A")), _xlfn.IFS(K198="AS", I198+15, K198="NCR", I198+30, K198="submitted", I198+30, TRUE, "N/A"))</f>
        <v>N/A</v>
      </c>
      <c r="K198" s="4"/>
      <c r="L198" s="318"/>
      <c r="M198" s="772"/>
      <c r="N198" s="773"/>
      <c r="O198" s="773"/>
      <c r="P198" s="774"/>
    </row>
    <row r="199" spans="1:16" s="5" customFormat="1" ht="15" customHeight="1">
      <c r="A199" s="4"/>
      <c r="B199" s="889"/>
      <c r="C199" s="799"/>
      <c r="D199" s="35"/>
      <c r="E199" s="35"/>
      <c r="F199" s="4" t="s">
        <v>2170</v>
      </c>
      <c r="G199" s="17" t="s">
        <v>2154</v>
      </c>
      <c r="H199" s="18"/>
      <c r="I199" s="18"/>
      <c r="J199" s="74" t="str" cm="1">
        <f t="array" ref="J199">IF(ISBLANK(I199), IF(ISBLANK(H199), "N/A", _xlfn.IFS(K199="AS", H199+15, K199="NCR", H199+30, K199="submitted", H199+30, TRUE, "N/A")), _xlfn.IFS(K199="AS", I199+15, K199="NCR", I199+30, K199="submitted", I199+30, TRUE, "N/A"))</f>
        <v>N/A</v>
      </c>
      <c r="K199" s="4"/>
      <c r="L199" s="318"/>
      <c r="M199" s="772"/>
      <c r="N199" s="773"/>
      <c r="O199" s="773"/>
      <c r="P199" s="774"/>
    </row>
    <row r="200" spans="1:16" s="5" customFormat="1" ht="15" customHeight="1">
      <c r="A200" s="4"/>
      <c r="B200" s="889"/>
      <c r="C200" s="799"/>
      <c r="D200" s="35"/>
      <c r="E200" s="35"/>
      <c r="F200" s="4" t="s">
        <v>2171</v>
      </c>
      <c r="G200" s="17" t="s">
        <v>418</v>
      </c>
      <c r="H200" s="18"/>
      <c r="I200" s="18"/>
      <c r="J200" s="74" t="str" cm="1">
        <f t="array" ref="J200">IF(ISBLANK(I200), IF(ISBLANK(H200), "N/A", _xlfn.IFS(K200="AS", H200+15, K200="NCR", H200+30, K200="submitted", H200+30, TRUE, "N/A")), _xlfn.IFS(K200="AS", I200+15, K200="NCR", I200+30, K200="submitted", I200+30, TRUE, "N/A"))</f>
        <v>N/A</v>
      </c>
      <c r="K200" s="4"/>
      <c r="L200" s="318"/>
      <c r="M200" s="772"/>
      <c r="N200" s="773"/>
      <c r="O200" s="773"/>
      <c r="P200" s="774"/>
    </row>
    <row r="201" spans="1:16" s="5" customFormat="1" ht="15" customHeight="1">
      <c r="A201" s="4"/>
      <c r="B201" s="889"/>
      <c r="C201" s="799"/>
      <c r="D201" s="35"/>
      <c r="E201" s="35"/>
      <c r="F201" s="4" t="s">
        <v>2172</v>
      </c>
      <c r="G201" s="17" t="s">
        <v>2173</v>
      </c>
      <c r="H201" s="18"/>
      <c r="I201" s="18"/>
      <c r="J201" s="74" t="str" cm="1">
        <f t="array" ref="J201">IF(ISBLANK(I201), IF(ISBLANK(H201), "N/A", _xlfn.IFS(K201="AS", H201+15, K201="NCR", H201+30, K201="submitted", H201+30, TRUE, "N/A")), _xlfn.IFS(K201="AS", I201+15, K201="NCR", I201+30, K201="submitted", I201+30, TRUE, "N/A"))</f>
        <v>N/A</v>
      </c>
      <c r="K201" s="4"/>
      <c r="L201" s="318"/>
      <c r="M201" s="772"/>
      <c r="N201" s="773"/>
      <c r="O201" s="773"/>
      <c r="P201" s="774"/>
    </row>
    <row r="202" spans="1:16" s="5" customFormat="1" ht="15" customHeight="1">
      <c r="A202" s="4"/>
      <c r="B202" s="889"/>
      <c r="C202" s="799"/>
      <c r="D202" s="35"/>
      <c r="E202" s="35"/>
      <c r="F202" s="4" t="s">
        <v>2174</v>
      </c>
      <c r="G202" s="17" t="s">
        <v>2207</v>
      </c>
      <c r="H202" s="18"/>
      <c r="I202" s="18"/>
      <c r="J202" s="74" t="str" cm="1">
        <f t="array" ref="J202">IF(ISBLANK(I202), IF(ISBLANK(H202), "N/A", _xlfn.IFS(K202="AS", H202+15, K202="NCR", H202+30, K202="submitted", H202+30, TRUE, "N/A")), _xlfn.IFS(K202="AS", I202+15, K202="NCR", I202+30, K202="submitted", I202+30, TRUE, "N/A"))</f>
        <v>N/A</v>
      </c>
      <c r="K202" s="4"/>
      <c r="L202" s="318"/>
      <c r="M202" s="772"/>
      <c r="N202" s="773"/>
      <c r="O202" s="773"/>
      <c r="P202" s="774"/>
    </row>
    <row r="203" spans="1:16" s="5" customFormat="1" ht="15" customHeight="1">
      <c r="A203" s="4"/>
      <c r="B203" s="889"/>
      <c r="C203" s="799"/>
      <c r="D203" s="35"/>
      <c r="E203" s="35"/>
      <c r="F203" s="4" t="s">
        <v>2175</v>
      </c>
      <c r="G203" s="17" t="s">
        <v>2176</v>
      </c>
      <c r="H203" s="18"/>
      <c r="I203" s="18"/>
      <c r="J203" s="74" t="str" cm="1">
        <f t="array" ref="J203">IF(ISBLANK(I203), IF(ISBLANK(H203), "N/A", _xlfn.IFS(K203="AS", H203+15, K203="NCR", H203+30, K203="submitted", H203+30, TRUE, "N/A")), _xlfn.IFS(K203="AS", I203+15, K203="NCR", I203+30, K203="submitted", I203+30, TRUE, "N/A"))</f>
        <v>N/A</v>
      </c>
      <c r="K203" s="4"/>
      <c r="L203" s="318"/>
      <c r="M203" s="766" t="s">
        <v>132</v>
      </c>
      <c r="N203" s="767"/>
      <c r="O203" s="767"/>
      <c r="P203" s="768"/>
    </row>
    <row r="204" spans="1:16" s="5" customFormat="1" ht="15" customHeight="1">
      <c r="A204" s="4"/>
      <c r="B204" s="889"/>
      <c r="C204" s="799"/>
      <c r="D204" s="35"/>
      <c r="E204" s="35"/>
      <c r="F204" s="4" t="s">
        <v>400</v>
      </c>
      <c r="G204" s="17" t="s">
        <v>2237</v>
      </c>
      <c r="H204" s="18"/>
      <c r="I204" s="18"/>
      <c r="J204" s="74" t="str" cm="1">
        <f t="array" ref="J204">IF(ISBLANK(I204), IF(ISBLANK(H204), "N/A", _xlfn.IFS(K204="AS", H204+15, K204="NCR", H204+30, K204="submitted", H204+30, TRUE, "N/A")), _xlfn.IFS(K204="AS", I204+15, K204="NCR", I204+30, K204="submitted", I204+30, TRUE, "N/A"))</f>
        <v>N/A</v>
      </c>
      <c r="K204" s="4"/>
      <c r="L204" s="318"/>
      <c r="M204" s="769"/>
      <c r="N204" s="770"/>
      <c r="O204" s="770"/>
      <c r="P204" s="771"/>
    </row>
    <row r="205" spans="1:16" s="5" customFormat="1" ht="15" customHeight="1">
      <c r="A205" s="4"/>
      <c r="B205" s="890"/>
      <c r="C205" s="797"/>
      <c r="D205" s="36"/>
      <c r="E205" s="36"/>
      <c r="F205" s="4" t="s">
        <v>433</v>
      </c>
      <c r="G205" s="17" t="s">
        <v>345</v>
      </c>
      <c r="H205" s="18"/>
      <c r="I205" s="18"/>
      <c r="J205" s="74" t="str" cm="1">
        <f t="array" ref="J205">IF(ISBLANK(I205), IF(ISBLANK(H205), "N/A", _xlfn.IFS(K205="AS", H205+15, K205="NCR", H205+30, K205="submitted", H205+30, TRUE, "N/A")), _xlfn.IFS(K205="AS", I205+15, K205="NCR", I205+30, K205="submitted", I205+30, TRUE, "N/A"))</f>
        <v>N/A</v>
      </c>
      <c r="K205" s="4"/>
      <c r="L205" s="318"/>
      <c r="M205" s="769"/>
      <c r="N205" s="770"/>
      <c r="O205" s="770"/>
      <c r="P205" s="771"/>
    </row>
    <row r="206" spans="1:16" s="1" customFormat="1" ht="15" customHeight="1">
      <c r="A206" s="9"/>
      <c r="B206" s="790" t="s">
        <v>2238</v>
      </c>
      <c r="C206" s="792" t="s">
        <v>2239</v>
      </c>
      <c r="D206" s="37"/>
      <c r="E206" s="37"/>
      <c r="F206" s="9" t="s">
        <v>328</v>
      </c>
      <c r="G206" s="13" t="s">
        <v>229</v>
      </c>
      <c r="H206" s="18"/>
      <c r="I206" s="18"/>
      <c r="J206" s="74" t="str" cm="1">
        <f t="array" ref="J206">IF(ISBLANK(I206), IF(ISBLANK(H206), "N/A", _xlfn.IFS(K206="AS", H206+15, K206="NCR", H206+30, K206="submitted", H206+30, TRUE, "N/A")), _xlfn.IFS(K206="AS", I206+15, K206="NCR", I206+30, K206="submitted", I206+30, TRUE, "N/A"))</f>
        <v>N/A</v>
      </c>
      <c r="K206" s="9"/>
      <c r="L206" s="318"/>
      <c r="M206" s="769"/>
      <c r="N206" s="770"/>
      <c r="O206" s="770"/>
      <c r="P206" s="771"/>
    </row>
    <row r="207" spans="1:16" s="1" customFormat="1" ht="15" customHeight="1">
      <c r="A207" s="9"/>
      <c r="B207" s="791"/>
      <c r="C207" s="793"/>
      <c r="D207" s="39"/>
      <c r="E207" s="39"/>
      <c r="F207" s="9" t="s">
        <v>329</v>
      </c>
      <c r="G207" s="13" t="s">
        <v>320</v>
      </c>
      <c r="H207" s="18"/>
      <c r="I207" s="18"/>
      <c r="J207" s="74" t="str" cm="1">
        <f t="array" ref="J207">IF(ISBLANK(I207), IF(ISBLANK(H207), "N/A", _xlfn.IFS(K207="AS", H207+15, K207="NCR", H207+30, K207="submitted", H207+30, TRUE, "N/A")), _xlfn.IFS(K207="AS", I207+15, K207="NCR", I207+30, K207="submitted", I207+30, TRUE, "N/A"))</f>
        <v>N/A</v>
      </c>
      <c r="K207" s="9"/>
      <c r="L207" s="318"/>
      <c r="M207" s="769"/>
      <c r="N207" s="770"/>
      <c r="O207" s="770"/>
      <c r="P207" s="771"/>
    </row>
    <row r="208" spans="1:16" s="1" customFormat="1" ht="40.5" customHeight="1">
      <c r="A208" s="9"/>
      <c r="B208" s="791"/>
      <c r="C208" s="793"/>
      <c r="D208" s="39"/>
      <c r="E208" s="39"/>
      <c r="F208" s="9" t="s">
        <v>330</v>
      </c>
      <c r="G208" s="7" t="s">
        <v>2164</v>
      </c>
      <c r="H208" s="18"/>
      <c r="I208" s="18"/>
      <c r="J208" s="74" t="str" cm="1">
        <f t="array" ref="J208">IF(ISBLANK(I208), IF(ISBLANK(H208), "N/A", _xlfn.IFS(K208="AS", H208+15, K208="NCR", H208+30, K208="submitted", H208+30, TRUE, "N/A")), _xlfn.IFS(K208="AS", I208+15, K208="NCR", I208+30, K208="submitted", I208+30, TRUE, "N/A"))</f>
        <v>N/A</v>
      </c>
      <c r="K208" s="9"/>
      <c r="L208" s="318"/>
      <c r="M208" s="769"/>
      <c r="N208" s="770"/>
      <c r="O208" s="770"/>
      <c r="P208" s="771"/>
    </row>
    <row r="209" spans="1:16" s="1" customFormat="1" ht="15" customHeight="1">
      <c r="A209" s="9"/>
      <c r="B209" s="791"/>
      <c r="C209" s="793"/>
      <c r="D209" s="39"/>
      <c r="E209" s="39"/>
      <c r="F209" s="9" t="s">
        <v>397</v>
      </c>
      <c r="G209" s="13" t="s">
        <v>2105</v>
      </c>
      <c r="H209" s="18"/>
      <c r="I209" s="18"/>
      <c r="J209" s="74" t="str" cm="1">
        <f t="array" ref="J209">IF(ISBLANK(I209), IF(ISBLANK(H209), "N/A", _xlfn.IFS(K209="AS", H209+15, K209="NCR", H209+30, K209="submitted", H209+30, TRUE, "N/A")), _xlfn.IFS(K209="AS", I209+15, K209="NCR", I209+30, K209="submitted", I209+30, TRUE, "N/A"))</f>
        <v>N/A</v>
      </c>
      <c r="K209" s="9"/>
      <c r="L209" s="318"/>
      <c r="M209" s="769"/>
      <c r="N209" s="770"/>
      <c r="O209" s="770"/>
      <c r="P209" s="771"/>
    </row>
    <row r="210" spans="1:16" s="1" customFormat="1" ht="15" customHeight="1">
      <c r="A210" s="9"/>
      <c r="B210" s="791"/>
      <c r="C210" s="793"/>
      <c r="D210" s="39"/>
      <c r="E210" s="39"/>
      <c r="F210" s="9" t="s">
        <v>2169</v>
      </c>
      <c r="G210" s="13" t="s">
        <v>2206</v>
      </c>
      <c r="H210" s="18"/>
      <c r="I210" s="18"/>
      <c r="J210" s="74" t="str" cm="1">
        <f t="array" ref="J210">IF(ISBLANK(I210), IF(ISBLANK(H210), "N/A", _xlfn.IFS(K210="AS", H210+15, K210="NCR", H210+30, K210="submitted", H210+30, TRUE, "N/A")), _xlfn.IFS(K210="AS", I210+15, K210="NCR", I210+30, K210="submitted", I210+30, TRUE, "N/A"))</f>
        <v>N/A</v>
      </c>
      <c r="K210" s="9"/>
      <c r="L210" s="318"/>
      <c r="M210" s="769"/>
      <c r="N210" s="770"/>
      <c r="O210" s="770"/>
      <c r="P210" s="771"/>
    </row>
    <row r="211" spans="1:16" s="1" customFormat="1" ht="15" customHeight="1">
      <c r="A211" s="9"/>
      <c r="B211" s="791"/>
      <c r="C211" s="793"/>
      <c r="D211" s="39"/>
      <c r="E211" s="39"/>
      <c r="F211" s="9" t="s">
        <v>2170</v>
      </c>
      <c r="G211" s="13" t="s">
        <v>2154</v>
      </c>
      <c r="H211" s="18"/>
      <c r="I211" s="18"/>
      <c r="J211" s="74" t="str" cm="1">
        <f t="array" ref="J211">IF(ISBLANK(I211), IF(ISBLANK(H211), "N/A", _xlfn.IFS(K211="AS", H211+15, K211="NCR", H211+30, K211="submitted", H211+30, TRUE, "N/A")), _xlfn.IFS(K211="AS", I211+15, K211="NCR", I211+30, K211="submitted", I211+30, TRUE, "N/A"))</f>
        <v>N/A</v>
      </c>
      <c r="K211" s="9"/>
      <c r="L211" s="318"/>
      <c r="M211" s="750" t="s">
        <v>147</v>
      </c>
      <c r="N211" s="751"/>
      <c r="O211" s="751"/>
      <c r="P211" s="752"/>
    </row>
    <row r="212" spans="1:16" s="1" customFormat="1" ht="15" customHeight="1">
      <c r="A212" s="9"/>
      <c r="B212" s="791"/>
      <c r="C212" s="793"/>
      <c r="D212" s="39"/>
      <c r="E212" s="39"/>
      <c r="F212" s="9" t="s">
        <v>2171</v>
      </c>
      <c r="G212" s="13" t="s">
        <v>418</v>
      </c>
      <c r="H212" s="18"/>
      <c r="I212" s="18"/>
      <c r="J212" s="74" t="str" cm="1">
        <f t="array" ref="J212">IF(ISBLANK(I212), IF(ISBLANK(H212), "N/A", _xlfn.IFS(K212="AS", H212+15, K212="NCR", H212+30, K212="submitted", H212+30, TRUE, "N/A")), _xlfn.IFS(K212="AS", I212+15, K212="NCR", I212+30, K212="submitted", I212+30, TRUE, "N/A"))</f>
        <v>N/A</v>
      </c>
      <c r="K212" s="9"/>
      <c r="L212" s="318"/>
      <c r="M212" s="750"/>
      <c r="N212" s="751"/>
      <c r="O212" s="751"/>
      <c r="P212" s="752"/>
    </row>
    <row r="213" spans="1:16" s="1" customFormat="1" ht="15" customHeight="1">
      <c r="A213" s="9"/>
      <c r="B213" s="791"/>
      <c r="C213" s="793"/>
      <c r="D213" s="39"/>
      <c r="E213" s="39"/>
      <c r="F213" s="9" t="s">
        <v>2172</v>
      </c>
      <c r="G213" s="13" t="s">
        <v>2173</v>
      </c>
      <c r="H213" s="18"/>
      <c r="I213" s="18"/>
      <c r="J213" s="74" t="str" cm="1">
        <f t="array" ref="J213">IF(ISBLANK(I213), IF(ISBLANK(H213), "N/A", _xlfn.IFS(K213="AS", H213+15, K213="NCR", H213+30, K213="submitted", H213+30, TRUE, "N/A")), _xlfn.IFS(K213="AS", I213+15, K213="NCR", I213+30, K213="submitted", I213+30, TRUE, "N/A"))</f>
        <v>N/A</v>
      </c>
      <c r="K213" s="9"/>
      <c r="L213" s="318"/>
      <c r="M213" s="750"/>
      <c r="N213" s="751"/>
      <c r="O213" s="751"/>
      <c r="P213" s="752"/>
    </row>
    <row r="214" spans="1:16" s="1" customFormat="1" ht="15" customHeight="1">
      <c r="A214" s="9"/>
      <c r="B214" s="791"/>
      <c r="C214" s="793"/>
      <c r="D214" s="39"/>
      <c r="E214" s="39"/>
      <c r="F214" s="9" t="s">
        <v>2174</v>
      </c>
      <c r="G214" s="13" t="s">
        <v>2207</v>
      </c>
      <c r="H214" s="18"/>
      <c r="I214" s="18"/>
      <c r="J214" s="74" t="str" cm="1">
        <f t="array" ref="J214">IF(ISBLANK(I214), IF(ISBLANK(H214), "N/A", _xlfn.IFS(K214="AS", H214+15, K214="NCR", H214+30, K214="submitted", H214+30, TRUE, "N/A")), _xlfn.IFS(K214="AS", I214+15, K214="NCR", I214+30, K214="submitted", I214+30, TRUE, "N/A"))</f>
        <v>N/A</v>
      </c>
      <c r="K214" s="9"/>
      <c r="L214" s="318"/>
      <c r="M214" s="750"/>
      <c r="N214" s="751"/>
      <c r="O214" s="751"/>
      <c r="P214" s="752"/>
    </row>
    <row r="215" spans="1:16" s="1" customFormat="1" ht="15" customHeight="1">
      <c r="A215" s="9"/>
      <c r="B215" s="791"/>
      <c r="C215" s="793"/>
      <c r="D215" s="39"/>
      <c r="E215" s="39"/>
      <c r="F215" s="9" t="s">
        <v>2175</v>
      </c>
      <c r="G215" s="13" t="s">
        <v>2176</v>
      </c>
      <c r="H215" s="18"/>
      <c r="I215" s="18"/>
      <c r="J215" s="74" t="str" cm="1">
        <f t="array" ref="J215">IF(ISBLANK(I215), IF(ISBLANK(H215), "N/A", _xlfn.IFS(K215="AS", H215+15, K215="NCR", H215+30, K215="submitted", H215+30, TRUE, "N/A")), _xlfn.IFS(K215="AS", I215+15, K215="NCR", I215+30, K215="submitted", I215+30, TRUE, "N/A"))</f>
        <v>N/A</v>
      </c>
      <c r="K215" s="9"/>
      <c r="L215" s="318"/>
      <c r="M215" s="750"/>
      <c r="N215" s="751"/>
      <c r="O215" s="751"/>
      <c r="P215" s="752"/>
    </row>
    <row r="216" spans="1:16" s="1" customFormat="1" ht="15" customHeight="1">
      <c r="A216" s="9"/>
      <c r="B216" s="777"/>
      <c r="C216" s="779"/>
      <c r="D216" s="46"/>
      <c r="E216" s="46"/>
      <c r="F216" s="9" t="s">
        <v>400</v>
      </c>
      <c r="G216" s="13" t="s">
        <v>372</v>
      </c>
      <c r="H216" s="18"/>
      <c r="I216" s="18"/>
      <c r="J216" s="74" t="str" cm="1">
        <f t="array" ref="J216">IF(ISBLANK(I216), IF(ISBLANK(H216), "N/A", _xlfn.IFS(K216="AS", H216+15, K216="NCR", H216+30, K216="submitted", H216+30, TRUE, "N/A")), _xlfn.IFS(K216="AS", I216+15, K216="NCR", I216+30, K216="submitted", I216+30, TRUE, "N/A"))</f>
        <v>N/A</v>
      </c>
      <c r="K216" s="9"/>
      <c r="L216" s="319"/>
      <c r="M216" s="750"/>
      <c r="N216" s="751"/>
      <c r="O216" s="751"/>
      <c r="P216" s="752"/>
    </row>
    <row r="217" spans="1:16" s="5" customFormat="1" ht="15" customHeight="1">
      <c r="A217" s="4"/>
      <c r="B217" s="794" t="s">
        <v>2240</v>
      </c>
      <c r="C217" s="796" t="s">
        <v>2241</v>
      </c>
      <c r="D217" s="34"/>
      <c r="E217" s="34"/>
      <c r="F217" s="4" t="s">
        <v>328</v>
      </c>
      <c r="G217" s="17" t="s">
        <v>229</v>
      </c>
      <c r="H217" s="18"/>
      <c r="I217" s="18"/>
      <c r="J217" s="74" t="str" cm="1">
        <f t="array" ref="J217">IF(ISBLANK(I217), IF(ISBLANK(H217), "N/A", _xlfn.IFS(K217="AS", H217+15, K217="NCR", H217+30, K217="submitted", H217+30, TRUE, "N/A")), _xlfn.IFS(K217="AS", I217+15, K217="NCR", I217+30, K217="submitted", I217+30, TRUE, "N/A"))</f>
        <v>N/A</v>
      </c>
      <c r="K217" s="4"/>
      <c r="L217" s="318"/>
      <c r="M217" s="750"/>
      <c r="N217" s="751"/>
      <c r="O217" s="751"/>
      <c r="P217" s="752"/>
    </row>
    <row r="218" spans="1:16" s="5" customFormat="1" ht="15" customHeight="1">
      <c r="A218" s="4"/>
      <c r="B218" s="798"/>
      <c r="C218" s="799"/>
      <c r="D218" s="35"/>
      <c r="E218" s="35"/>
      <c r="F218" s="4" t="s">
        <v>329</v>
      </c>
      <c r="G218" s="17" t="s">
        <v>276</v>
      </c>
      <c r="H218" s="18"/>
      <c r="I218" s="18"/>
      <c r="J218" s="74" t="str" cm="1">
        <f t="array" ref="J218">IF(ISBLANK(I218), IF(ISBLANK(H218), "N/A", _xlfn.IFS(K218="AS", H218+15, K218="NCR", H218+30, K218="submitted", H218+30, TRUE, "N/A")), _xlfn.IFS(K218="AS", I218+15, K218="NCR", I218+30, K218="submitted", I218+30, TRUE, "N/A"))</f>
        <v>N/A</v>
      </c>
      <c r="K218" s="4"/>
      <c r="L218" s="318"/>
      <c r="M218" s="750"/>
      <c r="N218" s="751"/>
      <c r="O218" s="751"/>
      <c r="P218" s="752"/>
    </row>
    <row r="219" spans="1:16" s="5" customFormat="1" ht="53.25">
      <c r="A219" s="4"/>
      <c r="B219" s="798"/>
      <c r="C219" s="799"/>
      <c r="D219" s="35"/>
      <c r="E219" s="35"/>
      <c r="F219" s="4" t="s">
        <v>2072</v>
      </c>
      <c r="G219" s="3" t="s">
        <v>2200</v>
      </c>
      <c r="H219" s="18"/>
      <c r="I219" s="18"/>
      <c r="J219" s="74" t="str" cm="1">
        <f t="array" ref="J219">IF(ISBLANK(I219), IF(ISBLANK(H219), "N/A", _xlfn.IFS(K219="AS", H219+15, K219="NCR", H219+30, K219="submitted", H219+30, TRUE, "N/A")), _xlfn.IFS(K219="AS", I219+15, K219="NCR", I219+30, K219="submitted", I219+30, TRUE, "N/A"))</f>
        <v>N/A</v>
      </c>
      <c r="K219" s="4"/>
      <c r="L219" s="318"/>
      <c r="M219" s="750"/>
      <c r="N219" s="751"/>
      <c r="O219" s="751"/>
      <c r="P219" s="752"/>
    </row>
    <row r="220" spans="1:16" s="5" customFormat="1" ht="15" customHeight="1">
      <c r="A220" s="4"/>
      <c r="B220" s="798"/>
      <c r="C220" s="799"/>
      <c r="D220" s="35"/>
      <c r="E220" s="35"/>
      <c r="F220" s="4" t="s">
        <v>397</v>
      </c>
      <c r="G220" s="17" t="s">
        <v>2105</v>
      </c>
      <c r="H220" s="18"/>
      <c r="I220" s="18"/>
      <c r="J220" s="74" t="str" cm="1">
        <f t="array" ref="J220">IF(ISBLANK(I220), IF(ISBLANK(H220), "N/A", _xlfn.IFS(K220="AS", H220+15, K220="NCR", H220+30, K220="submitted", H220+30, TRUE, "N/A")), _xlfn.IFS(K220="AS", I220+15, K220="NCR", I220+30, K220="submitted", I220+30, TRUE, "N/A"))</f>
        <v>N/A</v>
      </c>
      <c r="K220" s="4"/>
      <c r="L220" s="318"/>
      <c r="M220" s="750"/>
      <c r="N220" s="751"/>
      <c r="O220" s="751"/>
      <c r="P220" s="752"/>
    </row>
    <row r="221" spans="1:16" s="5" customFormat="1" ht="40.5" customHeight="1">
      <c r="A221" s="4"/>
      <c r="B221" s="798"/>
      <c r="C221" s="799"/>
      <c r="D221" s="35"/>
      <c r="E221" s="35"/>
      <c r="F221" s="4" t="s">
        <v>338</v>
      </c>
      <c r="G221" s="3" t="s">
        <v>2183</v>
      </c>
      <c r="H221" s="18"/>
      <c r="I221" s="18"/>
      <c r="J221" s="74" t="str" cm="1">
        <f t="array" ref="J221">IF(ISBLANK(I221), IF(ISBLANK(H221), "N/A", _xlfn.IFS(K221="AS", H221+15, K221="NCR", H221+30, K221="submitted", H221+30, TRUE, "N/A")), _xlfn.IFS(K221="AS", I221+15, K221="NCR", I221+30, K221="submitted", I221+30, TRUE, "N/A"))</f>
        <v>N/A</v>
      </c>
      <c r="K221" s="4"/>
      <c r="L221" s="318"/>
      <c r="M221" s="750"/>
      <c r="N221" s="751"/>
      <c r="O221" s="751"/>
      <c r="P221" s="752"/>
    </row>
    <row r="222" spans="1:16" s="5" customFormat="1" ht="40.5" customHeight="1">
      <c r="A222" s="4"/>
      <c r="B222" s="798"/>
      <c r="C222" s="799"/>
      <c r="D222" s="35"/>
      <c r="E222" s="35"/>
      <c r="F222" s="4" t="s">
        <v>734</v>
      </c>
      <c r="G222" s="3" t="s">
        <v>2183</v>
      </c>
      <c r="H222" s="18"/>
      <c r="I222" s="18"/>
      <c r="J222" s="74" t="str" cm="1">
        <f t="array" ref="J222">IF(ISBLANK(I222), IF(ISBLANK(H222), "N/A", _xlfn.IFS(K222="AS", H222+15, K222="NCR", H222+30, K222="submitted", H222+30, TRUE, "N/A")), _xlfn.IFS(K222="AS", I222+15, K222="NCR", I222+30, K222="submitted", I222+30, TRUE, "N/A"))</f>
        <v>N/A</v>
      </c>
      <c r="K222" s="4"/>
      <c r="L222" s="318"/>
      <c r="M222" s="750"/>
      <c r="N222" s="751"/>
      <c r="O222" s="751"/>
      <c r="P222" s="752"/>
    </row>
    <row r="223" spans="1:16" s="5" customFormat="1" ht="15" customHeight="1">
      <c r="A223" s="4"/>
      <c r="B223" s="798"/>
      <c r="C223" s="799"/>
      <c r="D223" s="35"/>
      <c r="E223" s="35"/>
      <c r="F223" s="4" t="s">
        <v>400</v>
      </c>
      <c r="G223" s="17" t="s">
        <v>372</v>
      </c>
      <c r="H223" s="18"/>
      <c r="I223" s="18"/>
      <c r="J223" s="74" t="str" cm="1">
        <f t="array" ref="J223">IF(ISBLANK(I223), IF(ISBLANK(H223), "N/A", _xlfn.IFS(K223="AS", H223+15, K223="NCR", H223+30, K223="submitted", H223+30, TRUE, "N/A")), _xlfn.IFS(K223="AS", I223+15, K223="NCR", I223+30, K223="submitted", I223+30, TRUE, "N/A"))</f>
        <v>N/A</v>
      </c>
      <c r="K223" s="4"/>
      <c r="L223" s="318"/>
      <c r="M223" s="750"/>
      <c r="N223" s="751"/>
      <c r="O223" s="751"/>
      <c r="P223" s="752"/>
    </row>
    <row r="224" spans="1:16" s="5" customFormat="1" ht="15" customHeight="1">
      <c r="A224" s="4"/>
      <c r="B224" s="798"/>
      <c r="C224" s="799"/>
      <c r="D224" s="35"/>
      <c r="E224" s="35"/>
      <c r="F224" s="4" t="s">
        <v>433</v>
      </c>
      <c r="G224" s="17" t="s">
        <v>2185</v>
      </c>
      <c r="H224" s="18"/>
      <c r="I224" s="18"/>
      <c r="J224" s="74" t="str" cm="1">
        <f t="array" ref="J224">IF(ISBLANK(I224), IF(ISBLANK(H224), "N/A", _xlfn.IFS(K224="AS", H224+15, K224="NCR", H224+30, K224="submitted", H224+30, TRUE, "N/A")), _xlfn.IFS(K224="AS", I224+15, K224="NCR", I224+30, K224="submitted", I224+30, TRUE, "N/A"))</f>
        <v>N/A</v>
      </c>
      <c r="K224" s="4"/>
      <c r="L224" s="318"/>
      <c r="M224" s="750"/>
      <c r="N224" s="751"/>
      <c r="O224" s="751"/>
      <c r="P224" s="752"/>
    </row>
    <row r="225" spans="1:11" s="5" customFormat="1" ht="15" customHeight="1">
      <c r="A225" s="4"/>
      <c r="B225" s="798"/>
      <c r="C225" s="799"/>
      <c r="D225" s="35"/>
      <c r="E225" s="35"/>
      <c r="F225" s="4" t="s">
        <v>435</v>
      </c>
      <c r="G225" s="17" t="s">
        <v>2120</v>
      </c>
      <c r="H225" s="18"/>
      <c r="I225" s="18"/>
      <c r="J225" s="74" t="str" cm="1">
        <f t="array" ref="J225">IF(ISBLANK(I225), IF(ISBLANK(H225), "N/A", _xlfn.IFS(K225="AS", H225+15, K225="NCR", H225+30, K225="submitted", H225+30, TRUE, "N/A")), _xlfn.IFS(K225="AS", I225+15, K225="NCR", I225+30, K225="submitted", I225+30, TRUE, "N/A"))</f>
        <v>N/A</v>
      </c>
      <c r="K225" s="4"/>
    </row>
    <row r="226" spans="1:11" s="5" customFormat="1" ht="15" customHeight="1">
      <c r="A226" s="4"/>
      <c r="B226" s="795"/>
      <c r="C226" s="797"/>
      <c r="D226" s="36"/>
      <c r="E226" s="36"/>
      <c r="F226" s="4" t="s">
        <v>437</v>
      </c>
      <c r="G226" s="17" t="s">
        <v>345</v>
      </c>
      <c r="H226" s="18"/>
      <c r="I226" s="18"/>
      <c r="J226" s="74" t="str" cm="1">
        <f t="array" ref="J226">IF(ISBLANK(I226), IF(ISBLANK(H226), "N/A", _xlfn.IFS(K226="AS", H226+15, K226="NCR", H226+30, K226="submitted", H226+30, TRUE, "N/A")), _xlfn.IFS(K226="AS", I226+15, K226="NCR", I226+30, K226="submitted", I226+30, TRUE, "N/A"))</f>
        <v>N/A</v>
      </c>
      <c r="K226" s="4"/>
    </row>
    <row r="227" spans="1:11" s="1" customFormat="1" ht="15" customHeight="1">
      <c r="A227" s="9"/>
      <c r="B227" s="790" t="s">
        <v>2242</v>
      </c>
      <c r="C227" s="792" t="s">
        <v>2243</v>
      </c>
      <c r="D227" s="37"/>
      <c r="E227" s="37"/>
      <c r="F227" s="9" t="s">
        <v>328</v>
      </c>
      <c r="G227" s="13" t="s">
        <v>229</v>
      </c>
      <c r="H227" s="18"/>
      <c r="I227" s="18"/>
      <c r="J227" s="74" t="str" cm="1">
        <f t="array" ref="J227">IF(ISBLANK(I227), IF(ISBLANK(H227), "N/A", _xlfn.IFS(K227="AS", H227+15, K227="NCR", H227+30, K227="submitted", H227+30, TRUE, "N/A")), _xlfn.IFS(K227="AS", I227+15, K227="NCR", I227+30, K227="submitted", I227+30, TRUE, "N/A"))</f>
        <v>N/A</v>
      </c>
      <c r="K227" s="9"/>
    </row>
    <row r="228" spans="1:11" s="1" customFormat="1" ht="15" customHeight="1">
      <c r="A228" s="9"/>
      <c r="B228" s="791"/>
      <c r="C228" s="793"/>
      <c r="D228" s="39"/>
      <c r="E228" s="39"/>
      <c r="F228" s="9" t="s">
        <v>329</v>
      </c>
      <c r="G228" s="13" t="s">
        <v>276</v>
      </c>
      <c r="H228" s="18"/>
      <c r="I228" s="18"/>
      <c r="J228" s="74" t="str" cm="1">
        <f t="array" ref="J228">IF(ISBLANK(I228), IF(ISBLANK(H228), "N/A", _xlfn.IFS(K228="AS", H228+15, K228="NCR", H228+30, K228="submitted", H228+30, TRUE, "N/A")), _xlfn.IFS(K228="AS", I228+15, K228="NCR", I228+30, K228="submitted", I228+30, TRUE, "N/A"))</f>
        <v>N/A</v>
      </c>
      <c r="K228" s="9"/>
    </row>
    <row r="229" spans="1:11" s="1" customFormat="1" ht="53.25">
      <c r="A229" s="9"/>
      <c r="B229" s="791"/>
      <c r="C229" s="793"/>
      <c r="D229" s="39"/>
      <c r="E229" s="39"/>
      <c r="F229" s="9" t="s">
        <v>2072</v>
      </c>
      <c r="G229" s="7" t="s">
        <v>2200</v>
      </c>
      <c r="H229" s="18"/>
      <c r="I229" s="18"/>
      <c r="J229" s="74" t="str" cm="1">
        <f t="array" ref="J229">IF(ISBLANK(I229), IF(ISBLANK(H229), "N/A", _xlfn.IFS(K229="AS", H229+15, K229="NCR", H229+30, K229="submitted", H229+30, TRUE, "N/A")), _xlfn.IFS(K229="AS", I229+15, K229="NCR", I229+30, K229="submitted", I229+30, TRUE, "N/A"))</f>
        <v>N/A</v>
      </c>
      <c r="K229" s="9"/>
    </row>
    <row r="230" spans="1:11" s="1" customFormat="1" ht="15" customHeight="1">
      <c r="A230" s="9"/>
      <c r="B230" s="791"/>
      <c r="C230" s="793"/>
      <c r="D230" s="39"/>
      <c r="E230" s="39"/>
      <c r="F230" s="9" t="s">
        <v>397</v>
      </c>
      <c r="G230" s="13" t="s">
        <v>2105</v>
      </c>
      <c r="H230" s="18"/>
      <c r="I230" s="18"/>
      <c r="J230" s="74" t="str" cm="1">
        <f t="array" ref="J230">IF(ISBLANK(I230), IF(ISBLANK(H230), "N/A", _xlfn.IFS(K230="AS", H230+15, K230="NCR", H230+30, K230="submitted", H230+30, TRUE, "N/A")), _xlfn.IFS(K230="AS", I230+15, K230="NCR", I230+30, K230="submitted", I230+30, TRUE, "N/A"))</f>
        <v>N/A</v>
      </c>
      <c r="K230" s="9"/>
    </row>
    <row r="231" spans="1:11" s="1" customFormat="1" ht="27" customHeight="1">
      <c r="A231" s="9"/>
      <c r="B231" s="791"/>
      <c r="C231" s="793"/>
      <c r="D231" s="39"/>
      <c r="E231" s="39"/>
      <c r="F231" s="9" t="s">
        <v>398</v>
      </c>
      <c r="G231" s="7" t="s">
        <v>2146</v>
      </c>
      <c r="H231" s="18"/>
      <c r="I231" s="18"/>
      <c r="J231" s="74" t="str" cm="1">
        <f t="array" ref="J231">IF(ISBLANK(I231), IF(ISBLANK(H231), "N/A", _xlfn.IFS(K231="AS", H231+15, K231="NCR", H231+30, K231="submitted", H231+30, TRUE, "N/A")), _xlfn.IFS(K231="AS", I231+15, K231="NCR", I231+30, K231="submitted", I231+30, TRUE, "N/A"))</f>
        <v>N/A</v>
      </c>
      <c r="K231" s="9"/>
    </row>
    <row r="232" spans="1:11" s="1" customFormat="1" ht="15" customHeight="1">
      <c r="A232" s="9"/>
      <c r="B232" s="791"/>
      <c r="C232" s="793"/>
      <c r="D232" s="39"/>
      <c r="E232" s="39"/>
      <c r="F232" s="9" t="s">
        <v>400</v>
      </c>
      <c r="G232" s="13" t="s">
        <v>2244</v>
      </c>
      <c r="H232" s="18"/>
      <c r="I232" s="18"/>
      <c r="J232" s="74" t="str" cm="1">
        <f t="array" ref="J232">IF(ISBLANK(I232), IF(ISBLANK(H232), "N/A", _xlfn.IFS(K232="AS", H232+15, K232="NCR", H232+30, K232="submitted", H232+30, TRUE, "N/A")), _xlfn.IFS(K232="AS", I232+15, K232="NCR", I232+30, K232="submitted", I232+30, TRUE, "N/A"))</f>
        <v>N/A</v>
      </c>
      <c r="K232" s="9"/>
    </row>
    <row r="233" spans="1:11" s="1" customFormat="1" ht="15" customHeight="1">
      <c r="A233" s="9"/>
      <c r="B233" s="777"/>
      <c r="C233" s="779"/>
      <c r="D233" s="46"/>
      <c r="E233" s="46"/>
      <c r="F233" s="9" t="s">
        <v>433</v>
      </c>
      <c r="G233" s="13" t="s">
        <v>345</v>
      </c>
      <c r="H233" s="18"/>
      <c r="I233" s="18"/>
      <c r="J233" s="74" t="str" cm="1">
        <f t="array" ref="J233">IF(ISBLANK(I233), IF(ISBLANK(H233), "N/A", _xlfn.IFS(K233="AS", H233+15, K233="NCR", H233+30, K233="submitted", H233+30, TRUE, "N/A")), _xlfn.IFS(K233="AS", I233+15, K233="NCR", I233+30, K233="submitted", I233+30, TRUE, "N/A"))</f>
        <v>N/A</v>
      </c>
      <c r="K233" s="9"/>
    </row>
    <row r="234" spans="1:11" s="5" customFormat="1" ht="15" customHeight="1">
      <c r="A234" s="4"/>
      <c r="B234" s="794" t="s">
        <v>2245</v>
      </c>
      <c r="C234" s="796" t="s">
        <v>2246</v>
      </c>
      <c r="D234" s="34"/>
      <c r="E234" s="34"/>
      <c r="F234" s="4" t="s">
        <v>328</v>
      </c>
      <c r="G234" s="17" t="s">
        <v>229</v>
      </c>
      <c r="H234" s="18"/>
      <c r="I234" s="18"/>
      <c r="J234" s="74" t="str" cm="1">
        <f t="array" ref="J234">IF(ISBLANK(I234), IF(ISBLANK(H234), "N/A", _xlfn.IFS(K234="AS", H234+15, K234="NCR", H234+30, K234="submitted", H234+30, TRUE, "N/A")), _xlfn.IFS(K234="AS", I234+15, K234="NCR", I234+30, K234="submitted", I234+30, TRUE, "N/A"))</f>
        <v>N/A</v>
      </c>
      <c r="K234" s="4"/>
    </row>
    <row r="235" spans="1:11" s="5" customFormat="1" ht="15" customHeight="1">
      <c r="A235" s="4"/>
      <c r="B235" s="798"/>
      <c r="C235" s="799"/>
      <c r="D235" s="35"/>
      <c r="E235" s="35"/>
      <c r="F235" s="4" t="s">
        <v>329</v>
      </c>
      <c r="G235" s="17" t="s">
        <v>320</v>
      </c>
      <c r="H235" s="18"/>
      <c r="I235" s="18"/>
      <c r="J235" s="74" t="str" cm="1">
        <f t="array" ref="J235">IF(ISBLANK(I235), IF(ISBLANK(H235), "N/A", _xlfn.IFS(K235="AS", H235+15, K235="NCR", H235+30, K235="submitted", H235+30, TRUE, "N/A")), _xlfn.IFS(K235="AS", I235+15, K235="NCR", I235+30, K235="submitted", I235+30, TRUE, "N/A"))</f>
        <v>N/A</v>
      </c>
      <c r="K235" s="4"/>
    </row>
    <row r="236" spans="1:11" s="5" customFormat="1" ht="15" customHeight="1">
      <c r="A236" s="4"/>
      <c r="B236" s="798"/>
      <c r="C236" s="799"/>
      <c r="D236" s="35"/>
      <c r="E236" s="35"/>
      <c r="F236" s="4" t="s">
        <v>396</v>
      </c>
      <c r="G236" s="17" t="s">
        <v>345</v>
      </c>
      <c r="H236" s="18"/>
      <c r="I236" s="18"/>
      <c r="J236" s="74" t="str" cm="1">
        <f t="array" ref="J236">IF(ISBLANK(I236), IF(ISBLANK(H236), "N/A", _xlfn.IFS(K236="AS", H236+15, K236="NCR", H236+30, K236="submitted", H236+30, TRUE, "N/A")), _xlfn.IFS(K236="AS", I236+15, K236="NCR", I236+30, K236="submitted", I236+30, TRUE, "N/A"))</f>
        <v>N/A</v>
      </c>
      <c r="K236" s="4"/>
    </row>
    <row r="237" spans="1:11" s="5" customFormat="1" ht="40.5" customHeight="1">
      <c r="A237" s="4"/>
      <c r="B237" s="798"/>
      <c r="C237" s="799"/>
      <c r="D237" s="35"/>
      <c r="E237" s="35"/>
      <c r="F237" s="4" t="s">
        <v>332</v>
      </c>
      <c r="G237" s="3" t="s">
        <v>2164</v>
      </c>
      <c r="H237" s="18"/>
      <c r="I237" s="18"/>
      <c r="J237" s="74" t="str" cm="1">
        <f t="array" ref="J237">IF(ISBLANK(I237), IF(ISBLANK(H237), "N/A", _xlfn.IFS(K237="AS", H237+15, K237="NCR", H237+30, K237="submitted", H237+30, TRUE, "N/A")), _xlfn.IFS(K237="AS", I237+15, K237="NCR", I237+30, K237="submitted", I237+30, TRUE, "N/A"))</f>
        <v>N/A</v>
      </c>
      <c r="K237" s="4"/>
    </row>
    <row r="238" spans="1:11" s="5" customFormat="1" ht="15" customHeight="1">
      <c r="A238" s="4"/>
      <c r="B238" s="798"/>
      <c r="C238" s="799"/>
      <c r="D238" s="35"/>
      <c r="E238" s="35"/>
      <c r="F238" s="4" t="s">
        <v>398</v>
      </c>
      <c r="G238" s="17" t="s">
        <v>2105</v>
      </c>
      <c r="H238" s="18"/>
      <c r="I238" s="18"/>
      <c r="J238" s="74" t="str" cm="1">
        <f t="array" ref="J238">IF(ISBLANK(I238), IF(ISBLANK(H238), "N/A", _xlfn.IFS(K238="AS", H238+15, K238="NCR", H238+30, K238="submitted", H238+30, TRUE, "N/A")), _xlfn.IFS(K238="AS", I238+15, K238="NCR", I238+30, K238="submitted", I238+30, TRUE, "N/A"))</f>
        <v>N/A</v>
      </c>
      <c r="K238" s="4"/>
    </row>
    <row r="239" spans="1:11" s="5" customFormat="1" ht="15" customHeight="1">
      <c r="A239" s="4"/>
      <c r="B239" s="798"/>
      <c r="C239" s="799"/>
      <c r="D239" s="35"/>
      <c r="E239" s="35"/>
      <c r="F239" s="4" t="s">
        <v>735</v>
      </c>
      <c r="G239" s="17" t="s">
        <v>2189</v>
      </c>
      <c r="H239" s="18"/>
      <c r="I239" s="18"/>
      <c r="J239" s="74" t="str" cm="1">
        <f t="array" ref="J239">IF(ISBLANK(I239), IF(ISBLANK(H239), "N/A", _xlfn.IFS(K239="AS", H239+15, K239="NCR", H239+30, K239="submitted", H239+30, TRUE, "N/A")), _xlfn.IFS(K239="AS", I239+15, K239="NCR", I239+30, K239="submitted", I239+30, TRUE, "N/A"))</f>
        <v>N/A</v>
      </c>
      <c r="K239" s="4"/>
    </row>
    <row r="240" spans="1:11" s="5" customFormat="1" ht="27" customHeight="1">
      <c r="A240" s="4"/>
      <c r="B240" s="798"/>
      <c r="C240" s="799"/>
      <c r="D240" s="35"/>
      <c r="E240" s="35"/>
      <c r="F240" s="4" t="s">
        <v>880</v>
      </c>
      <c r="G240" s="3" t="s">
        <v>2165</v>
      </c>
      <c r="H240" s="18"/>
      <c r="I240" s="18"/>
      <c r="J240" s="74" t="str" cm="1">
        <f t="array" ref="J240">IF(ISBLANK(I240), IF(ISBLANK(H240), "N/A", _xlfn.IFS(K240="AS", H240+15, K240="NCR", H240+30, K240="submitted", H240+30, TRUE, "N/A")), _xlfn.IFS(K240="AS", I240+15, K240="NCR", I240+30, K240="submitted", I240+30, TRUE, "N/A"))</f>
        <v>N/A</v>
      </c>
      <c r="K240" s="4"/>
    </row>
    <row r="241" spans="1:11" s="5" customFormat="1" ht="15" customHeight="1">
      <c r="A241" s="4"/>
      <c r="B241" s="798"/>
      <c r="C241" s="799"/>
      <c r="D241" s="35"/>
      <c r="E241" s="35"/>
      <c r="F241" s="4" t="s">
        <v>1066</v>
      </c>
      <c r="G241" s="17" t="s">
        <v>2193</v>
      </c>
      <c r="H241" s="18"/>
      <c r="I241" s="18"/>
      <c r="J241" s="74" t="str" cm="1">
        <f t="array" ref="J241">IF(ISBLANK(I241), IF(ISBLANK(H241), "N/A", _xlfn.IFS(K241="AS", H241+15, K241="NCR", H241+30, K241="submitted", H241+30, TRUE, "N/A")), _xlfn.IFS(K241="AS", I241+15, K241="NCR", I241+30, K241="submitted", I241+30, TRUE, "N/A"))</f>
        <v>N/A</v>
      </c>
      <c r="K241" s="4"/>
    </row>
    <row r="242" spans="1:11" s="5" customFormat="1" ht="15" customHeight="1">
      <c r="A242" s="4"/>
      <c r="B242" s="795"/>
      <c r="C242" s="797"/>
      <c r="D242" s="36"/>
      <c r="E242" s="36"/>
      <c r="F242" s="4" t="s">
        <v>433</v>
      </c>
      <c r="G242" s="17" t="s">
        <v>2244</v>
      </c>
      <c r="H242" s="18"/>
      <c r="I242" s="18"/>
      <c r="J242" s="74" t="str" cm="1">
        <f t="array" ref="J242">IF(ISBLANK(I242), IF(ISBLANK(H242), "N/A", _xlfn.IFS(K242="AS", H242+15, K242="NCR", H242+30, K242="submitted", H242+30, TRUE, "N/A")), _xlfn.IFS(K242="AS", I242+15, K242="NCR", I242+30, K242="submitted", I242+30, TRUE, "N/A"))</f>
        <v>N/A</v>
      </c>
      <c r="K242" s="4"/>
    </row>
    <row r="243" spans="1:11" s="1" customFormat="1" ht="15" customHeight="1">
      <c r="A243" s="9"/>
      <c r="B243" s="790" t="s">
        <v>2247</v>
      </c>
      <c r="C243" s="792" t="s">
        <v>2248</v>
      </c>
      <c r="D243" s="37"/>
      <c r="E243" s="37"/>
      <c r="F243" s="9" t="s">
        <v>328</v>
      </c>
      <c r="G243" s="13" t="s">
        <v>229</v>
      </c>
      <c r="H243" s="18"/>
      <c r="I243" s="18"/>
      <c r="J243" s="74" t="str" cm="1">
        <f t="array" ref="J243">IF(ISBLANK(I243), IF(ISBLANK(H243), "N/A", _xlfn.IFS(K243="AS", H243+15, K243="NCR", H243+30, K243="submitted", H243+30, TRUE, "N/A")), _xlfn.IFS(K243="AS", I243+15, K243="NCR", I243+30, K243="submitted", I243+30, TRUE, "N/A"))</f>
        <v>N/A</v>
      </c>
      <c r="K243" s="9"/>
    </row>
    <row r="244" spans="1:11" s="1" customFormat="1" ht="15" customHeight="1">
      <c r="A244" s="9"/>
      <c r="B244" s="791"/>
      <c r="C244" s="793"/>
      <c r="D244" s="39"/>
      <c r="E244" s="39"/>
      <c r="F244" s="9" t="s">
        <v>329</v>
      </c>
      <c r="G244" s="13" t="s">
        <v>276</v>
      </c>
      <c r="H244" s="18"/>
      <c r="I244" s="18"/>
      <c r="J244" s="74" t="str" cm="1">
        <f t="array" ref="J244">IF(ISBLANK(I244), IF(ISBLANK(H244), "N/A", _xlfn.IFS(K244="AS", H244+15, K244="NCR", H244+30, K244="submitted", H244+30, TRUE, "N/A")), _xlfn.IFS(K244="AS", I244+15, K244="NCR", I244+30, K244="submitted", I244+30, TRUE, "N/A"))</f>
        <v>N/A</v>
      </c>
      <c r="K244" s="9"/>
    </row>
    <row r="245" spans="1:11" s="1" customFormat="1" ht="40.5" customHeight="1">
      <c r="A245" s="9"/>
      <c r="B245" s="791"/>
      <c r="C245" s="793"/>
      <c r="D245" s="39"/>
      <c r="E245" s="39"/>
      <c r="F245" s="9" t="s">
        <v>330</v>
      </c>
      <c r="G245" s="7" t="s">
        <v>2205</v>
      </c>
      <c r="H245" s="18"/>
      <c r="I245" s="18"/>
      <c r="J245" s="74" t="str" cm="1">
        <f t="array" ref="J245">IF(ISBLANK(I245), IF(ISBLANK(H245), "N/A", _xlfn.IFS(K245="AS", H245+15, K245="NCR", H245+30, K245="submitted", H245+30, TRUE, "N/A")), _xlfn.IFS(K245="AS", I245+15, K245="NCR", I245+30, K245="submitted", I245+30, TRUE, "N/A"))</f>
        <v>N/A</v>
      </c>
      <c r="K245" s="9"/>
    </row>
    <row r="246" spans="1:11" s="1" customFormat="1" ht="15" customHeight="1">
      <c r="A246" s="9"/>
      <c r="B246" s="791"/>
      <c r="C246" s="793"/>
      <c r="D246" s="39"/>
      <c r="E246" s="39"/>
      <c r="F246" s="9" t="s">
        <v>397</v>
      </c>
      <c r="G246" s="13" t="s">
        <v>2105</v>
      </c>
      <c r="H246" s="18"/>
      <c r="I246" s="18"/>
      <c r="J246" s="74" t="str" cm="1">
        <f t="array" ref="J246">IF(ISBLANK(I246), IF(ISBLANK(H246), "N/A", _xlfn.IFS(K246="AS", H246+15, K246="NCR", H246+30, K246="submitted", H246+30, TRUE, "N/A")), _xlfn.IFS(K246="AS", I246+15, K246="NCR", I246+30, K246="submitted", I246+30, TRUE, "N/A"))</f>
        <v>N/A</v>
      </c>
      <c r="K246" s="9"/>
    </row>
    <row r="247" spans="1:11" s="1" customFormat="1" ht="40.5" customHeight="1">
      <c r="A247" s="9"/>
      <c r="B247" s="791"/>
      <c r="C247" s="793"/>
      <c r="D247" s="39"/>
      <c r="E247" s="39"/>
      <c r="F247" s="9" t="s">
        <v>338</v>
      </c>
      <c r="G247" s="7" t="s">
        <v>2183</v>
      </c>
      <c r="H247" s="18"/>
      <c r="I247" s="18"/>
      <c r="J247" s="74" t="str" cm="1">
        <f t="array" ref="J247">IF(ISBLANK(I247), IF(ISBLANK(H247), "N/A", _xlfn.IFS(K247="AS", H247+15, K247="NCR", H247+30, K247="submitted", H247+30, TRUE, "N/A")), _xlfn.IFS(K247="AS", I247+15, K247="NCR", I247+30, K247="submitted", I247+30, TRUE, "N/A"))</f>
        <v>N/A</v>
      </c>
      <c r="K247" s="9"/>
    </row>
    <row r="248" spans="1:11" s="1" customFormat="1" ht="27" customHeight="1">
      <c r="A248" s="9"/>
      <c r="B248" s="791"/>
      <c r="C248" s="793"/>
      <c r="D248" s="39"/>
      <c r="E248" s="39"/>
      <c r="F248" s="9" t="s">
        <v>734</v>
      </c>
      <c r="G248" s="7" t="s">
        <v>2184</v>
      </c>
      <c r="H248" s="18"/>
      <c r="I248" s="18"/>
      <c r="J248" s="74" t="str" cm="1">
        <f t="array" ref="J248">IF(ISBLANK(I248), IF(ISBLANK(H248), "N/A", _xlfn.IFS(K248="AS", H248+15, K248="NCR", H248+30, K248="submitted", H248+30, TRUE, "N/A")), _xlfn.IFS(K248="AS", I248+15, K248="NCR", I248+30, K248="submitted", I248+30, TRUE, "N/A"))</f>
        <v>N/A</v>
      </c>
      <c r="K248" s="9"/>
    </row>
    <row r="249" spans="1:11" s="1" customFormat="1" ht="15" customHeight="1">
      <c r="A249" s="9"/>
      <c r="B249" s="791"/>
      <c r="C249" s="793"/>
      <c r="D249" s="39"/>
      <c r="E249" s="39"/>
      <c r="F249" s="9" t="s">
        <v>400</v>
      </c>
      <c r="G249" s="13" t="s">
        <v>372</v>
      </c>
      <c r="H249" s="18"/>
      <c r="I249" s="18"/>
      <c r="J249" s="74" t="str" cm="1">
        <f t="array" ref="J249">IF(ISBLANK(I249), IF(ISBLANK(H249), "N/A", _xlfn.IFS(K249="AS", H249+15, K249="NCR", H249+30, K249="submitted", H249+30, TRUE, "N/A")), _xlfn.IFS(K249="AS", I249+15, K249="NCR", I249+30, K249="submitted", I249+30, TRUE, "N/A"))</f>
        <v>N/A</v>
      </c>
      <c r="K249" s="9"/>
    </row>
    <row r="250" spans="1:11" s="1" customFormat="1" ht="15" customHeight="1">
      <c r="A250" s="9"/>
      <c r="B250" s="791"/>
      <c r="C250" s="793"/>
      <c r="D250" s="39"/>
      <c r="E250" s="39"/>
      <c r="F250" s="9" t="s">
        <v>433</v>
      </c>
      <c r="G250" s="13" t="s">
        <v>345</v>
      </c>
      <c r="H250" s="18"/>
      <c r="I250" s="18"/>
      <c r="J250" s="74" t="str" cm="1">
        <f t="array" ref="J250">IF(ISBLANK(I250), IF(ISBLANK(H250), "N/A", _xlfn.IFS(K250="AS", H250+15, K250="NCR", H250+30, K250="submitted", H250+30, TRUE, "N/A")), _xlfn.IFS(K250="AS", I250+15, K250="NCR", I250+30, K250="submitted", I250+30, TRUE, "N/A"))</f>
        <v>N/A</v>
      </c>
      <c r="K250" s="9"/>
    </row>
    <row r="251" spans="1:11" s="1" customFormat="1" ht="15" customHeight="1">
      <c r="A251" s="9"/>
      <c r="B251" s="791"/>
      <c r="C251" s="793"/>
      <c r="D251" s="39"/>
      <c r="E251" s="39"/>
      <c r="F251" s="9" t="s">
        <v>2249</v>
      </c>
      <c r="G251" s="13" t="s">
        <v>2206</v>
      </c>
      <c r="H251" s="18"/>
      <c r="I251" s="18"/>
      <c r="J251" s="74" t="str" cm="1">
        <f t="array" ref="J251">IF(ISBLANK(I251), IF(ISBLANK(H251), "N/A", _xlfn.IFS(K251="AS", H251+15, K251="NCR", H251+30, K251="submitted", H251+30, TRUE, "N/A")), _xlfn.IFS(K251="AS", I251+15, K251="NCR", I251+30, K251="submitted", I251+30, TRUE, "N/A"))</f>
        <v>N/A</v>
      </c>
      <c r="K251" s="9"/>
    </row>
    <row r="252" spans="1:11" s="1" customFormat="1" ht="15" customHeight="1">
      <c r="A252" s="9"/>
      <c r="B252" s="791"/>
      <c r="C252" s="793"/>
      <c r="D252" s="39"/>
      <c r="E252" s="39"/>
      <c r="F252" s="9" t="s">
        <v>2250</v>
      </c>
      <c r="G252" s="13" t="s">
        <v>2154</v>
      </c>
      <c r="H252" s="18"/>
      <c r="I252" s="18"/>
      <c r="J252" s="74" t="str" cm="1">
        <f t="array" ref="J252">IF(ISBLANK(I252), IF(ISBLANK(H252), "N/A", _xlfn.IFS(K252="AS", H252+15, K252="NCR", H252+30, K252="submitted", H252+30, TRUE, "N/A")), _xlfn.IFS(K252="AS", I252+15, K252="NCR", I252+30, K252="submitted", I252+30, TRUE, "N/A"))</f>
        <v>N/A</v>
      </c>
      <c r="K252" s="9"/>
    </row>
    <row r="253" spans="1:11" s="1" customFormat="1" ht="15" customHeight="1">
      <c r="A253" s="9"/>
      <c r="B253" s="791"/>
      <c r="C253" s="793"/>
      <c r="D253" s="39"/>
      <c r="E253" s="39"/>
      <c r="F253" s="9" t="s">
        <v>2251</v>
      </c>
      <c r="G253" s="13" t="s">
        <v>418</v>
      </c>
      <c r="H253" s="18"/>
      <c r="I253" s="18"/>
      <c r="J253" s="74" t="str" cm="1">
        <f t="array" ref="J253">IF(ISBLANK(I253), IF(ISBLANK(H253), "N/A", _xlfn.IFS(K253="AS", H253+15, K253="NCR", H253+30, K253="submitted", H253+30, TRUE, "N/A")), _xlfn.IFS(K253="AS", I253+15, K253="NCR", I253+30, K253="submitted", I253+30, TRUE, "N/A"))</f>
        <v>N/A</v>
      </c>
      <c r="K253" s="9"/>
    </row>
    <row r="254" spans="1:11" s="1" customFormat="1" ht="15" customHeight="1">
      <c r="A254" s="9"/>
      <c r="B254" s="791"/>
      <c r="C254" s="793"/>
      <c r="D254" s="39"/>
      <c r="E254" s="39"/>
      <c r="F254" s="9" t="s">
        <v>2252</v>
      </c>
      <c r="G254" s="13" t="s">
        <v>2173</v>
      </c>
      <c r="H254" s="18"/>
      <c r="I254" s="18"/>
      <c r="J254" s="74" t="str" cm="1">
        <f t="array" ref="J254">IF(ISBLANK(I254), IF(ISBLANK(H254), "N/A", _xlfn.IFS(K254="AS", H254+15, K254="NCR", H254+30, K254="submitted", H254+30, TRUE, "N/A")), _xlfn.IFS(K254="AS", I254+15, K254="NCR", I254+30, K254="submitted", I254+30, TRUE, "N/A"))</f>
        <v>N/A</v>
      </c>
      <c r="K254" s="9"/>
    </row>
    <row r="255" spans="1:11" s="1" customFormat="1" ht="15" customHeight="1">
      <c r="A255" s="9"/>
      <c r="B255" s="777"/>
      <c r="C255" s="779"/>
      <c r="D255" s="46"/>
      <c r="E255" s="46"/>
      <c r="F255" s="9" t="s">
        <v>2253</v>
      </c>
      <c r="G255" s="13" t="s">
        <v>2176</v>
      </c>
      <c r="H255" s="18"/>
      <c r="I255" s="18"/>
      <c r="J255" s="74" t="str" cm="1">
        <f t="array" ref="J255">IF(ISBLANK(I255), IF(ISBLANK(H255), "N/A", _xlfn.IFS(K255="AS", H255+15, K255="NCR", H255+30, K255="submitted", H255+30, TRUE, "N/A")), _xlfn.IFS(K255="AS", I255+15, K255="NCR", I255+30, K255="submitted", I255+30, TRUE, "N/A"))</f>
        <v>N/A</v>
      </c>
      <c r="K255" s="9"/>
    </row>
    <row r="256" spans="1:11" s="5" customFormat="1" ht="15" customHeight="1">
      <c r="A256" s="4"/>
      <c r="B256" s="794" t="s">
        <v>2254</v>
      </c>
      <c r="C256" s="796" t="s">
        <v>2255</v>
      </c>
      <c r="D256" s="34"/>
      <c r="E256" s="34"/>
      <c r="F256" s="4" t="s">
        <v>328</v>
      </c>
      <c r="G256" s="17" t="s">
        <v>229</v>
      </c>
      <c r="H256" s="18"/>
      <c r="I256" s="18"/>
      <c r="J256" s="74" t="str" cm="1">
        <f t="array" ref="J256">IF(ISBLANK(I256), IF(ISBLANK(H256), "N/A", _xlfn.IFS(K256="AS", H256+15, K256="NCR", H256+30, K256="submitted", H256+30, TRUE, "N/A")), _xlfn.IFS(K256="AS", I256+15, K256="NCR", I256+30, K256="submitted", I256+30, TRUE, "N/A"))</f>
        <v>N/A</v>
      </c>
      <c r="K256" s="4"/>
    </row>
    <row r="257" spans="1:11" s="5" customFormat="1" ht="40.5" customHeight="1">
      <c r="A257" s="4"/>
      <c r="B257" s="798"/>
      <c r="C257" s="799"/>
      <c r="D257" s="35"/>
      <c r="E257" s="35"/>
      <c r="F257" s="4" t="s">
        <v>234</v>
      </c>
      <c r="G257" s="3" t="s">
        <v>2256</v>
      </c>
      <c r="H257" s="18"/>
      <c r="I257" s="18"/>
      <c r="J257" s="74" t="str" cm="1">
        <f t="array" ref="J257">IF(ISBLANK(I257), IF(ISBLANK(H257), "N/A", _xlfn.IFS(K257="AS", H257+15, K257="NCR", H257+30, K257="submitted", H257+30, TRUE, "N/A")), _xlfn.IFS(K257="AS", I257+15, K257="NCR", I257+30, K257="submitted", I257+30, TRUE, "N/A"))</f>
        <v>N/A</v>
      </c>
      <c r="K257" s="4"/>
    </row>
    <row r="258" spans="1:11" s="5" customFormat="1" ht="15" customHeight="1">
      <c r="A258" s="4"/>
      <c r="B258" s="795"/>
      <c r="C258" s="797"/>
      <c r="D258" s="36"/>
      <c r="E258" s="36"/>
      <c r="F258" s="4" t="s">
        <v>396</v>
      </c>
      <c r="G258" s="17" t="s">
        <v>2102</v>
      </c>
      <c r="H258" s="18"/>
      <c r="I258" s="18"/>
      <c r="J258" s="74" t="str" cm="1">
        <f t="array" ref="J258">IF(ISBLANK(I258), IF(ISBLANK(H258), "N/A", _xlfn.IFS(K258="AS", H258+15, K258="NCR", H258+30, K258="submitted", H258+30, TRUE, "N/A")), _xlfn.IFS(K258="AS", I258+15, K258="NCR", I258+30, K258="submitted", I258+30, TRUE, "N/A"))</f>
        <v>N/A</v>
      </c>
      <c r="K258" s="4"/>
    </row>
    <row r="259" spans="1:11" s="1" customFormat="1" ht="15" customHeight="1">
      <c r="A259" s="9"/>
      <c r="B259" s="790" t="s">
        <v>2257</v>
      </c>
      <c r="C259" s="792" t="s">
        <v>2258</v>
      </c>
      <c r="D259" s="37"/>
      <c r="E259" s="37"/>
      <c r="F259" s="9" t="s">
        <v>275</v>
      </c>
      <c r="G259" s="13" t="s">
        <v>229</v>
      </c>
      <c r="H259" s="18"/>
      <c r="I259" s="18"/>
      <c r="J259" s="74" t="str" cm="1">
        <f t="array" ref="J259">IF(ISBLANK(I259), IF(ISBLANK(H259), "N/A", _xlfn.IFS(K259="AS", H259+15, K259="NCR", H259+30, K259="submitted", H259+30, TRUE, "N/A")), _xlfn.IFS(K259="AS", I259+15, K259="NCR", I259+30, K259="submitted", I259+30, TRUE, "N/A"))</f>
        <v>N/A</v>
      </c>
      <c r="K259" s="9"/>
    </row>
    <row r="260" spans="1:11" s="1" customFormat="1" ht="15" customHeight="1">
      <c r="A260" s="9"/>
      <c r="B260" s="791"/>
      <c r="C260" s="793"/>
      <c r="D260" s="39"/>
      <c r="E260" s="39"/>
      <c r="F260" s="9" t="s">
        <v>263</v>
      </c>
      <c r="G260" s="13" t="s">
        <v>276</v>
      </c>
      <c r="H260" s="18"/>
      <c r="I260" s="18"/>
      <c r="J260" s="74" t="str" cm="1">
        <f t="array" ref="J260">IF(ISBLANK(I260), IF(ISBLANK(H260), "N/A", _xlfn.IFS(K260="AS", H260+15, K260="NCR", H260+30, K260="submitted", H260+30, TRUE, "N/A")), _xlfn.IFS(K260="AS", I260+15, K260="NCR", I260+30, K260="submitted", I260+30, TRUE, "N/A"))</f>
        <v>N/A</v>
      </c>
      <c r="K260" s="9"/>
    </row>
    <row r="261" spans="1:11" s="1" customFormat="1" ht="15" customHeight="1">
      <c r="A261" s="9"/>
      <c r="B261" s="791"/>
      <c r="C261" s="793"/>
      <c r="D261" s="39"/>
      <c r="E261" s="39"/>
      <c r="F261" s="9" t="s">
        <v>253</v>
      </c>
      <c r="G261" s="13" t="s">
        <v>482</v>
      </c>
      <c r="H261" s="18"/>
      <c r="I261" s="18"/>
      <c r="J261" s="74" t="str" cm="1">
        <f t="array" ref="J261">IF(ISBLANK(I261), IF(ISBLANK(H261), "N/A", _xlfn.IFS(K261="AS", H261+15, K261="NCR", H261+30, K261="submitted", H261+30, TRUE, "N/A")), _xlfn.IFS(K261="AS", I261+15, K261="NCR", I261+30, K261="submitted", I261+30, TRUE, "N/A"))</f>
        <v>N/A</v>
      </c>
      <c r="K261" s="9"/>
    </row>
    <row r="262" spans="1:11" s="1" customFormat="1" ht="15" customHeight="1">
      <c r="A262" s="9"/>
      <c r="B262" s="777"/>
      <c r="C262" s="779"/>
      <c r="D262" s="46"/>
      <c r="E262" s="46"/>
      <c r="F262" s="9" t="s">
        <v>344</v>
      </c>
      <c r="G262" s="13" t="s">
        <v>2120</v>
      </c>
      <c r="H262" s="18"/>
      <c r="I262" s="18"/>
      <c r="J262" s="74" t="str" cm="1">
        <f t="array" ref="J262">IF(ISBLANK(I262), IF(ISBLANK(H262), "N/A", _xlfn.IFS(K262="AS", H262+15, K262="NCR", H262+30, K262="submitted", H262+30, TRUE, "N/A")), _xlfn.IFS(K262="AS", I262+15, K262="NCR", I262+30, K262="submitted", I262+30, TRUE, "N/A"))</f>
        <v>N/A</v>
      </c>
      <c r="K262" s="9"/>
    </row>
    <row r="263" spans="1:11" s="5" customFormat="1" ht="15" customHeight="1">
      <c r="A263" s="4"/>
      <c r="B263" s="794" t="s">
        <v>2259</v>
      </c>
      <c r="C263" s="796" t="s">
        <v>2260</v>
      </c>
      <c r="D263" s="34"/>
      <c r="E263" s="34"/>
      <c r="F263" s="4" t="s">
        <v>328</v>
      </c>
      <c r="G263" s="17" t="s">
        <v>229</v>
      </c>
      <c r="H263" s="18"/>
      <c r="I263" s="18"/>
      <c r="J263" s="74" t="str" cm="1">
        <f t="array" ref="J263">IF(ISBLANK(I263), IF(ISBLANK(H263), "N/A", _xlfn.IFS(K263="AS", H263+15, K263="NCR", H263+30, K263="submitted", H263+30, TRUE, "N/A")), _xlfn.IFS(K263="AS", I263+15, K263="NCR", I263+30, K263="submitted", I263+30, TRUE, "N/A"))</f>
        <v>N/A</v>
      </c>
      <c r="K263" s="4"/>
    </row>
    <row r="264" spans="1:11" s="5" customFormat="1" ht="15" customHeight="1">
      <c r="A264" s="4"/>
      <c r="B264" s="798"/>
      <c r="C264" s="799"/>
      <c r="D264" s="35"/>
      <c r="E264" s="35"/>
      <c r="F264" s="4" t="s">
        <v>234</v>
      </c>
      <c r="G264" s="17" t="s">
        <v>2261</v>
      </c>
      <c r="H264" s="18"/>
      <c r="I264" s="18"/>
      <c r="J264" s="74" t="str" cm="1">
        <f t="array" ref="J264">IF(ISBLANK(I264), IF(ISBLANK(H264), "N/A", _xlfn.IFS(K264="AS", H264+15, K264="NCR", H264+30, K264="submitted", H264+30, TRUE, "N/A")), _xlfn.IFS(K264="AS", I264+15, K264="NCR", I264+30, K264="submitted", I264+30, TRUE, "N/A"))</f>
        <v>N/A</v>
      </c>
      <c r="K264" s="4"/>
    </row>
    <row r="265" spans="1:11" s="5" customFormat="1" ht="53.25">
      <c r="A265" s="4"/>
      <c r="B265" s="798"/>
      <c r="C265" s="799"/>
      <c r="D265" s="35"/>
      <c r="E265" s="35"/>
      <c r="F265" s="4" t="s">
        <v>236</v>
      </c>
      <c r="G265" s="3" t="s">
        <v>2262</v>
      </c>
      <c r="H265" s="18"/>
      <c r="I265" s="18"/>
      <c r="J265" s="74" t="str" cm="1">
        <f t="array" ref="J265">IF(ISBLANK(I265), IF(ISBLANK(H265), "N/A", _xlfn.IFS(K265="AS", H265+15, K265="NCR", H265+30, K265="submitted", H265+30, TRUE, "N/A")), _xlfn.IFS(K265="AS", I265+15, K265="NCR", I265+30, K265="submitted", I265+30, TRUE, "N/A"))</f>
        <v>N/A</v>
      </c>
      <c r="K265" s="4"/>
    </row>
    <row r="266" spans="1:11" s="5" customFormat="1" ht="27" customHeight="1">
      <c r="A266" s="4"/>
      <c r="B266" s="798"/>
      <c r="C266" s="799"/>
      <c r="D266" s="35"/>
      <c r="E266" s="35"/>
      <c r="F266" s="4" t="s">
        <v>1221</v>
      </c>
      <c r="G266" s="3" t="s">
        <v>2263</v>
      </c>
      <c r="H266" s="18"/>
      <c r="I266" s="18"/>
      <c r="J266" s="74" t="str" cm="1">
        <f t="array" ref="J266">IF(ISBLANK(I266), IF(ISBLANK(H266), "N/A", _xlfn.IFS(K266="AS", H266+15, K266="NCR", H266+30, K266="submitted", H266+30, TRUE, "N/A")), _xlfn.IFS(K266="AS", I266+15, K266="NCR", I266+30, K266="submitted", I266+30, TRUE, "N/A"))</f>
        <v>N/A</v>
      </c>
      <c r="K266" s="4"/>
    </row>
    <row r="267" spans="1:11" s="5" customFormat="1" ht="27" customHeight="1">
      <c r="A267" s="4"/>
      <c r="B267" s="798"/>
      <c r="C267" s="799"/>
      <c r="D267" s="35"/>
      <c r="E267" s="35"/>
      <c r="F267" s="4" t="s">
        <v>1223</v>
      </c>
      <c r="G267" s="3" t="s">
        <v>2264</v>
      </c>
      <c r="H267" s="18"/>
      <c r="I267" s="18"/>
      <c r="J267" s="74" t="str" cm="1">
        <f t="array" ref="J267">IF(ISBLANK(I267), IF(ISBLANK(H267), "N/A", _xlfn.IFS(K267="AS", H267+15, K267="NCR", H267+30, K267="submitted", H267+30, TRUE, "N/A")), _xlfn.IFS(K267="AS", I267+15, K267="NCR", I267+30, K267="submitted", I267+30, TRUE, "N/A"))</f>
        <v>N/A</v>
      </c>
      <c r="K267" s="4"/>
    </row>
    <row r="268" spans="1:11" s="5" customFormat="1" ht="15" customHeight="1">
      <c r="A268" s="4"/>
      <c r="B268" s="798"/>
      <c r="C268" s="799"/>
      <c r="D268" s="35"/>
      <c r="E268" s="35"/>
      <c r="F268" s="4" t="s">
        <v>1225</v>
      </c>
      <c r="G268" s="17" t="s">
        <v>2265</v>
      </c>
      <c r="H268" s="18"/>
      <c r="I268" s="18"/>
      <c r="J268" s="74" t="str" cm="1">
        <f t="array" ref="J268">IF(ISBLANK(I268), IF(ISBLANK(H268), "N/A", _xlfn.IFS(K268="AS", H268+15, K268="NCR", H268+30, K268="submitted", H268+30, TRUE, "N/A")), _xlfn.IFS(K268="AS", I268+15, K268="NCR", I268+30, K268="submitted", I268+30, TRUE, "N/A"))</f>
        <v>N/A</v>
      </c>
      <c r="K268" s="4"/>
    </row>
    <row r="269" spans="1:11" s="5" customFormat="1" ht="27" customHeight="1">
      <c r="A269" s="4"/>
      <c r="B269" s="798"/>
      <c r="C269" s="799"/>
      <c r="D269" s="35"/>
      <c r="E269" s="35"/>
      <c r="F269" s="4" t="s">
        <v>1227</v>
      </c>
      <c r="G269" s="3" t="s">
        <v>2266</v>
      </c>
      <c r="H269" s="18"/>
      <c r="I269" s="18"/>
      <c r="J269" s="74" t="str" cm="1">
        <f t="array" ref="J269">IF(ISBLANK(I269), IF(ISBLANK(H269), "N/A", _xlfn.IFS(K269="AS", H269+15, K269="NCR", H269+30, K269="submitted", H269+30, TRUE, "N/A")), _xlfn.IFS(K269="AS", I269+15, K269="NCR", I269+30, K269="submitted", I269+30, TRUE, "N/A"))</f>
        <v>N/A</v>
      </c>
      <c r="K269" s="4"/>
    </row>
    <row r="270" spans="1:11" s="5" customFormat="1" ht="27" customHeight="1">
      <c r="A270" s="4"/>
      <c r="B270" s="798"/>
      <c r="C270" s="799"/>
      <c r="D270" s="35"/>
      <c r="E270" s="35"/>
      <c r="F270" s="4" t="s">
        <v>396</v>
      </c>
      <c r="G270" s="3" t="s">
        <v>2267</v>
      </c>
      <c r="H270" s="18"/>
      <c r="I270" s="18"/>
      <c r="J270" s="74" t="str" cm="1">
        <f t="array" ref="J270">IF(ISBLANK(I270), IF(ISBLANK(H270), "N/A", _xlfn.IFS(K270="AS", H270+15, K270="NCR", H270+30, K270="submitted", H270+30, TRUE, "N/A")), _xlfn.IFS(K270="AS", I270+15, K270="NCR", I270+30, K270="submitted", I270+30, TRUE, "N/A"))</f>
        <v>N/A</v>
      </c>
      <c r="K270" s="4"/>
    </row>
    <row r="271" spans="1:11" s="5" customFormat="1" ht="15" customHeight="1">
      <c r="A271" s="4"/>
      <c r="B271" s="798"/>
      <c r="C271" s="799"/>
      <c r="D271" s="35"/>
      <c r="E271" s="35"/>
      <c r="F271" s="4" t="s">
        <v>397</v>
      </c>
      <c r="G271" s="17" t="s">
        <v>2268</v>
      </c>
      <c r="H271" s="18"/>
      <c r="I271" s="18"/>
      <c r="J271" s="74" t="str" cm="1">
        <f t="array" ref="J271">IF(ISBLANK(I271), IF(ISBLANK(H271), "N/A", _xlfn.IFS(K271="AS", H271+15, K271="NCR", H271+30, K271="submitted", H271+30, TRUE, "N/A")), _xlfn.IFS(K271="AS", I271+15, K271="NCR", I271+30, K271="submitted", I271+30, TRUE, "N/A"))</f>
        <v>N/A</v>
      </c>
      <c r="K271" s="4"/>
    </row>
    <row r="272" spans="1:11" s="5" customFormat="1" ht="15" customHeight="1">
      <c r="A272" s="4"/>
      <c r="B272" s="795"/>
      <c r="C272" s="797"/>
      <c r="D272" s="36"/>
      <c r="E272" s="36"/>
      <c r="F272" s="4" t="s">
        <v>398</v>
      </c>
      <c r="G272" s="17" t="s">
        <v>2269</v>
      </c>
      <c r="H272" s="18"/>
      <c r="I272" s="18"/>
      <c r="J272" s="74" t="str" cm="1">
        <f t="array" ref="J272">IF(ISBLANK(I272), IF(ISBLANK(H272), "N/A", _xlfn.IFS(K272="AS", H272+15, K272="NCR", H272+30, K272="submitted", H272+30, TRUE, "N/A")), _xlfn.IFS(K272="AS", I272+15, K272="NCR", I272+30, K272="submitted", I272+30, TRUE, "N/A"))</f>
        <v>N/A</v>
      </c>
      <c r="K272" s="4"/>
    </row>
    <row r="273" spans="1:13" s="1" customFormat="1" ht="15" customHeight="1">
      <c r="A273" s="9"/>
      <c r="B273" s="790" t="s">
        <v>2270</v>
      </c>
      <c r="C273" s="792" t="s">
        <v>2271</v>
      </c>
      <c r="D273" s="37"/>
      <c r="E273" s="37"/>
      <c r="F273" s="9" t="s">
        <v>275</v>
      </c>
      <c r="G273" s="13" t="s">
        <v>2272</v>
      </c>
      <c r="H273" s="18"/>
      <c r="I273" s="18"/>
      <c r="J273" s="74" t="str" cm="1">
        <f t="array" ref="J273">IF(ISBLANK(I273), IF(ISBLANK(H273), "N/A", _xlfn.IFS(K273="AS", H273+15, K273="NCR", H273+30, K273="submitted", H273+30, TRUE, "N/A")), _xlfn.IFS(K273="AS", I273+15, K273="NCR", I273+30, K273="submitted", I273+30, TRUE, "N/A"))</f>
        <v>N/A</v>
      </c>
      <c r="K273" s="9"/>
      <c r="L273" s="318"/>
      <c r="M273" s="750"/>
    </row>
    <row r="274" spans="1:13" s="1" customFormat="1" ht="15" customHeight="1">
      <c r="A274" s="38"/>
      <c r="B274" s="791"/>
      <c r="C274" s="793"/>
      <c r="D274" s="39"/>
      <c r="E274" s="39"/>
      <c r="F274" s="38" t="s">
        <v>263</v>
      </c>
      <c r="G274" s="37" t="s">
        <v>2273</v>
      </c>
      <c r="H274" s="18"/>
      <c r="I274" s="18"/>
      <c r="J274" s="74" t="str" cm="1">
        <f t="array" ref="J274">IF(ISBLANK(I274), IF(ISBLANK(H274), "N/A", _xlfn.IFS(K274="AS", H274+15, K274="NCR", H274+30, K274="submitted", H274+30, TRUE, "N/A")), _xlfn.IFS(K274="AS", I274+15, K274="NCR", I274+30, K274="submitted", I274+30, TRUE, "N/A"))</f>
        <v>N/A</v>
      </c>
      <c r="K274" s="38"/>
      <c r="L274" s="318"/>
      <c r="M274" s="750"/>
    </row>
    <row r="275" spans="1:13" s="1" customFormat="1" ht="15" customHeight="1">
      <c r="A275" s="38"/>
      <c r="B275" s="791"/>
      <c r="C275" s="793"/>
      <c r="D275" s="39"/>
      <c r="E275" s="39"/>
      <c r="F275" s="38" t="s">
        <v>253</v>
      </c>
      <c r="G275" s="37" t="s">
        <v>2274</v>
      </c>
      <c r="H275" s="18"/>
      <c r="I275" s="18"/>
      <c r="J275" s="74" t="str" cm="1">
        <f t="array" ref="J275">IF(ISBLANK(I275), IF(ISBLANK(H275), "N/A", _xlfn.IFS(K275="AS", H275+15, K275="NCR", H275+30, K275="submitted", H275+30, TRUE, "N/A")), _xlfn.IFS(K275="AS", I275+15, K275="NCR", I275+30, K275="submitted", I275+30, TRUE, "N/A"))</f>
        <v>N/A</v>
      </c>
      <c r="K275" s="38"/>
      <c r="L275" s="318"/>
      <c r="M275" s="750"/>
    </row>
    <row r="276" spans="1:13" s="1" customFormat="1" ht="15" customHeight="1">
      <c r="A276" s="38"/>
      <c r="B276" s="791"/>
      <c r="C276" s="793"/>
      <c r="D276" s="39"/>
      <c r="E276" s="39"/>
      <c r="F276" s="38" t="s">
        <v>344</v>
      </c>
      <c r="G276" s="37" t="s">
        <v>2275</v>
      </c>
      <c r="H276" s="18"/>
      <c r="I276" s="18"/>
      <c r="J276" s="74" t="str" cm="1">
        <f t="array" ref="J276">IF(ISBLANK(I276), IF(ISBLANK(H276), "N/A", _xlfn.IFS(K276="AS", H276+15, K276="NCR", H276+30, K276="submitted", H276+30, TRUE, "N/A")), _xlfn.IFS(K276="AS", I276+15, K276="NCR", I276+30, K276="submitted", I276+30, TRUE, "N/A"))</f>
        <v>N/A</v>
      </c>
      <c r="K276" s="38"/>
      <c r="L276" s="318"/>
      <c r="M276" s="750"/>
    </row>
    <row r="277" spans="1:13" s="1" customFormat="1" ht="15" customHeight="1">
      <c r="A277" s="38"/>
      <c r="B277" s="791"/>
      <c r="C277" s="793"/>
      <c r="D277" s="39"/>
      <c r="E277" s="39"/>
      <c r="F277" s="38" t="s">
        <v>346</v>
      </c>
      <c r="G277" s="37" t="s">
        <v>2276</v>
      </c>
      <c r="H277" s="18"/>
      <c r="I277" s="18"/>
      <c r="J277" s="74" t="str" cm="1">
        <f t="array" ref="J277">IF(ISBLANK(I277), IF(ISBLANK(H277), "N/A", _xlfn.IFS(K277="AS", H277+15, K277="NCR", H277+30, K277="submitted", H277+30, TRUE, "N/A")), _xlfn.IFS(K277="AS", I277+15, K277="NCR", I277+30, K277="submitted", I277+30, TRUE, "N/A"))</f>
        <v>N/A</v>
      </c>
      <c r="K277" s="38"/>
      <c r="L277" s="318"/>
      <c r="M277" s="750"/>
    </row>
    <row r="278" spans="1:13" s="1" customFormat="1" ht="27" customHeight="1">
      <c r="A278" s="38"/>
      <c r="B278" s="777"/>
      <c r="C278" s="779"/>
      <c r="D278" s="39"/>
      <c r="E278" s="39"/>
      <c r="F278" s="38" t="s">
        <v>587</v>
      </c>
      <c r="G278" s="40" t="s">
        <v>2277</v>
      </c>
      <c r="H278" s="18"/>
      <c r="I278" s="18"/>
      <c r="J278" s="74" t="str" cm="1">
        <f t="array" ref="J278">IF(ISBLANK(I278), IF(ISBLANK(H278), "N/A", _xlfn.IFS(K278="AS", H278+15, K278="NCR", H278+30, K278="submitted", H278+30, TRUE, "N/A")), _xlfn.IFS(K278="AS", I278+15, K278="NCR", I278+30, K278="submitted", I278+30, TRUE, "N/A"))</f>
        <v>N/A</v>
      </c>
      <c r="K278" s="38"/>
      <c r="L278" s="318"/>
      <c r="M278" s="750"/>
    </row>
    <row r="279" spans="1:13" s="5" customFormat="1" ht="15" customHeight="1">
      <c r="A279" s="19"/>
      <c r="B279" s="111" t="s">
        <v>2278</v>
      </c>
      <c r="C279" s="35" t="s">
        <v>2279</v>
      </c>
      <c r="D279" s="35"/>
      <c r="E279" s="35"/>
      <c r="F279" s="19" t="s">
        <v>144</v>
      </c>
      <c r="G279" s="53"/>
      <c r="H279" s="18"/>
      <c r="I279" s="18"/>
      <c r="J279" s="74" t="str" cm="1">
        <f t="array" ref="J279">IF(ISBLANK(I279), IF(ISBLANK(H279), "N/A", _xlfn.IFS(K279="AS", H279+15, K279="NCR", H279+30, K279="submitted", H279+30, TRUE, "N/A")), _xlfn.IFS(K279="AS", I279+15, K279="NCR", I279+30, K279="submitted", I279+30, TRUE, "N/A"))</f>
        <v>N/A</v>
      </c>
      <c r="K279" s="19"/>
      <c r="L279" s="318"/>
      <c r="M279" s="750"/>
    </row>
    <row r="280" spans="1:13" s="5" customFormat="1" ht="15" customHeight="1">
      <c r="A280" s="19"/>
      <c r="B280" s="794" t="s">
        <v>2280</v>
      </c>
      <c r="C280" s="796" t="s">
        <v>2281</v>
      </c>
      <c r="D280" s="34"/>
      <c r="E280" s="34"/>
      <c r="F280" s="19" t="s">
        <v>2282</v>
      </c>
      <c r="G280" s="53" t="s">
        <v>2283</v>
      </c>
      <c r="H280" s="18"/>
      <c r="I280" s="18"/>
      <c r="J280" s="74" t="str" cm="1">
        <f t="array" ref="J280">IF(ISBLANK(I280), IF(ISBLANK(H280), "N/A", _xlfn.IFS(K280="AS", H280+15, K280="NCR", H280+30, K280="submitted", H280+30, TRUE, "N/A")), _xlfn.IFS(K280="AS", I280+15, K280="NCR", I280+30, K280="submitted", I280+30, TRUE, "N/A"))</f>
        <v>N/A</v>
      </c>
      <c r="K280" s="19"/>
      <c r="L280" s="318"/>
      <c r="M280" s="750"/>
    </row>
    <row r="281" spans="1:13" s="5" customFormat="1" ht="15" customHeight="1">
      <c r="A281" s="19"/>
      <c r="B281" s="798"/>
      <c r="C281" s="799"/>
      <c r="D281" s="35"/>
      <c r="E281" s="35"/>
      <c r="F281" s="19" t="s">
        <v>2284</v>
      </c>
      <c r="G281" s="53" t="s">
        <v>2285</v>
      </c>
      <c r="H281" s="18"/>
      <c r="I281" s="18"/>
      <c r="J281" s="74" t="str" cm="1">
        <f t="array" ref="J281">IF(ISBLANK(I281), IF(ISBLANK(H281), "N/A", _xlfn.IFS(K281="AS", H281+15, K281="NCR", H281+30, K281="submitted", H281+30, TRUE, "N/A")), _xlfn.IFS(K281="AS", I281+15, K281="NCR", I281+30, K281="submitted", I281+30, TRUE, "N/A"))</f>
        <v>N/A</v>
      </c>
      <c r="K281" s="19"/>
      <c r="L281" s="318"/>
      <c r="M281" s="750"/>
    </row>
    <row r="282" spans="1:13" s="5" customFormat="1" ht="15" customHeight="1">
      <c r="A282" s="19"/>
      <c r="B282" s="789" t="s">
        <v>2286</v>
      </c>
      <c r="C282" s="796" t="s">
        <v>2287</v>
      </c>
      <c r="D282" s="34"/>
      <c r="E282" s="34"/>
      <c r="F282" s="19" t="s">
        <v>2282</v>
      </c>
      <c r="G282" s="53" t="s">
        <v>2283</v>
      </c>
      <c r="H282" s="18"/>
      <c r="I282" s="18"/>
      <c r="J282" s="74" t="str" cm="1">
        <f t="array" ref="J282">IF(ISBLANK(I282), IF(ISBLANK(H282), "N/A", _xlfn.IFS(K282="AS", H282+15, K282="NCR", H282+30, K282="submitted", H282+30, TRUE, "N/A")), _xlfn.IFS(K282="AS", I282+15, K282="NCR", I282+30, K282="submitted", I282+30, TRUE, "N/A"))</f>
        <v>N/A</v>
      </c>
      <c r="K282" s="19"/>
      <c r="L282" s="318"/>
      <c r="M282" s="750"/>
    </row>
    <row r="283" spans="1:13" s="5" customFormat="1" ht="15" customHeight="1">
      <c r="A283" s="19"/>
      <c r="B283" s="789"/>
      <c r="C283" s="799"/>
      <c r="D283" s="35"/>
      <c r="E283" s="35"/>
      <c r="F283" s="19" t="s">
        <v>2284</v>
      </c>
      <c r="G283" s="53" t="s">
        <v>2285</v>
      </c>
      <c r="H283" s="18"/>
      <c r="I283" s="18"/>
      <c r="J283" s="74" t="str" cm="1">
        <f t="array" ref="J283">IF(ISBLANK(I283), IF(ISBLANK(H283), "N/A", _xlfn.IFS(K283="AS", H283+15, K283="NCR", H283+30, K283="submitted", H283+30, TRUE, "N/A")), _xlfn.IFS(K283="AS", I283+15, K283="NCR", I283+30, K283="submitted", I283+30, TRUE, "N/A"))</f>
        <v>N/A</v>
      </c>
      <c r="K283" s="19"/>
      <c r="L283" s="318"/>
      <c r="M283" s="750"/>
    </row>
    <row r="284" spans="1:13" s="5" customFormat="1" ht="15" customHeight="1">
      <c r="A284" s="19"/>
      <c r="B284" s="789" t="s">
        <v>2288</v>
      </c>
      <c r="C284" s="796" t="s">
        <v>2289</v>
      </c>
      <c r="D284" s="34"/>
      <c r="E284" s="34"/>
      <c r="F284" s="19" t="s">
        <v>2282</v>
      </c>
      <c r="G284" s="53" t="s">
        <v>2283</v>
      </c>
      <c r="H284" s="18"/>
      <c r="I284" s="18"/>
      <c r="J284" s="74" t="str" cm="1">
        <f t="array" ref="J284">IF(ISBLANK(I284), IF(ISBLANK(H284), "N/A", _xlfn.IFS(K284="AS", H284+15, K284="NCR", H284+30, K284="submitted", H284+30, TRUE, "N/A")), _xlfn.IFS(K284="AS", I284+15, K284="NCR", I284+30, K284="submitted", I284+30, TRUE, "N/A"))</f>
        <v>N/A</v>
      </c>
      <c r="K284" s="19"/>
      <c r="L284" s="318"/>
      <c r="M284" s="750"/>
    </row>
    <row r="285" spans="1:13" s="5" customFormat="1" ht="15" customHeight="1">
      <c r="A285" s="19"/>
      <c r="B285" s="789"/>
      <c r="C285" s="799"/>
      <c r="D285" s="35"/>
      <c r="E285" s="35"/>
      <c r="F285" s="19" t="s">
        <v>2284</v>
      </c>
      <c r="G285" s="53" t="s">
        <v>2285</v>
      </c>
      <c r="H285" s="18"/>
      <c r="I285" s="18"/>
      <c r="J285" s="74" t="str" cm="1">
        <f t="array" ref="J285">IF(ISBLANK(I285), IF(ISBLANK(H285), "N/A", _xlfn.IFS(K285="AS", H285+15, K285="NCR", H285+30, K285="submitted", H285+30, TRUE, "N/A")), _xlfn.IFS(K285="AS", I285+15, K285="NCR", I285+30, K285="submitted", I285+30, TRUE, "N/A"))</f>
        <v>N/A</v>
      </c>
      <c r="K285" s="19"/>
      <c r="L285" s="318"/>
      <c r="M285" s="750"/>
    </row>
    <row r="286" spans="1:13" s="5" customFormat="1" ht="15" customHeight="1">
      <c r="A286" s="19"/>
      <c r="B286" s="789" t="s">
        <v>2290</v>
      </c>
      <c r="C286" s="796" t="s">
        <v>2291</v>
      </c>
      <c r="D286" s="34"/>
      <c r="E286" s="34"/>
      <c r="F286" s="19" t="s">
        <v>2282</v>
      </c>
      <c r="G286" s="53" t="s">
        <v>2283</v>
      </c>
      <c r="H286" s="18"/>
      <c r="I286" s="18"/>
      <c r="J286" s="74" t="str" cm="1">
        <f t="array" ref="J286">IF(ISBLANK(I286), IF(ISBLANK(H286), "N/A", _xlfn.IFS(K286="AS", H286+15, K286="NCR", H286+30, K286="submitted", H286+30, TRUE, "N/A")), _xlfn.IFS(K286="AS", I286+15, K286="NCR", I286+30, K286="submitted", I286+30, TRUE, "N/A"))</f>
        <v>N/A</v>
      </c>
      <c r="K286" s="19"/>
      <c r="L286" s="318"/>
      <c r="M286" s="750"/>
    </row>
    <row r="287" spans="1:13" s="5" customFormat="1" ht="15" customHeight="1">
      <c r="A287" s="19"/>
      <c r="B287" s="789"/>
      <c r="C287" s="799"/>
      <c r="D287" s="35"/>
      <c r="E287" s="35"/>
      <c r="F287" s="19" t="s">
        <v>2284</v>
      </c>
      <c r="G287" s="53" t="s">
        <v>2285</v>
      </c>
      <c r="H287" s="18"/>
      <c r="I287" s="18"/>
      <c r="J287" s="74" t="str" cm="1">
        <f t="array" ref="J287">IF(ISBLANK(I287), IF(ISBLANK(H287), "N/A", _xlfn.IFS(K287="AS", H287+15, K287="NCR", H287+30, K287="submitted", H287+30, TRUE, "N/A")), _xlfn.IFS(K287="AS", I287+15, K287="NCR", I287+30, K287="submitted", I287+30, TRUE, "N/A"))</f>
        <v>N/A</v>
      </c>
      <c r="K287" s="19"/>
      <c r="L287" s="318"/>
      <c r="M287" s="750"/>
    </row>
    <row r="288" spans="1:13" s="5" customFormat="1" ht="15" customHeight="1">
      <c r="A288" s="19"/>
      <c r="B288" s="789" t="s">
        <v>2292</v>
      </c>
      <c r="C288" s="796" t="s">
        <v>2293</v>
      </c>
      <c r="D288" s="34"/>
      <c r="E288" s="34"/>
      <c r="F288" s="19" t="s">
        <v>2282</v>
      </c>
      <c r="G288" s="53" t="s">
        <v>2283</v>
      </c>
      <c r="H288" s="18"/>
      <c r="I288" s="18"/>
      <c r="J288" s="74" t="str" cm="1">
        <f t="array" ref="J288">IF(ISBLANK(I288), IF(ISBLANK(H288), "N/A", _xlfn.IFS(K288="AS", H288+15, K288="NCR", H288+30, K288="submitted", H288+30, TRUE, "N/A")), _xlfn.IFS(K288="AS", I288+15, K288="NCR", I288+30, K288="submitted", I288+30, TRUE, "N/A"))</f>
        <v>N/A</v>
      </c>
      <c r="K288" s="19"/>
      <c r="L288" s="318"/>
      <c r="M288" s="748" t="s">
        <v>132</v>
      </c>
    </row>
    <row r="289" spans="1:13" s="5" customFormat="1" ht="15" customHeight="1">
      <c r="A289" s="19"/>
      <c r="B289" s="789"/>
      <c r="C289" s="799"/>
      <c r="D289" s="35"/>
      <c r="E289" s="35"/>
      <c r="F289" s="19" t="s">
        <v>2284</v>
      </c>
      <c r="G289" s="53" t="s">
        <v>2285</v>
      </c>
      <c r="H289" s="18"/>
      <c r="I289" s="18"/>
      <c r="J289" s="74" t="str" cm="1">
        <f t="array" ref="J289">IF(ISBLANK(I289), IF(ISBLANK(H289), "N/A", _xlfn.IFS(K289="AS", H289+15, K289="NCR", H289+30, K289="submitted", H289+30, TRUE, "N/A")), _xlfn.IFS(K289="AS", I289+15, K289="NCR", I289+30, K289="submitted", I289+30, TRUE, "N/A"))</f>
        <v>N/A</v>
      </c>
      <c r="K289" s="19"/>
      <c r="L289" s="318"/>
      <c r="M289" s="749"/>
    </row>
    <row r="290" spans="1:13" s="5" customFormat="1" ht="15" customHeight="1">
      <c r="A290" s="19"/>
      <c r="B290" s="789" t="s">
        <v>2294</v>
      </c>
      <c r="C290" s="796" t="s">
        <v>2295</v>
      </c>
      <c r="D290" s="34"/>
      <c r="E290" s="34"/>
      <c r="F290" s="19" t="s">
        <v>2282</v>
      </c>
      <c r="G290" s="53" t="s">
        <v>2283</v>
      </c>
      <c r="H290" s="18"/>
      <c r="I290" s="18"/>
      <c r="J290" s="74" t="str" cm="1">
        <f t="array" ref="J290">IF(ISBLANK(I290), IF(ISBLANK(H290), "N/A", _xlfn.IFS(K290="AS", H290+15, K290="NCR", H290+30, K290="submitted", H290+30, TRUE, "N/A")), _xlfn.IFS(K290="AS", I290+15, K290="NCR", I290+30, K290="submitted", I290+30, TRUE, "N/A"))</f>
        <v>N/A</v>
      </c>
      <c r="K290" s="19"/>
      <c r="L290" s="318"/>
      <c r="M290" s="749"/>
    </row>
    <row r="291" spans="1:13" s="5" customFormat="1" ht="15" customHeight="1">
      <c r="A291" s="19"/>
      <c r="B291" s="789"/>
      <c r="C291" s="799"/>
      <c r="D291" s="35"/>
      <c r="E291" s="35"/>
      <c r="F291" s="19" t="s">
        <v>2284</v>
      </c>
      <c r="G291" s="53" t="s">
        <v>2285</v>
      </c>
      <c r="H291" s="18"/>
      <c r="I291" s="18"/>
      <c r="J291" s="74" t="str" cm="1">
        <f t="array" ref="J291">IF(ISBLANK(I291), IF(ISBLANK(H291), "N/A", _xlfn.IFS(K291="AS", H291+15, K291="NCR", H291+30, K291="submitted", H291+30, TRUE, "N/A")), _xlfn.IFS(K291="AS", I291+15, K291="NCR", I291+30, K291="submitted", I291+30, TRUE, "N/A"))</f>
        <v>N/A</v>
      </c>
      <c r="K291" s="19"/>
      <c r="L291" s="318"/>
      <c r="M291" s="749"/>
    </row>
    <row r="292" spans="1:13" s="5" customFormat="1" ht="15" customHeight="1">
      <c r="A292" s="19"/>
      <c r="B292" s="789" t="s">
        <v>2296</v>
      </c>
      <c r="C292" s="796" t="s">
        <v>2297</v>
      </c>
      <c r="D292" s="34"/>
      <c r="E292" s="34"/>
      <c r="F292" s="19" t="s">
        <v>2282</v>
      </c>
      <c r="G292" s="53" t="s">
        <v>2283</v>
      </c>
      <c r="H292" s="18"/>
      <c r="I292" s="18"/>
      <c r="J292" s="74" t="str" cm="1">
        <f t="array" ref="J292">IF(ISBLANK(I292), IF(ISBLANK(H292), "N/A", _xlfn.IFS(K292="AS", H292+15, K292="NCR", H292+30, K292="submitted", H292+30, TRUE, "N/A")), _xlfn.IFS(K292="AS", I292+15, K292="NCR", I292+30, K292="submitted", I292+30, TRUE, "N/A"))</f>
        <v>N/A</v>
      </c>
      <c r="K292" s="19"/>
      <c r="L292" s="318"/>
      <c r="M292" s="749"/>
    </row>
    <row r="293" spans="1:13" s="5" customFormat="1" ht="15" customHeight="1">
      <c r="A293" s="19"/>
      <c r="B293" s="789"/>
      <c r="C293" s="799"/>
      <c r="D293" s="35"/>
      <c r="E293" s="35"/>
      <c r="F293" s="19" t="s">
        <v>2284</v>
      </c>
      <c r="G293" s="53" t="s">
        <v>2285</v>
      </c>
      <c r="H293" s="18"/>
      <c r="I293" s="18"/>
      <c r="J293" s="74" t="str" cm="1">
        <f t="array" ref="J293">IF(ISBLANK(I293), IF(ISBLANK(H293), "N/A", _xlfn.IFS(K293="AS", H293+15, K293="NCR", H293+30, K293="submitted", H293+30, TRUE, "N/A")), _xlfn.IFS(K293="AS", I293+15, K293="NCR", I293+30, K293="submitted", I293+30, TRUE, "N/A"))</f>
        <v>N/A</v>
      </c>
      <c r="K293" s="19"/>
      <c r="L293" s="318"/>
      <c r="M293" s="749"/>
    </row>
    <row r="294" spans="1:13" s="5" customFormat="1" ht="15" customHeight="1">
      <c r="A294" s="19"/>
      <c r="B294" s="789" t="s">
        <v>2298</v>
      </c>
      <c r="C294" s="796" t="s">
        <v>2299</v>
      </c>
      <c r="D294" s="34"/>
      <c r="E294" s="34"/>
      <c r="F294" s="19" t="s">
        <v>2282</v>
      </c>
      <c r="G294" s="53" t="s">
        <v>2283</v>
      </c>
      <c r="H294" s="18"/>
      <c r="I294" s="18"/>
      <c r="J294" s="74" t="str" cm="1">
        <f t="array" ref="J294">IF(ISBLANK(I294), IF(ISBLANK(H294), "N/A", _xlfn.IFS(K294="AS", H294+15, K294="NCR", H294+30, K294="submitted", H294+30, TRUE, "N/A")), _xlfn.IFS(K294="AS", I294+15, K294="NCR", I294+30, K294="submitted", I294+30, TRUE, "N/A"))</f>
        <v>N/A</v>
      </c>
      <c r="K294" s="19"/>
      <c r="L294" s="318"/>
      <c r="M294" s="749"/>
    </row>
    <row r="295" spans="1:13" s="5" customFormat="1" ht="15" customHeight="1">
      <c r="A295" s="19"/>
      <c r="B295" s="789"/>
      <c r="C295" s="799"/>
      <c r="D295" s="35"/>
      <c r="E295" s="35"/>
      <c r="F295" s="19" t="s">
        <v>2284</v>
      </c>
      <c r="G295" s="53" t="s">
        <v>2285</v>
      </c>
      <c r="H295" s="18"/>
      <c r="I295" s="18"/>
      <c r="J295" s="74" t="str" cm="1">
        <f t="array" ref="J295">IF(ISBLANK(I295), IF(ISBLANK(H295), "N/A", _xlfn.IFS(K295="AS", H295+15, K295="NCR", H295+30, K295="submitted", H295+30, TRUE, "N/A")), _xlfn.IFS(K295="AS", I295+15, K295="NCR", I295+30, K295="submitted", I295+30, TRUE, "N/A"))</f>
        <v>N/A</v>
      </c>
      <c r="K295" s="19"/>
      <c r="L295" s="318"/>
      <c r="M295" s="749"/>
    </row>
    <row r="296" spans="1:13" s="5" customFormat="1" ht="15" customHeight="1">
      <c r="A296" s="19"/>
      <c r="B296" s="789" t="s">
        <v>2300</v>
      </c>
      <c r="C296" s="796" t="s">
        <v>2301</v>
      </c>
      <c r="D296" s="34"/>
      <c r="E296" s="34"/>
      <c r="F296" s="19" t="s">
        <v>2282</v>
      </c>
      <c r="G296" s="53" t="s">
        <v>2283</v>
      </c>
      <c r="H296" s="18"/>
      <c r="I296" s="18"/>
      <c r="J296" s="74" t="str" cm="1">
        <f t="array" ref="J296">IF(ISBLANK(I296), IF(ISBLANK(H296), "N/A", _xlfn.IFS(K296="AS", H296+15, K296="NCR", H296+30, K296="submitted", H296+30, TRUE, "N/A")), _xlfn.IFS(K296="AS", I296+15, K296="NCR", I296+30, K296="submitted", I296+30, TRUE, "N/A"))</f>
        <v>N/A</v>
      </c>
      <c r="K296" s="19"/>
      <c r="L296" s="318"/>
      <c r="M296" s="750" t="s">
        <v>147</v>
      </c>
    </row>
    <row r="297" spans="1:13" s="5" customFormat="1" ht="15" customHeight="1">
      <c r="A297" s="19"/>
      <c r="B297" s="789"/>
      <c r="C297" s="799"/>
      <c r="D297" s="35"/>
      <c r="E297" s="35"/>
      <c r="F297" s="19" t="s">
        <v>2284</v>
      </c>
      <c r="G297" s="53" t="s">
        <v>2285</v>
      </c>
      <c r="H297" s="18"/>
      <c r="I297" s="18"/>
      <c r="J297" s="74" t="str" cm="1">
        <f t="array" ref="J297">IF(ISBLANK(I297), IF(ISBLANK(H297), "N/A", _xlfn.IFS(K297="AS", H297+15, K297="NCR", H297+30, K297="submitted", H297+30, TRUE, "N/A")), _xlfn.IFS(K297="AS", I297+15, K297="NCR", I297+30, K297="submitted", I297+30, TRUE, "N/A"))</f>
        <v>N/A</v>
      </c>
      <c r="K297" s="19"/>
      <c r="L297" s="318"/>
      <c r="M297" s="750"/>
    </row>
    <row r="298" spans="1:13" s="5" customFormat="1" ht="15" customHeight="1">
      <c r="A298" s="19"/>
      <c r="B298" s="789" t="s">
        <v>2302</v>
      </c>
      <c r="C298" s="796" t="s">
        <v>2303</v>
      </c>
      <c r="D298" s="34"/>
      <c r="E298" s="34"/>
      <c r="F298" s="19" t="s">
        <v>2282</v>
      </c>
      <c r="G298" s="53" t="s">
        <v>2283</v>
      </c>
      <c r="H298" s="18"/>
      <c r="I298" s="18"/>
      <c r="J298" s="74" t="str" cm="1">
        <f t="array" ref="J298">IF(ISBLANK(I298), IF(ISBLANK(H298), "N/A", _xlfn.IFS(K298="AS", H298+15, K298="NCR", H298+30, K298="submitted", H298+30, TRUE, "N/A")), _xlfn.IFS(K298="AS", I298+15, K298="NCR", I298+30, K298="submitted", I298+30, TRUE, "N/A"))</f>
        <v>N/A</v>
      </c>
      <c r="K298" s="19"/>
      <c r="L298" s="318"/>
      <c r="M298" s="750"/>
    </row>
    <row r="299" spans="1:13" s="5" customFormat="1" ht="15" customHeight="1">
      <c r="A299" s="19"/>
      <c r="B299" s="789"/>
      <c r="C299" s="799"/>
      <c r="D299" s="35"/>
      <c r="E299" s="35"/>
      <c r="F299" s="19" t="s">
        <v>2284</v>
      </c>
      <c r="G299" s="53" t="s">
        <v>2285</v>
      </c>
      <c r="H299" s="18"/>
      <c r="I299" s="18"/>
      <c r="J299" s="74" t="str" cm="1">
        <f t="array" ref="J299">IF(ISBLANK(I299), IF(ISBLANK(H299), "N/A", _xlfn.IFS(K299="AS", H299+15, K299="NCR", H299+30, K299="submitted", H299+30, TRUE, "N/A")), _xlfn.IFS(K299="AS", I299+15, K299="NCR", I299+30, K299="submitted", I299+30, TRUE, "N/A"))</f>
        <v>N/A</v>
      </c>
      <c r="K299" s="19"/>
      <c r="L299" s="318"/>
      <c r="M299" s="750"/>
    </row>
    <row r="300" spans="1:13" s="5" customFormat="1" ht="15" customHeight="1">
      <c r="A300" s="19"/>
      <c r="B300" s="789" t="s">
        <v>2304</v>
      </c>
      <c r="C300" s="796" t="s">
        <v>2305</v>
      </c>
      <c r="D300" s="34"/>
      <c r="E300" s="34"/>
      <c r="F300" s="19" t="s">
        <v>2282</v>
      </c>
      <c r="G300" s="53" t="s">
        <v>2283</v>
      </c>
      <c r="H300" s="18"/>
      <c r="I300" s="18"/>
      <c r="J300" s="74" t="str" cm="1">
        <f t="array" ref="J300">IF(ISBLANK(I300), IF(ISBLANK(H300), "N/A", _xlfn.IFS(K300="AS", H300+15, K300="NCR", H300+30, K300="submitted", H300+30, TRUE, "N/A")), _xlfn.IFS(K300="AS", I300+15, K300="NCR", I300+30, K300="submitted", I300+30, TRUE, "N/A"))</f>
        <v>N/A</v>
      </c>
      <c r="K300" s="19"/>
      <c r="L300" s="318"/>
      <c r="M300" s="750"/>
    </row>
    <row r="301" spans="1:13" s="5" customFormat="1" ht="15" customHeight="1">
      <c r="A301" s="19"/>
      <c r="B301" s="789"/>
      <c r="C301" s="799"/>
      <c r="D301" s="35"/>
      <c r="E301" s="35"/>
      <c r="F301" s="19" t="s">
        <v>2284</v>
      </c>
      <c r="G301" s="53" t="s">
        <v>2285</v>
      </c>
      <c r="H301" s="18"/>
      <c r="I301" s="18"/>
      <c r="J301" s="74" t="str" cm="1">
        <f t="array" ref="J301">IF(ISBLANK(I301), IF(ISBLANK(H301), "N/A", _xlfn.IFS(K301="AS", H301+15, K301="NCR", H301+30, K301="submitted", H301+30, TRUE, "N/A")), _xlfn.IFS(K301="AS", I301+15, K301="NCR", I301+30, K301="submitted", I301+30, TRUE, "N/A"))</f>
        <v>N/A</v>
      </c>
      <c r="K301" s="19"/>
      <c r="L301" s="319"/>
      <c r="M301" s="750"/>
    </row>
    <row r="302" spans="1:13" s="5" customFormat="1" ht="15" customHeight="1">
      <c r="A302" s="19"/>
      <c r="B302" s="789" t="s">
        <v>2306</v>
      </c>
      <c r="C302" s="796" t="s">
        <v>2307</v>
      </c>
      <c r="D302" s="34"/>
      <c r="E302" s="34"/>
      <c r="F302" s="19" t="s">
        <v>2282</v>
      </c>
      <c r="G302" s="53" t="s">
        <v>2283</v>
      </c>
      <c r="H302" s="18"/>
      <c r="I302" s="18"/>
      <c r="J302" s="74" t="str" cm="1">
        <f t="array" ref="J302">IF(ISBLANK(I302), IF(ISBLANK(H302), "N/A", _xlfn.IFS(K302="AS", H302+15, K302="NCR", H302+30, K302="submitted", H302+30, TRUE, "N/A")), _xlfn.IFS(K302="AS", I302+15, K302="NCR", I302+30, K302="submitted", I302+30, TRUE, "N/A"))</f>
        <v>N/A</v>
      </c>
      <c r="K302" s="19"/>
      <c r="L302" s="318"/>
      <c r="M302" s="750"/>
    </row>
    <row r="303" spans="1:13" s="5" customFormat="1" ht="15" customHeight="1">
      <c r="A303" s="19"/>
      <c r="B303" s="789"/>
      <c r="C303" s="799"/>
      <c r="D303" s="35"/>
      <c r="E303" s="35"/>
      <c r="F303" s="19" t="s">
        <v>2284</v>
      </c>
      <c r="G303" s="53" t="s">
        <v>2285</v>
      </c>
      <c r="H303" s="18"/>
      <c r="I303" s="18"/>
      <c r="J303" s="74" t="str" cm="1">
        <f t="array" ref="J303">IF(ISBLANK(I303), IF(ISBLANK(H303), "N/A", _xlfn.IFS(K303="AS", H303+15, K303="NCR", H303+30, K303="submitted", H303+30, TRUE, "N/A")), _xlfn.IFS(K303="AS", I303+15, K303="NCR", I303+30, K303="submitted", I303+30, TRUE, "N/A"))</f>
        <v>N/A</v>
      </c>
      <c r="K303" s="19"/>
      <c r="L303" s="318"/>
      <c r="M303" s="750"/>
    </row>
    <row r="304" spans="1:13" s="5" customFormat="1" ht="15" customHeight="1">
      <c r="A304" s="19"/>
      <c r="B304" s="789" t="s">
        <v>2308</v>
      </c>
      <c r="C304" s="796" t="s">
        <v>2309</v>
      </c>
      <c r="D304" s="34"/>
      <c r="E304" s="34"/>
      <c r="F304" s="19" t="s">
        <v>2282</v>
      </c>
      <c r="G304" s="53" t="s">
        <v>2283</v>
      </c>
      <c r="H304" s="18"/>
      <c r="I304" s="18"/>
      <c r="J304" s="74" t="str" cm="1">
        <f t="array" ref="J304">IF(ISBLANK(I304), IF(ISBLANK(H304), "N/A", _xlfn.IFS(K304="AS", H304+15, K304="NCR", H304+30, K304="submitted", H304+30, TRUE, "N/A")), _xlfn.IFS(K304="AS", I304+15, K304="NCR", I304+30, K304="submitted", I304+30, TRUE, "N/A"))</f>
        <v>N/A</v>
      </c>
      <c r="K304" s="19"/>
      <c r="L304" s="318"/>
      <c r="M304" s="750"/>
    </row>
    <row r="305" spans="1:11" s="5" customFormat="1" ht="15" customHeight="1">
      <c r="A305" s="19"/>
      <c r="B305" s="789"/>
      <c r="C305" s="799"/>
      <c r="D305" s="35"/>
      <c r="E305" s="35"/>
      <c r="F305" s="19" t="s">
        <v>2284</v>
      </c>
      <c r="G305" s="53" t="s">
        <v>2285</v>
      </c>
      <c r="H305" s="18"/>
      <c r="I305" s="18"/>
      <c r="J305" s="74" t="str" cm="1">
        <f t="array" ref="J305">IF(ISBLANK(I305), IF(ISBLANK(H305), "N/A", _xlfn.IFS(K305="AS", H305+15, K305="NCR", H305+30, K305="submitted", H305+30, TRUE, "N/A")), _xlfn.IFS(K305="AS", I305+15, K305="NCR", I305+30, K305="submitted", I305+30, TRUE, "N/A"))</f>
        <v>N/A</v>
      </c>
      <c r="K305" s="19"/>
    </row>
    <row r="306" spans="1:11" s="5" customFormat="1" ht="15" customHeight="1">
      <c r="A306" s="19"/>
      <c r="B306" s="789" t="s">
        <v>2310</v>
      </c>
      <c r="C306" s="796" t="s">
        <v>2311</v>
      </c>
      <c r="D306" s="34"/>
      <c r="E306" s="34"/>
      <c r="F306" s="19" t="s">
        <v>2282</v>
      </c>
      <c r="G306" s="53" t="s">
        <v>2283</v>
      </c>
      <c r="H306" s="18"/>
      <c r="I306" s="18"/>
      <c r="J306" s="74" t="str" cm="1">
        <f t="array" ref="J306">IF(ISBLANK(I306), IF(ISBLANK(H306), "N/A", _xlfn.IFS(K306="AS", H306+15, K306="NCR", H306+30, K306="submitted", H306+30, TRUE, "N/A")), _xlfn.IFS(K306="AS", I306+15, K306="NCR", I306+30, K306="submitted", I306+30, TRUE, "N/A"))</f>
        <v>N/A</v>
      </c>
      <c r="K306" s="19"/>
    </row>
    <row r="307" spans="1:11" s="5" customFormat="1" ht="15" customHeight="1">
      <c r="A307" s="19"/>
      <c r="B307" s="789"/>
      <c r="C307" s="799"/>
      <c r="D307" s="35"/>
      <c r="E307" s="35"/>
      <c r="F307" s="19" t="s">
        <v>2284</v>
      </c>
      <c r="G307" s="53" t="s">
        <v>2285</v>
      </c>
      <c r="H307" s="18"/>
      <c r="I307" s="18"/>
      <c r="J307" s="74" t="str" cm="1">
        <f t="array" ref="J307">IF(ISBLANK(I307), IF(ISBLANK(H307), "N/A", _xlfn.IFS(K307="AS", H307+15, K307="NCR", H307+30, K307="submitted", H307+30, TRUE, "N/A")), _xlfn.IFS(K307="AS", I307+15, K307="NCR", I307+30, K307="submitted", I307+30, TRUE, "N/A"))</f>
        <v>N/A</v>
      </c>
      <c r="K307" s="19"/>
    </row>
    <row r="308" spans="1:11" s="5" customFormat="1" ht="15" customHeight="1">
      <c r="A308" s="19"/>
      <c r="B308" s="798" t="s">
        <v>2312</v>
      </c>
      <c r="C308" s="796" t="s">
        <v>2313</v>
      </c>
      <c r="D308" s="34"/>
      <c r="E308" s="34"/>
      <c r="F308" s="19" t="s">
        <v>2282</v>
      </c>
      <c r="G308" s="53" t="s">
        <v>2283</v>
      </c>
      <c r="H308" s="18"/>
      <c r="I308" s="18"/>
      <c r="J308" s="74" t="str" cm="1">
        <f t="array" ref="J308">IF(ISBLANK(I308), IF(ISBLANK(H308), "N/A", _xlfn.IFS(K308="AS", H308+15, K308="NCR", H308+30, K308="submitted", H308+30, TRUE, "N/A")), _xlfn.IFS(K308="AS", I308+15, K308="NCR", I308+30, K308="submitted", I308+30, TRUE, "N/A"))</f>
        <v>N/A</v>
      </c>
      <c r="K308" s="53"/>
    </row>
    <row r="309" spans="1:11" s="45" customFormat="1" ht="15.75" customHeight="1">
      <c r="A309" s="42"/>
      <c r="B309" s="834"/>
      <c r="C309" s="835"/>
      <c r="D309" s="49"/>
      <c r="E309" s="49"/>
      <c r="F309" s="42" t="s">
        <v>2284</v>
      </c>
      <c r="G309" s="61" t="s">
        <v>2285</v>
      </c>
      <c r="H309" s="18"/>
      <c r="I309" s="18"/>
      <c r="J309" s="74" t="str" cm="1">
        <f t="array" ref="J309">IF(ISBLANK(I309), IF(ISBLANK(H309), "N/A", _xlfn.IFS(K309="AS", H309+15, K309="NCR", H309+30, K309="submitted", H309+30, TRUE, "N/A")), _xlfn.IFS(K309="AS", I309+15, K309="NCR", I309+30, K309="submitted", I309+30, TRUE, "N/A"))</f>
        <v>N/A</v>
      </c>
      <c r="K309" s="61"/>
    </row>
  </sheetData>
  <mergeCells count="82">
    <mergeCell ref="M3:P6"/>
    <mergeCell ref="M7:P39"/>
    <mergeCell ref="M40:P47"/>
    <mergeCell ref="M48:P119"/>
    <mergeCell ref="M120:P127"/>
    <mergeCell ref="A1:G1"/>
    <mergeCell ref="B95:B106"/>
    <mergeCell ref="C95:C106"/>
    <mergeCell ref="B166:B168"/>
    <mergeCell ref="C166:C168"/>
    <mergeCell ref="B157:B161"/>
    <mergeCell ref="C157:C161"/>
    <mergeCell ref="B107:B118"/>
    <mergeCell ref="C107:C118"/>
    <mergeCell ref="B119:B132"/>
    <mergeCell ref="C119:C132"/>
    <mergeCell ref="B133:B137"/>
    <mergeCell ref="C133:C137"/>
    <mergeCell ref="B138:B151"/>
    <mergeCell ref="C138:C151"/>
    <mergeCell ref="B152:B156"/>
    <mergeCell ref="C173:C174"/>
    <mergeCell ref="B175:B180"/>
    <mergeCell ref="C175:C180"/>
    <mergeCell ref="B181:B193"/>
    <mergeCell ref="C181:C193"/>
    <mergeCell ref="C152:C156"/>
    <mergeCell ref="B234:B242"/>
    <mergeCell ref="C234:C242"/>
    <mergeCell ref="B243:B255"/>
    <mergeCell ref="C243:C255"/>
    <mergeCell ref="B194:B205"/>
    <mergeCell ref="C194:C205"/>
    <mergeCell ref="B206:B216"/>
    <mergeCell ref="C206:C216"/>
    <mergeCell ref="B217:B226"/>
    <mergeCell ref="C217:C226"/>
    <mergeCell ref="B169:B172"/>
    <mergeCell ref="C169:C172"/>
    <mergeCell ref="B227:B233"/>
    <mergeCell ref="C227:C233"/>
    <mergeCell ref="B173:B174"/>
    <mergeCell ref="B294:B295"/>
    <mergeCell ref="C294:C295"/>
    <mergeCell ref="B256:B258"/>
    <mergeCell ref="C256:C258"/>
    <mergeCell ref="B259:B262"/>
    <mergeCell ref="C259:C262"/>
    <mergeCell ref="B263:B272"/>
    <mergeCell ref="C263:C272"/>
    <mergeCell ref="B273:B278"/>
    <mergeCell ref="C273:C278"/>
    <mergeCell ref="B280:B281"/>
    <mergeCell ref="C280:C281"/>
    <mergeCell ref="B282:B283"/>
    <mergeCell ref="C282:C283"/>
    <mergeCell ref="B300:B301"/>
    <mergeCell ref="C300:C301"/>
    <mergeCell ref="B308:B309"/>
    <mergeCell ref="C308:C309"/>
    <mergeCell ref="B302:B303"/>
    <mergeCell ref="C302:C303"/>
    <mergeCell ref="B304:B305"/>
    <mergeCell ref="C304:C305"/>
    <mergeCell ref="B306:B307"/>
    <mergeCell ref="C306:C307"/>
    <mergeCell ref="M128:P202"/>
    <mergeCell ref="M203:P210"/>
    <mergeCell ref="B296:B297"/>
    <mergeCell ref="C296:C297"/>
    <mergeCell ref="B298:B299"/>
    <mergeCell ref="C298:C299"/>
    <mergeCell ref="B284:B285"/>
    <mergeCell ref="C284:C285"/>
    <mergeCell ref="B286:B287"/>
    <mergeCell ref="C286:C287"/>
    <mergeCell ref="B288:B289"/>
    <mergeCell ref="C288:C289"/>
    <mergeCell ref="B290:B291"/>
    <mergeCell ref="C290:C291"/>
    <mergeCell ref="B292:B293"/>
    <mergeCell ref="C292:C293"/>
  </mergeCells>
  <conditionalFormatting sqref="A52:C57 A3:K3 A7:A17 B8 B10 B12 B14 B16 A60:I309 A58:A59 D52:I59 C7:I17 A4:I6 A18:I51 J4:K18 K19:K48 K52:K309 J19:J309">
    <cfRule type="expression" dxfId="69" priority="20">
      <formula>$O3="IN PROGRESS"</formula>
    </cfRule>
    <cfRule type="expression" dxfId="68" priority="21">
      <formula>$O3="N"</formula>
    </cfRule>
    <cfRule type="expression" dxfId="67" priority="22">
      <formula>$O3="Y"</formula>
    </cfRule>
  </conditionalFormatting>
  <conditionalFormatting sqref="H1:H1048576">
    <cfRule type="notContainsBlanks" dxfId="66" priority="19">
      <formula>LEN(TRIM(H1))&gt;0</formula>
    </cfRule>
  </conditionalFormatting>
  <conditionalFormatting sqref="K49:K51">
    <cfRule type="expression" dxfId="65" priority="13">
      <formula>$O49="IN PROGRESS"</formula>
    </cfRule>
    <cfRule type="expression" dxfId="64" priority="14">
      <formula>$O49="N"</formula>
    </cfRule>
    <cfRule type="expression" dxfId="63" priority="15">
      <formula>$O49="Y"</formula>
    </cfRule>
  </conditionalFormatting>
  <conditionalFormatting sqref="B7 B9 B11 B13 B15 B17">
    <cfRule type="expression" dxfId="62" priority="10">
      <formula>$O7="IN PROGRESS"</formula>
    </cfRule>
    <cfRule type="expression" dxfId="61" priority="11">
      <formula>$O7="N"</formula>
    </cfRule>
    <cfRule type="expression" dxfId="60" priority="12">
      <formula>$O7="Y"</formula>
    </cfRule>
  </conditionalFormatting>
  <conditionalFormatting sqref="C58:C59">
    <cfRule type="expression" dxfId="59" priority="7">
      <formula>$O58="IN PROGRESS"</formula>
    </cfRule>
    <cfRule type="expression" dxfId="58" priority="8">
      <formula>$O58="N"</formula>
    </cfRule>
    <cfRule type="expression" dxfId="57" priority="9">
      <formula>$O58="Y"</formula>
    </cfRule>
  </conditionalFormatting>
  <conditionalFormatting sqref="B58">
    <cfRule type="expression" dxfId="56" priority="4">
      <formula>$O58="IN PROGRESS"</formula>
    </cfRule>
    <cfRule type="expression" dxfId="55" priority="5">
      <formula>$O58="N"</formula>
    </cfRule>
    <cfRule type="expression" dxfId="54" priority="6">
      <formula>$O58="Y"</formula>
    </cfRule>
  </conditionalFormatting>
  <conditionalFormatting sqref="B59">
    <cfRule type="expression" dxfId="53" priority="1">
      <formula>$O59="IN PROGRESS"</formula>
    </cfRule>
    <cfRule type="expression" dxfId="52" priority="2">
      <formula>$O59="N"</formula>
    </cfRule>
    <cfRule type="expression" dxfId="51" priority="3">
      <formula>$O59="Y"</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E3685-9CD5-4000-9F08-3A9EC1120B75}">
  <dimension ref="A1:P296"/>
  <sheetViews>
    <sheetView workbookViewId="0">
      <pane ySplit="2" topLeftCell="A200" activePane="bottomLeft" state="frozen"/>
      <selection pane="bottomLeft" activeCell="J3" sqref="J3:J202"/>
    </sheetView>
  </sheetViews>
  <sheetFormatPr defaultRowHeight="15"/>
  <cols>
    <col min="1" max="1" width="10.7109375" bestFit="1" customWidth="1"/>
    <col min="3" max="3" width="68.5703125" bestFit="1" customWidth="1"/>
    <col min="4" max="4" width="18.7109375" bestFit="1" customWidth="1"/>
    <col min="6" max="6" width="12.140625" bestFit="1" customWidth="1"/>
    <col min="7" max="7" width="59.5703125" bestFit="1" customWidth="1"/>
    <col min="8" max="8" width="10.7109375" customWidth="1"/>
    <col min="9" max="9" width="9.5703125" bestFit="1" customWidth="1"/>
    <col min="12" max="12" width="1.7109375" customWidth="1"/>
    <col min="17" max="17" width="1.28515625" customWidth="1"/>
  </cols>
  <sheetData>
    <row r="1" spans="1:16" ht="32.450000000000003" customHeight="1">
      <c r="A1" s="775" t="s">
        <v>2066</v>
      </c>
      <c r="B1" s="776"/>
      <c r="C1" s="776"/>
      <c r="D1" s="776"/>
      <c r="E1" s="776"/>
      <c r="F1" s="776"/>
      <c r="L1" s="318"/>
      <c r="M1" s="315"/>
      <c r="N1" s="316"/>
      <c r="O1" s="316"/>
      <c r="P1" s="317"/>
    </row>
    <row r="2" spans="1:16" ht="40.5">
      <c r="A2" s="283" t="s">
        <v>112</v>
      </c>
      <c r="B2" s="284" t="s">
        <v>113</v>
      </c>
      <c r="C2" s="284" t="s">
        <v>114</v>
      </c>
      <c r="D2" s="582" t="s">
        <v>115</v>
      </c>
      <c r="E2" s="582" t="s">
        <v>116</v>
      </c>
      <c r="F2" s="285" t="s">
        <v>117</v>
      </c>
      <c r="G2" s="283" t="s">
        <v>118</v>
      </c>
      <c r="H2" s="291" t="s">
        <v>119</v>
      </c>
      <c r="I2" s="291" t="s">
        <v>120</v>
      </c>
      <c r="J2" s="291" t="s">
        <v>121</v>
      </c>
      <c r="K2" s="292" t="s">
        <v>122</v>
      </c>
      <c r="L2" s="320"/>
      <c r="M2" s="312" t="s">
        <v>123</v>
      </c>
      <c r="N2" s="294" t="s">
        <v>124</v>
      </c>
      <c r="O2" s="295" t="s">
        <v>125</v>
      </c>
      <c r="P2" s="296" t="s">
        <v>126</v>
      </c>
    </row>
    <row r="3" spans="1:16" s="1" customFormat="1" ht="26.25" customHeight="1">
      <c r="A3" s="21"/>
      <c r="B3" s="791" t="s">
        <v>2314</v>
      </c>
      <c r="C3" s="899" t="s">
        <v>2315</v>
      </c>
      <c r="D3" s="160"/>
      <c r="E3" s="140"/>
      <c r="F3" s="569" t="s">
        <v>857</v>
      </c>
      <c r="G3" s="46" t="s">
        <v>2316</v>
      </c>
      <c r="H3" s="288"/>
      <c r="I3" s="288"/>
      <c r="J3" s="21" t="str" cm="1">
        <f t="array" ref="J3">IF(ISBLANK(I3), IF(ISBLANK(H3), "N/A", _xlfn.IFS(K3="AS", H3+15, K3="NCR", H3+30, K3="submitted", H3+30, TRUE, "N/A")), _xlfn.IFS(K3="AS", I3+15, K3="NCR", I3+30, K3="submitted", I3+30, TRUE, "N/A"))</f>
        <v>N/A</v>
      </c>
      <c r="K3" s="51"/>
      <c r="L3" s="318"/>
      <c r="M3" s="766" t="s">
        <v>132</v>
      </c>
      <c r="N3" s="767"/>
      <c r="O3" s="767"/>
      <c r="P3" s="768"/>
    </row>
    <row r="4" spans="1:16" s="1" customFormat="1" ht="15" customHeight="1">
      <c r="A4" s="21"/>
      <c r="B4" s="791"/>
      <c r="C4" s="899"/>
      <c r="D4" s="160"/>
      <c r="E4" s="140"/>
      <c r="F4" s="569" t="s">
        <v>859</v>
      </c>
      <c r="G4" s="46" t="s">
        <v>2317</v>
      </c>
      <c r="H4" s="123"/>
      <c r="I4" s="123"/>
      <c r="J4" s="21" t="str" cm="1">
        <f t="array" ref="J4">IF(ISBLANK(I4), IF(ISBLANK(H4), "N/A", _xlfn.IFS(K4="AS", H4+15, K4="NCR", H4+30, K4="submitted", H4+30, TRUE, "N/A")), _xlfn.IFS(K4="AS", I4+15, K4="NCR", I4+30, K4="submitted", I4+30, TRUE, "N/A"))</f>
        <v>N/A</v>
      </c>
      <c r="K4" s="51"/>
      <c r="L4" s="318"/>
      <c r="M4" s="769"/>
      <c r="N4" s="770"/>
      <c r="O4" s="770"/>
      <c r="P4" s="771"/>
    </row>
    <row r="5" spans="1:16" s="1" customFormat="1" ht="15" customHeight="1">
      <c r="A5" s="21"/>
      <c r="B5" s="791"/>
      <c r="C5" s="899"/>
      <c r="D5" s="160"/>
      <c r="E5" s="140"/>
      <c r="F5" s="569" t="s">
        <v>861</v>
      </c>
      <c r="G5" s="46" t="s">
        <v>2318</v>
      </c>
      <c r="H5" s="123"/>
      <c r="I5" s="123"/>
      <c r="J5" s="21" t="str" cm="1">
        <f t="array" ref="J5">IF(ISBLANK(I5), IF(ISBLANK(H5), "N/A", _xlfn.IFS(K5="AS", H5+15, K5="NCR", H5+30, K5="submitted", H5+30, TRUE, "N/A")), _xlfn.IFS(K5="AS", I5+15, K5="NCR", I5+30, K5="submitted", I5+30, TRUE, "N/A"))</f>
        <v>N/A</v>
      </c>
      <c r="K5" s="51"/>
      <c r="L5" s="318"/>
      <c r="M5" s="769"/>
      <c r="N5" s="770"/>
      <c r="O5" s="770"/>
      <c r="P5" s="771"/>
    </row>
    <row r="6" spans="1:16" s="1" customFormat="1" ht="15" customHeight="1">
      <c r="A6" s="21"/>
      <c r="B6" s="791"/>
      <c r="C6" s="899"/>
      <c r="D6" s="160"/>
      <c r="E6" s="140"/>
      <c r="F6" s="569" t="s">
        <v>863</v>
      </c>
      <c r="G6" s="46" t="s">
        <v>2319</v>
      </c>
      <c r="H6" s="123"/>
      <c r="I6" s="123"/>
      <c r="J6" s="21" t="str" cm="1">
        <f t="array" ref="J6">IF(ISBLANK(I6), IF(ISBLANK(H6), "N/A", _xlfn.IFS(K6="AS", H6+15, K6="NCR", H6+30, K6="submitted", H6+30, TRUE, "N/A")), _xlfn.IFS(K6="AS", I6+15, K6="NCR", I6+30, K6="submitted", I6+30, TRUE, "N/A"))</f>
        <v>N/A</v>
      </c>
      <c r="K6" s="51"/>
      <c r="L6" s="318"/>
      <c r="M6" s="769"/>
      <c r="N6" s="770"/>
      <c r="O6" s="770"/>
      <c r="P6" s="771"/>
    </row>
    <row r="7" spans="1:16" s="1" customFormat="1" ht="15" customHeight="1">
      <c r="A7" s="21"/>
      <c r="B7" s="791"/>
      <c r="C7" s="899"/>
      <c r="D7" s="160"/>
      <c r="E7" s="140"/>
      <c r="F7" s="569" t="s">
        <v>1341</v>
      </c>
      <c r="G7" s="46" t="s">
        <v>2320</v>
      </c>
      <c r="H7" s="123"/>
      <c r="I7" s="123"/>
      <c r="J7" s="21" t="str" cm="1">
        <f t="array" ref="J7">IF(ISBLANK(I7), IF(ISBLANK(H7), "N/A", _xlfn.IFS(K7="AS", H7+15, K7="NCR", H7+30, K7="submitted", H7+30, TRUE, "N/A")), _xlfn.IFS(K7="AS", I7+15, K7="NCR", I7+30, K7="submitted", I7+30, TRUE, "N/A"))</f>
        <v>N/A</v>
      </c>
      <c r="K7" s="51"/>
      <c r="L7" s="318"/>
      <c r="M7" s="772" t="s">
        <v>147</v>
      </c>
      <c r="N7" s="773"/>
      <c r="O7" s="773"/>
      <c r="P7" s="774"/>
    </row>
    <row r="8" spans="1:16" s="1" customFormat="1" ht="15" customHeight="1">
      <c r="A8" s="21"/>
      <c r="B8" s="791"/>
      <c r="C8" s="899"/>
      <c r="D8" s="160"/>
      <c r="E8" s="140"/>
      <c r="F8" s="569" t="s">
        <v>1343</v>
      </c>
      <c r="G8" s="46" t="s">
        <v>2321</v>
      </c>
      <c r="H8" s="123"/>
      <c r="I8" s="123"/>
      <c r="J8" s="21" t="str" cm="1">
        <f t="array" ref="J8">IF(ISBLANK(I8), IF(ISBLANK(H8), "N/A", _xlfn.IFS(K8="AS", H8+15, K8="NCR", H8+30, K8="submitted", H8+30, TRUE, "N/A")), _xlfn.IFS(K8="AS", I8+15, K8="NCR", I8+30, K8="submitted", I8+30, TRUE, "N/A"))</f>
        <v>N/A</v>
      </c>
      <c r="K8" s="51"/>
      <c r="L8" s="318"/>
      <c r="M8" s="772"/>
      <c r="N8" s="773"/>
      <c r="O8" s="773"/>
      <c r="P8" s="774"/>
    </row>
    <row r="9" spans="1:16" s="1" customFormat="1" ht="15" customHeight="1">
      <c r="A9" s="21"/>
      <c r="B9" s="791"/>
      <c r="C9" s="899"/>
      <c r="D9" s="160"/>
      <c r="E9" s="140"/>
      <c r="F9" s="569" t="s">
        <v>1345</v>
      </c>
      <c r="G9" s="46" t="s">
        <v>2322</v>
      </c>
      <c r="H9" s="123"/>
      <c r="I9" s="123"/>
      <c r="J9" s="21" t="str" cm="1">
        <f t="array" ref="J9">IF(ISBLANK(I9), IF(ISBLANK(H9), "N/A", _xlfn.IFS(K9="AS", H9+15, K9="NCR", H9+30, K9="submitted", H9+30, TRUE, "N/A")), _xlfn.IFS(K9="AS", I9+15, K9="NCR", I9+30, K9="submitted", I9+30, TRUE, "N/A"))</f>
        <v>N/A</v>
      </c>
      <c r="K9" s="51"/>
      <c r="L9" s="318"/>
      <c r="M9" s="772"/>
      <c r="N9" s="773"/>
      <c r="O9" s="773"/>
      <c r="P9" s="774"/>
    </row>
    <row r="10" spans="1:16" s="1" customFormat="1" ht="15" customHeight="1">
      <c r="A10" s="21"/>
      <c r="B10" s="791"/>
      <c r="C10" s="899"/>
      <c r="D10" s="160"/>
      <c r="E10" s="140"/>
      <c r="F10" s="569" t="s">
        <v>1347</v>
      </c>
      <c r="G10" s="46" t="s">
        <v>229</v>
      </c>
      <c r="H10" s="123"/>
      <c r="I10" s="123"/>
      <c r="J10" s="21" t="str" cm="1">
        <f t="array" ref="J10">IF(ISBLANK(I10), IF(ISBLANK(H10), "N/A", _xlfn.IFS(K10="AS", H10+15, K10="NCR", H10+30, K10="submitted", H10+30, TRUE, "N/A")), _xlfn.IFS(K10="AS", I10+15, K10="NCR", I10+30, K10="submitted", I10+30, TRUE, "N/A"))</f>
        <v>N/A</v>
      </c>
      <c r="K10" s="51"/>
      <c r="L10" s="318"/>
      <c r="M10" s="772"/>
      <c r="N10" s="773"/>
      <c r="O10" s="773"/>
      <c r="P10" s="774"/>
    </row>
    <row r="11" spans="1:16" s="1" customFormat="1" ht="15" customHeight="1">
      <c r="A11" s="21"/>
      <c r="B11" s="791"/>
      <c r="C11" s="899"/>
      <c r="D11" s="160"/>
      <c r="E11" s="140"/>
      <c r="F11" s="569" t="s">
        <v>2323</v>
      </c>
      <c r="G11" s="46" t="s">
        <v>2324</v>
      </c>
      <c r="H11" s="123"/>
      <c r="I11" s="123"/>
      <c r="J11" s="21" t="str" cm="1">
        <f t="array" ref="J11">IF(ISBLANK(I11), IF(ISBLANK(H11), "N/A", _xlfn.IFS(K11="AS", H11+15, K11="NCR", H11+30, K11="submitted", H11+30, TRUE, "N/A")), _xlfn.IFS(K11="AS", I11+15, K11="NCR", I11+30, K11="submitted", I11+30, TRUE, "N/A"))</f>
        <v>N/A</v>
      </c>
      <c r="K11" s="51"/>
      <c r="L11" s="318"/>
      <c r="M11" s="772"/>
      <c r="N11" s="773"/>
      <c r="O11" s="773"/>
      <c r="P11" s="774"/>
    </row>
    <row r="12" spans="1:16" s="1" customFormat="1" ht="15" customHeight="1">
      <c r="A12" s="21"/>
      <c r="B12" s="791"/>
      <c r="C12" s="899"/>
      <c r="D12" s="160"/>
      <c r="E12" s="140"/>
      <c r="F12" s="569" t="s">
        <v>2325</v>
      </c>
      <c r="G12" s="46" t="s">
        <v>2326</v>
      </c>
      <c r="H12" s="123"/>
      <c r="I12" s="123"/>
      <c r="J12" s="21" t="str" cm="1">
        <f t="array" ref="J12">IF(ISBLANK(I12), IF(ISBLANK(H12), "N/A", _xlfn.IFS(K12="AS", H12+15, K12="NCR", H12+30, K12="submitted", H12+30, TRUE, "N/A")), _xlfn.IFS(K12="AS", I12+15, K12="NCR", I12+30, K12="submitted", I12+30, TRUE, "N/A"))</f>
        <v>N/A</v>
      </c>
      <c r="K12" s="51"/>
      <c r="L12" s="319"/>
      <c r="M12" s="772"/>
      <c r="N12" s="773"/>
      <c r="O12" s="773"/>
      <c r="P12" s="774"/>
    </row>
    <row r="13" spans="1:16" s="1" customFormat="1" ht="15" customHeight="1">
      <c r="A13" s="21"/>
      <c r="B13" s="791"/>
      <c r="C13" s="899"/>
      <c r="D13" s="160"/>
      <c r="E13" s="140"/>
      <c r="F13" s="569" t="s">
        <v>2327</v>
      </c>
      <c r="G13" s="46" t="s">
        <v>2328</v>
      </c>
      <c r="H13" s="123"/>
      <c r="I13" s="123"/>
      <c r="J13" s="21" t="str" cm="1">
        <f t="array" ref="J13">IF(ISBLANK(I13), IF(ISBLANK(H13), "N/A", _xlfn.IFS(K13="AS", H13+15, K13="NCR", H13+30, K13="submitted", H13+30, TRUE, "N/A")), _xlfn.IFS(K13="AS", I13+15, K13="NCR", I13+30, K13="submitted", I13+30, TRUE, "N/A"))</f>
        <v>N/A</v>
      </c>
      <c r="K13" s="51"/>
      <c r="L13" s="318"/>
      <c r="M13" s="772"/>
      <c r="N13" s="773"/>
      <c r="O13" s="773"/>
      <c r="P13" s="774"/>
    </row>
    <row r="14" spans="1:16" s="1" customFormat="1" ht="15" customHeight="1">
      <c r="A14" s="21"/>
      <c r="B14" s="791"/>
      <c r="C14" s="899"/>
      <c r="D14" s="160"/>
      <c r="E14" s="140"/>
      <c r="F14" s="569" t="s">
        <v>2329</v>
      </c>
      <c r="G14" s="46" t="s">
        <v>2330</v>
      </c>
      <c r="H14" s="123"/>
      <c r="I14" s="123"/>
      <c r="J14" s="21" t="str" cm="1">
        <f t="array" ref="J14">IF(ISBLANK(I14), IF(ISBLANK(H14), "N/A", _xlfn.IFS(K14="AS", H14+15, K14="NCR", H14+30, K14="submitted", H14+30, TRUE, "N/A")), _xlfn.IFS(K14="AS", I14+15, K14="NCR", I14+30, K14="submitted", I14+30, TRUE, "N/A"))</f>
        <v>N/A</v>
      </c>
      <c r="K14" s="51"/>
      <c r="L14" s="318"/>
      <c r="M14" s="772"/>
      <c r="N14" s="773"/>
      <c r="O14" s="773"/>
      <c r="P14" s="774"/>
    </row>
    <row r="15" spans="1:16" s="1" customFormat="1" ht="15" customHeight="1">
      <c r="A15" s="21"/>
      <c r="B15" s="791"/>
      <c r="C15" s="899"/>
      <c r="D15" s="160"/>
      <c r="E15" s="140"/>
      <c r="F15" s="569" t="s">
        <v>2331</v>
      </c>
      <c r="G15" s="46" t="s">
        <v>2332</v>
      </c>
      <c r="H15" s="123"/>
      <c r="I15" s="123"/>
      <c r="J15" s="21" t="str" cm="1">
        <f t="array" ref="J15">IF(ISBLANK(I15), IF(ISBLANK(H15), "N/A", _xlfn.IFS(K15="AS", H15+15, K15="NCR", H15+30, K15="submitted", H15+30, TRUE, "N/A")), _xlfn.IFS(K15="AS", I15+15, K15="NCR", I15+30, K15="submitted", I15+30, TRUE, "N/A"))</f>
        <v>N/A</v>
      </c>
      <c r="K15" s="51"/>
      <c r="L15" s="318"/>
      <c r="M15" s="772"/>
      <c r="N15" s="773"/>
      <c r="O15" s="773"/>
      <c r="P15" s="774"/>
    </row>
    <row r="16" spans="1:16" s="1" customFormat="1" ht="15" customHeight="1">
      <c r="A16" s="21"/>
      <c r="B16" s="791"/>
      <c r="C16" s="899"/>
      <c r="D16" s="160"/>
      <c r="E16" s="140"/>
      <c r="F16" s="569" t="s">
        <v>2333</v>
      </c>
      <c r="G16" s="46" t="s">
        <v>2334</v>
      </c>
      <c r="H16" s="123"/>
      <c r="I16" s="123"/>
      <c r="J16" s="21" t="str" cm="1">
        <f t="array" ref="J16">IF(ISBLANK(I16), IF(ISBLANK(H16), "N/A", _xlfn.IFS(K16="AS", H16+15, K16="NCR", H16+30, K16="submitted", H16+30, TRUE, "N/A")), _xlfn.IFS(K16="AS", I16+15, K16="NCR", I16+30, K16="submitted", I16+30, TRUE, "N/A"))</f>
        <v>N/A</v>
      </c>
      <c r="K16" s="51"/>
      <c r="L16" s="318"/>
      <c r="M16" s="772"/>
      <c r="N16" s="773"/>
      <c r="O16" s="773"/>
      <c r="P16" s="774"/>
    </row>
    <row r="17" spans="1:16" s="1" customFormat="1" ht="15" customHeight="1">
      <c r="A17" s="21"/>
      <c r="B17" s="777"/>
      <c r="C17" s="900"/>
      <c r="D17" s="160"/>
      <c r="E17" s="140"/>
      <c r="F17" s="569" t="s">
        <v>2335</v>
      </c>
      <c r="G17" s="46" t="s">
        <v>2336</v>
      </c>
      <c r="H17" s="123"/>
      <c r="I17" s="123"/>
      <c r="J17" s="21" t="str" cm="1">
        <f t="array" ref="J17">IF(ISBLANK(I17), IF(ISBLANK(H17), "N/A", _xlfn.IFS(K17="AS", H17+15, K17="NCR", H17+30, K17="submitted", H17+30, TRUE, "N/A")), _xlfn.IFS(K17="AS", I17+15, K17="NCR", I17+30, K17="submitted", I17+30, TRUE, "N/A"))</f>
        <v>N/A</v>
      </c>
      <c r="K17" s="51"/>
      <c r="L17" s="318"/>
      <c r="M17" s="772"/>
      <c r="N17" s="773"/>
      <c r="O17" s="773"/>
      <c r="P17" s="774"/>
    </row>
    <row r="18" spans="1:16" s="5" customFormat="1" ht="40.5" customHeight="1">
      <c r="A18" s="4"/>
      <c r="B18" s="15" t="s">
        <v>2337</v>
      </c>
      <c r="C18" s="132" t="s">
        <v>2338</v>
      </c>
      <c r="D18" s="144"/>
      <c r="E18" s="126"/>
      <c r="F18" s="146" t="s">
        <v>210</v>
      </c>
      <c r="G18" s="3" t="s">
        <v>2339</v>
      </c>
      <c r="H18" s="123"/>
      <c r="I18" s="123"/>
      <c r="J18" s="21" t="str" cm="1">
        <f t="array" ref="J18">IF(ISBLANK(I18), IF(ISBLANK(H18), "N/A", _xlfn.IFS(K18="AS", H18+15, K18="NCR", H18+30, K18="submitted", H18+30, TRUE, "N/A")), _xlfn.IFS(K18="AS", I18+15, K18="NCR", I18+30, K18="submitted", I18+30, TRUE, "N/A"))</f>
        <v>N/A</v>
      </c>
      <c r="K18" s="18"/>
      <c r="L18" s="318"/>
      <c r="M18" s="772"/>
      <c r="N18" s="773"/>
      <c r="O18" s="773"/>
      <c r="P18" s="774"/>
    </row>
    <row r="19" spans="1:16" s="1" customFormat="1" ht="81">
      <c r="A19" s="9"/>
      <c r="B19" s="790" t="s">
        <v>2340</v>
      </c>
      <c r="C19" s="891" t="s">
        <v>2341</v>
      </c>
      <c r="D19" s="143"/>
      <c r="E19" s="140"/>
      <c r="F19" s="141" t="s">
        <v>210</v>
      </c>
      <c r="G19" s="7" t="s">
        <v>2342</v>
      </c>
      <c r="H19" s="123"/>
      <c r="I19" s="123"/>
      <c r="J19" s="21" t="str" cm="1">
        <f t="array" ref="J19">IF(ISBLANK(I19), IF(ISBLANK(H19), "N/A", _xlfn.IFS(K19="AS", H19+15, K19="NCR", H19+30, K19="submitted", H19+30, TRUE, "N/A")), _xlfn.IFS(K19="AS", I19+15, K19="NCR", I19+30, K19="submitted", I19+30, TRUE, "N/A"))</f>
        <v>N/A</v>
      </c>
      <c r="K19" s="14"/>
      <c r="L19" s="318"/>
      <c r="M19" s="772"/>
      <c r="N19" s="773"/>
      <c r="O19" s="773"/>
      <c r="P19" s="774"/>
    </row>
    <row r="20" spans="1:16" s="1" customFormat="1" ht="15" customHeight="1">
      <c r="A20" s="9"/>
      <c r="B20" s="777"/>
      <c r="C20" s="893"/>
      <c r="D20" s="143"/>
      <c r="E20" s="140"/>
      <c r="F20" s="141" t="s">
        <v>328</v>
      </c>
      <c r="G20" s="13" t="s">
        <v>2343</v>
      </c>
      <c r="H20" s="123"/>
      <c r="I20" s="123"/>
      <c r="J20" s="21" t="str" cm="1">
        <f t="array" ref="J20">IF(ISBLANK(I20), IF(ISBLANK(H20), "N/A", _xlfn.IFS(K20="AS", H20+15, K20="NCR", H20+30, K20="submitted", H20+30, TRUE, "N/A")), _xlfn.IFS(K20="AS", I20+15, K20="NCR", I20+30, K20="submitted", I20+30, TRUE, "N/A"))</f>
        <v>N/A</v>
      </c>
      <c r="K20" s="14"/>
      <c r="L20" s="318"/>
      <c r="M20" s="772"/>
      <c r="N20" s="773"/>
      <c r="O20" s="773"/>
      <c r="P20" s="774"/>
    </row>
    <row r="21" spans="1:16" s="5" customFormat="1" ht="81">
      <c r="A21" s="4"/>
      <c r="B21" s="794" t="s">
        <v>2344</v>
      </c>
      <c r="C21" s="895" t="s">
        <v>2345</v>
      </c>
      <c r="D21" s="158"/>
      <c r="E21" s="126"/>
      <c r="F21" s="146" t="s">
        <v>210</v>
      </c>
      <c r="G21" s="3" t="s">
        <v>2342</v>
      </c>
      <c r="H21" s="123"/>
      <c r="I21" s="123"/>
      <c r="J21" s="21" t="str" cm="1">
        <f t="array" ref="J21">IF(ISBLANK(I21), IF(ISBLANK(H21), "N/A", _xlfn.IFS(K21="AS", H21+15, K21="NCR", H21+30, K21="submitted", H21+30, TRUE, "N/A")), _xlfn.IFS(K21="AS", I21+15, K21="NCR", I21+30, K21="submitted", I21+30, TRUE, "N/A"))</f>
        <v>N/A</v>
      </c>
      <c r="K21" s="18"/>
      <c r="L21" s="318"/>
      <c r="M21" s="772"/>
      <c r="N21" s="773"/>
      <c r="O21" s="773"/>
      <c r="P21" s="774"/>
    </row>
    <row r="22" spans="1:16" s="5" customFormat="1" ht="15" customHeight="1">
      <c r="A22" s="4"/>
      <c r="B22" s="795"/>
      <c r="C22" s="897"/>
      <c r="D22" s="158"/>
      <c r="E22" s="126"/>
      <c r="F22" s="146" t="s">
        <v>328</v>
      </c>
      <c r="G22" s="17" t="s">
        <v>2346</v>
      </c>
      <c r="H22" s="123"/>
      <c r="I22" s="123"/>
      <c r="J22" s="21" t="str" cm="1">
        <f t="array" ref="J22">IF(ISBLANK(I22), IF(ISBLANK(H22), "N/A", _xlfn.IFS(K22="AS", H22+15, K22="NCR", H22+30, K22="submitted", H22+30, TRUE, "N/A")), _xlfn.IFS(K22="AS", I22+15, K22="NCR", I22+30, K22="submitted", I22+30, TRUE, "N/A"))</f>
        <v>N/A</v>
      </c>
      <c r="K22" s="18"/>
      <c r="L22" s="318"/>
      <c r="M22" s="772"/>
      <c r="N22" s="773"/>
      <c r="O22" s="773"/>
      <c r="P22" s="774"/>
    </row>
    <row r="23" spans="1:16" s="1" customFormat="1" ht="81">
      <c r="A23" s="9"/>
      <c r="B23" s="790" t="s">
        <v>2347</v>
      </c>
      <c r="C23" s="898" t="s">
        <v>2348</v>
      </c>
      <c r="D23" s="160"/>
      <c r="E23" s="140"/>
      <c r="F23" s="141" t="s">
        <v>210</v>
      </c>
      <c r="G23" s="7" t="s">
        <v>2342</v>
      </c>
      <c r="H23" s="123"/>
      <c r="I23" s="123"/>
      <c r="J23" s="21" t="str" cm="1">
        <f t="array" ref="J23">IF(ISBLANK(I23), IF(ISBLANK(H23), "N/A", _xlfn.IFS(K23="AS", H23+15, K23="NCR", H23+30, K23="submitted", H23+30, TRUE, "N/A")), _xlfn.IFS(K23="AS", I23+15, K23="NCR", I23+30, K23="submitted", I23+30, TRUE, "N/A"))</f>
        <v>N/A</v>
      </c>
      <c r="K23" s="14"/>
      <c r="L23" s="318"/>
      <c r="M23" s="772"/>
      <c r="N23" s="773"/>
      <c r="O23" s="773"/>
      <c r="P23" s="774"/>
    </row>
    <row r="24" spans="1:16" s="1" customFormat="1" ht="15" customHeight="1">
      <c r="A24" s="9"/>
      <c r="B24" s="777"/>
      <c r="C24" s="900"/>
      <c r="D24" s="160"/>
      <c r="E24" s="140"/>
      <c r="F24" s="141" t="s">
        <v>328</v>
      </c>
      <c r="G24" s="13" t="s">
        <v>2346</v>
      </c>
      <c r="H24" s="123"/>
      <c r="I24" s="123"/>
      <c r="J24" s="21" t="str" cm="1">
        <f t="array" ref="J24">IF(ISBLANK(I24), IF(ISBLANK(H24), "N/A", _xlfn.IFS(K24="AS", H24+15, K24="NCR", H24+30, K24="submitted", H24+30, TRUE, "N/A")), _xlfn.IFS(K24="AS", I24+15, K24="NCR", I24+30, K24="submitted", I24+30, TRUE, "N/A"))</f>
        <v>N/A</v>
      </c>
      <c r="K24" s="14"/>
      <c r="L24" s="318"/>
      <c r="M24" s="772"/>
      <c r="N24" s="773"/>
      <c r="O24" s="773"/>
      <c r="P24" s="774"/>
    </row>
    <row r="25" spans="1:16" s="5" customFormat="1" ht="81">
      <c r="A25" s="4"/>
      <c r="B25" s="794" t="s">
        <v>2349</v>
      </c>
      <c r="C25" s="842" t="s">
        <v>2350</v>
      </c>
      <c r="D25" s="144"/>
      <c r="E25" s="126"/>
      <c r="F25" s="146" t="s">
        <v>210</v>
      </c>
      <c r="G25" s="3" t="s">
        <v>2342</v>
      </c>
      <c r="H25" s="123"/>
      <c r="I25" s="123"/>
      <c r="J25" s="21" t="str" cm="1">
        <f t="array" ref="J25">IF(ISBLANK(I25), IF(ISBLANK(H25), "N/A", _xlfn.IFS(K25="AS", H25+15, K25="NCR", H25+30, K25="submitted", H25+30, TRUE, "N/A")), _xlfn.IFS(K25="AS", I25+15, K25="NCR", I25+30, K25="submitted", I25+30, TRUE, "N/A"))</f>
        <v>N/A</v>
      </c>
      <c r="K25" s="18"/>
      <c r="L25" s="318"/>
      <c r="M25" s="772"/>
      <c r="N25" s="773"/>
      <c r="O25" s="773"/>
      <c r="P25" s="774"/>
    </row>
    <row r="26" spans="1:16" s="5" customFormat="1" ht="15" customHeight="1">
      <c r="A26" s="4"/>
      <c r="B26" s="795"/>
      <c r="C26" s="844"/>
      <c r="D26" s="144"/>
      <c r="E26" s="126"/>
      <c r="F26" s="146" t="s">
        <v>328</v>
      </c>
      <c r="G26" s="17" t="s">
        <v>2346</v>
      </c>
      <c r="H26" s="123"/>
      <c r="I26" s="123"/>
      <c r="J26" s="21" t="str" cm="1">
        <f t="array" ref="J26">IF(ISBLANK(I26), IF(ISBLANK(H26), "N/A", _xlfn.IFS(K26="AS", H26+15, K26="NCR", H26+30, K26="submitted", H26+30, TRUE, "N/A")), _xlfn.IFS(K26="AS", I26+15, K26="NCR", I26+30, K26="submitted", I26+30, TRUE, "N/A"))</f>
        <v>N/A</v>
      </c>
      <c r="K26" s="18"/>
      <c r="L26" s="318"/>
      <c r="M26" s="772"/>
      <c r="N26" s="773"/>
      <c r="O26" s="773"/>
      <c r="P26" s="774"/>
    </row>
    <row r="27" spans="1:16" s="1" customFormat="1" ht="121.5">
      <c r="A27" s="9"/>
      <c r="B27" s="790" t="s">
        <v>2351</v>
      </c>
      <c r="C27" s="891" t="s">
        <v>2352</v>
      </c>
      <c r="D27" s="143"/>
      <c r="E27" s="140"/>
      <c r="F27" s="141" t="s">
        <v>210</v>
      </c>
      <c r="G27" s="7" t="s">
        <v>2353</v>
      </c>
      <c r="H27" s="123"/>
      <c r="I27" s="123"/>
      <c r="J27" s="21" t="str" cm="1">
        <f t="array" ref="J27">IF(ISBLANK(I27), IF(ISBLANK(H27), "N/A", _xlfn.IFS(K27="AS", H27+15, K27="NCR", H27+30, K27="submitted", H27+30, TRUE, "N/A")), _xlfn.IFS(K27="AS", I27+15, K27="NCR", I27+30, K27="submitted", I27+30, TRUE, "N/A"))</f>
        <v>N/A</v>
      </c>
      <c r="K27" s="14"/>
      <c r="L27" s="318"/>
      <c r="M27" s="772"/>
      <c r="N27" s="773"/>
      <c r="O27" s="773"/>
      <c r="P27" s="774"/>
    </row>
    <row r="28" spans="1:16" s="1" customFormat="1" ht="15" customHeight="1">
      <c r="A28" s="9"/>
      <c r="B28" s="777"/>
      <c r="C28" s="893"/>
      <c r="D28" s="143"/>
      <c r="E28" s="140"/>
      <c r="F28" s="141" t="s">
        <v>328</v>
      </c>
      <c r="G28" s="13" t="s">
        <v>2346</v>
      </c>
      <c r="H28" s="123"/>
      <c r="I28" s="123"/>
      <c r="J28" s="21" t="str" cm="1">
        <f t="array" ref="J28">IF(ISBLANK(I28), IF(ISBLANK(H28), "N/A", _xlfn.IFS(K28="AS", H28+15, K28="NCR", H28+30, K28="submitted", H28+30, TRUE, "N/A")), _xlfn.IFS(K28="AS", I28+15, K28="NCR", I28+30, K28="submitted", I28+30, TRUE, "N/A"))</f>
        <v>N/A</v>
      </c>
      <c r="K28" s="14"/>
      <c r="L28" s="318"/>
      <c r="M28" s="772"/>
      <c r="N28" s="773"/>
      <c r="O28" s="773"/>
      <c r="P28" s="774"/>
    </row>
    <row r="29" spans="1:16" s="5" customFormat="1" ht="81">
      <c r="A29" s="4"/>
      <c r="B29" s="794" t="s">
        <v>2354</v>
      </c>
      <c r="C29" s="842" t="s">
        <v>2355</v>
      </c>
      <c r="D29" s="144"/>
      <c r="E29" s="126"/>
      <c r="F29" s="146" t="s">
        <v>210</v>
      </c>
      <c r="G29" s="3" t="s">
        <v>2342</v>
      </c>
      <c r="H29" s="123"/>
      <c r="I29" s="123"/>
      <c r="J29" s="21" t="str" cm="1">
        <f t="array" ref="J29">IF(ISBLANK(I29), IF(ISBLANK(H29), "N/A", _xlfn.IFS(K29="AS", H29+15, K29="NCR", H29+30, K29="submitted", H29+30, TRUE, "N/A")), _xlfn.IFS(K29="AS", I29+15, K29="NCR", I29+30, K29="submitted", I29+30, TRUE, "N/A"))</f>
        <v>N/A</v>
      </c>
      <c r="K29" s="18"/>
      <c r="L29" s="318"/>
      <c r="M29" s="772"/>
      <c r="N29" s="773"/>
      <c r="O29" s="773"/>
      <c r="P29" s="774"/>
    </row>
    <row r="30" spans="1:16" s="5" customFormat="1" ht="15" customHeight="1">
      <c r="A30" s="4"/>
      <c r="B30" s="795"/>
      <c r="C30" s="844"/>
      <c r="D30" s="144"/>
      <c r="E30" s="126"/>
      <c r="F30" s="146" t="s">
        <v>328</v>
      </c>
      <c r="G30" s="17" t="s">
        <v>2343</v>
      </c>
      <c r="H30" s="123"/>
      <c r="I30" s="123"/>
      <c r="J30" s="21" t="str" cm="1">
        <f t="array" ref="J30">IF(ISBLANK(I30), IF(ISBLANK(H30), "N/A", _xlfn.IFS(K30="AS", H30+15, K30="NCR", H30+30, K30="submitted", H30+30, TRUE, "N/A")), _xlfn.IFS(K30="AS", I30+15, K30="NCR", I30+30, K30="submitted", I30+30, TRUE, "N/A"))</f>
        <v>N/A</v>
      </c>
      <c r="K30" s="18"/>
      <c r="L30" s="318"/>
      <c r="M30" s="772"/>
      <c r="N30" s="773"/>
      <c r="O30" s="773"/>
      <c r="P30" s="774"/>
    </row>
    <row r="31" spans="1:16" s="1" customFormat="1" ht="81">
      <c r="A31" s="9"/>
      <c r="B31" s="790" t="s">
        <v>2356</v>
      </c>
      <c r="C31" s="898" t="s">
        <v>2357</v>
      </c>
      <c r="D31" s="160"/>
      <c r="E31" s="140"/>
      <c r="F31" s="141" t="s">
        <v>210</v>
      </c>
      <c r="G31" s="7" t="s">
        <v>2342</v>
      </c>
      <c r="H31" s="123"/>
      <c r="I31" s="123"/>
      <c r="J31" s="21" t="str" cm="1">
        <f t="array" ref="J31">IF(ISBLANK(I31), IF(ISBLANK(H31), "N/A", _xlfn.IFS(K31="AS", H31+15, K31="NCR", H31+30, K31="submitted", H31+30, TRUE, "N/A")), _xlfn.IFS(K31="AS", I31+15, K31="NCR", I31+30, K31="submitted", I31+30, TRUE, "N/A"))</f>
        <v>N/A</v>
      </c>
      <c r="K31" s="14"/>
      <c r="L31" s="318"/>
      <c r="M31" s="772"/>
      <c r="N31" s="773"/>
      <c r="O31" s="773"/>
      <c r="P31" s="774"/>
    </row>
    <row r="32" spans="1:16" s="1" customFormat="1" ht="15" customHeight="1">
      <c r="A32" s="9"/>
      <c r="B32" s="777"/>
      <c r="C32" s="900"/>
      <c r="D32" s="160"/>
      <c r="E32" s="140"/>
      <c r="F32" s="141" t="s">
        <v>328</v>
      </c>
      <c r="G32" s="13" t="s">
        <v>2346</v>
      </c>
      <c r="H32" s="123"/>
      <c r="I32" s="123"/>
      <c r="J32" s="21" t="str" cm="1">
        <f t="array" ref="J32">IF(ISBLANK(I32), IF(ISBLANK(H32), "N/A", _xlfn.IFS(K32="AS", H32+15, K32="NCR", H32+30, K32="submitted", H32+30, TRUE, "N/A")), _xlfn.IFS(K32="AS", I32+15, K32="NCR", I32+30, K32="submitted", I32+30, TRUE, "N/A"))</f>
        <v>N/A</v>
      </c>
      <c r="K32" s="14"/>
      <c r="L32" s="318"/>
      <c r="M32" s="772"/>
      <c r="N32" s="773"/>
      <c r="O32" s="773"/>
      <c r="P32" s="774"/>
    </row>
    <row r="33" spans="1:16" s="5" customFormat="1" ht="81">
      <c r="A33" s="4"/>
      <c r="B33" s="794" t="s">
        <v>2358</v>
      </c>
      <c r="C33" s="842" t="s">
        <v>2359</v>
      </c>
      <c r="D33" s="144"/>
      <c r="E33" s="126"/>
      <c r="F33" s="146" t="s">
        <v>210</v>
      </c>
      <c r="G33" s="3" t="s">
        <v>2342</v>
      </c>
      <c r="H33" s="123"/>
      <c r="I33" s="123"/>
      <c r="J33" s="21" t="str" cm="1">
        <f t="array" ref="J33">IF(ISBLANK(I33), IF(ISBLANK(H33), "N/A", _xlfn.IFS(K33="AS", H33+15, K33="NCR", H33+30, K33="submitted", H33+30, TRUE, "N/A")), _xlfn.IFS(K33="AS", I33+15, K33="NCR", I33+30, K33="submitted", I33+30, TRUE, "N/A"))</f>
        <v>N/A</v>
      </c>
      <c r="K33" s="18"/>
      <c r="L33" s="318"/>
      <c r="M33" s="772"/>
      <c r="N33" s="773"/>
      <c r="O33" s="773"/>
      <c r="P33" s="774"/>
    </row>
    <row r="34" spans="1:16" s="5" customFormat="1" ht="15" customHeight="1">
      <c r="A34" s="4"/>
      <c r="B34" s="795"/>
      <c r="C34" s="844"/>
      <c r="D34" s="144"/>
      <c r="E34" s="126"/>
      <c r="F34" s="146" t="s">
        <v>328</v>
      </c>
      <c r="G34" s="17" t="s">
        <v>2343</v>
      </c>
      <c r="H34" s="123"/>
      <c r="I34" s="123"/>
      <c r="J34" s="21" t="str" cm="1">
        <f t="array" ref="J34">IF(ISBLANK(I34), IF(ISBLANK(H34), "N/A", _xlfn.IFS(K34="AS", H34+15, K34="NCR", H34+30, K34="submitted", H34+30, TRUE, "N/A")), _xlfn.IFS(K34="AS", I34+15, K34="NCR", I34+30, K34="submitted", I34+30, TRUE, "N/A"))</f>
        <v>N/A</v>
      </c>
      <c r="K34" s="18"/>
      <c r="L34" s="318"/>
      <c r="M34" s="772"/>
      <c r="N34" s="773"/>
      <c r="O34" s="773"/>
      <c r="P34" s="774"/>
    </row>
    <row r="35" spans="1:16" s="1" customFormat="1" ht="81">
      <c r="A35" s="9"/>
      <c r="B35" s="790" t="s">
        <v>2360</v>
      </c>
      <c r="C35" s="891" t="s">
        <v>2361</v>
      </c>
      <c r="D35" s="143"/>
      <c r="E35" s="140"/>
      <c r="F35" s="141" t="s">
        <v>210</v>
      </c>
      <c r="G35" s="7" t="s">
        <v>2342</v>
      </c>
      <c r="H35" s="123"/>
      <c r="I35" s="123"/>
      <c r="J35" s="21" t="str" cm="1">
        <f t="array" ref="J35">IF(ISBLANK(I35), IF(ISBLANK(H35), "N/A", _xlfn.IFS(K35="AS", H35+15, K35="NCR", H35+30, K35="submitted", H35+30, TRUE, "N/A")), _xlfn.IFS(K35="AS", I35+15, K35="NCR", I35+30, K35="submitted", I35+30, TRUE, "N/A"))</f>
        <v>N/A</v>
      </c>
      <c r="K35" s="14"/>
      <c r="L35" s="318"/>
      <c r="M35" s="772"/>
      <c r="N35" s="773"/>
      <c r="O35" s="773"/>
      <c r="P35" s="774"/>
    </row>
    <row r="36" spans="1:16" s="1" customFormat="1" ht="15" customHeight="1">
      <c r="A36" s="9"/>
      <c r="B36" s="777"/>
      <c r="C36" s="893"/>
      <c r="D36" s="143"/>
      <c r="E36" s="140"/>
      <c r="F36" s="141" t="s">
        <v>328</v>
      </c>
      <c r="G36" s="13" t="s">
        <v>2346</v>
      </c>
      <c r="H36" s="123"/>
      <c r="I36" s="123"/>
      <c r="J36" s="21" t="str" cm="1">
        <f t="array" ref="J36">IF(ISBLANK(I36), IF(ISBLANK(H36), "N/A", _xlfn.IFS(K36="AS", H36+15, K36="NCR", H36+30, K36="submitted", H36+30, TRUE, "N/A")), _xlfn.IFS(K36="AS", I36+15, K36="NCR", I36+30, K36="submitted", I36+30, TRUE, "N/A"))</f>
        <v>N/A</v>
      </c>
      <c r="K36" s="14"/>
      <c r="L36" s="318"/>
      <c r="M36" s="772"/>
      <c r="N36" s="773"/>
      <c r="O36" s="773"/>
      <c r="P36" s="774"/>
    </row>
    <row r="37" spans="1:16" s="5" customFormat="1" ht="81">
      <c r="A37" s="4"/>
      <c r="B37" s="794" t="s">
        <v>2362</v>
      </c>
      <c r="C37" s="842" t="s">
        <v>2363</v>
      </c>
      <c r="D37" s="144"/>
      <c r="E37" s="126"/>
      <c r="F37" s="146" t="s">
        <v>210</v>
      </c>
      <c r="G37" s="3" t="s">
        <v>2342</v>
      </c>
      <c r="H37" s="123"/>
      <c r="I37" s="123"/>
      <c r="J37" s="21" t="str" cm="1">
        <f t="array" ref="J37">IF(ISBLANK(I37), IF(ISBLANK(H37), "N/A", _xlfn.IFS(K37="AS", H37+15, K37="NCR", H37+30, K37="submitted", H37+30, TRUE, "N/A")), _xlfn.IFS(K37="AS", I37+15, K37="NCR", I37+30, K37="submitted", I37+30, TRUE, "N/A"))</f>
        <v>N/A</v>
      </c>
      <c r="K37" s="18"/>
      <c r="L37" s="318"/>
      <c r="M37" s="772"/>
      <c r="N37" s="773"/>
      <c r="O37" s="773"/>
      <c r="P37" s="774"/>
    </row>
    <row r="38" spans="1:16" s="5" customFormat="1" ht="15" customHeight="1">
      <c r="A38" s="4"/>
      <c r="B38" s="795"/>
      <c r="C38" s="844"/>
      <c r="D38" s="144"/>
      <c r="E38" s="126"/>
      <c r="F38" s="146" t="s">
        <v>328</v>
      </c>
      <c r="G38" s="17" t="s">
        <v>2343</v>
      </c>
      <c r="H38" s="123"/>
      <c r="I38" s="123"/>
      <c r="J38" s="21" t="str" cm="1">
        <f t="array" ref="J38">IF(ISBLANK(I38), IF(ISBLANK(H38), "N/A", _xlfn.IFS(K38="AS", H38+15, K38="NCR", H38+30, K38="submitted", H38+30, TRUE, "N/A")), _xlfn.IFS(K38="AS", I38+15, K38="NCR", I38+30, K38="submitted", I38+30, TRUE, "N/A"))</f>
        <v>N/A</v>
      </c>
      <c r="K38" s="18"/>
      <c r="L38" s="318"/>
      <c r="M38" s="772"/>
      <c r="N38" s="773"/>
      <c r="O38" s="773"/>
      <c r="P38" s="774"/>
    </row>
    <row r="39" spans="1:16" s="1" customFormat="1" ht="81">
      <c r="A39" s="9"/>
      <c r="B39" s="790" t="s">
        <v>2364</v>
      </c>
      <c r="C39" s="898" t="s">
        <v>2365</v>
      </c>
      <c r="D39" s="160"/>
      <c r="E39" s="140"/>
      <c r="F39" s="141" t="s">
        <v>210</v>
      </c>
      <c r="G39" s="7" t="s">
        <v>2342</v>
      </c>
      <c r="H39" s="123"/>
      <c r="I39" s="123"/>
      <c r="J39" s="21" t="str" cm="1">
        <f t="array" ref="J39">IF(ISBLANK(I39), IF(ISBLANK(H39), "N/A", _xlfn.IFS(K39="AS", H39+15, K39="NCR", H39+30, K39="submitted", H39+30, TRUE, "N/A")), _xlfn.IFS(K39="AS", I39+15, K39="NCR", I39+30, K39="submitted", I39+30, TRUE, "N/A"))</f>
        <v>N/A</v>
      </c>
      <c r="K39" s="14"/>
      <c r="L39" s="318"/>
      <c r="M39" s="781"/>
      <c r="N39" s="782"/>
      <c r="O39" s="782"/>
      <c r="P39" s="783"/>
    </row>
    <row r="40" spans="1:16" s="1" customFormat="1" ht="15" customHeight="1">
      <c r="A40" s="9"/>
      <c r="B40" s="777"/>
      <c r="C40" s="900"/>
      <c r="D40" s="160"/>
      <c r="E40" s="140"/>
      <c r="F40" s="141" t="s">
        <v>328</v>
      </c>
      <c r="G40" s="13" t="s">
        <v>2343</v>
      </c>
      <c r="H40" s="123"/>
      <c r="I40" s="123"/>
      <c r="J40" s="21" t="str" cm="1">
        <f t="array" ref="J40">IF(ISBLANK(I40), IF(ISBLANK(H40), "N/A", _xlfn.IFS(K40="AS", H40+15, K40="NCR", H40+30, K40="submitted", H40+30, TRUE, "N/A")), _xlfn.IFS(K40="AS", I40+15, K40="NCR", I40+30, K40="submitted", I40+30, TRUE, "N/A"))</f>
        <v>N/A</v>
      </c>
      <c r="K40" s="14"/>
      <c r="L40" s="318"/>
      <c r="M40" s="766" t="s">
        <v>132</v>
      </c>
      <c r="N40" s="767"/>
      <c r="O40" s="767"/>
      <c r="P40" s="768"/>
    </row>
    <row r="41" spans="1:16" s="5" customFormat="1" ht="81">
      <c r="A41" s="4"/>
      <c r="B41" s="794" t="s">
        <v>2366</v>
      </c>
      <c r="C41" s="842" t="s">
        <v>2367</v>
      </c>
      <c r="D41" s="144"/>
      <c r="E41" s="126"/>
      <c r="F41" s="146" t="s">
        <v>210</v>
      </c>
      <c r="G41" s="3" t="s">
        <v>2368</v>
      </c>
      <c r="H41" s="123"/>
      <c r="I41" s="123"/>
      <c r="J41" s="21" t="str" cm="1">
        <f t="array" ref="J41">IF(ISBLANK(I41), IF(ISBLANK(H41), "N/A", _xlfn.IFS(K41="AS", H41+15, K41="NCR", H41+30, K41="submitted", H41+30, TRUE, "N/A")), _xlfn.IFS(K41="AS", I41+15, K41="NCR", I41+30, K41="submitted", I41+30, TRUE, "N/A"))</f>
        <v>N/A</v>
      </c>
      <c r="K41" s="18"/>
      <c r="L41" s="318"/>
      <c r="M41" s="769"/>
      <c r="N41" s="770"/>
      <c r="O41" s="770"/>
      <c r="P41" s="771"/>
    </row>
    <row r="42" spans="1:16" s="5" customFormat="1" ht="15" customHeight="1">
      <c r="A42" s="4"/>
      <c r="B42" s="795"/>
      <c r="C42" s="844"/>
      <c r="D42" s="144"/>
      <c r="E42" s="126"/>
      <c r="F42" s="146" t="s">
        <v>328</v>
      </c>
      <c r="G42" s="17" t="s">
        <v>2346</v>
      </c>
      <c r="H42" s="123"/>
      <c r="I42" s="123"/>
      <c r="J42" s="21" t="str" cm="1">
        <f t="array" ref="J42">IF(ISBLANK(I42), IF(ISBLANK(H42), "N/A", _xlfn.IFS(K42="AS", H42+15, K42="NCR", H42+30, K42="submitted", H42+30, TRUE, "N/A")), _xlfn.IFS(K42="AS", I42+15, K42="NCR", I42+30, K42="submitted", I42+30, TRUE, "N/A"))</f>
        <v>N/A</v>
      </c>
      <c r="K42" s="18"/>
      <c r="L42" s="318"/>
      <c r="M42" s="769"/>
      <c r="N42" s="770"/>
      <c r="O42" s="770"/>
      <c r="P42" s="771"/>
    </row>
    <row r="43" spans="1:16" s="1" customFormat="1" ht="81">
      <c r="A43" s="9"/>
      <c r="B43" s="790" t="s">
        <v>2369</v>
      </c>
      <c r="C43" s="891" t="s">
        <v>2370</v>
      </c>
      <c r="D43" s="143"/>
      <c r="E43" s="140"/>
      <c r="F43" s="141" t="s">
        <v>210</v>
      </c>
      <c r="G43" s="7" t="s">
        <v>2342</v>
      </c>
      <c r="H43" s="123"/>
      <c r="I43" s="123"/>
      <c r="J43" s="21" t="str" cm="1">
        <f t="array" ref="J43">IF(ISBLANK(I43), IF(ISBLANK(H43), "N/A", _xlfn.IFS(K43="AS", H43+15, K43="NCR", H43+30, K43="submitted", H43+30, TRUE, "N/A")), _xlfn.IFS(K43="AS", I43+15, K43="NCR", I43+30, K43="submitted", I43+30, TRUE, "N/A"))</f>
        <v>N/A</v>
      </c>
      <c r="K43" s="14"/>
      <c r="L43" s="318"/>
      <c r="M43" s="769"/>
      <c r="N43" s="770"/>
      <c r="O43" s="770"/>
      <c r="P43" s="771"/>
    </row>
    <row r="44" spans="1:16" s="1" customFormat="1" ht="15" customHeight="1">
      <c r="A44" s="9"/>
      <c r="B44" s="777"/>
      <c r="C44" s="893"/>
      <c r="D44" s="143"/>
      <c r="E44" s="140"/>
      <c r="F44" s="141" t="s">
        <v>328</v>
      </c>
      <c r="G44" s="13" t="s">
        <v>2343</v>
      </c>
      <c r="H44" s="123"/>
      <c r="I44" s="123"/>
      <c r="J44" s="21" t="str" cm="1">
        <f t="array" ref="J44">IF(ISBLANK(I44), IF(ISBLANK(H44), "N/A", _xlfn.IFS(K44="AS", H44+15, K44="NCR", H44+30, K44="submitted", H44+30, TRUE, "N/A")), _xlfn.IFS(K44="AS", I44+15, K44="NCR", I44+30, K44="submitted", I44+30, TRUE, "N/A"))</f>
        <v>N/A</v>
      </c>
      <c r="K44" s="14"/>
      <c r="L44" s="318"/>
      <c r="M44" s="769"/>
      <c r="N44" s="770"/>
      <c r="O44" s="770"/>
      <c r="P44" s="771"/>
    </row>
    <row r="45" spans="1:16" s="5" customFormat="1" ht="81">
      <c r="A45" s="4"/>
      <c r="B45" s="794" t="s">
        <v>2371</v>
      </c>
      <c r="C45" s="842" t="s">
        <v>2372</v>
      </c>
      <c r="D45" s="144"/>
      <c r="E45" s="126"/>
      <c r="F45" s="146" t="s">
        <v>210</v>
      </c>
      <c r="G45" s="3" t="s">
        <v>2342</v>
      </c>
      <c r="H45" s="123"/>
      <c r="I45" s="123"/>
      <c r="J45" s="21" t="str" cm="1">
        <f t="array" ref="J45">IF(ISBLANK(I45), IF(ISBLANK(H45), "N/A", _xlfn.IFS(K45="AS", H45+15, K45="NCR", H45+30, K45="submitted", H45+30, TRUE, "N/A")), _xlfn.IFS(K45="AS", I45+15, K45="NCR", I45+30, K45="submitted", I45+30, TRUE, "N/A"))</f>
        <v>N/A</v>
      </c>
      <c r="K45" s="18"/>
      <c r="L45" s="318"/>
      <c r="M45" s="769"/>
      <c r="N45" s="770"/>
      <c r="O45" s="770"/>
      <c r="P45" s="771"/>
    </row>
    <row r="46" spans="1:16" s="5" customFormat="1" ht="15" customHeight="1">
      <c r="A46" s="4"/>
      <c r="B46" s="795"/>
      <c r="C46" s="844"/>
      <c r="D46" s="144"/>
      <c r="E46" s="126"/>
      <c r="F46" s="146" t="s">
        <v>328</v>
      </c>
      <c r="G46" s="17" t="s">
        <v>2346</v>
      </c>
      <c r="H46" s="123"/>
      <c r="I46" s="123"/>
      <c r="J46" s="21" t="str" cm="1">
        <f t="array" ref="J46">IF(ISBLANK(I46), IF(ISBLANK(H46), "N/A", _xlfn.IFS(K46="AS", H46+15, K46="NCR", H46+30, K46="submitted", H46+30, TRUE, "N/A")), _xlfn.IFS(K46="AS", I46+15, K46="NCR", I46+30, K46="submitted", I46+30, TRUE, "N/A"))</f>
        <v>N/A</v>
      </c>
      <c r="K46" s="18"/>
      <c r="L46" s="318"/>
      <c r="M46" s="769"/>
      <c r="N46" s="770"/>
      <c r="O46" s="770"/>
      <c r="P46" s="771"/>
    </row>
    <row r="47" spans="1:16" s="1" customFormat="1" ht="81">
      <c r="A47" s="9"/>
      <c r="B47" s="790" t="s">
        <v>2373</v>
      </c>
      <c r="C47" s="891" t="s">
        <v>2374</v>
      </c>
      <c r="D47" s="143"/>
      <c r="E47" s="140"/>
      <c r="F47" s="141" t="s">
        <v>210</v>
      </c>
      <c r="G47" s="7" t="s">
        <v>2342</v>
      </c>
      <c r="H47" s="123"/>
      <c r="I47" s="123"/>
      <c r="J47" s="21" t="str" cm="1">
        <f t="array" ref="J47">IF(ISBLANK(I47), IF(ISBLANK(H47), "N/A", _xlfn.IFS(K47="AS", H47+15, K47="NCR", H47+30, K47="submitted", H47+30, TRUE, "N/A")), _xlfn.IFS(K47="AS", I47+15, K47="NCR", I47+30, K47="submitted", I47+30, TRUE, "N/A"))</f>
        <v>N/A</v>
      </c>
      <c r="K47" s="14"/>
      <c r="L47" s="318"/>
      <c r="M47" s="769"/>
      <c r="N47" s="770"/>
      <c r="O47" s="770"/>
      <c r="P47" s="771"/>
    </row>
    <row r="48" spans="1:16" s="1" customFormat="1" ht="15" customHeight="1">
      <c r="A48" s="9"/>
      <c r="B48" s="777"/>
      <c r="C48" s="893"/>
      <c r="D48" s="143"/>
      <c r="E48" s="140"/>
      <c r="F48" s="141" t="s">
        <v>328</v>
      </c>
      <c r="G48" s="13" t="s">
        <v>2346</v>
      </c>
      <c r="H48" s="123"/>
      <c r="I48" s="123"/>
      <c r="J48" s="21" t="str" cm="1">
        <f t="array" ref="J48">IF(ISBLANK(I48), IF(ISBLANK(H48), "N/A", _xlfn.IFS(K48="AS", H48+15, K48="NCR", H48+30, K48="submitted", H48+30, TRUE, "N/A")), _xlfn.IFS(K48="AS", I48+15, K48="NCR", I48+30, K48="submitted", I48+30, TRUE, "N/A"))</f>
        <v>N/A</v>
      </c>
      <c r="K48" s="14"/>
      <c r="L48" s="318"/>
      <c r="M48" s="772" t="s">
        <v>147</v>
      </c>
      <c r="N48" s="773"/>
      <c r="O48" s="773"/>
      <c r="P48" s="774"/>
    </row>
    <row r="49" spans="1:16" s="5" customFormat="1" ht="81">
      <c r="A49" s="4"/>
      <c r="B49" s="794" t="s">
        <v>2375</v>
      </c>
      <c r="C49" s="842" t="s">
        <v>2376</v>
      </c>
      <c r="D49" s="144"/>
      <c r="E49" s="126"/>
      <c r="F49" s="146" t="s">
        <v>210</v>
      </c>
      <c r="G49" s="3" t="s">
        <v>2342</v>
      </c>
      <c r="H49" s="123"/>
      <c r="I49" s="123"/>
      <c r="J49" s="21" t="str" cm="1">
        <f t="array" ref="J49">IF(ISBLANK(I49), IF(ISBLANK(H49), "N/A", _xlfn.IFS(K49="AS", H49+15, K49="NCR", H49+30, K49="submitted", H49+30, TRUE, "N/A")), _xlfn.IFS(K49="AS", I49+15, K49="NCR", I49+30, K49="submitted", I49+30, TRUE, "N/A"))</f>
        <v>N/A</v>
      </c>
      <c r="K49" s="18"/>
      <c r="L49" s="318"/>
      <c r="M49" s="772"/>
      <c r="N49" s="773"/>
      <c r="O49" s="773"/>
      <c r="P49" s="774"/>
    </row>
    <row r="50" spans="1:16" s="5" customFormat="1" ht="15" customHeight="1">
      <c r="A50" s="4"/>
      <c r="B50" s="795"/>
      <c r="C50" s="844"/>
      <c r="D50" s="144"/>
      <c r="E50" s="126"/>
      <c r="F50" s="146" t="s">
        <v>328</v>
      </c>
      <c r="G50" s="17" t="s">
        <v>2346</v>
      </c>
      <c r="H50" s="123"/>
      <c r="I50" s="123"/>
      <c r="J50" s="21" t="str" cm="1">
        <f t="array" ref="J50">IF(ISBLANK(I50), IF(ISBLANK(H50), "N/A", _xlfn.IFS(K50="AS", H50+15, K50="NCR", H50+30, K50="submitted", H50+30, TRUE, "N/A")), _xlfn.IFS(K50="AS", I50+15, K50="NCR", I50+30, K50="submitted", I50+30, TRUE, "N/A"))</f>
        <v>N/A</v>
      </c>
      <c r="K50" s="18"/>
      <c r="L50" s="318"/>
      <c r="M50" s="772"/>
      <c r="N50" s="773"/>
      <c r="O50" s="773"/>
      <c r="P50" s="774"/>
    </row>
    <row r="51" spans="1:16" s="1" customFormat="1" ht="40.5" customHeight="1">
      <c r="A51" s="9"/>
      <c r="B51" s="790" t="s">
        <v>2377</v>
      </c>
      <c r="C51" s="891" t="s">
        <v>2378</v>
      </c>
      <c r="D51" s="143"/>
      <c r="E51" s="140"/>
      <c r="F51" s="141" t="s">
        <v>210</v>
      </c>
      <c r="G51" s="7" t="s">
        <v>2379</v>
      </c>
      <c r="H51" s="123"/>
      <c r="I51" s="123"/>
      <c r="J51" s="21" t="str" cm="1">
        <f t="array" ref="J51">IF(ISBLANK(I51), IF(ISBLANK(H51), "N/A", _xlfn.IFS(K51="AS", H51+15, K51="NCR", H51+30, K51="submitted", H51+30, TRUE, "N/A")), _xlfn.IFS(K51="AS", I51+15, K51="NCR", I51+30, K51="submitted", I51+30, TRUE, "N/A"))</f>
        <v>N/A</v>
      </c>
      <c r="K51" s="14"/>
      <c r="L51" s="318"/>
      <c r="M51" s="772"/>
      <c r="N51" s="773"/>
      <c r="O51" s="773"/>
      <c r="P51" s="774"/>
    </row>
    <row r="52" spans="1:16" s="1" customFormat="1" ht="15" customHeight="1">
      <c r="A52" s="9"/>
      <c r="B52" s="777"/>
      <c r="C52" s="893"/>
      <c r="D52" s="143"/>
      <c r="E52" s="140"/>
      <c r="F52" s="141" t="s">
        <v>328</v>
      </c>
      <c r="G52" s="13" t="s">
        <v>2346</v>
      </c>
      <c r="H52" s="123"/>
      <c r="I52" s="123"/>
      <c r="J52" s="21" t="str" cm="1">
        <f t="array" ref="J52">IF(ISBLANK(I52), IF(ISBLANK(H52), "N/A", _xlfn.IFS(K52="AS", H52+15, K52="NCR", H52+30, K52="submitted", H52+30, TRUE, "N/A")), _xlfn.IFS(K52="AS", I52+15, K52="NCR", I52+30, K52="submitted", I52+30, TRUE, "N/A"))</f>
        <v>N/A</v>
      </c>
      <c r="K52" s="14"/>
      <c r="L52" s="318"/>
      <c r="M52" s="772"/>
      <c r="N52" s="773"/>
      <c r="O52" s="773"/>
      <c r="P52" s="774"/>
    </row>
    <row r="53" spans="1:16" s="5" customFormat="1" ht="81">
      <c r="A53" s="4"/>
      <c r="B53" s="794" t="s">
        <v>2380</v>
      </c>
      <c r="C53" s="842" t="s">
        <v>2381</v>
      </c>
      <c r="D53" s="144"/>
      <c r="E53" s="126"/>
      <c r="F53" s="146" t="s">
        <v>210</v>
      </c>
      <c r="G53" s="3" t="s">
        <v>2342</v>
      </c>
      <c r="H53" s="123"/>
      <c r="I53" s="123"/>
      <c r="J53" s="21" t="str" cm="1">
        <f t="array" ref="J53">IF(ISBLANK(I53), IF(ISBLANK(H53), "N/A", _xlfn.IFS(K53="AS", H53+15, K53="NCR", H53+30, K53="submitted", H53+30, TRUE, "N/A")), _xlfn.IFS(K53="AS", I53+15, K53="NCR", I53+30, K53="submitted", I53+30, TRUE, "N/A"))</f>
        <v>N/A</v>
      </c>
      <c r="K53" s="18"/>
      <c r="L53" s="319"/>
      <c r="M53" s="772"/>
      <c r="N53" s="773"/>
      <c r="O53" s="773"/>
      <c r="P53" s="774"/>
    </row>
    <row r="54" spans="1:16" s="5" customFormat="1" ht="15" customHeight="1">
      <c r="A54" s="4"/>
      <c r="B54" s="795"/>
      <c r="C54" s="844"/>
      <c r="D54" s="144"/>
      <c r="E54" s="126"/>
      <c r="F54" s="146" t="s">
        <v>328</v>
      </c>
      <c r="G54" s="17" t="s">
        <v>2346</v>
      </c>
      <c r="H54" s="123"/>
      <c r="I54" s="123"/>
      <c r="J54" s="21" t="str" cm="1">
        <f t="array" ref="J54">IF(ISBLANK(I54), IF(ISBLANK(H54), "N/A", _xlfn.IFS(K54="AS", H54+15, K54="NCR", H54+30, K54="submitted", H54+30, TRUE, "N/A")), _xlfn.IFS(K54="AS", I54+15, K54="NCR", I54+30, K54="submitted", I54+30, TRUE, "N/A"))</f>
        <v>N/A</v>
      </c>
      <c r="K54" s="18"/>
      <c r="L54" s="318"/>
      <c r="M54" s="772"/>
      <c r="N54" s="773"/>
      <c r="O54" s="773"/>
      <c r="P54" s="774"/>
    </row>
    <row r="55" spans="1:16" s="1" customFormat="1" ht="81">
      <c r="A55" s="9"/>
      <c r="B55" s="790" t="s">
        <v>2382</v>
      </c>
      <c r="C55" s="891" t="s">
        <v>2383</v>
      </c>
      <c r="D55" s="143"/>
      <c r="E55" s="140"/>
      <c r="F55" s="141" t="s">
        <v>210</v>
      </c>
      <c r="G55" s="7" t="s">
        <v>2342</v>
      </c>
      <c r="H55" s="123"/>
      <c r="I55" s="123"/>
      <c r="J55" s="21" t="str" cm="1">
        <f t="array" ref="J55">IF(ISBLANK(I55), IF(ISBLANK(H55), "N/A", _xlfn.IFS(K55="AS", H55+15, K55="NCR", H55+30, K55="submitted", H55+30, TRUE, "N/A")), _xlfn.IFS(K55="AS", I55+15, K55="NCR", I55+30, K55="submitted", I55+30, TRUE, "N/A"))</f>
        <v>N/A</v>
      </c>
      <c r="K55" s="14"/>
      <c r="L55" s="318"/>
      <c r="M55" s="772"/>
      <c r="N55" s="773"/>
      <c r="O55" s="773"/>
      <c r="P55" s="774"/>
    </row>
    <row r="56" spans="1:16" s="1" customFormat="1" ht="15" customHeight="1">
      <c r="A56" s="9"/>
      <c r="B56" s="777"/>
      <c r="C56" s="893"/>
      <c r="D56" s="143"/>
      <c r="E56" s="140"/>
      <c r="F56" s="141" t="s">
        <v>328</v>
      </c>
      <c r="G56" s="13" t="s">
        <v>2346</v>
      </c>
      <c r="H56" s="123"/>
      <c r="I56" s="123"/>
      <c r="J56" s="21" t="str" cm="1">
        <f t="array" ref="J56">IF(ISBLANK(I56), IF(ISBLANK(H56), "N/A", _xlfn.IFS(K56="AS", H56+15, K56="NCR", H56+30, K56="submitted", H56+30, TRUE, "N/A")), _xlfn.IFS(K56="AS", I56+15, K56="NCR", I56+30, K56="submitted", I56+30, TRUE, "N/A"))</f>
        <v>N/A</v>
      </c>
      <c r="K56" s="14"/>
      <c r="L56" s="318"/>
      <c r="M56" s="772"/>
      <c r="N56" s="773"/>
      <c r="O56" s="773"/>
      <c r="P56" s="774"/>
    </row>
    <row r="57" spans="1:16" s="5" customFormat="1" ht="81">
      <c r="A57" s="4"/>
      <c r="B57" s="794" t="s">
        <v>2384</v>
      </c>
      <c r="C57" s="842" t="s">
        <v>2385</v>
      </c>
      <c r="D57" s="144"/>
      <c r="E57" s="126"/>
      <c r="F57" s="146" t="s">
        <v>210</v>
      </c>
      <c r="G57" s="3" t="s">
        <v>2342</v>
      </c>
      <c r="H57" s="123"/>
      <c r="I57" s="123"/>
      <c r="J57" s="21" t="str" cm="1">
        <f t="array" ref="J57">IF(ISBLANK(I57), IF(ISBLANK(H57), "N/A", _xlfn.IFS(K57="AS", H57+15, K57="NCR", H57+30, K57="submitted", H57+30, TRUE, "N/A")), _xlfn.IFS(K57="AS", I57+15, K57="NCR", I57+30, K57="submitted", I57+30, TRUE, "N/A"))</f>
        <v>N/A</v>
      </c>
      <c r="K57" s="18"/>
      <c r="L57" s="318"/>
      <c r="M57" s="772"/>
      <c r="N57" s="773"/>
      <c r="O57" s="773"/>
      <c r="P57" s="774"/>
    </row>
    <row r="58" spans="1:16" s="5" customFormat="1" ht="15" customHeight="1">
      <c r="A58" s="4"/>
      <c r="B58" s="795"/>
      <c r="C58" s="844"/>
      <c r="D58" s="144"/>
      <c r="E58" s="126"/>
      <c r="F58" s="146" t="s">
        <v>328</v>
      </c>
      <c r="G58" s="17" t="s">
        <v>2346</v>
      </c>
      <c r="H58" s="123"/>
      <c r="I58" s="123"/>
      <c r="J58" s="21" t="str" cm="1">
        <f t="array" ref="J58">IF(ISBLANK(I58), IF(ISBLANK(H58), "N/A", _xlfn.IFS(K58="AS", H58+15, K58="NCR", H58+30, K58="submitted", H58+30, TRUE, "N/A")), _xlfn.IFS(K58="AS", I58+15, K58="NCR", I58+30, K58="submitted", I58+30, TRUE, "N/A"))</f>
        <v>N/A</v>
      </c>
      <c r="K58" s="18"/>
      <c r="L58" s="318"/>
      <c r="M58" s="772"/>
      <c r="N58" s="773"/>
      <c r="O58" s="773"/>
      <c r="P58" s="774"/>
    </row>
    <row r="59" spans="1:16" s="1" customFormat="1" ht="81">
      <c r="A59" s="9"/>
      <c r="B59" s="790" t="s">
        <v>2386</v>
      </c>
      <c r="C59" s="898" t="s">
        <v>2387</v>
      </c>
      <c r="D59" s="160"/>
      <c r="E59" s="140"/>
      <c r="F59" s="141" t="s">
        <v>210</v>
      </c>
      <c r="G59" s="7" t="s">
        <v>2342</v>
      </c>
      <c r="H59" s="123"/>
      <c r="I59" s="123"/>
      <c r="J59" s="21" t="str" cm="1">
        <f t="array" ref="J59">IF(ISBLANK(I59), IF(ISBLANK(H59), "N/A", _xlfn.IFS(K59="AS", H59+15, K59="NCR", H59+30, K59="submitted", H59+30, TRUE, "N/A")), _xlfn.IFS(K59="AS", I59+15, K59="NCR", I59+30, K59="submitted", I59+30, TRUE, "N/A"))</f>
        <v>N/A</v>
      </c>
      <c r="K59" s="14"/>
      <c r="L59" s="318"/>
      <c r="M59" s="772"/>
      <c r="N59" s="773"/>
      <c r="O59" s="773"/>
      <c r="P59" s="774"/>
    </row>
    <row r="60" spans="1:16" s="1" customFormat="1" ht="15" customHeight="1">
      <c r="A60" s="9"/>
      <c r="B60" s="777"/>
      <c r="C60" s="900"/>
      <c r="D60" s="160"/>
      <c r="E60" s="140"/>
      <c r="F60" s="141" t="s">
        <v>328</v>
      </c>
      <c r="G60" s="13" t="s">
        <v>2346</v>
      </c>
      <c r="H60" s="123"/>
      <c r="I60" s="123"/>
      <c r="J60" s="21" t="str" cm="1">
        <f t="array" ref="J60">IF(ISBLANK(I60), IF(ISBLANK(H60), "N/A", _xlfn.IFS(K60="AS", H60+15, K60="NCR", H60+30, K60="submitted", H60+30, TRUE, "N/A")), _xlfn.IFS(K60="AS", I60+15, K60="NCR", I60+30, K60="submitted", I60+30, TRUE, "N/A"))</f>
        <v>N/A</v>
      </c>
      <c r="K60" s="14"/>
      <c r="L60" s="318"/>
      <c r="M60" s="772"/>
      <c r="N60" s="773"/>
      <c r="O60" s="773"/>
      <c r="P60" s="774"/>
    </row>
    <row r="61" spans="1:16" s="5" customFormat="1" ht="25.5" customHeight="1">
      <c r="A61" s="4"/>
      <c r="B61" s="794" t="s">
        <v>2388</v>
      </c>
      <c r="C61" s="895" t="s">
        <v>2389</v>
      </c>
      <c r="D61" s="158"/>
      <c r="E61" s="126"/>
      <c r="F61" s="146" t="s">
        <v>210</v>
      </c>
      <c r="G61" s="3" t="s">
        <v>2342</v>
      </c>
      <c r="H61" s="123"/>
      <c r="I61" s="123"/>
      <c r="J61" s="21" t="str" cm="1">
        <f t="array" ref="J61">IF(ISBLANK(I61), IF(ISBLANK(H61), "N/A", _xlfn.IFS(K61="AS", H61+15, K61="NCR", H61+30, K61="submitted", H61+30, TRUE, "N/A")), _xlfn.IFS(K61="AS", I61+15, K61="NCR", I61+30, K61="submitted", I61+30, TRUE, "N/A"))</f>
        <v>N/A</v>
      </c>
      <c r="K61" s="18"/>
      <c r="L61" s="318"/>
      <c r="M61" s="772"/>
      <c r="N61" s="773"/>
      <c r="O61" s="773"/>
      <c r="P61" s="774"/>
    </row>
    <row r="62" spans="1:16" s="5" customFormat="1" ht="15" customHeight="1">
      <c r="A62" s="4"/>
      <c r="B62" s="795"/>
      <c r="C62" s="897"/>
      <c r="D62" s="158"/>
      <c r="E62" s="126"/>
      <c r="F62" s="146" t="s">
        <v>328</v>
      </c>
      <c r="G62" s="17" t="s">
        <v>2346</v>
      </c>
      <c r="H62" s="123"/>
      <c r="I62" s="123"/>
      <c r="J62" s="21" t="str" cm="1">
        <f t="array" ref="J62">IF(ISBLANK(I62), IF(ISBLANK(H62), "N/A", _xlfn.IFS(K62="AS", H62+15, K62="NCR", H62+30, K62="submitted", H62+30, TRUE, "N/A")), _xlfn.IFS(K62="AS", I62+15, K62="NCR", I62+30, K62="submitted", I62+30, TRUE, "N/A"))</f>
        <v>N/A</v>
      </c>
      <c r="K62" s="18"/>
      <c r="L62" s="318"/>
      <c r="M62" s="772"/>
      <c r="N62" s="773"/>
      <c r="O62" s="773"/>
      <c r="P62" s="774"/>
    </row>
    <row r="63" spans="1:16" s="1" customFormat="1" ht="121.5">
      <c r="A63" s="9"/>
      <c r="B63" s="790" t="s">
        <v>2390</v>
      </c>
      <c r="C63" s="891" t="s">
        <v>2391</v>
      </c>
      <c r="D63" s="143"/>
      <c r="E63" s="140"/>
      <c r="F63" s="141" t="s">
        <v>210</v>
      </c>
      <c r="G63" s="7" t="s">
        <v>2392</v>
      </c>
      <c r="H63" s="123"/>
      <c r="I63" s="123"/>
      <c r="J63" s="21" t="str" cm="1">
        <f t="array" ref="J63">IF(ISBLANK(I63), IF(ISBLANK(H63), "N/A", _xlfn.IFS(K63="AS", H63+15, K63="NCR", H63+30, K63="submitted", H63+30, TRUE, "N/A")), _xlfn.IFS(K63="AS", I63+15, K63="NCR", I63+30, K63="submitted", I63+30, TRUE, "N/A"))</f>
        <v>N/A</v>
      </c>
      <c r="K63" s="14"/>
      <c r="L63" s="318"/>
      <c r="M63" s="772"/>
      <c r="N63" s="773"/>
      <c r="O63" s="773"/>
      <c r="P63" s="774"/>
    </row>
    <row r="64" spans="1:16" s="1" customFormat="1" ht="15" customHeight="1">
      <c r="A64" s="9"/>
      <c r="B64" s="777"/>
      <c r="C64" s="893"/>
      <c r="D64" s="143"/>
      <c r="E64" s="140"/>
      <c r="F64" s="141" t="s">
        <v>328</v>
      </c>
      <c r="G64" s="13" t="s">
        <v>2346</v>
      </c>
      <c r="H64" s="123"/>
      <c r="I64" s="123"/>
      <c r="J64" s="21" t="str" cm="1">
        <f t="array" ref="J64">IF(ISBLANK(I64), IF(ISBLANK(H64), "N/A", _xlfn.IFS(K64="AS", H64+15, K64="NCR", H64+30, K64="submitted", H64+30, TRUE, "N/A")), _xlfn.IFS(K64="AS", I64+15, K64="NCR", I64+30, K64="submitted", I64+30, TRUE, "N/A"))</f>
        <v>N/A</v>
      </c>
      <c r="K64" s="14"/>
      <c r="L64" s="318"/>
      <c r="M64" s="772"/>
      <c r="N64" s="773"/>
      <c r="O64" s="773"/>
      <c r="P64" s="774"/>
    </row>
    <row r="65" spans="1:16" s="5" customFormat="1" ht="53.25">
      <c r="A65" s="4"/>
      <c r="B65" s="794" t="s">
        <v>2393</v>
      </c>
      <c r="C65" s="842" t="s">
        <v>2394</v>
      </c>
      <c r="D65" s="144"/>
      <c r="E65" s="126"/>
      <c r="F65" s="146" t="s">
        <v>210</v>
      </c>
      <c r="G65" s="3" t="s">
        <v>2395</v>
      </c>
      <c r="H65" s="123"/>
      <c r="I65" s="123"/>
      <c r="J65" s="21" t="str" cm="1">
        <f t="array" ref="J65">IF(ISBLANK(I65), IF(ISBLANK(H65), "N/A", _xlfn.IFS(K65="AS", H65+15, K65="NCR", H65+30, K65="submitted", H65+30, TRUE, "N/A")), _xlfn.IFS(K65="AS", I65+15, K65="NCR", I65+30, K65="submitted", I65+30, TRUE, "N/A"))</f>
        <v>N/A</v>
      </c>
      <c r="K65" s="18"/>
      <c r="L65" s="318"/>
      <c r="M65" s="772"/>
      <c r="N65" s="773"/>
      <c r="O65" s="773"/>
      <c r="P65" s="774"/>
    </row>
    <row r="66" spans="1:16" s="5" customFormat="1" ht="27" customHeight="1">
      <c r="A66" s="4"/>
      <c r="B66" s="795"/>
      <c r="C66" s="844"/>
      <c r="D66" s="144"/>
      <c r="E66" s="126"/>
      <c r="F66" s="146" t="s">
        <v>328</v>
      </c>
      <c r="G66" s="3" t="s">
        <v>2396</v>
      </c>
      <c r="H66" s="123"/>
      <c r="I66" s="123"/>
      <c r="J66" s="21" t="str" cm="1">
        <f t="array" ref="J66">IF(ISBLANK(I66), IF(ISBLANK(H66), "N/A", _xlfn.IFS(K66="AS", H66+15, K66="NCR", H66+30, K66="submitted", H66+30, TRUE, "N/A")), _xlfn.IFS(K66="AS", I66+15, K66="NCR", I66+30, K66="submitted", I66+30, TRUE, "N/A"))</f>
        <v>N/A</v>
      </c>
      <c r="K66" s="18"/>
      <c r="L66" s="318"/>
      <c r="M66" s="772"/>
      <c r="N66" s="773"/>
      <c r="O66" s="773"/>
      <c r="P66" s="774"/>
    </row>
    <row r="67" spans="1:16" s="1" customFormat="1" ht="53.25">
      <c r="A67" s="9"/>
      <c r="B67" s="790" t="s">
        <v>2397</v>
      </c>
      <c r="C67" s="891" t="s">
        <v>2398</v>
      </c>
      <c r="D67" s="143"/>
      <c r="E67" s="140"/>
      <c r="F67" s="141" t="s">
        <v>205</v>
      </c>
      <c r="G67" s="7" t="s">
        <v>2395</v>
      </c>
      <c r="H67" s="123"/>
      <c r="I67" s="123"/>
      <c r="J67" s="21" t="str" cm="1">
        <f t="array" ref="J67">IF(ISBLANK(I67), IF(ISBLANK(H67), "N/A", _xlfn.IFS(K67="AS", H67+15, K67="NCR", H67+30, K67="submitted", H67+30, TRUE, "N/A")), _xlfn.IFS(K67="AS", I67+15, K67="NCR", I67+30, K67="submitted", I67+30, TRUE, "N/A"))</f>
        <v>N/A</v>
      </c>
      <c r="K67" s="14"/>
      <c r="L67" s="318"/>
      <c r="M67" s="772"/>
      <c r="N67" s="773"/>
      <c r="O67" s="773"/>
      <c r="P67" s="774"/>
    </row>
    <row r="68" spans="1:16" s="1" customFormat="1" ht="27" customHeight="1">
      <c r="A68" s="9"/>
      <c r="B68" s="791"/>
      <c r="C68" s="892"/>
      <c r="D68" s="143"/>
      <c r="E68" s="140"/>
      <c r="F68" s="141" t="s">
        <v>275</v>
      </c>
      <c r="G68" s="7" t="s">
        <v>2396</v>
      </c>
      <c r="H68" s="123"/>
      <c r="I68" s="123"/>
      <c r="J68" s="21" t="str" cm="1">
        <f t="array" ref="J68">IF(ISBLANK(I68), IF(ISBLANK(H68), "N/A", _xlfn.IFS(K68="AS", H68+15, K68="NCR", H68+30, K68="submitted", H68+30, TRUE, "N/A")), _xlfn.IFS(K68="AS", I68+15, K68="NCR", I68+30, K68="submitted", I68+30, TRUE, "N/A"))</f>
        <v>N/A</v>
      </c>
      <c r="K68" s="14"/>
      <c r="L68" s="318"/>
      <c r="M68" s="772"/>
      <c r="N68" s="773"/>
      <c r="O68" s="773"/>
      <c r="P68" s="774"/>
    </row>
    <row r="69" spans="1:16" s="1" customFormat="1" ht="53.25">
      <c r="A69" s="9"/>
      <c r="B69" s="791"/>
      <c r="C69" s="892"/>
      <c r="D69" s="143"/>
      <c r="E69" s="140"/>
      <c r="F69" s="141" t="s">
        <v>321</v>
      </c>
      <c r="G69" s="7" t="s">
        <v>2183</v>
      </c>
      <c r="H69" s="123"/>
      <c r="I69" s="123"/>
      <c r="J69" s="21" t="str" cm="1">
        <f t="array" ref="J69">IF(ISBLANK(I69), IF(ISBLANK(H69), "N/A", _xlfn.IFS(K69="AS", H69+15, K69="NCR", H69+30, K69="submitted", H69+30, TRUE, "N/A")), _xlfn.IFS(K69="AS", I69+15, K69="NCR", I69+30, K69="submitted", I69+30, TRUE, "N/A"))</f>
        <v>N/A</v>
      </c>
      <c r="K69" s="14"/>
      <c r="L69" s="318"/>
      <c r="M69" s="772"/>
      <c r="N69" s="773"/>
      <c r="O69" s="773"/>
      <c r="P69" s="774"/>
    </row>
    <row r="70" spans="1:16" s="1" customFormat="1" ht="40.5" customHeight="1">
      <c r="A70" s="9"/>
      <c r="B70" s="777"/>
      <c r="C70" s="893"/>
      <c r="D70" s="143"/>
      <c r="E70" s="140"/>
      <c r="F70" s="141" t="s">
        <v>592</v>
      </c>
      <c r="G70" s="7" t="s">
        <v>2184</v>
      </c>
      <c r="H70" s="123"/>
      <c r="I70" s="123"/>
      <c r="J70" s="21" t="str" cm="1">
        <f t="array" ref="J70">IF(ISBLANK(I70), IF(ISBLANK(H70), "N/A", _xlfn.IFS(K70="AS", H70+15, K70="NCR", H70+30, K70="submitted", H70+30, TRUE, "N/A")), _xlfn.IFS(K70="AS", I70+15, K70="NCR", I70+30, K70="submitted", I70+30, TRUE, "N/A"))</f>
        <v>N/A</v>
      </c>
      <c r="K70" s="14"/>
      <c r="L70" s="318"/>
      <c r="M70" s="772"/>
      <c r="N70" s="773"/>
      <c r="O70" s="773"/>
      <c r="P70" s="774"/>
    </row>
    <row r="71" spans="1:16" s="5" customFormat="1" ht="53.25">
      <c r="A71" s="4"/>
      <c r="B71" s="794" t="s">
        <v>2399</v>
      </c>
      <c r="C71" s="842" t="s">
        <v>2400</v>
      </c>
      <c r="D71" s="144"/>
      <c r="E71" s="126"/>
      <c r="F71" s="146" t="s">
        <v>205</v>
      </c>
      <c r="G71" s="3" t="s">
        <v>2395</v>
      </c>
      <c r="H71" s="123"/>
      <c r="I71" s="123"/>
      <c r="J71" s="21" t="str" cm="1">
        <f t="array" ref="J71">IF(ISBLANK(I71), IF(ISBLANK(H71), "N/A", _xlfn.IFS(K71="AS", H71+15, K71="NCR", H71+30, K71="submitted", H71+30, TRUE, "N/A")), _xlfn.IFS(K71="AS", I71+15, K71="NCR", I71+30, K71="submitted", I71+30, TRUE, "N/A"))</f>
        <v>N/A</v>
      </c>
      <c r="K71" s="18"/>
      <c r="L71" s="318"/>
      <c r="M71" s="772"/>
      <c r="N71" s="773"/>
      <c r="O71" s="773"/>
      <c r="P71" s="774"/>
    </row>
    <row r="72" spans="1:16" s="5" customFormat="1" ht="53.25">
      <c r="A72" s="4"/>
      <c r="B72" s="798"/>
      <c r="C72" s="843"/>
      <c r="D72" s="144"/>
      <c r="E72" s="126"/>
      <c r="F72" s="146" t="s">
        <v>220</v>
      </c>
      <c r="G72" s="3" t="s">
        <v>2183</v>
      </c>
      <c r="H72" s="123"/>
      <c r="I72" s="123"/>
      <c r="J72" s="21" t="str" cm="1">
        <f t="array" ref="J72">IF(ISBLANK(I72), IF(ISBLANK(H72), "N/A", _xlfn.IFS(K72="AS", H72+15, K72="NCR", H72+30, K72="submitted", H72+30, TRUE, "N/A")), _xlfn.IFS(K72="AS", I72+15, K72="NCR", I72+30, K72="submitted", I72+30, TRUE, "N/A"))</f>
        <v>N/A</v>
      </c>
      <c r="K72" s="18"/>
      <c r="L72" s="318"/>
      <c r="M72" s="772"/>
      <c r="N72" s="773"/>
      <c r="O72" s="773"/>
      <c r="P72" s="774"/>
    </row>
    <row r="73" spans="1:16" s="5" customFormat="1" ht="40.5" customHeight="1">
      <c r="A73" s="4"/>
      <c r="B73" s="795"/>
      <c r="C73" s="844"/>
      <c r="D73" s="144"/>
      <c r="E73" s="126"/>
      <c r="F73" s="146" t="s">
        <v>535</v>
      </c>
      <c r="G73" s="3" t="s">
        <v>2401</v>
      </c>
      <c r="H73" s="123"/>
      <c r="I73" s="123"/>
      <c r="J73" s="21" t="str" cm="1">
        <f t="array" ref="J73">IF(ISBLANK(I73), IF(ISBLANK(H73), "N/A", _xlfn.IFS(K73="AS", H73+15, K73="NCR", H73+30, K73="submitted", H73+30, TRUE, "N/A")), _xlfn.IFS(K73="AS", I73+15, K73="NCR", I73+30, K73="submitted", I73+30, TRUE, "N/A"))</f>
        <v>N/A</v>
      </c>
      <c r="K73" s="18"/>
      <c r="L73" s="318"/>
      <c r="M73" s="772"/>
      <c r="N73" s="773"/>
      <c r="O73" s="773"/>
      <c r="P73" s="774"/>
    </row>
    <row r="74" spans="1:16" s="1" customFormat="1" ht="53.25">
      <c r="A74" s="9"/>
      <c r="B74" s="790" t="s">
        <v>2402</v>
      </c>
      <c r="C74" s="891" t="s">
        <v>2403</v>
      </c>
      <c r="D74" s="143"/>
      <c r="E74" s="140"/>
      <c r="F74" s="141" t="s">
        <v>205</v>
      </c>
      <c r="G74" s="7" t="s">
        <v>2395</v>
      </c>
      <c r="H74" s="123"/>
      <c r="I74" s="123"/>
      <c r="J74" s="21" t="str" cm="1">
        <f t="array" ref="J74">IF(ISBLANK(I74), IF(ISBLANK(H74), "N/A", _xlfn.IFS(K74="AS", H74+15, K74="NCR", H74+30, K74="submitted", H74+30, TRUE, "N/A")), _xlfn.IFS(K74="AS", I74+15, K74="NCR", I74+30, K74="submitted", I74+30, TRUE, "N/A"))</f>
        <v>N/A</v>
      </c>
      <c r="K74" s="14"/>
      <c r="L74" s="318"/>
      <c r="M74" s="772"/>
      <c r="N74" s="773"/>
      <c r="O74" s="773"/>
      <c r="P74" s="774"/>
    </row>
    <row r="75" spans="1:16" s="1" customFormat="1" ht="27" customHeight="1">
      <c r="A75" s="9"/>
      <c r="B75" s="777"/>
      <c r="C75" s="893"/>
      <c r="D75" s="143"/>
      <c r="E75" s="140"/>
      <c r="F75" s="141" t="s">
        <v>275</v>
      </c>
      <c r="G75" s="7" t="s">
        <v>2396</v>
      </c>
      <c r="H75" s="123"/>
      <c r="I75" s="123"/>
      <c r="J75" s="21" t="str" cm="1">
        <f t="array" ref="J75">IF(ISBLANK(I75), IF(ISBLANK(H75), "N/A", _xlfn.IFS(K75="AS", H75+15, K75="NCR", H75+30, K75="submitted", H75+30, TRUE, "N/A")), _xlfn.IFS(K75="AS", I75+15, K75="NCR", I75+30, K75="submitted", I75+30, TRUE, "N/A"))</f>
        <v>N/A</v>
      </c>
      <c r="K75" s="14"/>
      <c r="L75" s="318"/>
      <c r="M75" s="772"/>
      <c r="N75" s="773"/>
      <c r="O75" s="773"/>
      <c r="P75" s="774"/>
    </row>
    <row r="76" spans="1:16" s="5" customFormat="1" ht="53.25">
      <c r="A76" s="4"/>
      <c r="B76" s="54" t="s">
        <v>2404</v>
      </c>
      <c r="C76" s="347" t="s">
        <v>2405</v>
      </c>
      <c r="D76" s="144"/>
      <c r="E76" s="126"/>
      <c r="F76" s="146" t="s">
        <v>205</v>
      </c>
      <c r="G76" s="3" t="s">
        <v>2395</v>
      </c>
      <c r="H76" s="123"/>
      <c r="I76" s="123"/>
      <c r="J76" s="21" t="str" cm="1">
        <f t="array" ref="J76">IF(ISBLANK(I76), IF(ISBLANK(H76), "N/A", _xlfn.IFS(K76="AS", H76+15, K76="NCR", H76+30, K76="submitted", H76+30, TRUE, "N/A")), _xlfn.IFS(K76="AS", I76+15, K76="NCR", I76+30, K76="submitted", I76+30, TRUE, "N/A"))</f>
        <v>N/A</v>
      </c>
      <c r="K76" s="18"/>
      <c r="L76" s="318"/>
      <c r="M76" s="772"/>
      <c r="N76" s="773"/>
      <c r="O76" s="773"/>
      <c r="P76" s="774"/>
    </row>
    <row r="77" spans="1:16" s="5" customFormat="1" ht="15" customHeight="1">
      <c r="A77" s="4"/>
      <c r="B77" s="54" t="s">
        <v>2404</v>
      </c>
      <c r="C77" s="347" t="s">
        <v>2405</v>
      </c>
      <c r="D77" s="144"/>
      <c r="E77" s="126"/>
      <c r="F77" s="146"/>
      <c r="G77" s="3"/>
      <c r="H77" s="123"/>
      <c r="I77" s="123"/>
      <c r="J77" s="21" t="str" cm="1">
        <f t="array" ref="J77">IF(ISBLANK(I77), IF(ISBLANK(H77), "N/A", _xlfn.IFS(K77="AS", H77+15, K77="NCR", H77+30, K77="submitted", H77+30, TRUE, "N/A")), _xlfn.IFS(K77="AS", I77+15, K77="NCR", I77+30, K77="submitted", I77+30, TRUE, "N/A"))</f>
        <v>N/A</v>
      </c>
      <c r="K77" s="18"/>
      <c r="L77" s="318"/>
      <c r="M77" s="772"/>
      <c r="N77" s="773"/>
      <c r="O77" s="773"/>
      <c r="P77" s="774"/>
    </row>
    <row r="78" spans="1:16" s="528" customFormat="1" ht="27" customHeight="1">
      <c r="A78" s="526" t="s">
        <v>2406</v>
      </c>
      <c r="B78" s="533" t="s">
        <v>2404</v>
      </c>
      <c r="C78" s="660" t="s">
        <v>2405</v>
      </c>
      <c r="D78" s="529" t="s">
        <v>2407</v>
      </c>
      <c r="E78" s="658" t="s">
        <v>2408</v>
      </c>
      <c r="F78" s="530" t="s">
        <v>220</v>
      </c>
      <c r="G78" s="543" t="s">
        <v>2409</v>
      </c>
      <c r="H78" s="659">
        <v>45918</v>
      </c>
      <c r="I78" s="659"/>
      <c r="J78" s="21" t="str" cm="1">
        <f t="array" ref="J78">IF(ISBLANK(I78), IF(ISBLANK(H78), "N/A", _xlfn.IFS(K78="AS", H78+15, K78="NCR", H78+30, K78="submitted", H78+30, TRUE, "N/A")), _xlfn.IFS(K78="AS", I78+15, K78="NCR", I78+30, K78="submitted", I78+30, TRUE, "N/A"))</f>
        <v>N/A</v>
      </c>
      <c r="K78" s="536"/>
      <c r="L78" s="318"/>
      <c r="M78" s="772"/>
      <c r="N78" s="773"/>
      <c r="O78" s="773"/>
      <c r="P78" s="774"/>
    </row>
    <row r="79" spans="1:16" s="528" customFormat="1" ht="15" customHeight="1">
      <c r="A79" s="526" t="s">
        <v>2406</v>
      </c>
      <c r="B79" s="533" t="s">
        <v>2404</v>
      </c>
      <c r="C79" s="660" t="s">
        <v>2405</v>
      </c>
      <c r="D79" s="529" t="s">
        <v>2407</v>
      </c>
      <c r="E79" s="658" t="s">
        <v>2408</v>
      </c>
      <c r="F79" s="530" t="s">
        <v>535</v>
      </c>
      <c r="G79" s="535" t="s">
        <v>2410</v>
      </c>
      <c r="H79" s="659">
        <v>45918</v>
      </c>
      <c r="I79" s="659"/>
      <c r="J79" s="21" t="str" cm="1">
        <f t="array" ref="J79">IF(ISBLANK(I79), IF(ISBLANK(H79), "N/A", _xlfn.IFS(K79="AS", H79+15, K79="NCR", H79+30, K79="submitted", H79+30, TRUE, "N/A")), _xlfn.IFS(K79="AS", I79+15, K79="NCR", I79+30, K79="submitted", I79+30, TRUE, "N/A"))</f>
        <v>N/A</v>
      </c>
      <c r="K79" s="536"/>
      <c r="L79" s="318"/>
      <c r="M79" s="772"/>
      <c r="N79" s="773"/>
      <c r="O79" s="773"/>
      <c r="P79" s="774"/>
    </row>
    <row r="80" spans="1:16" s="5" customFormat="1" ht="53.25">
      <c r="A80" s="4"/>
      <c r="B80" s="54" t="s">
        <v>2404</v>
      </c>
      <c r="C80" s="347" t="s">
        <v>2405</v>
      </c>
      <c r="D80" s="144"/>
      <c r="E80" s="126"/>
      <c r="F80" s="146" t="s">
        <v>2411</v>
      </c>
      <c r="G80" s="3" t="s">
        <v>2183</v>
      </c>
      <c r="H80" s="123"/>
      <c r="I80" s="123"/>
      <c r="J80" s="21" t="str" cm="1">
        <f t="array" ref="J80">IF(ISBLANK(I80), IF(ISBLANK(H80), "N/A", _xlfn.IFS(K80="AS", H80+15, K80="NCR", H80+30, K80="submitted", H80+30, TRUE, "N/A")), _xlfn.IFS(K80="AS", I80+15, K80="NCR", I80+30, K80="submitted", I80+30, TRUE, "N/A"))</f>
        <v>N/A</v>
      </c>
      <c r="K80" s="18"/>
      <c r="L80" s="318"/>
      <c r="M80" s="772"/>
      <c r="N80" s="773"/>
      <c r="O80" s="773"/>
      <c r="P80" s="774"/>
    </row>
    <row r="81" spans="1:16" s="5" customFormat="1" ht="40.5" customHeight="1">
      <c r="A81" s="4" t="s">
        <v>2412</v>
      </c>
      <c r="B81" s="54" t="s">
        <v>2404</v>
      </c>
      <c r="C81" s="347" t="s">
        <v>2405</v>
      </c>
      <c r="D81" s="144"/>
      <c r="E81" s="126"/>
      <c r="F81" s="146" t="s">
        <v>592</v>
      </c>
      <c r="G81" s="3" t="s">
        <v>2184</v>
      </c>
      <c r="H81" s="123"/>
      <c r="I81" s="123"/>
      <c r="J81" s="21" t="str" cm="1">
        <f t="array" ref="J81">IF(ISBLANK(I81), IF(ISBLANK(H81), "N/A", _xlfn.IFS(K81="AS", H81+15, K81="NCR", H81+30, K81="submitted", H81+30, TRUE, "N/A")), _xlfn.IFS(K81="AS", I81+15, K81="NCR", I81+30, K81="submitted", I81+30, TRUE, "N/A"))</f>
        <v>N/A</v>
      </c>
      <c r="K81" s="18"/>
      <c r="L81" s="318"/>
      <c r="M81" s="772"/>
      <c r="N81" s="773"/>
      <c r="O81" s="773"/>
      <c r="P81" s="774"/>
    </row>
    <row r="82" spans="1:16" s="1" customFormat="1" ht="53.25">
      <c r="A82" s="9"/>
      <c r="B82" s="790" t="s">
        <v>2413</v>
      </c>
      <c r="C82" s="891" t="s">
        <v>2414</v>
      </c>
      <c r="D82" s="143"/>
      <c r="E82" s="140"/>
      <c r="F82" s="141" t="s">
        <v>205</v>
      </c>
      <c r="G82" s="7" t="s">
        <v>2415</v>
      </c>
      <c r="H82" s="123"/>
      <c r="I82" s="123"/>
      <c r="J82" s="21" t="str" cm="1">
        <f t="array" ref="J82">IF(ISBLANK(I82), IF(ISBLANK(H82), "N/A", _xlfn.IFS(K82="AS", H82+15, K82="NCR", H82+30, K82="submitted", H82+30, TRUE, "N/A")), _xlfn.IFS(K82="AS", I82+15, K82="NCR", I82+30, K82="submitted", I82+30, TRUE, "N/A"))</f>
        <v>N/A</v>
      </c>
      <c r="K82" s="14"/>
      <c r="L82" s="318"/>
      <c r="M82" s="772"/>
      <c r="N82" s="773"/>
      <c r="O82" s="773"/>
      <c r="P82" s="774"/>
    </row>
    <row r="83" spans="1:16" s="1" customFormat="1" ht="15" customHeight="1">
      <c r="A83" s="9"/>
      <c r="B83" s="791"/>
      <c r="C83" s="892"/>
      <c r="D83" s="143"/>
      <c r="E83" s="140"/>
      <c r="F83" s="141" t="s">
        <v>275</v>
      </c>
      <c r="G83" s="13" t="s">
        <v>2416</v>
      </c>
      <c r="H83" s="123"/>
      <c r="I83" s="123"/>
      <c r="J83" s="21" t="str" cm="1">
        <f t="array" ref="J83">IF(ISBLANK(I83), IF(ISBLANK(H83), "N/A", _xlfn.IFS(K83="AS", H83+15, K83="NCR", H83+30, K83="submitted", H83+30, TRUE, "N/A")), _xlfn.IFS(K83="AS", I83+15, K83="NCR", I83+30, K83="submitted", I83+30, TRUE, "N/A"))</f>
        <v>N/A</v>
      </c>
      <c r="K83" s="14"/>
      <c r="L83" s="318"/>
      <c r="M83" s="772"/>
      <c r="N83" s="773"/>
      <c r="O83" s="773"/>
      <c r="P83" s="774"/>
    </row>
    <row r="84" spans="1:16" s="1" customFormat="1" ht="27" customHeight="1">
      <c r="A84" s="9"/>
      <c r="B84" s="791"/>
      <c r="C84" s="892"/>
      <c r="D84" s="143"/>
      <c r="E84" s="140"/>
      <c r="F84" s="141" t="s">
        <v>263</v>
      </c>
      <c r="G84" s="7" t="s">
        <v>2396</v>
      </c>
      <c r="H84" s="123"/>
      <c r="I84" s="123"/>
      <c r="J84" s="21" t="str" cm="1">
        <f t="array" ref="J84">IF(ISBLANK(I84), IF(ISBLANK(H84), "N/A", _xlfn.IFS(K84="AS", H84+15, K84="NCR", H84+30, K84="submitted", H84+30, TRUE, "N/A")), _xlfn.IFS(K84="AS", I84+15, K84="NCR", I84+30, K84="submitted", I84+30, TRUE, "N/A"))</f>
        <v>N/A</v>
      </c>
      <c r="K84" s="14"/>
      <c r="L84" s="318"/>
      <c r="M84" s="772"/>
      <c r="N84" s="773"/>
      <c r="O84" s="773"/>
      <c r="P84" s="774"/>
    </row>
    <row r="85" spans="1:16" s="1" customFormat="1" ht="53.25">
      <c r="A85" s="9"/>
      <c r="B85" s="791"/>
      <c r="C85" s="892"/>
      <c r="D85" s="143"/>
      <c r="E85" s="140"/>
      <c r="F85" s="141" t="s">
        <v>364</v>
      </c>
      <c r="G85" s="7" t="s">
        <v>2183</v>
      </c>
      <c r="H85" s="123"/>
      <c r="I85" s="123"/>
      <c r="J85" s="21" t="str" cm="1">
        <f t="array" ref="J85">IF(ISBLANK(I85), IF(ISBLANK(H85), "N/A", _xlfn.IFS(K85="AS", H85+15, K85="NCR", H85+30, K85="submitted", H85+30, TRUE, "N/A")), _xlfn.IFS(K85="AS", I85+15, K85="NCR", I85+30, K85="submitted", I85+30, TRUE, "N/A"))</f>
        <v>N/A</v>
      </c>
      <c r="K85" s="14"/>
      <c r="L85" s="318"/>
      <c r="M85" s="772"/>
      <c r="N85" s="773"/>
      <c r="O85" s="773"/>
      <c r="P85" s="774"/>
    </row>
    <row r="86" spans="1:16" s="1" customFormat="1" ht="40.5">
      <c r="A86" s="9"/>
      <c r="B86" s="777"/>
      <c r="C86" s="893"/>
      <c r="D86" s="143"/>
      <c r="E86" s="140"/>
      <c r="F86" s="141" t="s">
        <v>366</v>
      </c>
      <c r="G86" s="7" t="s">
        <v>2184</v>
      </c>
      <c r="H86" s="123"/>
      <c r="I86" s="123"/>
      <c r="J86" s="21" t="str" cm="1">
        <f t="array" ref="J86">IF(ISBLANK(I86), IF(ISBLANK(H86), "N/A", _xlfn.IFS(K86="AS", H86+15, K86="NCR", H86+30, K86="submitted", H86+30, TRUE, "N/A")), _xlfn.IFS(K86="AS", I86+15, K86="NCR", I86+30, K86="submitted", I86+30, TRUE, "N/A"))</f>
        <v>N/A</v>
      </c>
      <c r="K86" s="14"/>
      <c r="L86" s="318"/>
      <c r="M86" s="772"/>
      <c r="N86" s="773"/>
      <c r="O86" s="773"/>
      <c r="P86" s="774"/>
    </row>
    <row r="87" spans="1:16" s="5" customFormat="1" ht="53.25">
      <c r="A87" s="4"/>
      <c r="B87" s="794" t="s">
        <v>2417</v>
      </c>
      <c r="C87" s="895" t="s">
        <v>2418</v>
      </c>
      <c r="D87" s="158"/>
      <c r="E87" s="126"/>
      <c r="F87" s="146" t="s">
        <v>210</v>
      </c>
      <c r="G87" s="3" t="s">
        <v>2395</v>
      </c>
      <c r="H87" s="123"/>
      <c r="I87" s="123"/>
      <c r="J87" s="21" t="str" cm="1">
        <f t="array" ref="J87">IF(ISBLANK(I87), IF(ISBLANK(H87), "N/A", _xlfn.IFS(K87="AS", H87+15, K87="NCR", H87+30, K87="submitted", H87+30, TRUE, "N/A")), _xlfn.IFS(K87="AS", I87+15, K87="NCR", I87+30, K87="submitted", I87+30, TRUE, "N/A"))</f>
        <v>N/A</v>
      </c>
      <c r="K87" s="18"/>
      <c r="L87" s="318"/>
      <c r="M87" s="772"/>
      <c r="N87" s="773"/>
      <c r="O87" s="773"/>
      <c r="P87" s="774"/>
    </row>
    <row r="88" spans="1:16" s="5" customFormat="1" ht="27" customHeight="1">
      <c r="A88" s="4"/>
      <c r="B88" s="795"/>
      <c r="C88" s="897"/>
      <c r="D88" s="158"/>
      <c r="E88" s="126"/>
      <c r="F88" s="146" t="s">
        <v>328</v>
      </c>
      <c r="G88" s="3" t="s">
        <v>2396</v>
      </c>
      <c r="H88" s="123"/>
      <c r="I88" s="123"/>
      <c r="J88" s="21" t="str" cm="1">
        <f t="array" ref="J88">IF(ISBLANK(I88), IF(ISBLANK(H88), "N/A", _xlfn.IFS(K88="AS", H88+15, K88="NCR", H88+30, K88="submitted", H88+30, TRUE, "N/A")), _xlfn.IFS(K88="AS", I88+15, K88="NCR", I88+30, K88="submitted", I88+30, TRUE, "N/A"))</f>
        <v>N/A</v>
      </c>
      <c r="K88" s="18"/>
      <c r="L88" s="318"/>
      <c r="M88" s="772"/>
      <c r="N88" s="773"/>
      <c r="O88" s="773"/>
      <c r="P88" s="774"/>
    </row>
    <row r="89" spans="1:16" s="1" customFormat="1" ht="40.5">
      <c r="A89" s="9"/>
      <c r="B89" s="11" t="s">
        <v>2419</v>
      </c>
      <c r="C89" s="165" t="s">
        <v>2420</v>
      </c>
      <c r="D89" s="160"/>
      <c r="E89" s="140"/>
      <c r="F89" s="141" t="s">
        <v>205</v>
      </c>
      <c r="G89" s="7" t="s">
        <v>2421</v>
      </c>
      <c r="H89" s="123"/>
      <c r="I89" s="123"/>
      <c r="J89" s="21" t="str" cm="1">
        <f t="array" ref="J89">IF(ISBLANK(I89), IF(ISBLANK(H89), "N/A", _xlfn.IFS(K89="AS", H89+15, K89="NCR", H89+30, K89="submitted", H89+30, TRUE, "N/A")), _xlfn.IFS(K89="AS", I89+15, K89="NCR", I89+30, K89="submitted", I89+30, TRUE, "N/A"))</f>
        <v>N/A</v>
      </c>
      <c r="K89" s="14"/>
      <c r="L89" s="318"/>
      <c r="M89" s="772"/>
      <c r="N89" s="773"/>
      <c r="O89" s="773"/>
      <c r="P89" s="774"/>
    </row>
    <row r="90" spans="1:16" s="5" customFormat="1" ht="53.25">
      <c r="A90" s="4"/>
      <c r="B90" s="794" t="s">
        <v>2422</v>
      </c>
      <c r="C90" s="895" t="s">
        <v>2423</v>
      </c>
      <c r="D90" s="158"/>
      <c r="E90" s="126"/>
      <c r="F90" s="146" t="s">
        <v>210</v>
      </c>
      <c r="G90" s="3" t="s">
        <v>2395</v>
      </c>
      <c r="H90" s="123"/>
      <c r="I90" s="123"/>
      <c r="J90" s="21" t="str" cm="1">
        <f t="array" ref="J90">IF(ISBLANK(I90), IF(ISBLANK(H90), "N/A", _xlfn.IFS(K90="AS", H90+15, K90="NCR", H90+30, K90="submitted", H90+30, TRUE, "N/A")), _xlfn.IFS(K90="AS", I90+15, K90="NCR", I90+30, K90="submitted", I90+30, TRUE, "N/A"))</f>
        <v>N/A</v>
      </c>
      <c r="K90" s="18"/>
      <c r="L90" s="318"/>
      <c r="M90" s="772"/>
      <c r="N90" s="773"/>
      <c r="O90" s="773"/>
      <c r="P90" s="774"/>
    </row>
    <row r="91" spans="1:16" s="5" customFormat="1" ht="15" customHeight="1">
      <c r="A91" s="4"/>
      <c r="B91" s="795"/>
      <c r="C91" s="897"/>
      <c r="D91" s="158"/>
      <c r="E91" s="126"/>
      <c r="F91" s="146" t="s">
        <v>328</v>
      </c>
      <c r="G91" s="17" t="s">
        <v>229</v>
      </c>
      <c r="H91" s="123"/>
      <c r="I91" s="123"/>
      <c r="J91" s="21" t="str" cm="1">
        <f t="array" ref="J91">IF(ISBLANK(I91), IF(ISBLANK(H91), "N/A", _xlfn.IFS(K91="AS", H91+15, K91="NCR", H91+30, K91="submitted", H91+30, TRUE, "N/A")), _xlfn.IFS(K91="AS", I91+15, K91="NCR", I91+30, K91="submitted", I91+30, TRUE, "N/A"))</f>
        <v>N/A</v>
      </c>
      <c r="K91" s="18"/>
      <c r="L91" s="318"/>
      <c r="M91" s="772"/>
      <c r="N91" s="773"/>
      <c r="O91" s="773"/>
      <c r="P91" s="774"/>
    </row>
    <row r="92" spans="1:16" s="1" customFormat="1" ht="53.25" customHeight="1">
      <c r="A92" s="9"/>
      <c r="B92" s="790" t="s">
        <v>2424</v>
      </c>
      <c r="C92" s="891" t="s">
        <v>2425</v>
      </c>
      <c r="D92" s="143"/>
      <c r="E92" s="140"/>
      <c r="F92" s="141" t="s">
        <v>210</v>
      </c>
      <c r="G92" s="7" t="s">
        <v>2395</v>
      </c>
      <c r="H92" s="123"/>
      <c r="I92" s="123"/>
      <c r="J92" s="21" t="str" cm="1">
        <f t="array" ref="J92">IF(ISBLANK(I92), IF(ISBLANK(H92), "N/A", _xlfn.IFS(K92="AS", H92+15, K92="NCR", H92+30, K92="submitted", H92+30, TRUE, "N/A")), _xlfn.IFS(K92="AS", I92+15, K92="NCR", I92+30, K92="submitted", I92+30, TRUE, "N/A"))</f>
        <v>N/A</v>
      </c>
      <c r="K92" s="14"/>
      <c r="L92" s="318"/>
      <c r="M92" s="772"/>
      <c r="N92" s="773"/>
      <c r="O92" s="773"/>
      <c r="P92" s="774"/>
    </row>
    <row r="93" spans="1:16" s="1" customFormat="1" ht="15" customHeight="1">
      <c r="A93" s="9"/>
      <c r="B93" s="791"/>
      <c r="C93" s="892"/>
      <c r="D93" s="143"/>
      <c r="E93" s="140"/>
      <c r="F93" s="141" t="s">
        <v>228</v>
      </c>
      <c r="G93" s="13" t="s">
        <v>229</v>
      </c>
      <c r="H93" s="123"/>
      <c r="I93" s="123"/>
      <c r="J93" s="21" t="str" cm="1">
        <f t="array" ref="J93">IF(ISBLANK(I93), IF(ISBLANK(H93), "N/A", _xlfn.IFS(K93="AS", H93+15, K93="NCR", H93+30, K93="submitted", H93+30, TRUE, "N/A")), _xlfn.IFS(K93="AS", I93+15, K93="NCR", I93+30, K93="submitted", I93+30, TRUE, "N/A"))</f>
        <v>N/A</v>
      </c>
      <c r="K93" s="14"/>
      <c r="L93" s="318"/>
      <c r="M93" s="772"/>
      <c r="N93" s="773"/>
      <c r="O93" s="773"/>
      <c r="P93" s="774"/>
    </row>
    <row r="94" spans="1:16" s="1" customFormat="1" ht="15" customHeight="1">
      <c r="A94" s="9"/>
      <c r="B94" s="777"/>
      <c r="C94" s="893"/>
      <c r="D94" s="143"/>
      <c r="E94" s="140"/>
      <c r="F94" s="141" t="s">
        <v>230</v>
      </c>
      <c r="G94" s="13" t="s">
        <v>276</v>
      </c>
      <c r="H94" s="123"/>
      <c r="I94" s="123"/>
      <c r="J94" s="21" t="str" cm="1">
        <f t="array" ref="J94">IF(ISBLANK(I94), IF(ISBLANK(H94), "N/A", _xlfn.IFS(K94="AS", H94+15, K94="NCR", H94+30, K94="submitted", H94+30, TRUE, "N/A")), _xlfn.IFS(K94="AS", I94+15, K94="NCR", I94+30, K94="submitted", I94+30, TRUE, "N/A"))</f>
        <v>N/A</v>
      </c>
      <c r="K94" s="14"/>
      <c r="L94" s="318"/>
      <c r="M94" s="772"/>
      <c r="N94" s="773"/>
      <c r="O94" s="773"/>
      <c r="P94" s="774"/>
    </row>
    <row r="95" spans="1:16" s="5" customFormat="1" ht="53.25">
      <c r="A95" s="4"/>
      <c r="B95" s="794" t="s">
        <v>2426</v>
      </c>
      <c r="C95" s="842" t="s">
        <v>2427</v>
      </c>
      <c r="D95" s="144"/>
      <c r="E95" s="126"/>
      <c r="F95" s="146" t="s">
        <v>205</v>
      </c>
      <c r="G95" s="3" t="s">
        <v>2395</v>
      </c>
      <c r="H95" s="123"/>
      <c r="I95" s="123"/>
      <c r="J95" s="21" t="str" cm="1">
        <f t="array" ref="J95">IF(ISBLANK(I95), IF(ISBLANK(H95), "N/A", _xlfn.IFS(K95="AS", H95+15, K95="NCR", H95+30, K95="submitted", H95+30, TRUE, "N/A")), _xlfn.IFS(K95="AS", I95+15, K95="NCR", I95+30, K95="submitted", I95+30, TRUE, "N/A"))</f>
        <v>N/A</v>
      </c>
      <c r="K95" s="18"/>
      <c r="L95" s="318"/>
      <c r="M95" s="772"/>
      <c r="N95" s="773"/>
      <c r="O95" s="773"/>
      <c r="P95" s="774"/>
    </row>
    <row r="96" spans="1:16" s="5" customFormat="1" ht="15" customHeight="1">
      <c r="A96" s="4"/>
      <c r="B96" s="795"/>
      <c r="C96" s="844"/>
      <c r="D96" s="144"/>
      <c r="E96" s="126"/>
      <c r="F96" s="146" t="s">
        <v>275</v>
      </c>
      <c r="G96" s="17" t="s">
        <v>229</v>
      </c>
      <c r="H96" s="123"/>
      <c r="I96" s="123"/>
      <c r="J96" s="21" t="str" cm="1">
        <f t="array" ref="J96">IF(ISBLANK(I96), IF(ISBLANK(H96), "N/A", _xlfn.IFS(K96="AS", H96+15, K96="NCR", H96+30, K96="submitted", H96+30, TRUE, "N/A")), _xlfn.IFS(K96="AS", I96+15, K96="NCR", I96+30, K96="submitted", I96+30, TRUE, "N/A"))</f>
        <v>N/A</v>
      </c>
      <c r="K96" s="18"/>
      <c r="L96" s="318"/>
      <c r="M96" s="772"/>
      <c r="N96" s="773"/>
      <c r="O96" s="773"/>
      <c r="P96" s="774"/>
    </row>
    <row r="97" spans="1:16" s="1" customFormat="1" ht="53.25">
      <c r="A97" s="9"/>
      <c r="B97" s="790" t="s">
        <v>2428</v>
      </c>
      <c r="C97" s="891" t="s">
        <v>2429</v>
      </c>
      <c r="D97" s="143"/>
      <c r="E97" s="140"/>
      <c r="F97" s="141" t="s">
        <v>205</v>
      </c>
      <c r="G97" s="7" t="s">
        <v>2395</v>
      </c>
      <c r="H97" s="123"/>
      <c r="I97" s="123"/>
      <c r="J97" s="21" t="str" cm="1">
        <f t="array" ref="J97">IF(ISBLANK(I97), IF(ISBLANK(H97), "N/A", _xlfn.IFS(K97="AS", H97+15, K97="NCR", H97+30, K97="submitted", H97+30, TRUE, "N/A")), _xlfn.IFS(K97="AS", I97+15, K97="NCR", I97+30, K97="submitted", I97+30, TRUE, "N/A"))</f>
        <v>N/A</v>
      </c>
      <c r="K97" s="14"/>
      <c r="L97" s="318"/>
      <c r="M97" s="772"/>
      <c r="N97" s="773"/>
      <c r="O97" s="773"/>
      <c r="P97" s="774"/>
    </row>
    <row r="98" spans="1:16" s="1" customFormat="1" ht="15" customHeight="1">
      <c r="A98" s="9"/>
      <c r="B98" s="777"/>
      <c r="C98" s="893"/>
      <c r="D98" s="143"/>
      <c r="E98" s="140"/>
      <c r="F98" s="141" t="s">
        <v>275</v>
      </c>
      <c r="G98" s="13" t="s">
        <v>229</v>
      </c>
      <c r="H98" s="123"/>
      <c r="I98" s="123"/>
      <c r="J98" s="21" t="str" cm="1">
        <f t="array" ref="J98">IF(ISBLANK(I98), IF(ISBLANK(H98), "N/A", _xlfn.IFS(K98="AS", H98+15, K98="NCR", H98+30, K98="submitted", H98+30, TRUE, "N/A")), _xlfn.IFS(K98="AS", I98+15, K98="NCR", I98+30, K98="submitted", I98+30, TRUE, "N/A"))</f>
        <v>N/A</v>
      </c>
      <c r="K98" s="14"/>
      <c r="L98" s="318"/>
      <c r="M98" s="772"/>
      <c r="N98" s="773"/>
      <c r="O98" s="773"/>
      <c r="P98" s="774"/>
    </row>
    <row r="99" spans="1:16" s="5" customFormat="1" ht="53.25">
      <c r="A99" s="4"/>
      <c r="B99" s="794" t="s">
        <v>2430</v>
      </c>
      <c r="C99" s="842" t="s">
        <v>2431</v>
      </c>
      <c r="D99" s="144"/>
      <c r="E99" s="126"/>
      <c r="F99" s="146" t="s">
        <v>205</v>
      </c>
      <c r="G99" s="3" t="s">
        <v>2395</v>
      </c>
      <c r="H99" s="123"/>
      <c r="I99" s="123"/>
      <c r="J99" s="21" t="str" cm="1">
        <f t="array" ref="J99">IF(ISBLANK(I99), IF(ISBLANK(H99), "N/A", _xlfn.IFS(K99="AS", H99+15, K99="NCR", H99+30, K99="submitted", H99+30, TRUE, "N/A")), _xlfn.IFS(K99="AS", I99+15, K99="NCR", I99+30, K99="submitted", I99+30, TRUE, "N/A"))</f>
        <v>N/A</v>
      </c>
      <c r="K99" s="18"/>
      <c r="L99" s="318"/>
      <c r="M99" s="772"/>
      <c r="N99" s="773"/>
      <c r="O99" s="773"/>
      <c r="P99" s="774"/>
    </row>
    <row r="100" spans="1:16" s="5" customFormat="1" ht="27" customHeight="1">
      <c r="A100" s="4"/>
      <c r="B100" s="795"/>
      <c r="C100" s="844"/>
      <c r="D100" s="144"/>
      <c r="E100" s="126"/>
      <c r="F100" s="146" t="s">
        <v>275</v>
      </c>
      <c r="G100" s="3" t="s">
        <v>2396</v>
      </c>
      <c r="H100" s="123"/>
      <c r="I100" s="123"/>
      <c r="J100" s="21" t="str" cm="1">
        <f t="array" ref="J100">IF(ISBLANK(I100), IF(ISBLANK(H100), "N/A", _xlfn.IFS(K100="AS", H100+15, K100="NCR", H100+30, K100="submitted", H100+30, TRUE, "N/A")), _xlfn.IFS(K100="AS", I100+15, K100="NCR", I100+30, K100="submitted", I100+30, TRUE, "N/A"))</f>
        <v>N/A</v>
      </c>
      <c r="K100" s="18"/>
      <c r="L100" s="318"/>
      <c r="M100" s="772"/>
      <c r="N100" s="773"/>
      <c r="O100" s="773"/>
      <c r="P100" s="774"/>
    </row>
    <row r="101" spans="1:16" s="1" customFormat="1" ht="53.25">
      <c r="A101" s="9"/>
      <c r="B101" s="790" t="s">
        <v>2432</v>
      </c>
      <c r="C101" s="891" t="s">
        <v>2433</v>
      </c>
      <c r="D101" s="143"/>
      <c r="E101" s="140"/>
      <c r="F101" s="141" t="s">
        <v>210</v>
      </c>
      <c r="G101" s="7" t="s">
        <v>2434</v>
      </c>
      <c r="H101" s="123"/>
      <c r="I101" s="123"/>
      <c r="J101" s="21" t="str" cm="1">
        <f t="array" ref="J101">IF(ISBLANK(I101), IF(ISBLANK(H101), "N/A", _xlfn.IFS(K101="AS", H101+15, K101="NCR", H101+30, K101="submitted", H101+30, TRUE, "N/A")), _xlfn.IFS(K101="AS", I101+15, K101="NCR", I101+30, K101="submitted", I101+30, TRUE, "N/A"))</f>
        <v>N/A</v>
      </c>
      <c r="K101" s="14"/>
      <c r="L101" s="318"/>
      <c r="M101" s="772"/>
      <c r="N101" s="773"/>
      <c r="O101" s="773"/>
      <c r="P101" s="774"/>
    </row>
    <row r="102" spans="1:16" s="1" customFormat="1" ht="27" customHeight="1">
      <c r="A102" s="9"/>
      <c r="B102" s="777"/>
      <c r="C102" s="893"/>
      <c r="D102" s="143"/>
      <c r="E102" s="140"/>
      <c r="F102" s="141" t="s">
        <v>328</v>
      </c>
      <c r="G102" s="7" t="s">
        <v>2396</v>
      </c>
      <c r="H102" s="123"/>
      <c r="I102" s="123"/>
      <c r="J102" s="21" t="str" cm="1">
        <f t="array" ref="J102">IF(ISBLANK(I102), IF(ISBLANK(H102), "N/A", _xlfn.IFS(K102="AS", H102+15, K102="NCR", H102+30, K102="submitted", H102+30, TRUE, "N/A")), _xlfn.IFS(K102="AS", I102+15, K102="NCR", I102+30, K102="submitted", I102+30, TRUE, "N/A"))</f>
        <v>N/A</v>
      </c>
      <c r="K102" s="14"/>
      <c r="L102" s="318"/>
      <c r="M102" s="772"/>
      <c r="N102" s="773"/>
      <c r="O102" s="773"/>
      <c r="P102" s="774"/>
    </row>
    <row r="103" spans="1:16" s="5" customFormat="1" ht="53.25">
      <c r="A103" s="4"/>
      <c r="B103" s="794" t="s">
        <v>2435</v>
      </c>
      <c r="C103" s="842" t="s">
        <v>2436</v>
      </c>
      <c r="D103" s="144"/>
      <c r="E103" s="126"/>
      <c r="F103" s="146" t="s">
        <v>210</v>
      </c>
      <c r="G103" s="3" t="s">
        <v>2395</v>
      </c>
      <c r="H103" s="123"/>
      <c r="I103" s="123"/>
      <c r="J103" s="21" t="str" cm="1">
        <f t="array" ref="J103">IF(ISBLANK(I103), IF(ISBLANK(H103), "N/A", _xlfn.IFS(K103="AS", H103+15, K103="NCR", H103+30, K103="submitted", H103+30, TRUE, "N/A")), _xlfn.IFS(K103="AS", I103+15, K103="NCR", I103+30, K103="submitted", I103+30, TRUE, "N/A"))</f>
        <v>N/A</v>
      </c>
      <c r="K103" s="18"/>
      <c r="L103" s="318"/>
      <c r="M103" s="772"/>
      <c r="N103" s="773"/>
      <c r="O103" s="773"/>
      <c r="P103" s="774"/>
    </row>
    <row r="104" spans="1:16" s="5" customFormat="1" ht="27" customHeight="1">
      <c r="A104" s="4"/>
      <c r="B104" s="795"/>
      <c r="C104" s="844"/>
      <c r="D104" s="144"/>
      <c r="E104" s="126"/>
      <c r="F104" s="146" t="s">
        <v>328</v>
      </c>
      <c r="G104" s="3" t="s">
        <v>2437</v>
      </c>
      <c r="H104" s="123"/>
      <c r="I104" s="123"/>
      <c r="J104" s="21" t="str" cm="1">
        <f t="array" ref="J104">IF(ISBLANK(I104), IF(ISBLANK(H104), "N/A", _xlfn.IFS(K104="AS", H104+15, K104="NCR", H104+30, K104="submitted", H104+30, TRUE, "N/A")), _xlfn.IFS(K104="AS", I104+15, K104="NCR", I104+30, K104="submitted", I104+30, TRUE, "N/A"))</f>
        <v>N/A</v>
      </c>
      <c r="K104" s="18"/>
      <c r="L104" s="318"/>
      <c r="M104" s="772"/>
      <c r="N104" s="773"/>
      <c r="O104" s="773"/>
      <c r="P104" s="774"/>
    </row>
    <row r="105" spans="1:16" s="1" customFormat="1" ht="53.25">
      <c r="A105" s="9"/>
      <c r="B105" s="790" t="s">
        <v>2438</v>
      </c>
      <c r="C105" s="891" t="s">
        <v>2439</v>
      </c>
      <c r="D105" s="143"/>
      <c r="E105" s="140"/>
      <c r="F105" s="141" t="s">
        <v>210</v>
      </c>
      <c r="G105" s="7" t="s">
        <v>2395</v>
      </c>
      <c r="H105" s="123"/>
      <c r="I105" s="123"/>
      <c r="J105" s="21" t="str" cm="1">
        <f t="array" ref="J105">IF(ISBLANK(I105), IF(ISBLANK(H105), "N/A", _xlfn.IFS(K105="AS", H105+15, K105="NCR", H105+30, K105="submitted", H105+30, TRUE, "N/A")), _xlfn.IFS(K105="AS", I105+15, K105="NCR", I105+30, K105="submitted", I105+30, TRUE, "N/A"))</f>
        <v>N/A</v>
      </c>
      <c r="K105" s="14"/>
      <c r="L105" s="318"/>
      <c r="M105" s="772"/>
      <c r="N105" s="773"/>
      <c r="O105" s="773"/>
      <c r="P105" s="774"/>
    </row>
    <row r="106" spans="1:16" s="1" customFormat="1" ht="27" customHeight="1">
      <c r="A106" s="9"/>
      <c r="B106" s="777"/>
      <c r="C106" s="893"/>
      <c r="D106" s="143"/>
      <c r="E106" s="140"/>
      <c r="F106" s="141" t="s">
        <v>328</v>
      </c>
      <c r="G106" s="7" t="s">
        <v>2396</v>
      </c>
      <c r="H106" s="123"/>
      <c r="I106" s="123"/>
      <c r="J106" s="21" t="str" cm="1">
        <f t="array" ref="J106">IF(ISBLANK(I106), IF(ISBLANK(H106), "N/A", _xlfn.IFS(K106="AS", H106+15, K106="NCR", H106+30, K106="submitted", H106+30, TRUE, "N/A")), _xlfn.IFS(K106="AS", I106+15, K106="NCR", I106+30, K106="submitted", I106+30, TRUE, "N/A"))</f>
        <v>N/A</v>
      </c>
      <c r="K106" s="14"/>
      <c r="L106" s="318"/>
      <c r="M106" s="772"/>
      <c r="N106" s="773"/>
      <c r="O106" s="773"/>
      <c r="P106" s="774"/>
    </row>
    <row r="107" spans="1:16" s="5" customFormat="1" ht="53.25">
      <c r="A107" s="4"/>
      <c r="B107" s="794" t="s">
        <v>2440</v>
      </c>
      <c r="C107" s="842" t="s">
        <v>2441</v>
      </c>
      <c r="D107" s="144"/>
      <c r="E107" s="126"/>
      <c r="F107" s="146" t="s">
        <v>205</v>
      </c>
      <c r="G107" s="3" t="s">
        <v>2442</v>
      </c>
      <c r="H107" s="123"/>
      <c r="I107" s="123"/>
      <c r="J107" s="21" t="str" cm="1">
        <f t="array" ref="J107">IF(ISBLANK(I107), IF(ISBLANK(H107), "N/A", _xlfn.IFS(K107="AS", H107+15, K107="NCR", H107+30, K107="submitted", H107+30, TRUE, "N/A")), _xlfn.IFS(K107="AS", I107+15, K107="NCR", I107+30, K107="submitted", I107+30, TRUE, "N/A"))</f>
        <v>N/A</v>
      </c>
      <c r="K107" s="18"/>
      <c r="L107" s="318"/>
      <c r="M107" s="772"/>
      <c r="N107" s="773"/>
      <c r="O107" s="773"/>
      <c r="P107" s="774"/>
    </row>
    <row r="108" spans="1:16" s="5" customFormat="1" ht="27" customHeight="1">
      <c r="A108" s="4"/>
      <c r="B108" s="798"/>
      <c r="C108" s="843"/>
      <c r="D108" s="144"/>
      <c r="E108" s="126"/>
      <c r="F108" s="146" t="s">
        <v>275</v>
      </c>
      <c r="G108" s="3" t="s">
        <v>2443</v>
      </c>
      <c r="H108" s="123"/>
      <c r="I108" s="123"/>
      <c r="J108" s="21" t="str" cm="1">
        <f t="array" ref="J108">IF(ISBLANK(I108), IF(ISBLANK(H108), "N/A", _xlfn.IFS(K108="AS", H108+15, K108="NCR", H108+30, K108="submitted", H108+30, TRUE, "N/A")), _xlfn.IFS(K108="AS", I108+15, K108="NCR", I108+30, K108="submitted", I108+30, TRUE, "N/A"))</f>
        <v>N/A</v>
      </c>
      <c r="K108" s="18"/>
      <c r="L108" s="318"/>
      <c r="M108" s="772"/>
      <c r="N108" s="773"/>
      <c r="O108" s="773"/>
      <c r="P108" s="774"/>
    </row>
    <row r="109" spans="1:16" s="5" customFormat="1" ht="53.25">
      <c r="A109" s="4"/>
      <c r="B109" s="798"/>
      <c r="C109" s="843"/>
      <c r="D109" s="144"/>
      <c r="E109" s="126"/>
      <c r="F109" s="146" t="s">
        <v>321</v>
      </c>
      <c r="G109" s="3" t="s">
        <v>2444</v>
      </c>
      <c r="H109" s="123"/>
      <c r="I109" s="123"/>
      <c r="J109" s="21" t="str" cm="1">
        <f t="array" ref="J109">IF(ISBLANK(I109), IF(ISBLANK(H109), "N/A", _xlfn.IFS(K109="AS", H109+15, K109="NCR", H109+30, K109="submitted", H109+30, TRUE, "N/A")), _xlfn.IFS(K109="AS", I109+15, K109="NCR", I109+30, K109="submitted", I109+30, TRUE, "N/A"))</f>
        <v>N/A</v>
      </c>
      <c r="K109" s="18"/>
      <c r="L109" s="318"/>
      <c r="M109" s="772"/>
      <c r="N109" s="773"/>
      <c r="O109" s="773"/>
      <c r="P109" s="774"/>
    </row>
    <row r="110" spans="1:16" s="5" customFormat="1" ht="40.5" customHeight="1">
      <c r="A110" s="4"/>
      <c r="B110" s="795"/>
      <c r="C110" s="844"/>
      <c r="D110" s="144"/>
      <c r="E110" s="126"/>
      <c r="F110" s="146" t="s">
        <v>592</v>
      </c>
      <c r="G110" s="3" t="s">
        <v>2445</v>
      </c>
      <c r="H110" s="123"/>
      <c r="I110" s="123"/>
      <c r="J110" s="21" t="str" cm="1">
        <f t="array" ref="J110">IF(ISBLANK(I110), IF(ISBLANK(H110), "N/A", _xlfn.IFS(K110="AS", H110+15, K110="NCR", H110+30, K110="submitted", H110+30, TRUE, "N/A")), _xlfn.IFS(K110="AS", I110+15, K110="NCR", I110+30, K110="submitted", I110+30, TRUE, "N/A"))</f>
        <v>N/A</v>
      </c>
      <c r="K110" s="18"/>
      <c r="L110" s="318"/>
      <c r="M110" s="772"/>
      <c r="N110" s="773"/>
      <c r="O110" s="773"/>
      <c r="P110" s="774"/>
    </row>
    <row r="111" spans="1:16" s="1" customFormat="1" ht="53.25">
      <c r="A111" s="9"/>
      <c r="B111" s="790" t="s">
        <v>2446</v>
      </c>
      <c r="C111" s="891" t="s">
        <v>2447</v>
      </c>
      <c r="D111" s="143"/>
      <c r="E111" s="140"/>
      <c r="F111" s="141" t="s">
        <v>205</v>
      </c>
      <c r="G111" s="7" t="s">
        <v>2395</v>
      </c>
      <c r="H111" s="123"/>
      <c r="I111" s="123"/>
      <c r="J111" s="21" t="str" cm="1">
        <f t="array" ref="J111">IF(ISBLANK(I111), IF(ISBLANK(H111), "N/A", _xlfn.IFS(K111="AS", H111+15, K111="NCR", H111+30, K111="submitted", H111+30, TRUE, "N/A")), _xlfn.IFS(K111="AS", I111+15, K111="NCR", I111+30, K111="submitted", I111+30, TRUE, "N/A"))</f>
        <v>N/A</v>
      </c>
      <c r="K111" s="14"/>
      <c r="L111" s="318"/>
      <c r="M111" s="772"/>
      <c r="N111" s="773"/>
      <c r="O111" s="773"/>
      <c r="P111" s="774"/>
    </row>
    <row r="112" spans="1:16" s="1" customFormat="1" ht="27" customHeight="1">
      <c r="A112" s="9"/>
      <c r="B112" s="791"/>
      <c r="C112" s="892"/>
      <c r="D112" s="143"/>
      <c r="E112" s="140"/>
      <c r="F112" s="141" t="s">
        <v>275</v>
      </c>
      <c r="G112" s="7" t="s">
        <v>2396</v>
      </c>
      <c r="H112" s="123"/>
      <c r="I112" s="123"/>
      <c r="J112" s="21" t="str" cm="1">
        <f t="array" ref="J112">IF(ISBLANK(I112), IF(ISBLANK(H112), "N/A", _xlfn.IFS(K112="AS", H112+15, K112="NCR", H112+30, K112="submitted", H112+30, TRUE, "N/A")), _xlfn.IFS(K112="AS", I112+15, K112="NCR", I112+30, K112="submitted", I112+30, TRUE, "N/A"))</f>
        <v>N/A</v>
      </c>
      <c r="K112" s="14"/>
      <c r="L112" s="318"/>
      <c r="M112" s="772"/>
      <c r="N112" s="773"/>
      <c r="O112" s="773"/>
      <c r="P112" s="774"/>
    </row>
    <row r="113" spans="1:16" s="1" customFormat="1" ht="53.25">
      <c r="A113" s="9"/>
      <c r="B113" s="791"/>
      <c r="C113" s="892"/>
      <c r="D113" s="143"/>
      <c r="E113" s="140"/>
      <c r="F113" s="141" t="s">
        <v>321</v>
      </c>
      <c r="G113" s="7" t="s">
        <v>2183</v>
      </c>
      <c r="H113" s="123"/>
      <c r="I113" s="123"/>
      <c r="J113" s="21" t="str" cm="1">
        <f t="array" ref="J113">IF(ISBLANK(I113), IF(ISBLANK(H113), "N/A", _xlfn.IFS(K113="AS", H113+15, K113="NCR", H113+30, K113="submitted", H113+30, TRUE, "N/A")), _xlfn.IFS(K113="AS", I113+15, K113="NCR", I113+30, K113="submitted", I113+30, TRUE, "N/A"))</f>
        <v>N/A</v>
      </c>
      <c r="K113" s="14"/>
      <c r="L113" s="318"/>
      <c r="M113" s="772"/>
      <c r="N113" s="773"/>
      <c r="O113" s="773"/>
      <c r="P113" s="774"/>
    </row>
    <row r="114" spans="1:16" s="1" customFormat="1" ht="40.5" customHeight="1">
      <c r="A114" s="9"/>
      <c r="B114" s="777"/>
      <c r="C114" s="893"/>
      <c r="D114" s="143"/>
      <c r="E114" s="140"/>
      <c r="F114" s="141" t="s">
        <v>592</v>
      </c>
      <c r="G114" s="7" t="s">
        <v>2184</v>
      </c>
      <c r="H114" s="123"/>
      <c r="I114" s="123"/>
      <c r="J114" s="21" t="str" cm="1">
        <f t="array" ref="J114">IF(ISBLANK(I114), IF(ISBLANK(H114), "N/A", _xlfn.IFS(K114="AS", H114+15, K114="NCR", H114+30, K114="submitted", H114+30, TRUE, "N/A")), _xlfn.IFS(K114="AS", I114+15, K114="NCR", I114+30, K114="submitted", I114+30, TRUE, "N/A"))</f>
        <v>N/A</v>
      </c>
      <c r="K114" s="14"/>
      <c r="L114" s="318"/>
      <c r="M114" s="772"/>
      <c r="N114" s="773"/>
      <c r="O114" s="773"/>
      <c r="P114" s="774"/>
    </row>
    <row r="115" spans="1:16" s="5" customFormat="1" ht="53.25">
      <c r="A115" s="4"/>
      <c r="B115" s="794" t="s">
        <v>2448</v>
      </c>
      <c r="C115" s="842" t="s">
        <v>2449</v>
      </c>
      <c r="D115" s="144"/>
      <c r="E115" s="126"/>
      <c r="F115" s="146" t="s">
        <v>205</v>
      </c>
      <c r="G115" s="3" t="s">
        <v>2442</v>
      </c>
      <c r="H115" s="123"/>
      <c r="I115" s="123"/>
      <c r="J115" s="21" t="str" cm="1">
        <f t="array" ref="J115">IF(ISBLANK(I115), IF(ISBLANK(H115), "N/A", _xlfn.IFS(K115="AS", H115+15, K115="NCR", H115+30, K115="submitted", H115+30, TRUE, "N/A")), _xlfn.IFS(K115="AS", I115+15, K115="NCR", I115+30, K115="submitted", I115+30, TRUE, "N/A"))</f>
        <v>N/A</v>
      </c>
      <c r="K115" s="18"/>
      <c r="L115" s="318"/>
      <c r="M115" s="772"/>
      <c r="N115" s="773"/>
      <c r="O115" s="773"/>
      <c r="P115" s="774"/>
    </row>
    <row r="116" spans="1:16" s="5" customFormat="1" ht="27" customHeight="1">
      <c r="A116" s="4"/>
      <c r="B116" s="798"/>
      <c r="C116" s="843"/>
      <c r="D116" s="144"/>
      <c r="E116" s="126"/>
      <c r="F116" s="146" t="s">
        <v>275</v>
      </c>
      <c r="G116" s="3" t="s">
        <v>2443</v>
      </c>
      <c r="H116" s="123"/>
      <c r="I116" s="123"/>
      <c r="J116" s="21" t="str" cm="1">
        <f t="array" ref="J116">IF(ISBLANK(I116), IF(ISBLANK(H116), "N/A", _xlfn.IFS(K116="AS", H116+15, K116="NCR", H116+30, K116="submitted", H116+30, TRUE, "N/A")), _xlfn.IFS(K116="AS", I116+15, K116="NCR", I116+30, K116="submitted", I116+30, TRUE, "N/A"))</f>
        <v>N/A</v>
      </c>
      <c r="K116" s="18"/>
      <c r="L116" s="318"/>
      <c r="M116" s="772"/>
      <c r="N116" s="773"/>
      <c r="O116" s="773"/>
      <c r="P116" s="774"/>
    </row>
    <row r="117" spans="1:16" s="5" customFormat="1" ht="53.25">
      <c r="A117" s="4"/>
      <c r="B117" s="798"/>
      <c r="C117" s="843"/>
      <c r="D117" s="144"/>
      <c r="E117" s="126"/>
      <c r="F117" s="146" t="s">
        <v>321</v>
      </c>
      <c r="G117" s="3" t="s">
        <v>2444</v>
      </c>
      <c r="H117" s="123"/>
      <c r="I117" s="123"/>
      <c r="J117" s="21" t="str" cm="1">
        <f t="array" ref="J117">IF(ISBLANK(I117), IF(ISBLANK(H117), "N/A", _xlfn.IFS(K117="AS", H117+15, K117="NCR", H117+30, K117="submitted", H117+30, TRUE, "N/A")), _xlfn.IFS(K117="AS", I117+15, K117="NCR", I117+30, K117="submitted", I117+30, TRUE, "N/A"))</f>
        <v>N/A</v>
      </c>
      <c r="K117" s="18"/>
      <c r="L117" s="318"/>
      <c r="M117" s="772"/>
      <c r="N117" s="773"/>
      <c r="O117" s="773"/>
      <c r="P117" s="774"/>
    </row>
    <row r="118" spans="1:16" s="5" customFormat="1" ht="40.5" customHeight="1">
      <c r="A118" s="4"/>
      <c r="B118" s="795"/>
      <c r="C118" s="844"/>
      <c r="D118" s="144"/>
      <c r="E118" s="126"/>
      <c r="F118" s="146" t="s">
        <v>592</v>
      </c>
      <c r="G118" s="3" t="s">
        <v>2445</v>
      </c>
      <c r="H118" s="123"/>
      <c r="I118" s="123"/>
      <c r="J118" s="21" t="str" cm="1">
        <f t="array" ref="J118">IF(ISBLANK(I118), IF(ISBLANK(H118), "N/A", _xlfn.IFS(K118="AS", H118+15, K118="NCR", H118+30, K118="submitted", H118+30, TRUE, "N/A")), _xlfn.IFS(K118="AS", I118+15, K118="NCR", I118+30, K118="submitted", I118+30, TRUE, "N/A"))</f>
        <v>N/A</v>
      </c>
      <c r="K118" s="18"/>
      <c r="L118" s="318"/>
      <c r="M118" s="772"/>
      <c r="N118" s="773"/>
      <c r="O118" s="773"/>
      <c r="P118" s="774"/>
    </row>
    <row r="119" spans="1:16" s="1" customFormat="1" ht="53.25">
      <c r="A119" s="9"/>
      <c r="B119" s="790" t="s">
        <v>2450</v>
      </c>
      <c r="C119" s="891" t="s">
        <v>2451</v>
      </c>
      <c r="D119" s="143"/>
      <c r="E119" s="140"/>
      <c r="F119" s="141" t="s">
        <v>205</v>
      </c>
      <c r="G119" s="7" t="s">
        <v>2395</v>
      </c>
      <c r="H119" s="123"/>
      <c r="I119" s="123"/>
      <c r="J119" s="21" t="str" cm="1">
        <f t="array" ref="J119">IF(ISBLANK(I119), IF(ISBLANK(H119), "N/A", _xlfn.IFS(K119="AS", H119+15, K119="NCR", H119+30, K119="submitted", H119+30, TRUE, "N/A")), _xlfn.IFS(K119="AS", I119+15, K119="NCR", I119+30, K119="submitted", I119+30, TRUE, "N/A"))</f>
        <v>N/A</v>
      </c>
      <c r="K119" s="14"/>
      <c r="L119" s="318"/>
      <c r="M119" s="772"/>
      <c r="N119" s="773"/>
      <c r="O119" s="773"/>
      <c r="P119" s="774"/>
    </row>
    <row r="120" spans="1:16" s="1" customFormat="1" ht="27" customHeight="1">
      <c r="A120" s="9"/>
      <c r="B120" s="777"/>
      <c r="C120" s="893"/>
      <c r="D120" s="143"/>
      <c r="E120" s="140"/>
      <c r="F120" s="141" t="s">
        <v>275</v>
      </c>
      <c r="G120" s="7" t="s">
        <v>2437</v>
      </c>
      <c r="H120" s="123"/>
      <c r="I120" s="123"/>
      <c r="J120" s="21" t="str" cm="1">
        <f t="array" ref="J120">IF(ISBLANK(I120), IF(ISBLANK(H120), "N/A", _xlfn.IFS(K120="AS", H120+15, K120="NCR", H120+30, K120="submitted", H120+30, TRUE, "N/A")), _xlfn.IFS(K120="AS", I120+15, K120="NCR", I120+30, K120="submitted", I120+30, TRUE, "N/A"))</f>
        <v>N/A</v>
      </c>
      <c r="K120" s="14"/>
      <c r="L120" s="318"/>
      <c r="M120" s="766" t="s">
        <v>132</v>
      </c>
      <c r="N120" s="767"/>
      <c r="O120" s="767"/>
      <c r="P120" s="768"/>
    </row>
    <row r="121" spans="1:16" s="5" customFormat="1" ht="53.25">
      <c r="A121" s="4"/>
      <c r="B121" s="888" t="s">
        <v>2452</v>
      </c>
      <c r="C121" s="895" t="s">
        <v>2453</v>
      </c>
      <c r="D121" s="158"/>
      <c r="E121" s="126"/>
      <c r="F121" s="146" t="s">
        <v>205</v>
      </c>
      <c r="G121" s="3" t="s">
        <v>2442</v>
      </c>
      <c r="H121" s="123"/>
      <c r="I121" s="123"/>
      <c r="J121" s="21" t="str" cm="1">
        <f t="array" ref="J121">IF(ISBLANK(I121), IF(ISBLANK(H121), "N/A", _xlfn.IFS(K121="AS", H121+15, K121="NCR", H121+30, K121="submitted", H121+30, TRUE, "N/A")), _xlfn.IFS(K121="AS", I121+15, K121="NCR", I121+30, K121="submitted", I121+30, TRUE, "N/A"))</f>
        <v>N/A</v>
      </c>
      <c r="K121" s="18"/>
      <c r="L121" s="318"/>
      <c r="M121" s="769"/>
      <c r="N121" s="770"/>
      <c r="O121" s="770"/>
      <c r="P121" s="771"/>
    </row>
    <row r="122" spans="1:16" s="5" customFormat="1" ht="27" customHeight="1">
      <c r="A122" s="4"/>
      <c r="B122" s="798"/>
      <c r="C122" s="843"/>
      <c r="D122" s="144"/>
      <c r="E122" s="126"/>
      <c r="F122" s="146" t="s">
        <v>275</v>
      </c>
      <c r="G122" s="3" t="s">
        <v>2396</v>
      </c>
      <c r="H122" s="123"/>
      <c r="I122" s="123"/>
      <c r="J122" s="21" t="str" cm="1">
        <f t="array" ref="J122">IF(ISBLANK(I122), IF(ISBLANK(H122), "N/A", _xlfn.IFS(K122="AS", H122+15, K122="NCR", H122+30, K122="submitted", H122+30, TRUE, "N/A")), _xlfn.IFS(K122="AS", I122+15, K122="NCR", I122+30, K122="submitted", I122+30, TRUE, "N/A"))</f>
        <v>N/A</v>
      </c>
      <c r="K122" s="18"/>
      <c r="L122" s="318"/>
      <c r="M122" s="769"/>
      <c r="N122" s="770"/>
      <c r="O122" s="770"/>
      <c r="P122" s="771"/>
    </row>
    <row r="123" spans="1:16" s="5" customFormat="1" ht="53.25">
      <c r="A123" s="4"/>
      <c r="B123" s="798"/>
      <c r="C123" s="843"/>
      <c r="D123" s="144"/>
      <c r="E123" s="126"/>
      <c r="F123" s="146" t="s">
        <v>321</v>
      </c>
      <c r="G123" s="3" t="s">
        <v>2454</v>
      </c>
      <c r="H123" s="123"/>
      <c r="I123" s="123"/>
      <c r="J123" s="21" t="str" cm="1">
        <f t="array" ref="J123">IF(ISBLANK(I123), IF(ISBLANK(H123), "N/A", _xlfn.IFS(K123="AS", H123+15, K123="NCR", H123+30, K123="submitted", H123+30, TRUE, "N/A")), _xlfn.IFS(K123="AS", I123+15, K123="NCR", I123+30, K123="submitted", I123+30, TRUE, "N/A"))</f>
        <v>N/A</v>
      </c>
      <c r="K123" s="18"/>
      <c r="L123" s="318"/>
      <c r="M123" s="769"/>
      <c r="N123" s="770"/>
      <c r="O123" s="770"/>
      <c r="P123" s="771"/>
    </row>
    <row r="124" spans="1:16" s="5" customFormat="1" ht="40.5" customHeight="1">
      <c r="A124" s="4"/>
      <c r="B124" s="795"/>
      <c r="C124" s="844"/>
      <c r="D124" s="144"/>
      <c r="E124" s="126"/>
      <c r="F124" s="146" t="s">
        <v>592</v>
      </c>
      <c r="G124" s="3" t="s">
        <v>2455</v>
      </c>
      <c r="H124" s="123"/>
      <c r="I124" s="123"/>
      <c r="J124" s="21" t="str" cm="1">
        <f t="array" ref="J124">IF(ISBLANK(I124), IF(ISBLANK(H124), "N/A", _xlfn.IFS(K124="AS", H124+15, K124="NCR", H124+30, K124="submitted", H124+30, TRUE, "N/A")), _xlfn.IFS(K124="AS", I124+15, K124="NCR", I124+30, K124="submitted", I124+30, TRUE, "N/A"))</f>
        <v>N/A</v>
      </c>
      <c r="K124" s="18"/>
      <c r="L124" s="318"/>
      <c r="M124" s="769"/>
      <c r="N124" s="770"/>
      <c r="O124" s="770"/>
      <c r="P124" s="771"/>
    </row>
    <row r="125" spans="1:16" s="1" customFormat="1" ht="53.25">
      <c r="A125" s="9"/>
      <c r="B125" s="790" t="s">
        <v>2456</v>
      </c>
      <c r="C125" s="898" t="s">
        <v>2457</v>
      </c>
      <c r="D125" s="160"/>
      <c r="E125" s="140"/>
      <c r="F125" s="141" t="s">
        <v>210</v>
      </c>
      <c r="G125" s="7" t="s">
        <v>2458</v>
      </c>
      <c r="H125" s="123"/>
      <c r="I125" s="123"/>
      <c r="J125" s="21" t="str" cm="1">
        <f t="array" ref="J125">IF(ISBLANK(I125), IF(ISBLANK(H125), "N/A", _xlfn.IFS(K125="AS", H125+15, K125="NCR", H125+30, K125="submitted", H125+30, TRUE, "N/A")), _xlfn.IFS(K125="AS", I125+15, K125="NCR", I125+30, K125="submitted", I125+30, TRUE, "N/A"))</f>
        <v>N/A</v>
      </c>
      <c r="K125" s="14"/>
      <c r="L125" s="318"/>
      <c r="M125" s="769"/>
      <c r="N125" s="770"/>
      <c r="O125" s="770"/>
      <c r="P125" s="771"/>
    </row>
    <row r="126" spans="1:16" s="1" customFormat="1" ht="40.5" customHeight="1">
      <c r="A126" s="9"/>
      <c r="B126" s="791"/>
      <c r="C126" s="899"/>
      <c r="D126" s="160"/>
      <c r="E126" s="140"/>
      <c r="F126" s="141" t="s">
        <v>228</v>
      </c>
      <c r="G126" s="7" t="s">
        <v>2459</v>
      </c>
      <c r="H126" s="123"/>
      <c r="I126" s="123"/>
      <c r="J126" s="21" t="str" cm="1">
        <f t="array" ref="J126">IF(ISBLANK(I126), IF(ISBLANK(H126), "N/A", _xlfn.IFS(K126="AS", H126+15, K126="NCR", H126+30, K126="submitted", H126+30, TRUE, "N/A")), _xlfn.IFS(K126="AS", I126+15, K126="NCR", I126+30, K126="submitted", I126+30, TRUE, "N/A"))</f>
        <v>N/A</v>
      </c>
      <c r="K126" s="14"/>
      <c r="L126" s="318"/>
      <c r="M126" s="769"/>
      <c r="N126" s="770"/>
      <c r="O126" s="770"/>
      <c r="P126" s="771"/>
    </row>
    <row r="127" spans="1:16" s="1" customFormat="1" ht="40.5" customHeight="1">
      <c r="A127" s="9"/>
      <c r="B127" s="791"/>
      <c r="C127" s="899"/>
      <c r="D127" s="160"/>
      <c r="E127" s="140"/>
      <c r="F127" s="141" t="s">
        <v>230</v>
      </c>
      <c r="G127" s="7" t="s">
        <v>2460</v>
      </c>
      <c r="H127" s="123"/>
      <c r="I127" s="123"/>
      <c r="J127" s="21" t="str" cm="1">
        <f t="array" ref="J127">IF(ISBLANK(I127), IF(ISBLANK(H127), "N/A", _xlfn.IFS(K127="AS", H127+15, K127="NCR", H127+30, K127="submitted", H127+30, TRUE, "N/A")), _xlfn.IFS(K127="AS", I127+15, K127="NCR", I127+30, K127="submitted", I127+30, TRUE, "N/A"))</f>
        <v>N/A</v>
      </c>
      <c r="K127" s="14"/>
      <c r="L127" s="318"/>
      <c r="M127" s="769"/>
      <c r="N127" s="770"/>
      <c r="O127" s="770"/>
      <c r="P127" s="771"/>
    </row>
    <row r="128" spans="1:16" s="1" customFormat="1" ht="40.5" customHeight="1">
      <c r="A128" s="9"/>
      <c r="B128" s="791"/>
      <c r="C128" s="899"/>
      <c r="D128" s="160"/>
      <c r="E128" s="140"/>
      <c r="F128" s="141" t="s">
        <v>232</v>
      </c>
      <c r="G128" s="7" t="s">
        <v>2461</v>
      </c>
      <c r="H128" s="123"/>
      <c r="I128" s="123"/>
      <c r="J128" s="21" t="str" cm="1">
        <f t="array" ref="J128">IF(ISBLANK(I128), IF(ISBLANK(H128), "N/A", _xlfn.IFS(K128="AS", H128+15, K128="NCR", H128+30, K128="submitted", H128+30, TRUE, "N/A")), _xlfn.IFS(K128="AS", I128+15, K128="NCR", I128+30, K128="submitted", I128+30, TRUE, "N/A"))</f>
        <v>N/A</v>
      </c>
      <c r="K128" s="14"/>
      <c r="L128" s="318"/>
      <c r="M128" s="772" t="s">
        <v>147</v>
      </c>
      <c r="N128" s="773"/>
      <c r="O128" s="773"/>
      <c r="P128" s="774"/>
    </row>
    <row r="129" spans="1:16" s="1" customFormat="1" ht="53.25">
      <c r="A129" s="9"/>
      <c r="B129" s="791"/>
      <c r="C129" s="899"/>
      <c r="D129" s="160"/>
      <c r="E129" s="140"/>
      <c r="F129" s="141" t="s">
        <v>1132</v>
      </c>
      <c r="G129" s="7" t="s">
        <v>2462</v>
      </c>
      <c r="H129" s="123"/>
      <c r="I129" s="123"/>
      <c r="J129" s="21" t="str" cm="1">
        <f t="array" ref="J129">IF(ISBLANK(I129), IF(ISBLANK(H129), "N/A", _xlfn.IFS(K129="AS", H129+15, K129="NCR", H129+30, K129="submitted", H129+30, TRUE, "N/A")), _xlfn.IFS(K129="AS", I129+15, K129="NCR", I129+30, K129="submitted", I129+30, TRUE, "N/A"))</f>
        <v>N/A</v>
      </c>
      <c r="K129" s="14"/>
      <c r="L129" s="318"/>
      <c r="M129" s="772"/>
      <c r="N129" s="773"/>
      <c r="O129" s="773"/>
      <c r="P129" s="774"/>
    </row>
    <row r="130" spans="1:16" s="1" customFormat="1" ht="67.5">
      <c r="A130" s="9"/>
      <c r="B130" s="777"/>
      <c r="C130" s="900"/>
      <c r="D130" s="160"/>
      <c r="E130" s="140"/>
      <c r="F130" s="141" t="s">
        <v>1134</v>
      </c>
      <c r="G130" s="7" t="s">
        <v>2463</v>
      </c>
      <c r="H130" s="123"/>
      <c r="I130" s="123"/>
      <c r="J130" s="21" t="str" cm="1">
        <f t="array" ref="J130">IF(ISBLANK(I130), IF(ISBLANK(H130), "N/A", _xlfn.IFS(K130="AS", H130+15, K130="NCR", H130+30, K130="submitted", H130+30, TRUE, "N/A")), _xlfn.IFS(K130="AS", I130+15, K130="NCR", I130+30, K130="submitted", I130+30, TRUE, "N/A"))</f>
        <v>N/A</v>
      </c>
      <c r="K130" s="14"/>
      <c r="L130" s="318"/>
      <c r="M130" s="772"/>
      <c r="N130" s="773"/>
      <c r="O130" s="773"/>
      <c r="P130" s="774"/>
    </row>
    <row r="131" spans="1:16" s="5" customFormat="1" ht="53.25">
      <c r="A131" s="4"/>
      <c r="B131" s="794" t="s">
        <v>2464</v>
      </c>
      <c r="C131" s="895" t="s">
        <v>2465</v>
      </c>
      <c r="D131" s="158"/>
      <c r="E131" s="126"/>
      <c r="F131" s="146" t="s">
        <v>747</v>
      </c>
      <c r="G131" s="3" t="s">
        <v>2395</v>
      </c>
      <c r="H131" s="123"/>
      <c r="I131" s="123"/>
      <c r="J131" s="21" t="str" cm="1">
        <f t="array" ref="J131">IF(ISBLANK(I131), IF(ISBLANK(H131), "N/A", _xlfn.IFS(K131="AS", H131+15, K131="NCR", H131+30, K131="submitted", H131+30, TRUE, "N/A")), _xlfn.IFS(K131="AS", I131+15, K131="NCR", I131+30, K131="submitted", I131+30, TRUE, "N/A"))</f>
        <v>N/A</v>
      </c>
      <c r="K131" s="18"/>
      <c r="L131" s="318"/>
      <c r="M131" s="772"/>
      <c r="N131" s="773"/>
      <c r="O131" s="773"/>
      <c r="P131" s="774"/>
    </row>
    <row r="132" spans="1:16" s="5" customFormat="1" ht="15" customHeight="1">
      <c r="A132" s="4"/>
      <c r="B132" s="798"/>
      <c r="C132" s="896"/>
      <c r="D132" s="158"/>
      <c r="E132" s="126"/>
      <c r="F132" s="146" t="s">
        <v>475</v>
      </c>
      <c r="G132" s="17" t="s">
        <v>229</v>
      </c>
      <c r="H132" s="123"/>
      <c r="I132" s="123"/>
      <c r="J132" s="21" t="str" cm="1">
        <f t="array" ref="J132">IF(ISBLANK(I132), IF(ISBLANK(H132), "N/A", _xlfn.IFS(K132="AS", H132+15, K132="NCR", H132+30, K132="submitted", H132+30, TRUE, "N/A")), _xlfn.IFS(K132="AS", I132+15, K132="NCR", I132+30, K132="submitted", I132+30, TRUE, "N/A"))</f>
        <v>N/A</v>
      </c>
      <c r="K132" s="18"/>
      <c r="L132" s="318"/>
      <c r="M132" s="772"/>
      <c r="N132" s="773"/>
      <c r="O132" s="773"/>
      <c r="P132" s="774"/>
    </row>
    <row r="133" spans="1:16" s="5" customFormat="1" ht="15" customHeight="1">
      <c r="A133" s="4"/>
      <c r="B133" s="798"/>
      <c r="C133" s="896"/>
      <c r="D133" s="158"/>
      <c r="E133" s="126"/>
      <c r="F133" s="146" t="s">
        <v>477</v>
      </c>
      <c r="G133" s="17" t="s">
        <v>276</v>
      </c>
      <c r="H133" s="123"/>
      <c r="I133" s="123"/>
      <c r="J133" s="21" t="str" cm="1">
        <f t="array" ref="J133">IF(ISBLANK(I133), IF(ISBLANK(H133), "N/A", _xlfn.IFS(K133="AS", H133+15, K133="NCR", H133+30, K133="submitted", H133+30, TRUE, "N/A")), _xlfn.IFS(K133="AS", I133+15, K133="NCR", I133+30, K133="submitted", I133+30, TRUE, "N/A"))</f>
        <v>N/A</v>
      </c>
      <c r="K133" s="18"/>
      <c r="L133" s="319"/>
      <c r="M133" s="772"/>
      <c r="N133" s="773"/>
      <c r="O133" s="773"/>
      <c r="P133" s="774"/>
    </row>
    <row r="134" spans="1:16" s="5" customFormat="1" ht="15" customHeight="1">
      <c r="A134" s="4"/>
      <c r="B134" s="798"/>
      <c r="C134" s="896"/>
      <c r="D134" s="158"/>
      <c r="E134" s="126"/>
      <c r="F134" s="146" t="s">
        <v>478</v>
      </c>
      <c r="G134" s="17" t="s">
        <v>345</v>
      </c>
      <c r="H134" s="123"/>
      <c r="I134" s="123"/>
      <c r="J134" s="21" t="str" cm="1">
        <f t="array" ref="J134">IF(ISBLANK(I134), IF(ISBLANK(H134), "N/A", _xlfn.IFS(K134="AS", H134+15, K134="NCR", H134+30, K134="submitted", H134+30, TRUE, "N/A")), _xlfn.IFS(K134="AS", I134+15, K134="NCR", I134+30, K134="submitted", I134+30, TRUE, "N/A"))</f>
        <v>N/A</v>
      </c>
      <c r="K134" s="18"/>
      <c r="L134" s="318"/>
      <c r="M134" s="772"/>
      <c r="N134" s="773"/>
      <c r="O134" s="773"/>
      <c r="P134" s="774"/>
    </row>
    <row r="135" spans="1:16" s="5" customFormat="1" ht="27" customHeight="1">
      <c r="A135" s="4"/>
      <c r="B135" s="798"/>
      <c r="C135" s="896"/>
      <c r="D135" s="158"/>
      <c r="E135" s="126"/>
      <c r="F135" s="146" t="s">
        <v>479</v>
      </c>
      <c r="G135" s="3" t="s">
        <v>2466</v>
      </c>
      <c r="H135" s="123"/>
      <c r="I135" s="123"/>
      <c r="J135" s="21" t="str" cm="1">
        <f t="array" ref="J135">IF(ISBLANK(I135), IF(ISBLANK(H135), "N/A", _xlfn.IFS(K135="AS", H135+15, K135="NCR", H135+30, K135="submitted", H135+30, TRUE, "N/A")), _xlfn.IFS(K135="AS", I135+15, K135="NCR", I135+30, K135="submitted", I135+30, TRUE, "N/A"))</f>
        <v>N/A</v>
      </c>
      <c r="K135" s="18"/>
      <c r="L135" s="318"/>
      <c r="M135" s="772"/>
      <c r="N135" s="773"/>
      <c r="O135" s="773"/>
      <c r="P135" s="774"/>
    </row>
    <row r="136" spans="1:16" s="5" customFormat="1" ht="15" customHeight="1">
      <c r="A136" s="4"/>
      <c r="B136" s="798"/>
      <c r="C136" s="896"/>
      <c r="D136" s="158"/>
      <c r="E136" s="126"/>
      <c r="F136" s="146" t="s">
        <v>489</v>
      </c>
      <c r="G136" s="17" t="s">
        <v>2467</v>
      </c>
      <c r="H136" s="123"/>
      <c r="I136" s="123"/>
      <c r="J136" s="21" t="str" cm="1">
        <f t="array" ref="J136">IF(ISBLANK(I136), IF(ISBLANK(H136), "N/A", _xlfn.IFS(K136="AS", H136+15, K136="NCR", H136+30, K136="submitted", H136+30, TRUE, "N/A")), _xlfn.IFS(K136="AS", I136+15, K136="NCR", I136+30, K136="submitted", I136+30, TRUE, "N/A"))</f>
        <v>N/A</v>
      </c>
      <c r="K136" s="18"/>
      <c r="L136" s="318"/>
      <c r="M136" s="772"/>
      <c r="N136" s="773"/>
      <c r="O136" s="773"/>
      <c r="P136" s="774"/>
    </row>
    <row r="137" spans="1:16" s="5" customFormat="1" ht="15" customHeight="1">
      <c r="A137" s="4"/>
      <c r="B137" s="795"/>
      <c r="C137" s="897"/>
      <c r="D137" s="158"/>
      <c r="E137" s="126"/>
      <c r="F137" s="146" t="s">
        <v>481</v>
      </c>
      <c r="G137" s="17" t="s">
        <v>372</v>
      </c>
      <c r="H137" s="123"/>
      <c r="I137" s="123"/>
      <c r="J137" s="21" t="str" cm="1">
        <f t="array" ref="J137">IF(ISBLANK(I137), IF(ISBLANK(H137), "N/A", _xlfn.IFS(K137="AS", H137+15, K137="NCR", H137+30, K137="submitted", H137+30, TRUE, "N/A")), _xlfn.IFS(K137="AS", I137+15, K137="NCR", I137+30, K137="submitted", I137+30, TRUE, "N/A"))</f>
        <v>N/A</v>
      </c>
      <c r="K137" s="18"/>
      <c r="L137" s="318"/>
      <c r="M137" s="772"/>
      <c r="N137" s="773"/>
      <c r="O137" s="773"/>
      <c r="P137" s="774"/>
    </row>
    <row r="138" spans="1:16" s="1" customFormat="1" ht="67.5">
      <c r="A138" s="9"/>
      <c r="B138" s="790" t="s">
        <v>2468</v>
      </c>
      <c r="C138" s="891" t="s">
        <v>2469</v>
      </c>
      <c r="D138" s="143"/>
      <c r="E138" s="140"/>
      <c r="F138" s="141" t="s">
        <v>210</v>
      </c>
      <c r="G138" s="7" t="s">
        <v>2470</v>
      </c>
      <c r="H138" s="123"/>
      <c r="I138" s="123"/>
      <c r="J138" s="21" t="str" cm="1">
        <f t="array" ref="J138">IF(ISBLANK(I138), IF(ISBLANK(H138), "N/A", _xlfn.IFS(K138="AS", H138+15, K138="NCR", H138+30, K138="submitted", H138+30, TRUE, "N/A")), _xlfn.IFS(K138="AS", I138+15, K138="NCR", I138+30, K138="submitted", I138+30, TRUE, "N/A"))</f>
        <v>N/A</v>
      </c>
      <c r="K138" s="14"/>
      <c r="L138" s="318"/>
      <c r="M138" s="772"/>
      <c r="N138" s="773"/>
      <c r="O138" s="773"/>
      <c r="P138" s="774"/>
    </row>
    <row r="139" spans="1:16" s="1" customFormat="1" ht="15" customHeight="1">
      <c r="A139" s="9"/>
      <c r="B139" s="791"/>
      <c r="C139" s="892"/>
      <c r="D139" s="143"/>
      <c r="E139" s="140"/>
      <c r="F139" s="141" t="s">
        <v>328</v>
      </c>
      <c r="G139" s="13" t="s">
        <v>276</v>
      </c>
      <c r="H139" s="123"/>
      <c r="I139" s="123"/>
      <c r="J139" s="21" t="str" cm="1">
        <f t="array" ref="J139">IF(ISBLANK(I139), IF(ISBLANK(H139), "N/A", _xlfn.IFS(K139="AS", H139+15, K139="NCR", H139+30, K139="submitted", H139+30, TRUE, "N/A")), _xlfn.IFS(K139="AS", I139+15, K139="NCR", I139+30, K139="submitted", I139+30, TRUE, "N/A"))</f>
        <v>N/A</v>
      </c>
      <c r="K139" s="14"/>
      <c r="L139" s="318"/>
      <c r="M139" s="772"/>
      <c r="N139" s="773"/>
      <c r="O139" s="773"/>
      <c r="P139" s="774"/>
    </row>
    <row r="140" spans="1:16" s="1" customFormat="1" ht="40.5" customHeight="1">
      <c r="A140" s="9"/>
      <c r="B140" s="791"/>
      <c r="C140" s="892"/>
      <c r="D140" s="143"/>
      <c r="E140" s="140"/>
      <c r="F140" s="141" t="s">
        <v>329</v>
      </c>
      <c r="G140" s="7" t="s">
        <v>2471</v>
      </c>
      <c r="H140" s="123"/>
      <c r="I140" s="123"/>
      <c r="J140" s="21" t="str" cm="1">
        <f t="array" ref="J140">IF(ISBLANK(I140), IF(ISBLANK(H140), "N/A", _xlfn.IFS(K140="AS", H140+15, K140="NCR", H140+30, K140="submitted", H140+30, TRUE, "N/A")), _xlfn.IFS(K140="AS", I140+15, K140="NCR", I140+30, K140="submitted", I140+30, TRUE, "N/A"))</f>
        <v>N/A</v>
      </c>
      <c r="K140" s="14"/>
      <c r="L140" s="318"/>
      <c r="M140" s="772"/>
      <c r="N140" s="773"/>
      <c r="O140" s="773"/>
      <c r="P140" s="774"/>
    </row>
    <row r="141" spans="1:16" s="1" customFormat="1" ht="15" customHeight="1">
      <c r="A141" s="9"/>
      <c r="B141" s="791"/>
      <c r="C141" s="892"/>
      <c r="D141" s="143"/>
      <c r="E141" s="140"/>
      <c r="F141" s="141" t="s">
        <v>396</v>
      </c>
      <c r="G141" s="13" t="s">
        <v>345</v>
      </c>
      <c r="H141" s="123"/>
      <c r="I141" s="123"/>
      <c r="J141" s="21" t="str" cm="1">
        <f t="array" ref="J141">IF(ISBLANK(I141), IF(ISBLANK(H141), "N/A", _xlfn.IFS(K141="AS", H141+15, K141="NCR", H141+30, K141="submitted", H141+30, TRUE, "N/A")), _xlfn.IFS(K141="AS", I141+15, K141="NCR", I141+30, K141="submitted", I141+30, TRUE, "N/A"))</f>
        <v>N/A</v>
      </c>
      <c r="K141" s="14"/>
      <c r="L141" s="318"/>
      <c r="M141" s="772"/>
      <c r="N141" s="773"/>
      <c r="O141" s="773"/>
      <c r="P141" s="774"/>
    </row>
    <row r="142" spans="1:16" s="1" customFormat="1" ht="15" customHeight="1">
      <c r="A142" s="9"/>
      <c r="B142" s="791"/>
      <c r="C142" s="892"/>
      <c r="D142" s="143"/>
      <c r="E142" s="140"/>
      <c r="F142" s="141" t="s">
        <v>397</v>
      </c>
      <c r="G142" s="13" t="s">
        <v>2472</v>
      </c>
      <c r="H142" s="123"/>
      <c r="I142" s="123"/>
      <c r="J142" s="21" t="str" cm="1">
        <f t="array" ref="J142">IF(ISBLANK(I142), IF(ISBLANK(H142), "N/A", _xlfn.IFS(K142="AS", H142+15, K142="NCR", H142+30, K142="submitted", H142+30, TRUE, "N/A")), _xlfn.IFS(K142="AS", I142+15, K142="NCR", I142+30, K142="submitted", I142+30, TRUE, "N/A"))</f>
        <v>N/A</v>
      </c>
      <c r="K142" s="14"/>
      <c r="L142" s="318"/>
      <c r="M142" s="772"/>
      <c r="N142" s="773"/>
      <c r="O142" s="773"/>
      <c r="P142" s="774"/>
    </row>
    <row r="143" spans="1:16" s="1" customFormat="1" ht="15" customHeight="1">
      <c r="A143" s="9"/>
      <c r="B143" s="791"/>
      <c r="C143" s="892"/>
      <c r="D143" s="143"/>
      <c r="E143" s="140"/>
      <c r="F143" s="141" t="s">
        <v>398</v>
      </c>
      <c r="G143" s="13" t="s">
        <v>2473</v>
      </c>
      <c r="H143" s="123"/>
      <c r="I143" s="123"/>
      <c r="J143" s="21" t="str" cm="1">
        <f t="array" ref="J143">IF(ISBLANK(I143), IF(ISBLANK(H143), "N/A", _xlfn.IFS(K143="AS", H143+15, K143="NCR", H143+30, K143="submitted", H143+30, TRUE, "N/A")), _xlfn.IFS(K143="AS", I143+15, K143="NCR", I143+30, K143="submitted", I143+30, TRUE, "N/A"))</f>
        <v>N/A</v>
      </c>
      <c r="K143" s="14"/>
      <c r="L143" s="318"/>
      <c r="M143" s="772"/>
      <c r="N143" s="773"/>
      <c r="O143" s="773"/>
      <c r="P143" s="774"/>
    </row>
    <row r="144" spans="1:16" s="1" customFormat="1" ht="53.25">
      <c r="A144" s="9"/>
      <c r="B144" s="791"/>
      <c r="C144" s="892"/>
      <c r="D144" s="143"/>
      <c r="E144" s="140"/>
      <c r="F144" s="141" t="s">
        <v>735</v>
      </c>
      <c r="G144" s="7" t="s">
        <v>2474</v>
      </c>
      <c r="H144" s="123"/>
      <c r="I144" s="123"/>
      <c r="J144" s="21" t="str" cm="1">
        <f t="array" ref="J144">IF(ISBLANK(I144), IF(ISBLANK(H144), "N/A", _xlfn.IFS(K144="AS", H144+15, K144="NCR", H144+30, K144="submitted", H144+30, TRUE, "N/A")), _xlfn.IFS(K144="AS", I144+15, K144="NCR", I144+30, K144="submitted", I144+30, TRUE, "N/A"))</f>
        <v>N/A</v>
      </c>
      <c r="K144" s="14"/>
      <c r="L144" s="318"/>
      <c r="M144" s="772"/>
      <c r="N144" s="773"/>
      <c r="O144" s="773"/>
      <c r="P144" s="774"/>
    </row>
    <row r="145" spans="1:16" s="1" customFormat="1" ht="15" customHeight="1">
      <c r="A145" s="9"/>
      <c r="B145" s="777"/>
      <c r="C145" s="893"/>
      <c r="D145" s="143"/>
      <c r="E145" s="140"/>
      <c r="F145" s="141" t="s">
        <v>433</v>
      </c>
      <c r="G145" s="13" t="s">
        <v>2105</v>
      </c>
      <c r="H145" s="123"/>
      <c r="I145" s="123"/>
      <c r="J145" s="21" t="str" cm="1">
        <f t="array" ref="J145">IF(ISBLANK(I145), IF(ISBLANK(H145), "N/A", _xlfn.IFS(K145="AS", H145+15, K145="NCR", H145+30, K145="submitted", H145+30, TRUE, "N/A")), _xlfn.IFS(K145="AS", I145+15, K145="NCR", I145+30, K145="submitted", I145+30, TRUE, "N/A"))</f>
        <v>N/A</v>
      </c>
      <c r="K145" s="14"/>
      <c r="L145" s="318"/>
      <c r="M145" s="772"/>
      <c r="N145" s="773"/>
      <c r="O145" s="773"/>
      <c r="P145" s="774"/>
    </row>
    <row r="146" spans="1:16" s="5" customFormat="1" ht="53.25">
      <c r="A146" s="4"/>
      <c r="B146" s="794" t="s">
        <v>2475</v>
      </c>
      <c r="C146" s="842" t="s">
        <v>2476</v>
      </c>
      <c r="D146" s="144"/>
      <c r="E146" s="126"/>
      <c r="F146" s="146" t="s">
        <v>747</v>
      </c>
      <c r="G146" s="3" t="s">
        <v>2395</v>
      </c>
      <c r="H146" s="123"/>
      <c r="I146" s="123"/>
      <c r="J146" s="21" t="str" cm="1">
        <f t="array" ref="J146">IF(ISBLANK(I146), IF(ISBLANK(H146), "N/A", _xlfn.IFS(K146="AS", H146+15, K146="NCR", H146+30, K146="submitted", H146+30, TRUE, "N/A")), _xlfn.IFS(K146="AS", I146+15, K146="NCR", I146+30, K146="submitted", I146+30, TRUE, "N/A"))</f>
        <v>N/A</v>
      </c>
      <c r="K146" s="18"/>
      <c r="L146" s="318"/>
      <c r="M146" s="772"/>
      <c r="N146" s="773"/>
      <c r="O146" s="773"/>
      <c r="P146" s="774"/>
    </row>
    <row r="147" spans="1:16" s="5" customFormat="1" ht="15" customHeight="1">
      <c r="A147" s="4" t="s">
        <v>2477</v>
      </c>
      <c r="B147" s="798"/>
      <c r="C147" s="843"/>
      <c r="D147" s="144"/>
      <c r="E147" s="126"/>
      <c r="F147" s="146" t="s">
        <v>475</v>
      </c>
      <c r="G147" s="17" t="s">
        <v>229</v>
      </c>
      <c r="H147" s="123"/>
      <c r="I147" s="123"/>
      <c r="J147" s="21" t="str" cm="1">
        <f t="array" ref="J147">IF(ISBLANK(I147), IF(ISBLANK(H147), "N/A", _xlfn.IFS(K147="AS", H147+15, K147="NCR", H147+30, K147="submitted", H147+30, TRUE, "N/A")), _xlfn.IFS(K147="AS", I147+15, K147="NCR", I147+30, K147="submitted", I147+30, TRUE, "N/A"))</f>
        <v>N/A</v>
      </c>
      <c r="K147" s="18"/>
      <c r="L147" s="318"/>
      <c r="M147" s="772"/>
      <c r="N147" s="773"/>
      <c r="O147" s="773"/>
      <c r="P147" s="774"/>
    </row>
    <row r="148" spans="1:16" s="5" customFormat="1" ht="15" customHeight="1">
      <c r="A148" s="4"/>
      <c r="B148" s="798"/>
      <c r="C148" s="843"/>
      <c r="D148" s="144"/>
      <c r="E148" s="126"/>
      <c r="F148" s="146" t="s">
        <v>477</v>
      </c>
      <c r="G148" s="17" t="s">
        <v>345</v>
      </c>
      <c r="H148" s="123"/>
      <c r="I148" s="123"/>
      <c r="J148" s="21" t="str" cm="1">
        <f t="array" ref="J148">IF(ISBLANK(I148), IF(ISBLANK(H148), "N/A", _xlfn.IFS(K148="AS", H148+15, K148="NCR", H148+30, K148="submitted", H148+30, TRUE, "N/A")), _xlfn.IFS(K148="AS", I148+15, K148="NCR", I148+30, K148="submitted", I148+30, TRUE, "N/A"))</f>
        <v>N/A</v>
      </c>
      <c r="K148" s="18"/>
      <c r="L148" s="318"/>
      <c r="M148" s="772"/>
      <c r="N148" s="773"/>
      <c r="O148" s="773"/>
      <c r="P148" s="774"/>
    </row>
    <row r="149" spans="1:16" s="5" customFormat="1" ht="15" customHeight="1">
      <c r="A149" s="4"/>
      <c r="B149" s="798"/>
      <c r="C149" s="843"/>
      <c r="D149" s="144"/>
      <c r="E149" s="126"/>
      <c r="F149" s="146" t="s">
        <v>478</v>
      </c>
      <c r="G149" s="17" t="s">
        <v>229</v>
      </c>
      <c r="H149" s="123"/>
      <c r="I149" s="123"/>
      <c r="J149" s="21" t="str" cm="1">
        <f t="array" ref="J149">IF(ISBLANK(I149), IF(ISBLANK(H149), "N/A", _xlfn.IFS(K149="AS", H149+15, K149="NCR", H149+30, K149="submitted", H149+30, TRUE, "N/A")), _xlfn.IFS(K149="AS", I149+15, K149="NCR", I149+30, K149="submitted", I149+30, TRUE, "N/A"))</f>
        <v>N/A</v>
      </c>
      <c r="K149" s="18"/>
      <c r="L149" s="318"/>
      <c r="M149" s="772"/>
      <c r="N149" s="773"/>
      <c r="O149" s="773"/>
      <c r="P149" s="774"/>
    </row>
    <row r="150" spans="1:16" s="5" customFormat="1" ht="15" customHeight="1">
      <c r="A150" s="4"/>
      <c r="B150" s="798"/>
      <c r="C150" s="843"/>
      <c r="D150" s="144"/>
      <c r="E150" s="126"/>
      <c r="F150" s="146" t="s">
        <v>850</v>
      </c>
      <c r="G150" s="17" t="s">
        <v>2478</v>
      </c>
      <c r="H150" s="123"/>
      <c r="I150" s="123"/>
      <c r="J150" s="21" t="str" cm="1">
        <f t="array" ref="J150">IF(ISBLANK(I150), IF(ISBLANK(H150), "N/A", _xlfn.IFS(K150="AS", H150+15, K150="NCR", H150+30, K150="submitted", H150+30, TRUE, "N/A")), _xlfn.IFS(K150="AS", I150+15, K150="NCR", I150+30, K150="submitted", I150+30, TRUE, "N/A"))</f>
        <v>N/A</v>
      </c>
      <c r="K150" s="18"/>
      <c r="L150" s="318"/>
      <c r="M150" s="772"/>
      <c r="N150" s="773"/>
      <c r="O150" s="773"/>
      <c r="P150" s="774"/>
    </row>
    <row r="151" spans="1:16" s="5" customFormat="1" ht="15" customHeight="1">
      <c r="A151" s="4"/>
      <c r="B151" s="795"/>
      <c r="C151" s="844"/>
      <c r="D151" s="144"/>
      <c r="E151" s="126"/>
      <c r="F151" s="146" t="s">
        <v>489</v>
      </c>
      <c r="G151" s="17" t="s">
        <v>2479</v>
      </c>
      <c r="H151" s="123"/>
      <c r="I151" s="123"/>
      <c r="J151" s="21" t="str" cm="1">
        <f t="array" ref="J151">IF(ISBLANK(I151), IF(ISBLANK(H151), "N/A", _xlfn.IFS(K151="AS", H151+15, K151="NCR", H151+30, K151="submitted", H151+30, TRUE, "N/A")), _xlfn.IFS(K151="AS", I151+15, K151="NCR", I151+30, K151="submitted", I151+30, TRUE, "N/A"))</f>
        <v>N/A</v>
      </c>
      <c r="K151" s="18"/>
      <c r="L151" s="318"/>
      <c r="M151" s="772"/>
      <c r="N151" s="773"/>
      <c r="O151" s="773"/>
      <c r="P151" s="774"/>
    </row>
    <row r="152" spans="1:16" s="1" customFormat="1" ht="53.25">
      <c r="A152" s="9"/>
      <c r="B152" s="790" t="s">
        <v>2480</v>
      </c>
      <c r="C152" s="891" t="s">
        <v>2481</v>
      </c>
      <c r="D152" s="143"/>
      <c r="E152" s="140"/>
      <c r="F152" s="141" t="s">
        <v>747</v>
      </c>
      <c r="G152" s="7" t="s">
        <v>2482</v>
      </c>
      <c r="H152" s="123"/>
      <c r="I152" s="123"/>
      <c r="J152" s="21" t="str" cm="1">
        <f t="array" ref="J152">IF(ISBLANK(I152), IF(ISBLANK(H152), "N/A", _xlfn.IFS(K152="AS", H152+15, K152="NCR", H152+30, K152="submitted", H152+30, TRUE, "N/A")), _xlfn.IFS(K152="AS", I152+15, K152="NCR", I152+30, K152="submitted", I152+30, TRUE, "N/A"))</f>
        <v>N/A</v>
      </c>
      <c r="K152" s="14"/>
      <c r="L152" s="318"/>
      <c r="M152" s="772"/>
      <c r="N152" s="773"/>
      <c r="O152" s="773"/>
      <c r="P152" s="774"/>
    </row>
    <row r="153" spans="1:16" s="1" customFormat="1" ht="15" customHeight="1">
      <c r="A153" s="9"/>
      <c r="B153" s="791"/>
      <c r="C153" s="892"/>
      <c r="D153" s="143"/>
      <c r="E153" s="140"/>
      <c r="F153" s="141" t="s">
        <v>475</v>
      </c>
      <c r="G153" s="13" t="s">
        <v>229</v>
      </c>
      <c r="H153" s="123"/>
      <c r="I153" s="123"/>
      <c r="J153" s="21" t="str" cm="1">
        <f t="array" ref="J153">IF(ISBLANK(I153), IF(ISBLANK(H153), "N/A", _xlfn.IFS(K153="AS", H153+15, K153="NCR", H153+30, K153="submitted", H153+30, TRUE, "N/A")), _xlfn.IFS(K153="AS", I153+15, K153="NCR", I153+30, K153="submitted", I153+30, TRUE, "N/A"))</f>
        <v>N/A</v>
      </c>
      <c r="K153" s="14"/>
      <c r="L153" s="318"/>
      <c r="M153" s="772"/>
      <c r="N153" s="773"/>
      <c r="O153" s="773"/>
      <c r="P153" s="774"/>
    </row>
    <row r="154" spans="1:16" s="1" customFormat="1" ht="15" customHeight="1">
      <c r="A154" s="9"/>
      <c r="B154" s="791"/>
      <c r="C154" s="892"/>
      <c r="D154" s="143"/>
      <c r="E154" s="140"/>
      <c r="F154" s="141" t="s">
        <v>477</v>
      </c>
      <c r="G154" s="13" t="s">
        <v>276</v>
      </c>
      <c r="H154" s="123"/>
      <c r="I154" s="123"/>
      <c r="J154" s="21" t="str" cm="1">
        <f t="array" ref="J154">IF(ISBLANK(I154), IF(ISBLANK(H154), "N/A", _xlfn.IFS(K154="AS", H154+15, K154="NCR", H154+30, K154="submitted", H154+30, TRUE, "N/A")), _xlfn.IFS(K154="AS", I154+15, K154="NCR", I154+30, K154="submitted", I154+30, TRUE, "N/A"))</f>
        <v>N/A</v>
      </c>
      <c r="K154" s="14"/>
      <c r="L154" s="318"/>
      <c r="M154" s="772"/>
      <c r="N154" s="773"/>
      <c r="O154" s="773"/>
      <c r="P154" s="774"/>
    </row>
    <row r="155" spans="1:16" s="1" customFormat="1" ht="15" customHeight="1">
      <c r="A155" s="9"/>
      <c r="B155" s="791"/>
      <c r="C155" s="892"/>
      <c r="D155" s="143"/>
      <c r="E155" s="140"/>
      <c r="F155" s="141" t="s">
        <v>478</v>
      </c>
      <c r="G155" s="13" t="s">
        <v>372</v>
      </c>
      <c r="H155" s="123"/>
      <c r="I155" s="123"/>
      <c r="J155" s="21" t="str" cm="1">
        <f t="array" ref="J155">IF(ISBLANK(I155), IF(ISBLANK(H155), "N/A", _xlfn.IFS(K155="AS", H155+15, K155="NCR", H155+30, K155="submitted", H155+30, TRUE, "N/A")), _xlfn.IFS(K155="AS", I155+15, K155="NCR", I155+30, K155="submitted", I155+30, TRUE, "N/A"))</f>
        <v>N/A</v>
      </c>
      <c r="K155" s="14"/>
      <c r="L155" s="318"/>
      <c r="M155" s="772"/>
      <c r="N155" s="773"/>
      <c r="O155" s="773"/>
      <c r="P155" s="774"/>
    </row>
    <row r="156" spans="1:16" s="1" customFormat="1" ht="15" customHeight="1">
      <c r="A156" s="9"/>
      <c r="B156" s="777"/>
      <c r="C156" s="893"/>
      <c r="D156" s="143"/>
      <c r="E156" s="140"/>
      <c r="F156" s="141" t="s">
        <v>850</v>
      </c>
      <c r="G156" s="13" t="s">
        <v>2102</v>
      </c>
      <c r="H156" s="123"/>
      <c r="I156" s="123"/>
      <c r="J156" s="21" t="str" cm="1">
        <f t="array" ref="J156">IF(ISBLANK(I156), IF(ISBLANK(H156), "N/A", _xlfn.IFS(K156="AS", H156+15, K156="NCR", H156+30, K156="submitted", H156+30, TRUE, "N/A")), _xlfn.IFS(K156="AS", I156+15, K156="NCR", I156+30, K156="submitted", I156+30, TRUE, "N/A"))</f>
        <v>N/A</v>
      </c>
      <c r="K156" s="14"/>
      <c r="L156" s="318"/>
      <c r="M156" s="772"/>
      <c r="N156" s="773"/>
      <c r="O156" s="773"/>
      <c r="P156" s="774"/>
    </row>
    <row r="157" spans="1:16" s="5" customFormat="1" ht="40.5" customHeight="1">
      <c r="A157" s="4"/>
      <c r="B157" s="794" t="s">
        <v>2483</v>
      </c>
      <c r="C157" s="842" t="s">
        <v>2484</v>
      </c>
      <c r="D157" s="144"/>
      <c r="E157" s="126"/>
      <c r="F157" s="146" t="s">
        <v>210</v>
      </c>
      <c r="G157" s="3" t="s">
        <v>2485</v>
      </c>
      <c r="H157" s="123"/>
      <c r="I157" s="123"/>
      <c r="J157" s="21" t="str" cm="1">
        <f t="array" ref="J157">IF(ISBLANK(I157), IF(ISBLANK(H157), "N/A", _xlfn.IFS(K157="AS", H157+15, K157="NCR", H157+30, K157="submitted", H157+30, TRUE, "N/A")), _xlfn.IFS(K157="AS", I157+15, K157="NCR", I157+30, K157="submitted", I157+30, TRUE, "N/A"))</f>
        <v>N/A</v>
      </c>
      <c r="K157" s="18"/>
      <c r="L157" s="318"/>
      <c r="M157" s="772"/>
      <c r="N157" s="773"/>
      <c r="O157" s="773"/>
      <c r="P157" s="774"/>
    </row>
    <row r="158" spans="1:16" s="5" customFormat="1" ht="15" customHeight="1">
      <c r="A158" s="4"/>
      <c r="B158" s="795"/>
      <c r="C158" s="844"/>
      <c r="D158" s="144"/>
      <c r="E158" s="126"/>
      <c r="F158" s="146" t="s">
        <v>328</v>
      </c>
      <c r="G158" s="17" t="s">
        <v>268</v>
      </c>
      <c r="H158" s="123"/>
      <c r="I158" s="123"/>
      <c r="J158" s="21" t="str" cm="1">
        <f t="array" ref="J158">IF(ISBLANK(I158), IF(ISBLANK(H158), "N/A", _xlfn.IFS(K158="AS", H158+15, K158="NCR", H158+30, K158="submitted", H158+30, TRUE, "N/A")), _xlfn.IFS(K158="AS", I158+15, K158="NCR", I158+30, K158="submitted", I158+30, TRUE, "N/A"))</f>
        <v>N/A</v>
      </c>
      <c r="K158" s="18"/>
      <c r="L158" s="318"/>
      <c r="M158" s="772"/>
      <c r="N158" s="773"/>
      <c r="O158" s="773"/>
      <c r="P158" s="774"/>
    </row>
    <row r="159" spans="1:16" s="1" customFormat="1" ht="15" customHeight="1">
      <c r="A159" s="9"/>
      <c r="B159" s="790" t="s">
        <v>2486</v>
      </c>
      <c r="C159" s="891" t="s">
        <v>2487</v>
      </c>
      <c r="D159" s="143"/>
      <c r="E159" s="140"/>
      <c r="F159" s="141" t="s">
        <v>328</v>
      </c>
      <c r="G159" s="13" t="s">
        <v>229</v>
      </c>
      <c r="H159" s="123"/>
      <c r="I159" s="123"/>
      <c r="J159" s="21" t="str" cm="1">
        <f t="array" ref="J159">IF(ISBLANK(I159), IF(ISBLANK(H159), "N/A", _xlfn.IFS(K159="AS", H159+15, K159="NCR", H159+30, K159="submitted", H159+30, TRUE, "N/A")), _xlfn.IFS(K159="AS", I159+15, K159="NCR", I159+30, K159="submitted", I159+30, TRUE, "N/A"))</f>
        <v>N/A</v>
      </c>
      <c r="K159" s="14"/>
      <c r="L159" s="318"/>
      <c r="M159" s="772"/>
      <c r="N159" s="773"/>
      <c r="O159" s="773"/>
      <c r="P159" s="774"/>
    </row>
    <row r="160" spans="1:16" s="1" customFormat="1" ht="15" customHeight="1">
      <c r="A160" s="9"/>
      <c r="B160" s="791"/>
      <c r="C160" s="892"/>
      <c r="D160" s="143"/>
      <c r="E160" s="140"/>
      <c r="F160" s="141" t="s">
        <v>329</v>
      </c>
      <c r="G160" s="13" t="s">
        <v>276</v>
      </c>
      <c r="H160" s="123"/>
      <c r="I160" s="123"/>
      <c r="J160" s="21" t="str" cm="1">
        <f t="array" ref="J160">IF(ISBLANK(I160), IF(ISBLANK(H160), "N/A", _xlfn.IFS(K160="AS", H160+15, K160="NCR", H160+30, K160="submitted", H160+30, TRUE, "N/A")), _xlfn.IFS(K160="AS", I160+15, K160="NCR", I160+30, K160="submitted", I160+30, TRUE, "N/A"))</f>
        <v>N/A</v>
      </c>
      <c r="K160" s="14"/>
      <c r="L160" s="318"/>
      <c r="M160" s="772"/>
      <c r="N160" s="773"/>
      <c r="O160" s="773"/>
      <c r="P160" s="774"/>
    </row>
    <row r="161" spans="1:16" s="1" customFormat="1" ht="53.25">
      <c r="A161" s="9"/>
      <c r="B161" s="791"/>
      <c r="C161" s="892"/>
      <c r="D161" s="143"/>
      <c r="E161" s="140"/>
      <c r="F161" s="141" t="s">
        <v>330</v>
      </c>
      <c r="G161" s="7" t="s">
        <v>2474</v>
      </c>
      <c r="H161" s="123"/>
      <c r="I161" s="123"/>
      <c r="J161" s="21" t="str" cm="1">
        <f t="array" ref="J161">IF(ISBLANK(I161), IF(ISBLANK(H161), "N/A", _xlfn.IFS(K161="AS", H161+15, K161="NCR", H161+30, K161="submitted", H161+30, TRUE, "N/A")), _xlfn.IFS(K161="AS", I161+15, K161="NCR", I161+30, K161="submitted", I161+30, TRUE, "N/A"))</f>
        <v>N/A</v>
      </c>
      <c r="K161" s="14"/>
      <c r="L161" s="318"/>
      <c r="M161" s="772"/>
      <c r="N161" s="773"/>
      <c r="O161" s="773"/>
      <c r="P161" s="774"/>
    </row>
    <row r="162" spans="1:16" s="1" customFormat="1" ht="15" customHeight="1">
      <c r="A162" s="9"/>
      <c r="B162" s="791"/>
      <c r="C162" s="892"/>
      <c r="D162" s="143"/>
      <c r="E162" s="140"/>
      <c r="F162" s="141" t="s">
        <v>397</v>
      </c>
      <c r="G162" s="13" t="s">
        <v>2488</v>
      </c>
      <c r="H162" s="123"/>
      <c r="I162" s="123"/>
      <c r="J162" s="21" t="str" cm="1">
        <f t="array" ref="J162">IF(ISBLANK(I162), IF(ISBLANK(H162), "N/A", _xlfn.IFS(K162="AS", H162+15, K162="NCR", H162+30, K162="submitted", H162+30, TRUE, "N/A")), _xlfn.IFS(K162="AS", I162+15, K162="NCR", I162+30, K162="submitted", I162+30, TRUE, "N/A"))</f>
        <v>N/A</v>
      </c>
      <c r="K162" s="14"/>
      <c r="L162" s="318"/>
      <c r="M162" s="772"/>
      <c r="N162" s="773"/>
      <c r="O162" s="773"/>
      <c r="P162" s="774"/>
    </row>
    <row r="163" spans="1:16" s="1" customFormat="1" ht="15" customHeight="1">
      <c r="A163" s="9"/>
      <c r="B163" s="791"/>
      <c r="C163" s="892"/>
      <c r="D163" s="143"/>
      <c r="E163" s="140"/>
      <c r="F163" s="141" t="s">
        <v>398</v>
      </c>
      <c r="G163" s="13" t="s">
        <v>1749</v>
      </c>
      <c r="H163" s="123"/>
      <c r="I163" s="123"/>
      <c r="J163" s="21" t="str" cm="1">
        <f t="array" ref="J163">IF(ISBLANK(I163), IF(ISBLANK(H163), "N/A", _xlfn.IFS(K163="AS", H163+15, K163="NCR", H163+30, K163="submitted", H163+30, TRUE, "N/A")), _xlfn.IFS(K163="AS", I163+15, K163="NCR", I163+30, K163="submitted", I163+30, TRUE, "N/A"))</f>
        <v>N/A</v>
      </c>
      <c r="K163" s="14"/>
      <c r="L163" s="318"/>
      <c r="M163" s="772"/>
      <c r="N163" s="773"/>
      <c r="O163" s="773"/>
      <c r="P163" s="774"/>
    </row>
    <row r="164" spans="1:16" s="1" customFormat="1" ht="15" customHeight="1">
      <c r="A164" s="9"/>
      <c r="B164" s="791"/>
      <c r="C164" s="892"/>
      <c r="D164" s="143"/>
      <c r="E164" s="140"/>
      <c r="F164" s="141" t="s">
        <v>400</v>
      </c>
      <c r="G164" s="13" t="s">
        <v>2489</v>
      </c>
      <c r="H164" s="123"/>
      <c r="I164" s="123"/>
      <c r="J164" s="21" t="str" cm="1">
        <f t="array" ref="J164">IF(ISBLANK(I164), IF(ISBLANK(H164), "N/A", _xlfn.IFS(K164="AS", H164+15, K164="NCR", H164+30, K164="submitted", H164+30, TRUE, "N/A")), _xlfn.IFS(K164="AS", I164+15, K164="NCR", I164+30, K164="submitted", I164+30, TRUE, "N/A"))</f>
        <v>N/A</v>
      </c>
      <c r="K164" s="14"/>
      <c r="L164" s="318"/>
      <c r="M164" s="772"/>
      <c r="N164" s="773"/>
      <c r="O164" s="773"/>
      <c r="P164" s="774"/>
    </row>
    <row r="165" spans="1:16" s="1" customFormat="1" ht="15" customHeight="1">
      <c r="A165" s="9"/>
      <c r="B165" s="791"/>
      <c r="C165" s="892"/>
      <c r="D165" s="143"/>
      <c r="E165" s="140"/>
      <c r="F165" s="141" t="s">
        <v>433</v>
      </c>
      <c r="G165" s="13" t="s">
        <v>2490</v>
      </c>
      <c r="H165" s="123"/>
      <c r="I165" s="123"/>
      <c r="J165" s="21" t="str" cm="1">
        <f t="array" ref="J165">IF(ISBLANK(I165), IF(ISBLANK(H165), "N/A", _xlfn.IFS(K165="AS", H165+15, K165="NCR", H165+30, K165="submitted", H165+30, TRUE, "N/A")), _xlfn.IFS(K165="AS", I165+15, K165="NCR", I165+30, K165="submitted", I165+30, TRUE, "N/A"))</f>
        <v>N/A</v>
      </c>
      <c r="K165" s="14"/>
      <c r="L165" s="318"/>
      <c r="M165" s="772"/>
      <c r="N165" s="773"/>
      <c r="O165" s="773"/>
      <c r="P165" s="774"/>
    </row>
    <row r="166" spans="1:16" s="1" customFormat="1" ht="15" customHeight="1">
      <c r="A166" s="9"/>
      <c r="B166" s="777"/>
      <c r="C166" s="893"/>
      <c r="D166" s="143"/>
      <c r="E166" s="140"/>
      <c r="G166" s="13"/>
      <c r="H166" s="123"/>
      <c r="I166" s="123"/>
      <c r="J166" s="21" t="str" cm="1">
        <f t="array" ref="J166">IF(ISBLANK(I166), IF(ISBLANK(H166), "N/A", _xlfn.IFS(K166="AS", H166+15, K166="NCR", H166+30, K166="submitted", H166+30, TRUE, "N/A")), _xlfn.IFS(K166="AS", I166+15, K166="NCR", I166+30, K166="submitted", I166+30, TRUE, "N/A"))</f>
        <v>N/A</v>
      </c>
      <c r="K166" s="14"/>
      <c r="L166" s="318"/>
      <c r="M166" s="772"/>
      <c r="N166" s="773"/>
      <c r="O166" s="773"/>
      <c r="P166" s="774"/>
    </row>
    <row r="167" spans="1:16" s="5" customFormat="1" ht="53.25">
      <c r="A167" s="4"/>
      <c r="B167" s="794" t="s">
        <v>2491</v>
      </c>
      <c r="C167" s="842" t="s">
        <v>2492</v>
      </c>
      <c r="D167" s="144"/>
      <c r="E167" s="126"/>
      <c r="F167" s="146" t="s">
        <v>210</v>
      </c>
      <c r="G167" s="3" t="s">
        <v>2395</v>
      </c>
      <c r="H167" s="123"/>
      <c r="I167" s="123"/>
      <c r="J167" s="21" t="str" cm="1">
        <f t="array" ref="J167">IF(ISBLANK(I167), IF(ISBLANK(H167), "N/A", _xlfn.IFS(K167="AS", H167+15, K167="NCR", H167+30, K167="submitted", H167+30, TRUE, "N/A")), _xlfn.IFS(K167="AS", I167+15, K167="NCR", I167+30, K167="submitted", I167+30, TRUE, "N/A"))</f>
        <v>N/A</v>
      </c>
      <c r="K167" s="18"/>
      <c r="L167" s="318"/>
      <c r="M167" s="772"/>
      <c r="N167" s="773"/>
      <c r="O167" s="773"/>
      <c r="P167" s="774"/>
    </row>
    <row r="168" spans="1:16" s="5" customFormat="1" ht="63" customHeight="1">
      <c r="A168" s="4"/>
      <c r="B168" s="798"/>
      <c r="C168" s="843"/>
      <c r="D168" s="144"/>
      <c r="E168" s="126"/>
      <c r="F168" s="146" t="s">
        <v>328</v>
      </c>
      <c r="G168" s="17" t="s">
        <v>2493</v>
      </c>
      <c r="H168" s="123"/>
      <c r="I168" s="123"/>
      <c r="J168" s="21" t="str" cm="1">
        <f t="array" ref="J168">IF(ISBLANK(I168), IF(ISBLANK(H168), "N/A", _xlfn.IFS(K168="AS", H168+15, K168="NCR", H168+30, K168="submitted", H168+30, TRUE, "N/A")), _xlfn.IFS(K168="AS", I168+15, K168="NCR", I168+30, K168="submitted", I168+30, TRUE, "N/A"))</f>
        <v>N/A</v>
      </c>
      <c r="K168" s="18"/>
      <c r="L168" s="318"/>
      <c r="M168" s="772"/>
      <c r="N168" s="773"/>
      <c r="O168" s="773"/>
      <c r="P168" s="774"/>
    </row>
    <row r="169" spans="1:16" s="5" customFormat="1" ht="51.75" customHeight="1">
      <c r="A169" s="4"/>
      <c r="B169" s="798"/>
      <c r="C169" s="843"/>
      <c r="D169" s="144"/>
      <c r="E169" s="126"/>
      <c r="F169" s="146" t="s">
        <v>2494</v>
      </c>
      <c r="G169" s="17" t="s">
        <v>2495</v>
      </c>
      <c r="H169" s="123"/>
      <c r="I169" s="123"/>
      <c r="J169" s="21" t="str" cm="1">
        <f t="array" ref="J169">IF(ISBLANK(I169), IF(ISBLANK(H169), "N/A", _xlfn.IFS(K169="AS", H169+15, K169="NCR", H169+30, K169="submitted", H169+30, TRUE, "N/A")), _xlfn.IFS(K169="AS", I169+15, K169="NCR", I169+30, K169="submitted", I169+30, TRUE, "N/A"))</f>
        <v>N/A</v>
      </c>
      <c r="K169" s="18"/>
      <c r="L169" s="318"/>
      <c r="M169" s="772"/>
      <c r="N169" s="773"/>
      <c r="O169" s="773"/>
      <c r="P169" s="774"/>
    </row>
    <row r="170" spans="1:16" s="5" customFormat="1" ht="59.25" customHeight="1">
      <c r="A170" s="4"/>
      <c r="B170" s="798"/>
      <c r="C170" s="843"/>
      <c r="D170" s="144"/>
      <c r="E170" s="126"/>
      <c r="F170" s="146" t="s">
        <v>2496</v>
      </c>
      <c r="G170" s="17" t="s">
        <v>2497</v>
      </c>
      <c r="H170" s="123"/>
      <c r="I170" s="123"/>
      <c r="J170" s="21" t="str" cm="1">
        <f t="array" ref="J170">IF(ISBLANK(I170), IF(ISBLANK(H170), "N/A", _xlfn.IFS(K170="AS", H170+15, K170="NCR", H170+30, K170="submitted", H170+30, TRUE, "N/A")), _xlfn.IFS(K170="AS", I170+15, K170="NCR", I170+30, K170="submitted", I170+30, TRUE, "N/A"))</f>
        <v>N/A</v>
      </c>
      <c r="K170" s="18"/>
      <c r="L170" s="318"/>
      <c r="M170" s="772"/>
      <c r="N170" s="773"/>
      <c r="O170" s="773"/>
      <c r="P170" s="774"/>
    </row>
    <row r="171" spans="1:16" s="5" customFormat="1" ht="67.5" customHeight="1">
      <c r="A171" s="4"/>
      <c r="B171" s="798"/>
      <c r="C171" s="843"/>
      <c r="D171" s="144"/>
      <c r="E171" s="126"/>
      <c r="F171" s="146" t="s">
        <v>2498</v>
      </c>
      <c r="G171" s="17" t="s">
        <v>2499</v>
      </c>
      <c r="H171" s="123"/>
      <c r="I171" s="123"/>
      <c r="J171" s="21" t="str" cm="1">
        <f t="array" ref="J171">IF(ISBLANK(I171), IF(ISBLANK(H171), "N/A", _xlfn.IFS(K171="AS", H171+15, K171="NCR", H171+30, K171="submitted", H171+30, TRUE, "N/A")), _xlfn.IFS(K171="AS", I171+15, K171="NCR", I171+30, K171="submitted", I171+30, TRUE, "N/A"))</f>
        <v>N/A</v>
      </c>
      <c r="K171" s="18"/>
      <c r="L171" s="318"/>
      <c r="M171" s="772"/>
      <c r="N171" s="773"/>
      <c r="O171" s="773"/>
      <c r="P171" s="774"/>
    </row>
    <row r="172" spans="1:16" s="5" customFormat="1" ht="75" customHeight="1">
      <c r="A172" s="4"/>
      <c r="B172" s="798"/>
      <c r="C172" s="843"/>
      <c r="D172" s="144"/>
      <c r="E172" s="126"/>
      <c r="F172" s="146" t="s">
        <v>2500</v>
      </c>
      <c r="G172" s="17" t="s">
        <v>2501</v>
      </c>
      <c r="H172" s="123"/>
      <c r="I172" s="123"/>
      <c r="J172" s="21" t="str" cm="1">
        <f t="array" ref="J172">IF(ISBLANK(I172), IF(ISBLANK(H172), "N/A", _xlfn.IFS(K172="AS", H172+15, K172="NCR", H172+30, K172="submitted", H172+30, TRUE, "N/A")), _xlfn.IFS(K172="AS", I172+15, K172="NCR", I172+30, K172="submitted", I172+30, TRUE, "N/A"))</f>
        <v>N/A</v>
      </c>
      <c r="K172" s="18"/>
      <c r="L172" s="318"/>
      <c r="M172" s="772"/>
      <c r="N172" s="773"/>
      <c r="O172" s="773"/>
      <c r="P172" s="774"/>
    </row>
    <row r="173" spans="1:16" s="5" customFormat="1" ht="76.5" customHeight="1">
      <c r="A173" s="4"/>
      <c r="B173" s="798"/>
      <c r="C173" s="843"/>
      <c r="D173" s="144"/>
      <c r="E173" s="126"/>
      <c r="F173" s="146" t="s">
        <v>2502</v>
      </c>
      <c r="G173" s="17" t="s">
        <v>2503</v>
      </c>
      <c r="H173" s="123"/>
      <c r="I173" s="123"/>
      <c r="J173" s="21" t="str" cm="1">
        <f t="array" ref="J173">IF(ISBLANK(I173), IF(ISBLANK(H173), "N/A", _xlfn.IFS(K173="AS", H173+15, K173="NCR", H173+30, K173="submitted", H173+30, TRUE, "N/A")), _xlfn.IFS(K173="AS", I173+15, K173="NCR", I173+30, K173="submitted", I173+30, TRUE, "N/A"))</f>
        <v>N/A</v>
      </c>
      <c r="K173" s="18"/>
      <c r="L173" s="318"/>
      <c r="M173" s="772"/>
      <c r="N173" s="773"/>
      <c r="O173" s="773"/>
      <c r="P173" s="774"/>
    </row>
    <row r="174" spans="1:16" s="5" customFormat="1" ht="45.75" customHeight="1">
      <c r="A174" s="4"/>
      <c r="B174" s="798"/>
      <c r="C174" s="843"/>
      <c r="D174" s="144"/>
      <c r="E174" s="126"/>
      <c r="F174" s="146" t="s">
        <v>2504</v>
      </c>
      <c r="G174" s="17" t="s">
        <v>2505</v>
      </c>
      <c r="H174" s="123"/>
      <c r="I174" s="123"/>
      <c r="J174" s="21" t="str" cm="1">
        <f t="array" ref="J174">IF(ISBLANK(I174), IF(ISBLANK(H174), "N/A", _xlfn.IFS(K174="AS", H174+15, K174="NCR", H174+30, K174="submitted", H174+30, TRUE, "N/A")), _xlfn.IFS(K174="AS", I174+15, K174="NCR", I174+30, K174="submitted", I174+30, TRUE, "N/A"))</f>
        <v>N/A</v>
      </c>
      <c r="K174" s="18"/>
      <c r="L174" s="318"/>
      <c r="M174" s="772"/>
      <c r="N174" s="773"/>
      <c r="O174" s="773"/>
      <c r="P174" s="774"/>
    </row>
    <row r="175" spans="1:16" s="5" customFormat="1" ht="69" customHeight="1">
      <c r="A175" s="4"/>
      <c r="B175" s="798"/>
      <c r="C175" s="843"/>
      <c r="D175" s="144"/>
      <c r="E175" s="126"/>
      <c r="F175" s="146" t="s">
        <v>2506</v>
      </c>
      <c r="G175" s="17" t="s">
        <v>2507</v>
      </c>
      <c r="H175" s="123"/>
      <c r="I175" s="123"/>
      <c r="J175" s="21" t="str" cm="1">
        <f t="array" ref="J175">IF(ISBLANK(I175), IF(ISBLANK(H175), "N/A", _xlfn.IFS(K175="AS", H175+15, K175="NCR", H175+30, K175="submitted", H175+30, TRUE, "N/A")), _xlfn.IFS(K175="AS", I175+15, K175="NCR", I175+30, K175="submitted", I175+30, TRUE, "N/A"))</f>
        <v>N/A</v>
      </c>
      <c r="K175" s="18"/>
      <c r="L175" s="318"/>
      <c r="M175" s="772"/>
      <c r="N175" s="773"/>
      <c r="O175" s="773"/>
      <c r="P175" s="774"/>
    </row>
    <row r="176" spans="1:16" s="5" customFormat="1" ht="51.75" customHeight="1">
      <c r="A176" s="4"/>
      <c r="B176" s="798"/>
      <c r="C176" s="843"/>
      <c r="D176" s="144"/>
      <c r="E176" s="126"/>
      <c r="F176" s="146" t="s">
        <v>2508</v>
      </c>
      <c r="G176" s="17" t="s">
        <v>2509</v>
      </c>
      <c r="H176" s="123"/>
      <c r="I176" s="123"/>
      <c r="J176" s="21" t="str" cm="1">
        <f t="array" ref="J176">IF(ISBLANK(I176), IF(ISBLANK(H176), "N/A", _xlfn.IFS(K176="AS", H176+15, K176="NCR", H176+30, K176="submitted", H176+30, TRUE, "N/A")), _xlfn.IFS(K176="AS", I176+15, K176="NCR", I176+30, K176="submitted", I176+30, TRUE, "N/A"))</f>
        <v>N/A</v>
      </c>
      <c r="K176" s="18"/>
      <c r="L176" s="318"/>
      <c r="M176" s="772"/>
      <c r="N176" s="773"/>
      <c r="O176" s="773"/>
      <c r="P176" s="774"/>
    </row>
    <row r="177" spans="1:16" s="5" customFormat="1" ht="59.25" customHeight="1">
      <c r="A177" s="4"/>
      <c r="B177" s="798"/>
      <c r="C177" s="843"/>
      <c r="D177" s="144"/>
      <c r="E177" s="126"/>
      <c r="F177" s="146" t="s">
        <v>2510</v>
      </c>
      <c r="G177" s="17" t="s">
        <v>2511</v>
      </c>
      <c r="H177" s="123"/>
      <c r="I177" s="123"/>
      <c r="J177" s="21" t="str" cm="1">
        <f t="array" ref="J177">IF(ISBLANK(I177), IF(ISBLANK(H177), "N/A", _xlfn.IFS(K177="AS", H177+15, K177="NCR", H177+30, K177="submitted", H177+30, TRUE, "N/A")), _xlfn.IFS(K177="AS", I177+15, K177="NCR", I177+30, K177="submitted", I177+30, TRUE, "N/A"))</f>
        <v>N/A</v>
      </c>
      <c r="K177" s="18"/>
      <c r="L177" s="318"/>
      <c r="M177" s="772"/>
      <c r="N177" s="773"/>
      <c r="O177" s="773"/>
      <c r="P177" s="774"/>
    </row>
    <row r="178" spans="1:16" s="5" customFormat="1" ht="53.25" customHeight="1">
      <c r="A178" s="4"/>
      <c r="B178" s="798"/>
      <c r="C178" s="843"/>
      <c r="D178" s="144"/>
      <c r="E178" s="126"/>
      <c r="F178" s="146" t="s">
        <v>2512</v>
      </c>
      <c r="G178" s="17" t="s">
        <v>2513</v>
      </c>
      <c r="H178" s="123"/>
      <c r="I178" s="123"/>
      <c r="J178" s="21" t="str" cm="1">
        <f t="array" ref="J178">IF(ISBLANK(I178), IF(ISBLANK(H178), "N/A", _xlfn.IFS(K178="AS", H178+15, K178="NCR", H178+30, K178="submitted", H178+30, TRUE, "N/A")), _xlfn.IFS(K178="AS", I178+15, K178="NCR", I178+30, K178="submitted", I178+30, TRUE, "N/A"))</f>
        <v>N/A</v>
      </c>
      <c r="K178" s="18"/>
      <c r="L178" s="318"/>
      <c r="M178" s="772"/>
      <c r="N178" s="773"/>
      <c r="O178" s="773"/>
      <c r="P178" s="774"/>
    </row>
    <row r="179" spans="1:16" s="5" customFormat="1" ht="63.75" customHeight="1">
      <c r="A179" s="4"/>
      <c r="B179" s="798"/>
      <c r="C179" s="843"/>
      <c r="D179" s="144"/>
      <c r="E179" s="126"/>
      <c r="F179" s="146" t="s">
        <v>2514</v>
      </c>
      <c r="G179" s="17" t="s">
        <v>2515</v>
      </c>
      <c r="H179" s="123"/>
      <c r="I179" s="123"/>
      <c r="J179" s="21" t="str" cm="1">
        <f t="array" ref="J179">IF(ISBLANK(I179), IF(ISBLANK(H179), "N/A", _xlfn.IFS(K179="AS", H179+15, K179="NCR", H179+30, K179="submitted", H179+30, TRUE, "N/A")), _xlfn.IFS(K179="AS", I179+15, K179="NCR", I179+30, K179="submitted", I179+30, TRUE, "N/A"))</f>
        <v>N/A</v>
      </c>
      <c r="K179" s="18"/>
      <c r="L179" s="318"/>
      <c r="M179" s="772"/>
      <c r="N179" s="773"/>
      <c r="O179" s="773"/>
      <c r="P179" s="774"/>
    </row>
    <row r="180" spans="1:16" s="5" customFormat="1" ht="51" customHeight="1">
      <c r="A180" s="4"/>
      <c r="B180" s="798"/>
      <c r="C180" s="843"/>
      <c r="D180" s="144"/>
      <c r="E180" s="126"/>
      <c r="F180" s="146" t="s">
        <v>397</v>
      </c>
      <c r="G180" s="3" t="s">
        <v>2516</v>
      </c>
      <c r="H180" s="123"/>
      <c r="I180" s="123"/>
      <c r="J180" s="21" t="str" cm="1">
        <f t="array" ref="J180">IF(ISBLANK(I180), IF(ISBLANK(H180), "N/A", _xlfn.IFS(K180="AS", H180+15, K180="NCR", H180+30, K180="submitted", H180+30, TRUE, "N/A")), _xlfn.IFS(K180="AS", I180+15, K180="NCR", I180+30, K180="submitted", I180+30, TRUE, "N/A"))</f>
        <v>N/A</v>
      </c>
      <c r="K180" s="18"/>
      <c r="L180" s="318"/>
      <c r="M180" s="772"/>
      <c r="N180" s="773"/>
      <c r="O180" s="773"/>
      <c r="P180" s="774"/>
    </row>
    <row r="181" spans="1:16" s="5" customFormat="1" ht="66.75" customHeight="1">
      <c r="A181" s="4"/>
      <c r="B181" s="798"/>
      <c r="C181" s="843"/>
      <c r="D181" s="144"/>
      <c r="E181" s="126"/>
      <c r="F181" s="146" t="s">
        <v>398</v>
      </c>
      <c r="G181" s="17" t="s">
        <v>2517</v>
      </c>
      <c r="H181" s="123"/>
      <c r="I181" s="123"/>
      <c r="J181" s="21" t="str" cm="1">
        <f t="array" ref="J181">IF(ISBLANK(I181), IF(ISBLANK(H181), "N/A", _xlfn.IFS(K181="AS", H181+15, K181="NCR", H181+30, K181="submitted", H181+30, TRUE, "N/A")), _xlfn.IFS(K181="AS", I181+15, K181="NCR", I181+30, K181="submitted", I181+30, TRUE, "N/A"))</f>
        <v>N/A</v>
      </c>
      <c r="K181" s="18"/>
      <c r="L181" s="318"/>
      <c r="M181" s="772"/>
      <c r="N181" s="773"/>
      <c r="O181" s="773"/>
      <c r="P181" s="774"/>
    </row>
    <row r="182" spans="1:16" s="5" customFormat="1" ht="66" customHeight="1">
      <c r="A182" s="4"/>
      <c r="B182" s="798"/>
      <c r="C182" s="843"/>
      <c r="D182" s="144"/>
      <c r="E182" s="126"/>
      <c r="F182" s="146" t="s">
        <v>735</v>
      </c>
      <c r="G182" s="17" t="s">
        <v>2518</v>
      </c>
      <c r="H182" s="123"/>
      <c r="I182" s="123"/>
      <c r="J182" s="21" t="str" cm="1">
        <f t="array" ref="J182">IF(ISBLANK(I182), IF(ISBLANK(H182), "N/A", _xlfn.IFS(K182="AS", H182+15, K182="NCR", H182+30, K182="submitted", H182+30, TRUE, "N/A")), _xlfn.IFS(K182="AS", I182+15, K182="NCR", I182+30, K182="submitted", I182+30, TRUE, "N/A"))</f>
        <v>N/A</v>
      </c>
      <c r="K182" s="18"/>
      <c r="L182" s="318"/>
      <c r="M182" s="772"/>
      <c r="N182" s="773"/>
      <c r="O182" s="773"/>
      <c r="P182" s="774"/>
    </row>
    <row r="183" spans="1:16" s="5" customFormat="1" ht="60" customHeight="1">
      <c r="A183" s="4"/>
      <c r="B183" s="798"/>
      <c r="C183" s="843"/>
      <c r="D183" s="144"/>
      <c r="E183" s="126"/>
      <c r="F183" s="146" t="s">
        <v>880</v>
      </c>
      <c r="G183" s="17" t="s">
        <v>2519</v>
      </c>
      <c r="H183" s="123"/>
      <c r="I183" s="123"/>
      <c r="J183" s="21" t="str" cm="1">
        <f t="array" ref="J183">IF(ISBLANK(I183), IF(ISBLANK(H183), "N/A", _xlfn.IFS(K183="AS", H183+15, K183="NCR", H183+30, K183="submitted", H183+30, TRUE, "N/A")), _xlfn.IFS(K183="AS", I183+15, K183="NCR", I183+30, K183="submitted", I183+30, TRUE, "N/A"))</f>
        <v>N/A</v>
      </c>
      <c r="K183" s="18"/>
      <c r="L183" s="318"/>
      <c r="M183" s="772"/>
      <c r="N183" s="773"/>
      <c r="O183" s="773"/>
      <c r="P183" s="774"/>
    </row>
    <row r="184" spans="1:16" s="5" customFormat="1" ht="93" customHeight="1">
      <c r="A184" s="4"/>
      <c r="B184" s="795"/>
      <c r="C184" s="844"/>
      <c r="D184" s="144"/>
      <c r="E184" s="126"/>
      <c r="F184" s="146" t="s">
        <v>1066</v>
      </c>
      <c r="G184" s="17" t="s">
        <v>2520</v>
      </c>
      <c r="H184" s="123"/>
      <c r="I184" s="123"/>
      <c r="J184" s="21" t="str" cm="1">
        <f t="array" ref="J184">IF(ISBLANK(I184), IF(ISBLANK(H184), "N/A", _xlfn.IFS(K184="AS", H184+15, K184="NCR", H184+30, K184="submitted", H184+30, TRUE, "N/A")), _xlfn.IFS(K184="AS", I184+15, K184="NCR", I184+30, K184="submitted", I184+30, TRUE, "N/A"))</f>
        <v>N/A</v>
      </c>
      <c r="K184" s="18"/>
      <c r="L184" s="318"/>
      <c r="M184" s="772"/>
      <c r="N184" s="773"/>
      <c r="O184" s="773"/>
      <c r="P184" s="774"/>
    </row>
    <row r="185" spans="1:16" s="1" customFormat="1" ht="74.25" customHeight="1">
      <c r="A185" s="9"/>
      <c r="B185" s="790" t="s">
        <v>2521</v>
      </c>
      <c r="C185" s="891" t="s">
        <v>2522</v>
      </c>
      <c r="D185" s="143"/>
      <c r="E185" s="140"/>
      <c r="F185" s="141" t="s">
        <v>2523</v>
      </c>
      <c r="G185" s="13" t="s">
        <v>2495</v>
      </c>
      <c r="H185" s="123"/>
      <c r="I185" s="123"/>
      <c r="J185" s="21" t="str" cm="1">
        <f t="array" ref="J185">IF(ISBLANK(I185), IF(ISBLANK(H185), "N/A", _xlfn.IFS(K185="AS", H185+15, K185="NCR", H185+30, K185="submitted", H185+30, TRUE, "N/A")), _xlfn.IFS(K185="AS", I185+15, K185="NCR", I185+30, K185="submitted", I185+30, TRUE, "N/A"))</f>
        <v>N/A</v>
      </c>
      <c r="K185" s="14"/>
      <c r="L185" s="318"/>
      <c r="M185" s="772"/>
      <c r="N185" s="773"/>
      <c r="O185" s="773"/>
      <c r="P185" s="774"/>
    </row>
    <row r="186" spans="1:16" s="1" customFormat="1" ht="69.75" customHeight="1">
      <c r="A186" s="9"/>
      <c r="B186" s="791"/>
      <c r="C186" s="892"/>
      <c r="D186" s="143"/>
      <c r="E186" s="140"/>
      <c r="F186" s="141" t="s">
        <v>2524</v>
      </c>
      <c r="G186" s="13" t="s">
        <v>2505</v>
      </c>
      <c r="H186" s="123"/>
      <c r="I186" s="123"/>
      <c r="J186" s="21" t="str" cm="1">
        <f t="array" ref="J186">IF(ISBLANK(I186), IF(ISBLANK(H186), "N/A", _xlfn.IFS(K186="AS", H186+15, K186="NCR", H186+30, K186="submitted", H186+30, TRUE, "N/A")), _xlfn.IFS(K186="AS", I186+15, K186="NCR", I186+30, K186="submitted", I186+30, TRUE, "N/A"))</f>
        <v>N/A</v>
      </c>
      <c r="K186" s="14"/>
      <c r="L186" s="318"/>
      <c r="M186" s="772"/>
      <c r="N186" s="773"/>
      <c r="O186" s="773"/>
      <c r="P186" s="774"/>
    </row>
    <row r="187" spans="1:16" s="1" customFormat="1" ht="69" customHeight="1">
      <c r="A187" s="9"/>
      <c r="B187" s="791"/>
      <c r="C187" s="892"/>
      <c r="D187" s="143"/>
      <c r="E187" s="140"/>
      <c r="F187" s="141" t="s">
        <v>2525</v>
      </c>
      <c r="G187" s="13" t="s">
        <v>2507</v>
      </c>
      <c r="H187" s="123"/>
      <c r="I187" s="123"/>
      <c r="J187" s="21" t="str" cm="1">
        <f t="array" ref="J187">IF(ISBLANK(I187), IF(ISBLANK(H187), "N/A", _xlfn.IFS(K187="AS", H187+15, K187="NCR", H187+30, K187="submitted", H187+30, TRUE, "N/A")), _xlfn.IFS(K187="AS", I187+15, K187="NCR", I187+30, K187="submitted", I187+30, TRUE, "N/A"))</f>
        <v>N/A</v>
      </c>
      <c r="K187" s="14"/>
      <c r="L187" s="318"/>
      <c r="M187" s="772"/>
      <c r="N187" s="773"/>
      <c r="O187" s="773"/>
      <c r="P187" s="774"/>
    </row>
    <row r="188" spans="1:16" s="1" customFormat="1" ht="47.25" customHeight="1">
      <c r="A188" s="9"/>
      <c r="B188" s="791"/>
      <c r="C188" s="892"/>
      <c r="D188" s="143"/>
      <c r="E188" s="140"/>
      <c r="F188" s="141" t="s">
        <v>2526</v>
      </c>
      <c r="G188" s="13" t="s">
        <v>2527</v>
      </c>
      <c r="H188" s="123"/>
      <c r="I188" s="123"/>
      <c r="J188" s="21" t="str" cm="1">
        <f t="array" ref="J188">IF(ISBLANK(I188), IF(ISBLANK(H188), "N/A", _xlfn.IFS(K188="AS", H188+15, K188="NCR", H188+30, K188="submitted", H188+30, TRUE, "N/A")), _xlfn.IFS(K188="AS", I188+15, K188="NCR", I188+30, K188="submitted", I188+30, TRUE, "N/A"))</f>
        <v>N/A</v>
      </c>
      <c r="K188" s="14"/>
      <c r="L188" s="318"/>
      <c r="M188" s="772"/>
      <c r="N188" s="773"/>
      <c r="O188" s="773"/>
      <c r="P188" s="774"/>
    </row>
    <row r="189" spans="1:16" s="1" customFormat="1" ht="44.25" customHeight="1">
      <c r="A189" s="9"/>
      <c r="B189" s="791"/>
      <c r="C189" s="892"/>
      <c r="D189" s="143"/>
      <c r="E189" s="140"/>
      <c r="F189" s="141" t="s">
        <v>2528</v>
      </c>
      <c r="G189" s="13" t="s">
        <v>2517</v>
      </c>
      <c r="H189" s="123"/>
      <c r="I189" s="123"/>
      <c r="J189" s="21" t="str" cm="1">
        <f t="array" ref="J189">IF(ISBLANK(I189), IF(ISBLANK(H189), "N/A", _xlfn.IFS(K189="AS", H189+15, K189="NCR", H189+30, K189="submitted", H189+30, TRUE, "N/A")), _xlfn.IFS(K189="AS", I189+15, K189="NCR", I189+30, K189="submitted", I189+30, TRUE, "N/A"))</f>
        <v>N/A</v>
      </c>
      <c r="K189" s="14"/>
      <c r="L189" s="318"/>
      <c r="M189" s="772"/>
      <c r="N189" s="773"/>
      <c r="O189" s="773"/>
      <c r="P189" s="774"/>
    </row>
    <row r="190" spans="1:16" s="1" customFormat="1" ht="48.75" customHeight="1">
      <c r="A190" s="9"/>
      <c r="B190" s="777"/>
      <c r="C190" s="893"/>
      <c r="D190" s="143"/>
      <c r="E190" s="140"/>
      <c r="F190" s="141" t="s">
        <v>2529</v>
      </c>
      <c r="G190" s="13" t="s">
        <v>2518</v>
      </c>
      <c r="H190" s="123"/>
      <c r="I190" s="123"/>
      <c r="J190" s="21" t="str" cm="1">
        <f t="array" ref="J190">IF(ISBLANK(I190), IF(ISBLANK(H190), "N/A", _xlfn.IFS(K190="AS", H190+15, K190="NCR", H190+30, K190="submitted", H190+30, TRUE, "N/A")), _xlfn.IFS(K190="AS", I190+15, K190="NCR", I190+30, K190="submitted", I190+30, TRUE, "N/A"))</f>
        <v>N/A</v>
      </c>
      <c r="K190" s="14"/>
      <c r="L190" s="318"/>
      <c r="M190" s="772"/>
      <c r="N190" s="773"/>
      <c r="O190" s="773"/>
      <c r="P190" s="774"/>
    </row>
    <row r="191" spans="1:16" s="5" customFormat="1" ht="54" customHeight="1">
      <c r="A191" s="4"/>
      <c r="B191" s="15" t="s">
        <v>2530</v>
      </c>
      <c r="C191" s="132" t="s">
        <v>2531</v>
      </c>
      <c r="D191" s="144"/>
      <c r="E191" s="126"/>
      <c r="F191" s="146" t="s">
        <v>144</v>
      </c>
      <c r="G191" s="17"/>
      <c r="H191" s="123"/>
      <c r="I191" s="123"/>
      <c r="J191" s="21" t="str" cm="1">
        <f t="array" ref="J191">IF(ISBLANK(I191), IF(ISBLANK(H191), "N/A", _xlfn.IFS(K191="AS", H191+15, K191="NCR", H191+30, K191="submitted", H191+30, TRUE, "N/A")), _xlfn.IFS(K191="AS", I191+15, K191="NCR", I191+30, K191="submitted", I191+30, TRUE, "N/A"))</f>
        <v>N/A</v>
      </c>
      <c r="K191" s="18"/>
      <c r="L191" s="318"/>
      <c r="M191" s="772"/>
      <c r="N191" s="773"/>
      <c r="O191" s="773"/>
      <c r="P191" s="774"/>
    </row>
    <row r="192" spans="1:16" s="1" customFormat="1" ht="44.25" customHeight="1">
      <c r="A192" s="38"/>
      <c r="B192" s="790" t="s">
        <v>2532</v>
      </c>
      <c r="C192" s="891" t="s">
        <v>2533</v>
      </c>
      <c r="D192" s="143"/>
      <c r="E192" s="140"/>
      <c r="F192" s="580" t="s">
        <v>220</v>
      </c>
      <c r="G192" s="40" t="s">
        <v>2534</v>
      </c>
      <c r="H192" s="123"/>
      <c r="I192" s="123"/>
      <c r="J192" s="21" t="str" cm="1">
        <f t="array" ref="J192">IF(ISBLANK(I192), IF(ISBLANK(H192), "N/A", _xlfn.IFS(K192="AS", H192+15, K192="NCR", H192+30, K192="submitted", H192+30, TRUE, "N/A")), _xlfn.IFS(K192="AS", I192+15, K192="NCR", I192+30, K192="submitted", I192+30, TRUE, "N/A"))</f>
        <v>N/A</v>
      </c>
      <c r="K192" s="41"/>
      <c r="L192" s="318"/>
      <c r="M192" s="772"/>
      <c r="N192" s="773"/>
      <c r="O192" s="773"/>
      <c r="P192" s="774"/>
    </row>
    <row r="193" spans="1:16" s="1" customFormat="1" ht="45" customHeight="1">
      <c r="A193" s="38"/>
      <c r="B193" s="791"/>
      <c r="C193" s="892"/>
      <c r="D193" s="143"/>
      <c r="E193" s="140"/>
      <c r="F193" s="580" t="s">
        <v>263</v>
      </c>
      <c r="G193" s="37" t="s">
        <v>2535</v>
      </c>
      <c r="H193" s="123"/>
      <c r="I193" s="123"/>
      <c r="J193" s="21" t="str" cm="1">
        <f t="array" ref="J193">IF(ISBLANK(I193), IF(ISBLANK(H193), "N/A", _xlfn.IFS(K193="AS", H193+15, K193="NCR", H193+30, K193="submitted", H193+30, TRUE, "N/A")), _xlfn.IFS(K193="AS", I193+15, K193="NCR", I193+30, K193="submitted", I193+30, TRUE, "N/A"))</f>
        <v>N/A</v>
      </c>
      <c r="K193" s="41"/>
      <c r="L193" s="318"/>
      <c r="M193" s="772"/>
      <c r="N193" s="773"/>
      <c r="O193" s="773"/>
      <c r="P193" s="774"/>
    </row>
    <row r="194" spans="1:16" s="1" customFormat="1" ht="52.5" customHeight="1">
      <c r="A194" s="38"/>
      <c r="B194" s="791"/>
      <c r="C194" s="892"/>
      <c r="D194" s="143"/>
      <c r="E194" s="140"/>
      <c r="F194" s="580" t="s">
        <v>253</v>
      </c>
      <c r="G194" s="37" t="s">
        <v>2536</v>
      </c>
      <c r="H194" s="123"/>
      <c r="I194" s="123"/>
      <c r="J194" s="21" t="str" cm="1">
        <f t="array" ref="J194">IF(ISBLANK(I194), IF(ISBLANK(H194), "N/A", _xlfn.IFS(K194="AS", H194+15, K194="NCR", H194+30, K194="submitted", H194+30, TRUE, "N/A")), _xlfn.IFS(K194="AS", I194+15, K194="NCR", I194+30, K194="submitted", I194+30, TRUE, "N/A"))</f>
        <v>N/A</v>
      </c>
      <c r="K194" s="41"/>
      <c r="L194" s="318"/>
      <c r="M194" s="772"/>
      <c r="N194" s="773"/>
      <c r="O194" s="773"/>
      <c r="P194" s="774"/>
    </row>
    <row r="195" spans="1:16" s="1" customFormat="1" ht="48.75" customHeight="1">
      <c r="A195" s="38"/>
      <c r="B195" s="791"/>
      <c r="C195" s="892"/>
      <c r="D195" s="143"/>
      <c r="E195" s="140"/>
      <c r="F195" s="580" t="s">
        <v>344</v>
      </c>
      <c r="G195" s="37" t="s">
        <v>2537</v>
      </c>
      <c r="H195" s="123"/>
      <c r="I195" s="123"/>
      <c r="J195" s="21" t="str" cm="1">
        <f t="array" ref="J195">IF(ISBLANK(I195), IF(ISBLANK(H195), "N/A", _xlfn.IFS(K195="AS", H195+15, K195="NCR", H195+30, K195="submitted", H195+30, TRUE, "N/A")), _xlfn.IFS(K195="AS", I195+15, K195="NCR", I195+30, K195="submitted", I195+30, TRUE, "N/A"))</f>
        <v>N/A</v>
      </c>
      <c r="K195" s="41"/>
      <c r="L195" s="318"/>
      <c r="M195" s="772"/>
      <c r="N195" s="773"/>
      <c r="O195" s="773"/>
      <c r="P195" s="774"/>
    </row>
    <row r="196" spans="1:16" s="1" customFormat="1" ht="36.75" customHeight="1">
      <c r="A196" s="38"/>
      <c r="B196" s="791"/>
      <c r="C196" s="892"/>
      <c r="D196" s="143"/>
      <c r="E196" s="140"/>
      <c r="F196" s="580" t="s">
        <v>374</v>
      </c>
      <c r="G196" s="40" t="s">
        <v>2538</v>
      </c>
      <c r="H196" s="123"/>
      <c r="I196" s="123"/>
      <c r="J196" s="21" t="str" cm="1">
        <f t="array" ref="J196">IF(ISBLANK(I196), IF(ISBLANK(H196), "N/A", _xlfn.IFS(K196="AS", H196+15, K196="NCR", H196+30, K196="submitted", H196+30, TRUE, "N/A")), _xlfn.IFS(K196="AS", I196+15, K196="NCR", I196+30, K196="submitted", I196+30, TRUE, "N/A"))</f>
        <v>N/A</v>
      </c>
      <c r="K196" s="41"/>
      <c r="L196" s="318"/>
      <c r="M196" s="772"/>
      <c r="N196" s="773"/>
      <c r="O196" s="773"/>
      <c r="P196" s="774"/>
    </row>
    <row r="197" spans="1:16" s="1" customFormat="1" ht="33" customHeight="1">
      <c r="A197" s="38"/>
      <c r="B197" s="791"/>
      <c r="C197" s="892"/>
      <c r="D197" s="143"/>
      <c r="E197" s="140"/>
      <c r="F197" s="580" t="s">
        <v>348</v>
      </c>
      <c r="G197" s="37" t="s">
        <v>2539</v>
      </c>
      <c r="H197" s="123"/>
      <c r="I197" s="123"/>
      <c r="J197" s="21" t="str" cm="1">
        <f t="array" ref="J197">IF(ISBLANK(I197), IF(ISBLANK(H197), "N/A", _xlfn.IFS(K197="AS", H197+15, K197="NCR", H197+30, K197="submitted", H197+30, TRUE, "N/A")), _xlfn.IFS(K197="AS", I197+15, K197="NCR", I197+30, K197="submitted", I197+30, TRUE, "N/A"))</f>
        <v>N/A</v>
      </c>
      <c r="K197" s="41"/>
      <c r="L197" s="318"/>
      <c r="M197" s="772"/>
      <c r="N197" s="773"/>
      <c r="O197" s="773"/>
      <c r="P197" s="774"/>
    </row>
    <row r="198" spans="1:16" s="1" customFormat="1" ht="52.5" customHeight="1">
      <c r="A198" s="38"/>
      <c r="B198" s="791"/>
      <c r="C198" s="892"/>
      <c r="D198" s="143"/>
      <c r="E198" s="140"/>
      <c r="F198" s="580" t="s">
        <v>1123</v>
      </c>
      <c r="G198" s="40" t="s">
        <v>2183</v>
      </c>
      <c r="H198" s="123"/>
      <c r="I198" s="123"/>
      <c r="J198" s="21" t="str" cm="1">
        <f t="array" ref="J198">IF(ISBLANK(I198), IF(ISBLANK(H198), "N/A", _xlfn.IFS(K198="AS", H198+15, K198="NCR", H198+30, K198="submitted", H198+30, TRUE, "N/A")), _xlfn.IFS(K198="AS", I198+15, K198="NCR", I198+30, K198="submitted", I198+30, TRUE, "N/A"))</f>
        <v>N/A</v>
      </c>
      <c r="K198" s="41"/>
      <c r="L198" s="318"/>
      <c r="M198" s="772"/>
      <c r="N198" s="773"/>
      <c r="O198" s="773"/>
      <c r="P198" s="774"/>
    </row>
    <row r="199" spans="1:16" s="1" customFormat="1" ht="35.25" customHeight="1">
      <c r="A199" s="38"/>
      <c r="B199" s="791"/>
      <c r="C199" s="892"/>
      <c r="D199" s="143"/>
      <c r="E199" s="140"/>
      <c r="F199" s="580" t="s">
        <v>1862</v>
      </c>
      <c r="G199" s="40" t="s">
        <v>2184</v>
      </c>
      <c r="H199" s="123"/>
      <c r="I199" s="123"/>
      <c r="J199" s="21" t="str" cm="1">
        <f t="array" ref="J199">IF(ISBLANK(I199), IF(ISBLANK(H199), "N/A", _xlfn.IFS(K199="AS", H199+15, K199="NCR", H199+30, K199="submitted", H199+30, TRUE, "N/A")), _xlfn.IFS(K199="AS", I199+15, K199="NCR", I199+30, K199="submitted", I199+30, TRUE, "N/A"))</f>
        <v>N/A</v>
      </c>
      <c r="K199" s="41"/>
      <c r="L199" s="318"/>
      <c r="M199" s="772"/>
      <c r="N199" s="773"/>
      <c r="O199" s="773"/>
      <c r="P199" s="774"/>
    </row>
    <row r="200" spans="1:16" s="1" customFormat="1" ht="28.5" customHeight="1">
      <c r="A200" s="38"/>
      <c r="B200" s="791"/>
      <c r="C200" s="892"/>
      <c r="D200" s="143"/>
      <c r="E200" s="140"/>
      <c r="F200" s="580" t="s">
        <v>352</v>
      </c>
      <c r="G200" s="37" t="s">
        <v>1749</v>
      </c>
      <c r="H200" s="123"/>
      <c r="I200" s="123"/>
      <c r="J200" s="21" t="str" cm="1">
        <f t="array" ref="J200">IF(ISBLANK(I200), IF(ISBLANK(H200), "N/A", _xlfn.IFS(K200="AS", H200+15, K200="NCR", H200+30, K200="submitted", H200+30, TRUE, "N/A")), _xlfn.IFS(K200="AS", I200+15, K200="NCR", I200+30, K200="submitted", I200+30, TRUE, "N/A"))</f>
        <v>N/A</v>
      </c>
      <c r="K200" s="41"/>
      <c r="L200" s="318"/>
      <c r="M200" s="772"/>
      <c r="N200" s="773"/>
      <c r="O200" s="773"/>
      <c r="P200" s="774"/>
    </row>
    <row r="201" spans="1:16" s="1" customFormat="1" ht="37.5" customHeight="1">
      <c r="A201" s="38"/>
      <c r="B201" s="791"/>
      <c r="C201" s="892"/>
      <c r="D201" s="143"/>
      <c r="E201" s="140"/>
      <c r="F201" s="580" t="s">
        <v>2540</v>
      </c>
      <c r="G201" s="40" t="s">
        <v>2541</v>
      </c>
      <c r="H201" s="123"/>
      <c r="I201" s="123"/>
      <c r="J201" s="21" t="str" cm="1">
        <f t="array" ref="J201">IF(ISBLANK(I201), IF(ISBLANK(H201), "N/A", _xlfn.IFS(K201="AS", H201+15, K201="NCR", H201+30, K201="submitted", H201+30, TRUE, "N/A")), _xlfn.IFS(K201="AS", I201+15, K201="NCR", I201+30, K201="submitted", I201+30, TRUE, "N/A"))</f>
        <v>N/A</v>
      </c>
      <c r="K201" s="41"/>
      <c r="L201" s="318"/>
      <c r="M201" s="772"/>
      <c r="N201" s="773"/>
      <c r="O201" s="773"/>
      <c r="P201" s="774"/>
    </row>
    <row r="202" spans="1:16" s="94" customFormat="1" ht="68.25" customHeight="1">
      <c r="A202" s="90"/>
      <c r="B202" s="866"/>
      <c r="C202" s="894"/>
      <c r="D202" s="143"/>
      <c r="E202" s="140"/>
      <c r="F202" s="581" t="s">
        <v>2542</v>
      </c>
      <c r="G202" s="98" t="s">
        <v>2543</v>
      </c>
      <c r="H202" s="123"/>
      <c r="I202" s="123"/>
      <c r="J202" s="21" t="str" cm="1">
        <f t="array" ref="J202">IF(ISBLANK(I202), IF(ISBLANK(H202), "N/A", _xlfn.IFS(K202="AS", H202+15, K202="NCR", H202+30, K202="submitted", H202+30, TRUE, "N/A")), _xlfn.IFS(K202="AS", I202+15, K202="NCR", I202+30, K202="submitted", I202+30, TRUE, "N/A"))</f>
        <v>N/A</v>
      </c>
      <c r="K202" s="93"/>
      <c r="L202" s="318"/>
      <c r="M202" s="772"/>
      <c r="N202" s="773"/>
      <c r="O202" s="773"/>
      <c r="P202" s="774"/>
    </row>
    <row r="203" spans="1:16" ht="15" customHeight="1">
      <c r="L203" s="318"/>
      <c r="M203" s="766" t="s">
        <v>132</v>
      </c>
      <c r="N203" s="767"/>
      <c r="O203" s="767"/>
      <c r="P203" s="768"/>
    </row>
    <row r="204" spans="1:16" ht="15" customHeight="1">
      <c r="L204" s="318"/>
      <c r="M204" s="769"/>
      <c r="N204" s="770"/>
      <c r="O204" s="770"/>
      <c r="P204" s="771"/>
    </row>
    <row r="205" spans="1:16" ht="15" customHeight="1">
      <c r="L205" s="318"/>
      <c r="M205" s="769"/>
      <c r="N205" s="770"/>
      <c r="O205" s="770"/>
      <c r="P205" s="771"/>
    </row>
    <row r="206" spans="1:16" ht="15" customHeight="1">
      <c r="L206" s="318"/>
      <c r="M206" s="769"/>
      <c r="N206" s="770"/>
      <c r="O206" s="770"/>
      <c r="P206" s="771"/>
    </row>
    <row r="207" spans="1:16" ht="15" customHeight="1">
      <c r="L207" s="318"/>
      <c r="M207" s="769"/>
      <c r="N207" s="770"/>
      <c r="O207" s="770"/>
      <c r="P207" s="771"/>
    </row>
    <row r="208" spans="1:16" ht="15" customHeight="1">
      <c r="L208" s="318"/>
      <c r="M208" s="769"/>
      <c r="N208" s="770"/>
      <c r="O208" s="770"/>
      <c r="P208" s="771"/>
    </row>
    <row r="209" spans="13:16" ht="15" customHeight="1">
      <c r="M209" s="769"/>
      <c r="N209" s="770"/>
      <c r="O209" s="770"/>
      <c r="P209" s="771"/>
    </row>
    <row r="210" spans="13:16" ht="15" customHeight="1">
      <c r="M210" s="769"/>
      <c r="N210" s="770"/>
      <c r="O210" s="770"/>
      <c r="P210" s="771"/>
    </row>
    <row r="211" spans="13:16" ht="15" customHeight="1">
      <c r="M211" s="750" t="s">
        <v>147</v>
      </c>
      <c r="N211" s="751"/>
      <c r="O211" s="751"/>
      <c r="P211" s="752"/>
    </row>
    <row r="288" spans="13:13" ht="15" customHeight="1">
      <c r="M288" s="748" t="s">
        <v>132</v>
      </c>
    </row>
    <row r="296" spans="13:13" ht="15" customHeight="1">
      <c r="M296" s="750" t="s">
        <v>147</v>
      </c>
    </row>
  </sheetData>
  <mergeCells count="114">
    <mergeCell ref="B29:B30"/>
    <mergeCell ref="C29:C30"/>
    <mergeCell ref="B31:B32"/>
    <mergeCell ref="C31:C32"/>
    <mergeCell ref="B33:B34"/>
    <mergeCell ref="C33:C34"/>
    <mergeCell ref="A1:F1"/>
    <mergeCell ref="B23:B24"/>
    <mergeCell ref="C23:C24"/>
    <mergeCell ref="B25:B26"/>
    <mergeCell ref="C25:C26"/>
    <mergeCell ref="B27:B28"/>
    <mergeCell ref="C27:C28"/>
    <mergeCell ref="B3:B17"/>
    <mergeCell ref="C3:C17"/>
    <mergeCell ref="B19:B20"/>
    <mergeCell ref="C19:C20"/>
    <mergeCell ref="B21:B22"/>
    <mergeCell ref="C21:C22"/>
    <mergeCell ref="B41:B42"/>
    <mergeCell ref="C41:C42"/>
    <mergeCell ref="B43:B44"/>
    <mergeCell ref="C43:C44"/>
    <mergeCell ref="B45:B46"/>
    <mergeCell ref="C45:C46"/>
    <mergeCell ref="B35:B36"/>
    <mergeCell ref="C35:C36"/>
    <mergeCell ref="B37:B38"/>
    <mergeCell ref="C37:C38"/>
    <mergeCell ref="B39:B40"/>
    <mergeCell ref="C39:C40"/>
    <mergeCell ref="B53:B54"/>
    <mergeCell ref="C53:C54"/>
    <mergeCell ref="B55:B56"/>
    <mergeCell ref="C55:C56"/>
    <mergeCell ref="B57:B58"/>
    <mergeCell ref="C57:C58"/>
    <mergeCell ref="B47:B48"/>
    <mergeCell ref="C47:C48"/>
    <mergeCell ref="B49:B50"/>
    <mergeCell ref="C49:C50"/>
    <mergeCell ref="B51:B52"/>
    <mergeCell ref="C51:C52"/>
    <mergeCell ref="B65:B66"/>
    <mergeCell ref="C65:C66"/>
    <mergeCell ref="B67:B70"/>
    <mergeCell ref="C67:C70"/>
    <mergeCell ref="B71:B73"/>
    <mergeCell ref="C71:C73"/>
    <mergeCell ref="B59:B60"/>
    <mergeCell ref="C59:C60"/>
    <mergeCell ref="B61:B62"/>
    <mergeCell ref="C61:C62"/>
    <mergeCell ref="B63:B64"/>
    <mergeCell ref="C63:C64"/>
    <mergeCell ref="B87:B88"/>
    <mergeCell ref="C87:C88"/>
    <mergeCell ref="B90:B91"/>
    <mergeCell ref="C90:C91"/>
    <mergeCell ref="B92:B94"/>
    <mergeCell ref="C92:C94"/>
    <mergeCell ref="B74:B75"/>
    <mergeCell ref="C74:C75"/>
    <mergeCell ref="B82:B86"/>
    <mergeCell ref="C82:C86"/>
    <mergeCell ref="B101:B102"/>
    <mergeCell ref="C101:C102"/>
    <mergeCell ref="B103:B104"/>
    <mergeCell ref="C103:C104"/>
    <mergeCell ref="B105:B106"/>
    <mergeCell ref="C105:C106"/>
    <mergeCell ref="B95:B96"/>
    <mergeCell ref="C95:C96"/>
    <mergeCell ref="B97:B98"/>
    <mergeCell ref="C97:C98"/>
    <mergeCell ref="B99:B100"/>
    <mergeCell ref="C99:C100"/>
    <mergeCell ref="C146:C151"/>
    <mergeCell ref="B119:B120"/>
    <mergeCell ref="C119:C120"/>
    <mergeCell ref="B121:B124"/>
    <mergeCell ref="C121:C124"/>
    <mergeCell ref="B125:B130"/>
    <mergeCell ref="C125:C130"/>
    <mergeCell ref="B107:B110"/>
    <mergeCell ref="C107:C110"/>
    <mergeCell ref="B111:B114"/>
    <mergeCell ref="C111:C114"/>
    <mergeCell ref="B115:B118"/>
    <mergeCell ref="C115:C118"/>
    <mergeCell ref="M3:P6"/>
    <mergeCell ref="M7:P39"/>
    <mergeCell ref="M40:P47"/>
    <mergeCell ref="M48:P119"/>
    <mergeCell ref="M120:P127"/>
    <mergeCell ref="M128:P202"/>
    <mergeCell ref="M203:P210"/>
    <mergeCell ref="B167:B184"/>
    <mergeCell ref="C167:C184"/>
    <mergeCell ref="B185:B190"/>
    <mergeCell ref="C185:C190"/>
    <mergeCell ref="B192:B202"/>
    <mergeCell ref="C192:C202"/>
    <mergeCell ref="B152:B156"/>
    <mergeCell ref="C152:C156"/>
    <mergeCell ref="B157:B158"/>
    <mergeCell ref="C157:C158"/>
    <mergeCell ref="B159:B166"/>
    <mergeCell ref="C159:C166"/>
    <mergeCell ref="B131:B137"/>
    <mergeCell ref="C131:C137"/>
    <mergeCell ref="B138:B145"/>
    <mergeCell ref="C138:C145"/>
    <mergeCell ref="B146:B151"/>
  </mergeCells>
  <conditionalFormatting sqref="F3:G202 A3:D202 J3:K202">
    <cfRule type="expression" dxfId="50" priority="7">
      <formula>$N3="IN PROGRESS"</formula>
    </cfRule>
    <cfRule type="expression" dxfId="49" priority="8">
      <formula>$N3="N"</formula>
    </cfRule>
    <cfRule type="expression" dxfId="48" priority="9">
      <formula>$N3="Y"</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37190-5F4C-452C-88F7-8DC8B39B3AC6}">
  <dimension ref="A1:P296"/>
  <sheetViews>
    <sheetView zoomScale="115" zoomScaleNormal="115" workbookViewId="0">
      <pane ySplit="2" topLeftCell="A3" activePane="bottomLeft" state="frozen"/>
      <selection pane="bottomLeft" activeCell="A7" sqref="A7"/>
    </sheetView>
  </sheetViews>
  <sheetFormatPr defaultRowHeight="15"/>
  <cols>
    <col min="1" max="1" width="11" bestFit="1" customWidth="1"/>
    <col min="2" max="2" width="12.85546875" customWidth="1"/>
    <col min="3" max="4" width="46.5703125" customWidth="1"/>
    <col min="7" max="7" width="66" bestFit="1" customWidth="1"/>
    <col min="8" max="9" width="10.42578125" bestFit="1" customWidth="1"/>
    <col min="10" max="10" width="13.85546875" customWidth="1"/>
    <col min="12" max="12" width="2.140625" customWidth="1"/>
    <col min="17" max="17" width="1.5703125" customWidth="1"/>
  </cols>
  <sheetData>
    <row r="1" spans="1:16" ht="32.450000000000003" customHeight="1">
      <c r="A1" s="775" t="s">
        <v>2544</v>
      </c>
      <c r="B1" s="776"/>
      <c r="C1" s="776"/>
      <c r="D1" s="776"/>
      <c r="E1" s="776"/>
      <c r="F1" s="776"/>
      <c r="G1" s="776"/>
      <c r="L1" s="318"/>
      <c r="M1" s="315"/>
      <c r="N1" s="316"/>
      <c r="O1" s="316"/>
      <c r="P1" s="317"/>
    </row>
    <row r="2" spans="1:16" s="297" customFormat="1" ht="30.75">
      <c r="A2" s="283" t="s">
        <v>112</v>
      </c>
      <c r="B2" s="284" t="s">
        <v>113</v>
      </c>
      <c r="C2" s="284" t="s">
        <v>114</v>
      </c>
      <c r="D2" s="284" t="s">
        <v>115</v>
      </c>
      <c r="E2" s="284" t="s">
        <v>116</v>
      </c>
      <c r="F2" s="284" t="s">
        <v>117</v>
      </c>
      <c r="G2" s="284" t="s">
        <v>118</v>
      </c>
      <c r="H2" s="291" t="s">
        <v>119</v>
      </c>
      <c r="I2" s="291" t="s">
        <v>120</v>
      </c>
      <c r="J2" s="291" t="s">
        <v>121</v>
      </c>
      <c r="K2" s="292" t="s">
        <v>122</v>
      </c>
      <c r="L2" s="320"/>
      <c r="M2" s="312" t="s">
        <v>123</v>
      </c>
      <c r="N2" s="294" t="s">
        <v>124</v>
      </c>
      <c r="O2" s="295" t="s">
        <v>125</v>
      </c>
      <c r="P2" s="296" t="s">
        <v>126</v>
      </c>
    </row>
    <row r="3" spans="1:16" s="731" customFormat="1" ht="15" customHeight="1">
      <c r="A3" s="725" t="s">
        <v>30</v>
      </c>
      <c r="B3" s="726">
        <v>1450</v>
      </c>
      <c r="C3" s="726" t="s">
        <v>2545</v>
      </c>
      <c r="D3" s="726" t="s">
        <v>2546</v>
      </c>
      <c r="E3" s="726" t="s">
        <v>784</v>
      </c>
      <c r="F3" s="726">
        <v>1.0900000000000001</v>
      </c>
      <c r="G3" s="727" t="s">
        <v>2547</v>
      </c>
      <c r="H3" s="728">
        <v>45847</v>
      </c>
      <c r="I3" s="728">
        <v>45869</v>
      </c>
      <c r="J3" s="753" t="str" cm="1">
        <f t="array" ref="J3">IF(ISBLANK(I3), IF(ISBLANK(H3), "N/A", _xlfn.IFS(K3="AS", H3+15, K3="NCR", H3+30, K3="submitted", H3+30, TRUE, "N/A")), _xlfn.IFS(K3="AS", I3+15, K3="NCR", I3+30, K3="submitted", I3+30, TRUE, "N/A"))</f>
        <v>N/A</v>
      </c>
      <c r="K3" s="729" t="s">
        <v>146</v>
      </c>
      <c r="L3" s="318"/>
      <c r="M3" s="766" t="s">
        <v>132</v>
      </c>
      <c r="N3" s="767"/>
      <c r="O3" s="767"/>
      <c r="P3" s="768"/>
    </row>
    <row r="4" spans="1:16" s="731" customFormat="1" ht="15" customHeight="1">
      <c r="A4" s="725" t="s">
        <v>106</v>
      </c>
      <c r="B4" s="726">
        <v>1450</v>
      </c>
      <c r="C4" s="726" t="s">
        <v>2545</v>
      </c>
      <c r="D4" s="726" t="s">
        <v>2548</v>
      </c>
      <c r="E4" s="726" t="s">
        <v>784</v>
      </c>
      <c r="F4" s="726">
        <v>1.0900000000000001</v>
      </c>
      <c r="G4" s="727" t="s">
        <v>2549</v>
      </c>
      <c r="H4" s="728">
        <v>45898</v>
      </c>
      <c r="I4" s="728">
        <v>45917</v>
      </c>
      <c r="J4" s="753" t="str" cm="1">
        <f t="array" ref="J4">IF(ISBLANK(I4), IF(ISBLANK(H4), "N/A", _xlfn.IFS(K4="AS", H4+15, K4="NCR", H4+30, K4="submitted", H4+30, TRUE, "N/A")), _xlfn.IFS(K4="AS", I4+15, K4="NCR", I4+30, K4="submitted", I4+30, TRUE, "N/A"))</f>
        <v>N/A</v>
      </c>
      <c r="K4" s="729" t="s">
        <v>146</v>
      </c>
      <c r="L4" s="318"/>
      <c r="M4" s="769"/>
      <c r="N4" s="770"/>
      <c r="O4" s="770"/>
      <c r="P4" s="771"/>
    </row>
    <row r="5" spans="1:16" s="731" customFormat="1" ht="15" customHeight="1">
      <c r="A5" s="725" t="s">
        <v>2550</v>
      </c>
      <c r="B5" s="726">
        <v>1450</v>
      </c>
      <c r="C5" s="726" t="s">
        <v>2545</v>
      </c>
      <c r="D5" s="726" t="s">
        <v>2551</v>
      </c>
      <c r="E5" s="726" t="s">
        <v>784</v>
      </c>
      <c r="F5" s="726">
        <v>1.0900000000000001</v>
      </c>
      <c r="G5" s="727" t="s">
        <v>2552</v>
      </c>
      <c r="H5" s="728">
        <v>45924</v>
      </c>
      <c r="I5" s="728">
        <v>45925</v>
      </c>
      <c r="J5" s="753" t="str" cm="1">
        <f t="array" ref="J5">IF(ISBLANK(I5), IF(ISBLANK(H5), "N/A", _xlfn.IFS(K5="AS", H5+15, K5="NCR", H5+30, K5="submitted", H5+30, TRUE, "N/A")), _xlfn.IFS(K5="AS", I5+15, K5="NCR", I5+30, K5="submitted", I5+30, TRUE, "N/A"))</f>
        <v>N/A</v>
      </c>
      <c r="K5" s="729" t="s">
        <v>146</v>
      </c>
      <c r="L5" s="318"/>
      <c r="M5" s="769"/>
      <c r="N5" s="770"/>
      <c r="O5" s="770"/>
      <c r="P5" s="771"/>
    </row>
    <row r="6" spans="1:16" s="712" customFormat="1" ht="15" customHeight="1">
      <c r="A6" s="707" t="s">
        <v>2553</v>
      </c>
      <c r="B6" s="708">
        <v>1450</v>
      </c>
      <c r="C6" s="708" t="s">
        <v>2545</v>
      </c>
      <c r="D6" s="708" t="s">
        <v>2551</v>
      </c>
      <c r="E6" s="708" t="s">
        <v>784</v>
      </c>
      <c r="F6" s="708">
        <v>1.0900000000000001</v>
      </c>
      <c r="G6" s="709" t="s">
        <v>2552</v>
      </c>
      <c r="H6" s="710">
        <v>45925</v>
      </c>
      <c r="I6" s="710"/>
      <c r="J6" s="753" cm="1">
        <f t="array" ref="J6">IF(ISBLANK(I6), IF(ISBLANK(H6), "N/A", _xlfn.IFS(K6="AS", H6+15, K6="NCR", H6+30, K6="submitted", H6+30, TRUE, "N/A")), _xlfn.IFS(K6="AS", I6+15, K6="NCR", I6+30, K6="submitted", I6+30, TRUE, "N/A"))</f>
        <v>45955</v>
      </c>
      <c r="K6" s="711" t="s">
        <v>154</v>
      </c>
      <c r="L6" s="318"/>
      <c r="M6" s="769"/>
      <c r="N6" s="770"/>
      <c r="O6" s="770"/>
      <c r="P6" s="771"/>
    </row>
    <row r="7" spans="1:16" s="718" customFormat="1" ht="34.5" customHeight="1">
      <c r="A7" s="67"/>
      <c r="B7" s="713" t="s">
        <v>2554</v>
      </c>
      <c r="C7" s="714" t="s">
        <v>2555</v>
      </c>
      <c r="D7" s="714"/>
      <c r="E7" s="72"/>
      <c r="F7" s="67" t="s">
        <v>210</v>
      </c>
      <c r="G7" s="715" t="s">
        <v>2556</v>
      </c>
      <c r="H7" s="716"/>
      <c r="I7" s="716"/>
      <c r="J7" s="753" t="str" cm="1">
        <f t="array" ref="J7">IF(ISBLANK(I7), IF(ISBLANK(H7), "N/A", _xlfn.IFS(K7="AS", H7+15, K7="NCR", H7+30, K7="submitted", H7+30, TRUE, "N/A")), _xlfn.IFS(K7="AS", I7+15, K7="NCR", I7+30, K7="submitted", I7+30, TRUE, "N/A"))</f>
        <v>N/A</v>
      </c>
      <c r="K7" s="717"/>
      <c r="L7" s="318"/>
      <c r="M7" s="772" t="s">
        <v>147</v>
      </c>
      <c r="N7" s="773"/>
      <c r="O7" s="773"/>
      <c r="P7" s="774"/>
    </row>
    <row r="8" spans="1:16" s="718" customFormat="1" ht="42.75" customHeight="1">
      <c r="A8" s="719"/>
      <c r="B8" s="713" t="s">
        <v>2554</v>
      </c>
      <c r="C8" s="720" t="s">
        <v>2555</v>
      </c>
      <c r="D8" s="720"/>
      <c r="E8" s="721"/>
      <c r="F8" s="719" t="s">
        <v>328</v>
      </c>
      <c r="G8" s="722" t="s">
        <v>2557</v>
      </c>
      <c r="H8" s="723"/>
      <c r="I8" s="723"/>
      <c r="J8" s="753" t="str" cm="1">
        <f t="array" ref="J8">IF(ISBLANK(I8), IF(ISBLANK(H8), "N/A", _xlfn.IFS(K8="AS", H8+15, K8="NCR", H8+30, K8="submitted", H8+30, TRUE, "N/A")), _xlfn.IFS(K8="AS", I8+15, K8="NCR", I8+30, K8="submitted", I8+30, TRUE, "N/A"))</f>
        <v>N/A</v>
      </c>
      <c r="K8" s="717"/>
      <c r="L8" s="318"/>
      <c r="M8" s="772"/>
      <c r="N8" s="773"/>
      <c r="O8" s="773"/>
      <c r="P8" s="774"/>
    </row>
    <row r="9" spans="1:16" s="718" customFormat="1" ht="33.75" customHeight="1">
      <c r="A9" s="719"/>
      <c r="B9" s="713" t="s">
        <v>2554</v>
      </c>
      <c r="C9" s="720" t="s">
        <v>2555</v>
      </c>
      <c r="D9" s="720"/>
      <c r="E9" s="721"/>
      <c r="F9" s="719" t="s">
        <v>329</v>
      </c>
      <c r="G9" s="722" t="s">
        <v>2558</v>
      </c>
      <c r="H9" s="723"/>
      <c r="I9" s="723"/>
      <c r="J9" s="753" t="str" cm="1">
        <f t="array" ref="J9">IF(ISBLANK(I9), IF(ISBLANK(H9), "N/A", _xlfn.IFS(K9="AS", H9+15, K9="NCR", H9+30, K9="submitted", H9+30, TRUE, "N/A")), _xlfn.IFS(K9="AS", I9+15, K9="NCR", I9+30, K9="submitted", I9+30, TRUE, "N/A"))</f>
        <v>N/A</v>
      </c>
      <c r="K9" s="717"/>
      <c r="L9" s="318"/>
      <c r="M9" s="772"/>
      <c r="N9" s="773"/>
      <c r="O9" s="773"/>
      <c r="P9" s="774"/>
    </row>
    <row r="10" spans="1:16" s="718" customFormat="1" ht="24.75" customHeight="1">
      <c r="A10" s="719"/>
      <c r="B10" s="713" t="s">
        <v>2554</v>
      </c>
      <c r="C10" s="720" t="s">
        <v>2555</v>
      </c>
      <c r="D10" s="720"/>
      <c r="E10" s="721"/>
      <c r="F10" s="719" t="s">
        <v>396</v>
      </c>
      <c r="G10" s="724" t="s">
        <v>2559</v>
      </c>
      <c r="H10" s="723"/>
      <c r="I10" s="723"/>
      <c r="J10" s="753" t="str" cm="1">
        <f t="array" ref="J10">IF(ISBLANK(I10), IF(ISBLANK(H10), "N/A", _xlfn.IFS(K10="AS", H10+15, K10="NCR", H10+30, K10="submitted", H10+30, TRUE, "N/A")), _xlfn.IFS(K10="AS", I10+15, K10="NCR", I10+30, K10="submitted", I10+30, TRUE, "N/A"))</f>
        <v>N/A</v>
      </c>
      <c r="K10" s="717"/>
      <c r="L10" s="318"/>
      <c r="M10" s="772"/>
      <c r="N10" s="773"/>
      <c r="O10" s="773"/>
      <c r="P10" s="774"/>
    </row>
    <row r="11" spans="1:16" s="5" customFormat="1" ht="27" customHeight="1">
      <c r="A11" s="4"/>
      <c r="B11" s="15" t="s">
        <v>2560</v>
      </c>
      <c r="C11" s="17" t="s">
        <v>2561</v>
      </c>
      <c r="D11" s="17"/>
      <c r="E11" s="17"/>
      <c r="F11" s="4" t="s">
        <v>747</v>
      </c>
      <c r="G11" s="161" t="s">
        <v>2562</v>
      </c>
      <c r="H11" s="253"/>
      <c r="I11" s="253"/>
      <c r="J11" s="753" t="str" cm="1">
        <f t="array" ref="J11">IF(ISBLANK(I11), IF(ISBLANK(H11), "N/A", _xlfn.IFS(K11="AS", H11+15, K11="NCR", H11+30, K11="submitted", H11+30, TRUE, "N/A")), _xlfn.IFS(K11="AS", I11+15, K11="NCR", I11+30, K11="submitted", I11+30, TRUE, "N/A"))</f>
        <v>N/A</v>
      </c>
      <c r="K11"/>
      <c r="L11" s="318"/>
      <c r="M11" s="772"/>
      <c r="N11" s="773"/>
      <c r="O11" s="773"/>
      <c r="P11" s="774"/>
    </row>
    <row r="12" spans="1:16" s="5" customFormat="1" ht="27" customHeight="1">
      <c r="A12" s="4"/>
      <c r="B12" s="15" t="s">
        <v>2560</v>
      </c>
      <c r="C12" s="17"/>
      <c r="D12" s="17"/>
      <c r="E12" s="17"/>
      <c r="F12" s="4" t="s">
        <v>475</v>
      </c>
      <c r="G12" s="161" t="s">
        <v>2563</v>
      </c>
      <c r="H12" s="253"/>
      <c r="I12" s="253"/>
      <c r="J12" s="753" t="str" cm="1">
        <f t="array" ref="J12">IF(ISBLANK(I12), IF(ISBLANK(H12), "N/A", _xlfn.IFS(K12="AS", H12+15, K12="NCR", H12+30, K12="submitted", H12+30, TRUE, "N/A")), _xlfn.IFS(K12="AS", I12+15, K12="NCR", I12+30, K12="submitted", I12+30, TRUE, "N/A"))</f>
        <v>N/A</v>
      </c>
      <c r="K12"/>
      <c r="L12" s="319"/>
      <c r="M12" s="772"/>
      <c r="N12" s="773"/>
      <c r="O12" s="773"/>
      <c r="P12" s="774"/>
    </row>
    <row r="13" spans="1:16" s="267" customFormat="1" ht="15" customHeight="1">
      <c r="A13" s="562" t="s">
        <v>108</v>
      </c>
      <c r="B13" s="563">
        <v>1460</v>
      </c>
      <c r="C13" s="265" t="s">
        <v>2564</v>
      </c>
      <c r="D13" s="265"/>
      <c r="E13" s="265" t="s">
        <v>2565</v>
      </c>
      <c r="F13" s="263"/>
      <c r="G13" s="564" t="s">
        <v>2566</v>
      </c>
      <c r="H13" s="565">
        <v>45796</v>
      </c>
      <c r="I13" s="565">
        <v>45903</v>
      </c>
      <c r="J13" s="753" cm="1">
        <f t="array" ref="J13">IF(ISBLANK(I13), IF(ISBLANK(H13), "N/A", _xlfn.IFS(K13="AS", H13+15, K13="NCR", H13+30, K13="submitted", H13+30, TRUE, "N/A")), _xlfn.IFS(K13="AS", I13+15, K13="NCR", I13+30, K13="submitted", I13+30, TRUE, "N/A"))</f>
        <v>45933</v>
      </c>
      <c r="K13" s="384" t="s">
        <v>207</v>
      </c>
      <c r="L13" s="318"/>
      <c r="M13" s="772"/>
      <c r="N13" s="773"/>
      <c r="O13" s="773"/>
      <c r="P13" s="774"/>
    </row>
    <row r="14" spans="1:16" s="138" customFormat="1" ht="15" customHeight="1">
      <c r="A14" s="298" t="s">
        <v>2567</v>
      </c>
      <c r="B14" s="173" t="s">
        <v>2568</v>
      </c>
      <c r="C14" s="153" t="s">
        <v>2569</v>
      </c>
      <c r="D14" s="153"/>
      <c r="E14" s="153" t="s">
        <v>198</v>
      </c>
      <c r="F14" s="152" t="s">
        <v>130</v>
      </c>
      <c r="G14" s="163" t="s">
        <v>2570</v>
      </c>
      <c r="H14" s="254">
        <v>45754</v>
      </c>
      <c r="I14" s="254">
        <v>45769</v>
      </c>
      <c r="J14" s="753" t="str" cm="1">
        <f t="array" ref="J14">IF(ISBLANK(I14), IF(ISBLANK(H14), "N/A", _xlfn.IFS(K14="AS", H14+15, K14="NCR", H14+30, K14="submitted", H14+30, TRUE, "N/A")), _xlfn.IFS(K14="AS", I14+15, K14="NCR", I14+30, K14="submitted", I14+30, TRUE, "N/A"))</f>
        <v>N/A</v>
      </c>
      <c r="K14" s="152" t="s">
        <v>1377</v>
      </c>
      <c r="L14" s="318"/>
      <c r="M14" s="772"/>
      <c r="N14" s="773"/>
      <c r="O14" s="773"/>
      <c r="P14" s="774"/>
    </row>
    <row r="15" spans="1:16" s="138" customFormat="1" ht="15" customHeight="1">
      <c r="A15" s="299"/>
      <c r="B15" s="173" t="s">
        <v>2568</v>
      </c>
      <c r="C15" s="153"/>
      <c r="D15" s="153"/>
      <c r="E15" s="153"/>
      <c r="F15" s="152" t="s">
        <v>133</v>
      </c>
      <c r="G15" s="163" t="s">
        <v>2571</v>
      </c>
      <c r="H15" s="254">
        <v>45754</v>
      </c>
      <c r="I15" s="254">
        <v>45769</v>
      </c>
      <c r="J15" s="753" t="str" cm="1">
        <f t="array" ref="J15">IF(ISBLANK(I15), IF(ISBLANK(H15), "N/A", _xlfn.IFS(K15="AS", H15+15, K15="NCR", H15+30, K15="submitted", H15+30, TRUE, "N/A")), _xlfn.IFS(K15="AS", I15+15, K15="NCR", I15+30, K15="submitted", I15+30, TRUE, "N/A"))</f>
        <v>N/A</v>
      </c>
      <c r="K15" s="139"/>
      <c r="L15" s="318"/>
      <c r="M15" s="772"/>
      <c r="N15" s="773"/>
      <c r="O15" s="773"/>
      <c r="P15" s="774"/>
    </row>
    <row r="16" spans="1:16" s="138" customFormat="1" ht="15" customHeight="1">
      <c r="A16" s="299"/>
      <c r="B16" s="173" t="s">
        <v>2568</v>
      </c>
      <c r="C16" s="153"/>
      <c r="D16" s="153"/>
      <c r="E16" s="153"/>
      <c r="F16" s="152" t="s">
        <v>135</v>
      </c>
      <c r="G16" s="163" t="s">
        <v>2572</v>
      </c>
      <c r="H16" s="254">
        <v>45754</v>
      </c>
      <c r="I16" s="254">
        <v>45769</v>
      </c>
      <c r="J16" s="753" t="str" cm="1">
        <f t="array" ref="J16">IF(ISBLANK(I16), IF(ISBLANK(H16), "N/A", _xlfn.IFS(K16="AS", H16+15, K16="NCR", H16+30, K16="submitted", H16+30, TRUE, "N/A")), _xlfn.IFS(K16="AS", I16+15, K16="NCR", I16+30, K16="submitted", I16+30, TRUE, "N/A"))</f>
        <v>N/A</v>
      </c>
      <c r="K16" s="139"/>
      <c r="L16" s="318"/>
      <c r="M16" s="772"/>
      <c r="N16" s="773"/>
      <c r="O16" s="773"/>
      <c r="P16" s="774"/>
    </row>
    <row r="17" spans="1:16" s="138" customFormat="1" ht="15" customHeight="1">
      <c r="A17" s="133"/>
      <c r="B17" s="173" t="s">
        <v>2568</v>
      </c>
      <c r="C17" s="153"/>
      <c r="D17" s="153"/>
      <c r="E17" s="153"/>
      <c r="F17" s="152" t="s">
        <v>137</v>
      </c>
      <c r="G17" s="163" t="s">
        <v>2573</v>
      </c>
      <c r="H17" s="254">
        <v>45754</v>
      </c>
      <c r="I17" s="254">
        <v>45769</v>
      </c>
      <c r="J17" s="753" t="str" cm="1">
        <f t="array" ref="J17">IF(ISBLANK(I17), IF(ISBLANK(H17), "N/A", _xlfn.IFS(K17="AS", H17+15, K17="NCR", H17+30, K17="submitted", H17+30, TRUE, "N/A")), _xlfn.IFS(K17="AS", I17+15, K17="NCR", I17+30, K17="submitted", I17+30, TRUE, "N/A"))</f>
        <v>N/A</v>
      </c>
      <c r="K17" s="139"/>
      <c r="L17" s="318"/>
      <c r="M17" s="772"/>
      <c r="N17" s="773"/>
      <c r="O17" s="773"/>
      <c r="P17" s="774"/>
    </row>
    <row r="18" spans="1:16" s="138" customFormat="1" ht="15" customHeight="1">
      <c r="A18" s="298" t="s">
        <v>2574</v>
      </c>
      <c r="B18" s="173" t="s">
        <v>2568</v>
      </c>
      <c r="C18" s="153" t="s">
        <v>2569</v>
      </c>
      <c r="D18" s="153"/>
      <c r="E18" s="153" t="s">
        <v>198</v>
      </c>
      <c r="F18" s="152" t="s">
        <v>130</v>
      </c>
      <c r="G18" s="163" t="s">
        <v>2570</v>
      </c>
      <c r="H18" s="254">
        <v>45771</v>
      </c>
      <c r="I18" s="254">
        <v>45786</v>
      </c>
      <c r="J18" s="753" t="str" cm="1">
        <f t="array" ref="J18">IF(ISBLANK(I18), IF(ISBLANK(H18), "N/A", _xlfn.IFS(K18="AS", H18+15, K18="NCR", H18+30, K18="submitted", H18+30, TRUE, "N/A")), _xlfn.IFS(K18="AS", I18+15, K18="NCR", I18+30, K18="submitted", I18+30, TRUE, "N/A"))</f>
        <v>N/A</v>
      </c>
      <c r="K18" s="152" t="s">
        <v>1377</v>
      </c>
      <c r="L18" s="318"/>
      <c r="M18" s="772"/>
      <c r="N18" s="773"/>
      <c r="O18" s="773"/>
      <c r="P18" s="774"/>
    </row>
    <row r="19" spans="1:16" s="138" customFormat="1" ht="15" customHeight="1">
      <c r="A19" s="299"/>
      <c r="B19" s="173" t="s">
        <v>2568</v>
      </c>
      <c r="C19" s="153"/>
      <c r="D19" s="153"/>
      <c r="E19" s="153"/>
      <c r="F19" s="152" t="s">
        <v>133</v>
      </c>
      <c r="G19" s="163" t="s">
        <v>2571</v>
      </c>
      <c r="H19" s="254">
        <v>45771</v>
      </c>
      <c r="I19" s="254">
        <v>45786</v>
      </c>
      <c r="J19" s="753" t="str" cm="1">
        <f t="array" ref="J19">IF(ISBLANK(I19), IF(ISBLANK(H19), "N/A", _xlfn.IFS(K19="AS", H19+15, K19="NCR", H19+30, K19="submitted", H19+30, TRUE, "N/A")), _xlfn.IFS(K19="AS", I19+15, K19="NCR", I19+30, K19="submitted", I19+30, TRUE, "N/A"))</f>
        <v>N/A</v>
      </c>
      <c r="K19" s="139"/>
      <c r="L19" s="318"/>
      <c r="M19" s="772"/>
      <c r="N19" s="773"/>
      <c r="O19" s="773"/>
      <c r="P19" s="774"/>
    </row>
    <row r="20" spans="1:16" s="138" customFormat="1" ht="15" customHeight="1">
      <c r="A20" s="299"/>
      <c r="B20" s="173" t="s">
        <v>2568</v>
      </c>
      <c r="C20" s="153"/>
      <c r="D20" s="153"/>
      <c r="E20" s="153"/>
      <c r="F20" s="152" t="s">
        <v>135</v>
      </c>
      <c r="G20" s="163" t="s">
        <v>2572</v>
      </c>
      <c r="H20" s="254">
        <v>45771</v>
      </c>
      <c r="I20" s="254">
        <v>45786</v>
      </c>
      <c r="J20" s="753" t="str" cm="1">
        <f t="array" ref="J20">IF(ISBLANK(I20), IF(ISBLANK(H20), "N/A", _xlfn.IFS(K20="AS", H20+15, K20="NCR", H20+30, K20="submitted", H20+30, TRUE, "N/A")), _xlfn.IFS(K20="AS", I20+15, K20="NCR", I20+30, K20="submitted", I20+30, TRUE, "N/A"))</f>
        <v>N/A</v>
      </c>
      <c r="K20" s="139"/>
      <c r="L20" s="318"/>
      <c r="M20" s="772"/>
      <c r="N20" s="773"/>
      <c r="O20" s="773"/>
      <c r="P20" s="774"/>
    </row>
    <row r="21" spans="1:16" s="138" customFormat="1" ht="15" customHeight="1">
      <c r="A21" s="133"/>
      <c r="B21" s="173" t="s">
        <v>2568</v>
      </c>
      <c r="C21" s="153"/>
      <c r="D21" s="153"/>
      <c r="E21" s="153"/>
      <c r="F21" s="152" t="s">
        <v>137</v>
      </c>
      <c r="G21" s="163" t="s">
        <v>2573</v>
      </c>
      <c r="H21" s="254">
        <v>45771</v>
      </c>
      <c r="I21" s="254">
        <v>45786</v>
      </c>
      <c r="J21" s="753" t="str" cm="1">
        <f t="array" ref="J21">IF(ISBLANK(I21), IF(ISBLANK(H21), "N/A", _xlfn.IFS(K21="AS", H21+15, K21="NCR", H21+30, K21="submitted", H21+30, TRUE, "N/A")), _xlfn.IFS(K21="AS", I21+15, K21="NCR", I21+30, K21="submitted", I21+30, TRUE, "N/A"))</f>
        <v>N/A</v>
      </c>
      <c r="K21" s="139"/>
      <c r="L21" s="318"/>
      <c r="M21" s="772"/>
      <c r="N21" s="773"/>
      <c r="O21" s="773"/>
      <c r="P21" s="774"/>
    </row>
    <row r="22" spans="1:16" s="138" customFormat="1" ht="15" customHeight="1">
      <c r="A22" s="298" t="s">
        <v>2575</v>
      </c>
      <c r="B22" s="173" t="s">
        <v>2568</v>
      </c>
      <c r="C22" s="153" t="s">
        <v>2569</v>
      </c>
      <c r="D22" s="153"/>
      <c r="E22" s="153" t="s">
        <v>198</v>
      </c>
      <c r="F22" s="152" t="s">
        <v>130</v>
      </c>
      <c r="G22" s="163" t="s">
        <v>2570</v>
      </c>
      <c r="H22" s="254">
        <v>45786</v>
      </c>
      <c r="I22" s="254" t="s">
        <v>2576</v>
      </c>
      <c r="J22" s="753" t="str" cm="1">
        <f t="array" ref="J22">IF(ISBLANK(I22), IF(ISBLANK(H22), "N/A", _xlfn.IFS(K22="AS", H22+15, K22="NCR", H22+30, K22="submitted", H22+30, TRUE, "N/A")), _xlfn.IFS(K22="AS", I22+15, K22="NCR", I22+30, K22="submitted", I22+30, TRUE, "N/A"))</f>
        <v>N/A</v>
      </c>
      <c r="K22" s="152" t="s">
        <v>1377</v>
      </c>
      <c r="L22" s="318"/>
      <c r="M22" s="772"/>
      <c r="N22" s="773"/>
      <c r="O22" s="773"/>
      <c r="P22" s="774"/>
    </row>
    <row r="23" spans="1:16" s="138" customFormat="1" ht="15" customHeight="1">
      <c r="A23" s="299"/>
      <c r="B23" s="173" t="s">
        <v>2568</v>
      </c>
      <c r="C23" s="153"/>
      <c r="D23" s="153"/>
      <c r="E23" s="153"/>
      <c r="F23" s="152" t="s">
        <v>133</v>
      </c>
      <c r="G23" s="163" t="s">
        <v>2571</v>
      </c>
      <c r="H23" s="254">
        <v>45786</v>
      </c>
      <c r="I23" s="254" t="s">
        <v>2576</v>
      </c>
      <c r="J23" s="753" t="str" cm="1">
        <f t="array" ref="J23">IF(ISBLANK(I23), IF(ISBLANK(H23), "N/A", _xlfn.IFS(K23="AS", H23+15, K23="NCR", H23+30, K23="submitted", H23+30, TRUE, "N/A")), _xlfn.IFS(K23="AS", I23+15, K23="NCR", I23+30, K23="submitted", I23+30, TRUE, "N/A"))</f>
        <v>N/A</v>
      </c>
      <c r="K23" s="139"/>
      <c r="L23" s="318"/>
      <c r="M23" s="772"/>
      <c r="N23" s="773"/>
      <c r="O23" s="773"/>
      <c r="P23" s="774"/>
    </row>
    <row r="24" spans="1:16" s="138" customFormat="1" ht="15" customHeight="1">
      <c r="A24" s="299"/>
      <c r="B24" s="173" t="s">
        <v>2568</v>
      </c>
      <c r="C24" s="153"/>
      <c r="D24" s="153"/>
      <c r="E24" s="153"/>
      <c r="F24" s="152" t="s">
        <v>135</v>
      </c>
      <c r="G24" s="163" t="s">
        <v>2572</v>
      </c>
      <c r="H24" s="254">
        <v>45786</v>
      </c>
      <c r="I24" s="254" t="s">
        <v>2576</v>
      </c>
      <c r="J24" s="753" t="str" cm="1">
        <f t="array" ref="J24">IF(ISBLANK(I24), IF(ISBLANK(H24), "N/A", _xlfn.IFS(K24="AS", H24+15, K24="NCR", H24+30, K24="submitted", H24+30, TRUE, "N/A")), _xlfn.IFS(K24="AS", I24+15, K24="NCR", I24+30, K24="submitted", I24+30, TRUE, "N/A"))</f>
        <v>N/A</v>
      </c>
      <c r="K24" s="139"/>
      <c r="L24" s="318"/>
      <c r="M24" s="772"/>
      <c r="N24" s="773"/>
      <c r="O24" s="773"/>
      <c r="P24" s="774"/>
    </row>
    <row r="25" spans="1:16" s="138" customFormat="1" ht="15" customHeight="1">
      <c r="A25" s="133"/>
      <c r="B25" s="173" t="s">
        <v>2568</v>
      </c>
      <c r="C25" s="169"/>
      <c r="D25" s="169"/>
      <c r="E25" s="153"/>
      <c r="F25" s="152" t="s">
        <v>137</v>
      </c>
      <c r="G25" s="163" t="s">
        <v>2573</v>
      </c>
      <c r="H25" s="254">
        <v>45786</v>
      </c>
      <c r="I25" s="254" t="s">
        <v>2576</v>
      </c>
      <c r="J25" s="753" t="str" cm="1">
        <f t="array" ref="J25">IF(ISBLANK(I25), IF(ISBLANK(H25), "N/A", _xlfn.IFS(K25="AS", H25+15, K25="NCR", H25+30, K25="submitted", H25+30, TRUE, "N/A")), _xlfn.IFS(K25="AS", I25+15, K25="NCR", I25+30, K25="submitted", I25+30, TRUE, "N/A"))</f>
        <v>N/A</v>
      </c>
      <c r="K25" s="139"/>
      <c r="L25" s="318"/>
      <c r="M25" s="772"/>
      <c r="N25" s="773"/>
      <c r="O25" s="773"/>
      <c r="P25" s="774"/>
    </row>
    <row r="26" spans="1:16" ht="15" customHeight="1">
      <c r="A26" s="239"/>
      <c r="B26" s="259" t="s">
        <v>1518</v>
      </c>
      <c r="C26" s="257" t="s">
        <v>1519</v>
      </c>
      <c r="D26" s="124"/>
      <c r="E26" s="258" t="s">
        <v>1532</v>
      </c>
      <c r="F26" s="9" t="s">
        <v>275</v>
      </c>
      <c r="G26" s="162" t="s">
        <v>1520</v>
      </c>
      <c r="H26" s="253"/>
      <c r="I26" s="253"/>
      <c r="J26" s="753" t="str" cm="1">
        <f t="array" ref="J26">IF(ISBLANK(I26), IF(ISBLANK(H26), "N/A", _xlfn.IFS(K26="AS", H26+15, K26="NCR", H26+30, K26="submitted", H26+30, TRUE, "N/A")), _xlfn.IFS(K26="AS", I26+15, K26="NCR", I26+30, K26="submitted", I26+30, TRUE, "N/A"))</f>
        <v>N/A</v>
      </c>
      <c r="L26" s="318"/>
      <c r="M26" s="772"/>
      <c r="N26" s="773"/>
      <c r="O26" s="773"/>
      <c r="P26" s="774"/>
    </row>
    <row r="27" spans="1:16" ht="15" customHeight="1">
      <c r="A27" s="239"/>
      <c r="B27" s="260" t="s">
        <v>1518</v>
      </c>
      <c r="C27" s="257" t="s">
        <v>1519</v>
      </c>
      <c r="D27" s="124"/>
      <c r="E27" s="258" t="s">
        <v>2577</v>
      </c>
      <c r="F27" s="9" t="s">
        <v>321</v>
      </c>
      <c r="G27" s="162" t="s">
        <v>1521</v>
      </c>
      <c r="H27" s="253"/>
      <c r="I27" s="253"/>
      <c r="J27" s="753" t="str" cm="1">
        <f t="array" ref="J27">IF(ISBLANK(I27), IF(ISBLANK(H27), "N/A", _xlfn.IFS(K27="AS", H27+15, K27="NCR", H27+30, K27="submitted", H27+30, TRUE, "N/A")), _xlfn.IFS(K27="AS", I27+15, K27="NCR", I27+30, K27="submitted", I27+30, TRUE, "N/A"))</f>
        <v>N/A</v>
      </c>
      <c r="L27" s="318"/>
      <c r="M27" s="772"/>
      <c r="N27" s="773"/>
      <c r="O27" s="773"/>
      <c r="P27" s="774"/>
    </row>
    <row r="28" spans="1:16" s="1" customFormat="1" ht="27" customHeight="1">
      <c r="A28" s="73"/>
      <c r="B28" s="15" t="s">
        <v>2578</v>
      </c>
      <c r="C28" s="36" t="s">
        <v>2579</v>
      </c>
      <c r="D28" s="36"/>
      <c r="E28" s="17" t="s">
        <v>158</v>
      </c>
      <c r="F28" s="4" t="s">
        <v>2580</v>
      </c>
      <c r="G28" s="161" t="s">
        <v>2581</v>
      </c>
      <c r="H28" s="253"/>
      <c r="I28" s="253"/>
      <c r="J28" s="753" t="str" cm="1">
        <f t="array" ref="J28">IF(ISBLANK(I28), IF(ISBLANK(H28), "N/A", _xlfn.IFS(K28="AS", H28+15, K28="NCR", H28+30, K28="submitted", H28+30, TRUE, "N/A")), _xlfn.IFS(K28="AS", I28+15, K28="NCR", I28+30, K28="submitted", I28+30, TRUE, "N/A"))</f>
        <v>N/A</v>
      </c>
      <c r="K28"/>
      <c r="L28" s="318"/>
      <c r="M28" s="772"/>
      <c r="N28" s="773"/>
      <c r="O28" s="773"/>
      <c r="P28" s="774"/>
    </row>
    <row r="29" spans="1:16" s="1" customFormat="1" ht="15" customHeight="1">
      <c r="A29" s="4"/>
      <c r="B29" s="15" t="s">
        <v>2578</v>
      </c>
      <c r="C29" s="17"/>
      <c r="D29" s="17"/>
      <c r="E29" s="17" t="s">
        <v>158</v>
      </c>
      <c r="F29" s="4" t="s">
        <v>2582</v>
      </c>
      <c r="G29" s="132" t="s">
        <v>2583</v>
      </c>
      <c r="H29" s="253"/>
      <c r="I29" s="253"/>
      <c r="J29" s="753" t="str" cm="1">
        <f t="array" ref="J29">IF(ISBLANK(I29), IF(ISBLANK(H29), "N/A", _xlfn.IFS(K29="AS", H29+15, K29="NCR", H29+30, K29="submitted", H29+30, TRUE, "N/A")), _xlfn.IFS(K29="AS", I29+15, K29="NCR", I29+30, K29="submitted", I29+30, TRUE, "N/A"))</f>
        <v>N/A</v>
      </c>
      <c r="K29"/>
      <c r="L29" s="318"/>
      <c r="M29" s="772"/>
      <c r="N29" s="773"/>
      <c r="O29" s="773"/>
      <c r="P29" s="774"/>
    </row>
    <row r="30" spans="1:16" s="1" customFormat="1" ht="15" customHeight="1">
      <c r="A30" s="4"/>
      <c r="B30" s="15" t="s">
        <v>2578</v>
      </c>
      <c r="C30" s="17"/>
      <c r="D30" s="17"/>
      <c r="E30" s="17" t="s">
        <v>158</v>
      </c>
      <c r="F30" s="4" t="s">
        <v>2584</v>
      </c>
      <c r="G30" s="132" t="s">
        <v>2585</v>
      </c>
      <c r="H30" s="253"/>
      <c r="I30" s="253"/>
      <c r="J30" s="753" t="str" cm="1">
        <f t="array" ref="J30">IF(ISBLANK(I30), IF(ISBLANK(H30), "N/A", _xlfn.IFS(K30="AS", H30+15, K30="NCR", H30+30, K30="submitted", H30+30, TRUE, "N/A")), _xlfn.IFS(K30="AS", I30+15, K30="NCR", I30+30, K30="submitted", I30+30, TRUE, "N/A"))</f>
        <v>N/A</v>
      </c>
      <c r="K30"/>
      <c r="L30" s="318"/>
      <c r="M30" s="772"/>
      <c r="N30" s="773"/>
      <c r="O30" s="773"/>
      <c r="P30" s="774"/>
    </row>
    <row r="31" spans="1:16" s="1" customFormat="1" ht="15" customHeight="1">
      <c r="A31" s="4"/>
      <c r="B31" s="15" t="s">
        <v>2578</v>
      </c>
      <c r="C31" s="17"/>
      <c r="D31" s="17"/>
      <c r="E31" s="17" t="s">
        <v>158</v>
      </c>
      <c r="F31" s="4" t="s">
        <v>2586</v>
      </c>
      <c r="G31" s="132" t="s">
        <v>2587</v>
      </c>
      <c r="H31" s="253"/>
      <c r="I31" s="253"/>
      <c r="J31" s="753" t="str" cm="1">
        <f t="array" ref="J31">IF(ISBLANK(I31), IF(ISBLANK(H31), "N/A", _xlfn.IFS(K31="AS", H31+15, K31="NCR", H31+30, K31="submitted", H31+30, TRUE, "N/A")), _xlfn.IFS(K31="AS", I31+15, K31="NCR", I31+30, K31="submitted", I31+30, TRUE, "N/A"))</f>
        <v>N/A</v>
      </c>
      <c r="K31"/>
      <c r="L31" s="318"/>
      <c r="M31" s="772"/>
      <c r="N31" s="773"/>
      <c r="O31" s="773"/>
      <c r="P31" s="774"/>
    </row>
    <row r="32" spans="1:16" s="1" customFormat="1" ht="15" customHeight="1">
      <c r="A32" s="4"/>
      <c r="B32" s="15" t="s">
        <v>2578</v>
      </c>
      <c r="C32" s="17"/>
      <c r="D32" s="17"/>
      <c r="E32" s="17" t="s">
        <v>158</v>
      </c>
      <c r="F32" s="4" t="s">
        <v>2588</v>
      </c>
      <c r="G32" s="132" t="s">
        <v>2589</v>
      </c>
      <c r="H32" s="253"/>
      <c r="I32" s="253"/>
      <c r="J32" s="753" t="str" cm="1">
        <f t="array" ref="J32">IF(ISBLANK(I32), IF(ISBLANK(H32), "N/A", _xlfn.IFS(K32="AS", H32+15, K32="NCR", H32+30, K32="submitted", H32+30, TRUE, "N/A")), _xlfn.IFS(K32="AS", I32+15, K32="NCR", I32+30, K32="submitted", I32+30, TRUE, "N/A"))</f>
        <v>N/A</v>
      </c>
      <c r="K32"/>
      <c r="L32" s="318"/>
      <c r="M32" s="772"/>
      <c r="N32" s="773"/>
      <c r="O32" s="773"/>
      <c r="P32" s="774"/>
    </row>
    <row r="33" spans="1:16" s="1" customFormat="1" ht="15" customHeight="1">
      <c r="A33" s="4"/>
      <c r="B33" s="15" t="s">
        <v>2578</v>
      </c>
      <c r="C33" s="17"/>
      <c r="D33" s="17"/>
      <c r="E33" s="17" t="s">
        <v>158</v>
      </c>
      <c r="F33" s="4" t="s">
        <v>2590</v>
      </c>
      <c r="G33" s="132" t="s">
        <v>2591</v>
      </c>
      <c r="H33" s="253"/>
      <c r="I33" s="253"/>
      <c r="J33" s="753" t="str" cm="1">
        <f t="array" ref="J33">IF(ISBLANK(I33), IF(ISBLANK(H33), "N/A", _xlfn.IFS(K33="AS", H33+15, K33="NCR", H33+30, K33="submitted", H33+30, TRUE, "N/A")), _xlfn.IFS(K33="AS", I33+15, K33="NCR", I33+30, K33="submitted", I33+30, TRUE, "N/A"))</f>
        <v>N/A</v>
      </c>
      <c r="K33"/>
      <c r="L33" s="318"/>
      <c r="M33" s="772"/>
      <c r="N33" s="773"/>
      <c r="O33" s="773"/>
      <c r="P33" s="774"/>
    </row>
    <row r="34" spans="1:16" s="1" customFormat="1" ht="15" customHeight="1">
      <c r="A34" s="4"/>
      <c r="B34" s="15" t="s">
        <v>2578</v>
      </c>
      <c r="C34" s="17"/>
      <c r="D34" s="17"/>
      <c r="E34" s="17" t="s">
        <v>158</v>
      </c>
      <c r="F34" s="4" t="s">
        <v>2592</v>
      </c>
      <c r="G34" s="132" t="s">
        <v>2593</v>
      </c>
      <c r="H34" s="253"/>
      <c r="I34" s="253"/>
      <c r="J34" s="753" t="str" cm="1">
        <f t="array" ref="J34">IF(ISBLANK(I34), IF(ISBLANK(H34), "N/A", _xlfn.IFS(K34="AS", H34+15, K34="NCR", H34+30, K34="submitted", H34+30, TRUE, "N/A")), _xlfn.IFS(K34="AS", I34+15, K34="NCR", I34+30, K34="submitted", I34+30, TRUE, "N/A"))</f>
        <v>N/A</v>
      </c>
      <c r="K34"/>
      <c r="L34" s="318"/>
      <c r="M34" s="772"/>
      <c r="N34" s="773"/>
      <c r="O34" s="773"/>
      <c r="P34" s="774"/>
    </row>
    <row r="35" spans="1:16" s="1" customFormat="1" ht="27" customHeight="1">
      <c r="A35" s="4"/>
      <c r="B35" s="15" t="s">
        <v>2578</v>
      </c>
      <c r="C35" s="17"/>
      <c r="D35" s="17"/>
      <c r="E35" s="17" t="s">
        <v>158</v>
      </c>
      <c r="F35" s="4" t="s">
        <v>2594</v>
      </c>
      <c r="G35" s="161" t="s">
        <v>2595</v>
      </c>
      <c r="H35" s="253"/>
      <c r="I35" s="253"/>
      <c r="J35" s="753" t="str" cm="1">
        <f t="array" ref="J35">IF(ISBLANK(I35), IF(ISBLANK(H35), "N/A", _xlfn.IFS(K35="AS", H35+15, K35="NCR", H35+30, K35="submitted", H35+30, TRUE, "N/A")), _xlfn.IFS(K35="AS", I35+15, K35="NCR", I35+30, K35="submitted", I35+30, TRUE, "N/A"))</f>
        <v>N/A</v>
      </c>
      <c r="K35"/>
      <c r="L35" s="318"/>
      <c r="M35" s="772"/>
      <c r="N35" s="773"/>
      <c r="O35" s="773"/>
      <c r="P35" s="774"/>
    </row>
    <row r="36" spans="1:16" s="1" customFormat="1" ht="27" customHeight="1">
      <c r="A36" s="4"/>
      <c r="B36" s="15" t="s">
        <v>2578</v>
      </c>
      <c r="C36" s="17"/>
      <c r="D36" s="17"/>
      <c r="E36" s="17" t="s">
        <v>158</v>
      </c>
      <c r="F36" s="4" t="s">
        <v>2596</v>
      </c>
      <c r="G36" s="161" t="s">
        <v>2597</v>
      </c>
      <c r="H36" s="253"/>
      <c r="I36" s="253"/>
      <c r="J36" s="753" t="str" cm="1">
        <f t="array" ref="J36">IF(ISBLANK(I36), IF(ISBLANK(H36), "N/A", _xlfn.IFS(K36="AS", H36+15, K36="NCR", H36+30, K36="submitted", H36+30, TRUE, "N/A")), _xlfn.IFS(K36="AS", I36+15, K36="NCR", I36+30, K36="submitted", I36+30, TRUE, "N/A"))</f>
        <v>N/A</v>
      </c>
      <c r="K36"/>
      <c r="L36" s="318"/>
      <c r="M36" s="772"/>
      <c r="N36" s="773"/>
      <c r="O36" s="773"/>
      <c r="P36" s="774"/>
    </row>
    <row r="37" spans="1:16" s="1" customFormat="1" ht="15" customHeight="1">
      <c r="A37" s="4"/>
      <c r="B37" s="15" t="s">
        <v>2578</v>
      </c>
      <c r="C37" s="17"/>
      <c r="D37" s="17"/>
      <c r="E37" s="17" t="s">
        <v>158</v>
      </c>
      <c r="F37" s="4" t="s">
        <v>2598</v>
      </c>
      <c r="G37" s="132" t="s">
        <v>2599</v>
      </c>
      <c r="H37" s="253"/>
      <c r="I37" s="253"/>
      <c r="J37" s="753" t="str" cm="1">
        <f t="array" ref="J37">IF(ISBLANK(I37), IF(ISBLANK(H37), "N/A", _xlfn.IFS(K37="AS", H37+15, K37="NCR", H37+30, K37="submitted", H37+30, TRUE, "N/A")), _xlfn.IFS(K37="AS", I37+15, K37="NCR", I37+30, K37="submitted", I37+30, TRUE, "N/A"))</f>
        <v>N/A</v>
      </c>
      <c r="K37"/>
      <c r="L37" s="318"/>
      <c r="M37" s="772"/>
      <c r="N37" s="773"/>
      <c r="O37" s="773"/>
      <c r="P37" s="774"/>
    </row>
    <row r="38" spans="1:16" s="1" customFormat="1" ht="27" customHeight="1">
      <c r="A38" s="4"/>
      <c r="B38" s="15" t="s">
        <v>2578</v>
      </c>
      <c r="C38" s="17"/>
      <c r="D38" s="17"/>
      <c r="E38" s="17" t="s">
        <v>158</v>
      </c>
      <c r="F38" s="4" t="s">
        <v>2600</v>
      </c>
      <c r="G38" s="161" t="s">
        <v>2601</v>
      </c>
      <c r="H38" s="253"/>
      <c r="I38" s="253"/>
      <c r="J38" s="753" t="str" cm="1">
        <f t="array" ref="J38">IF(ISBLANK(I38), IF(ISBLANK(H38), "N/A", _xlfn.IFS(K38="AS", H38+15, K38="NCR", H38+30, K38="submitted", H38+30, TRUE, "N/A")), _xlfn.IFS(K38="AS", I38+15, K38="NCR", I38+30, K38="submitted", I38+30, TRUE, "N/A"))</f>
        <v>N/A</v>
      </c>
      <c r="K38"/>
      <c r="L38" s="318"/>
      <c r="M38" s="772"/>
      <c r="N38" s="773"/>
      <c r="O38" s="773"/>
      <c r="P38" s="774"/>
    </row>
    <row r="39" spans="1:16" s="1" customFormat="1" ht="15" customHeight="1">
      <c r="A39" s="4"/>
      <c r="B39" s="15" t="s">
        <v>2578</v>
      </c>
      <c r="C39" s="17"/>
      <c r="D39" s="17"/>
      <c r="E39" s="17" t="s">
        <v>158</v>
      </c>
      <c r="F39" s="4" t="s">
        <v>2602</v>
      </c>
      <c r="G39" s="132" t="s">
        <v>2603</v>
      </c>
      <c r="H39" s="253"/>
      <c r="I39" s="253"/>
      <c r="J39" s="753" t="str" cm="1">
        <f t="array" ref="J39">IF(ISBLANK(I39), IF(ISBLANK(H39), "N/A", _xlfn.IFS(K39="AS", H39+15, K39="NCR", H39+30, K39="submitted", H39+30, TRUE, "N/A")), _xlfn.IFS(K39="AS", I39+15, K39="NCR", I39+30, K39="submitted", I39+30, TRUE, "N/A"))</f>
        <v>N/A</v>
      </c>
      <c r="K39"/>
      <c r="L39" s="318"/>
      <c r="M39" s="781"/>
      <c r="N39" s="782"/>
      <c r="O39" s="782"/>
      <c r="P39" s="783"/>
    </row>
    <row r="40" spans="1:16" s="1" customFormat="1" ht="27" customHeight="1">
      <c r="A40" s="4"/>
      <c r="B40" s="15" t="s">
        <v>2578</v>
      </c>
      <c r="C40" s="17"/>
      <c r="D40" s="17"/>
      <c r="E40" s="17" t="s">
        <v>158</v>
      </c>
      <c r="F40" s="4" t="s">
        <v>2604</v>
      </c>
      <c r="G40" s="161" t="s">
        <v>2605</v>
      </c>
      <c r="H40" s="253"/>
      <c r="I40" s="253"/>
      <c r="J40" s="753" t="str" cm="1">
        <f t="array" ref="J40">IF(ISBLANK(I40), IF(ISBLANK(H40), "N/A", _xlfn.IFS(K40="AS", H40+15, K40="NCR", H40+30, K40="submitted", H40+30, TRUE, "N/A")), _xlfn.IFS(K40="AS", I40+15, K40="NCR", I40+30, K40="submitted", I40+30, TRUE, "N/A"))</f>
        <v>N/A</v>
      </c>
      <c r="K40"/>
      <c r="L40" s="318"/>
      <c r="M40" s="766" t="s">
        <v>132</v>
      </c>
      <c r="N40" s="767"/>
      <c r="O40" s="767"/>
      <c r="P40" s="768"/>
    </row>
    <row r="41" spans="1:16" s="1" customFormat="1" ht="15" customHeight="1">
      <c r="A41" s="4"/>
      <c r="B41" s="15" t="s">
        <v>2578</v>
      </c>
      <c r="C41" s="17"/>
      <c r="D41" s="17"/>
      <c r="E41" s="17" t="s">
        <v>158</v>
      </c>
      <c r="F41" s="4" t="s">
        <v>2606</v>
      </c>
      <c r="G41" s="132" t="s">
        <v>2607</v>
      </c>
      <c r="H41" s="253"/>
      <c r="I41" s="253"/>
      <c r="J41" s="753" t="str" cm="1">
        <f t="array" ref="J41">IF(ISBLANK(I41), IF(ISBLANK(H41), "N/A", _xlfn.IFS(K41="AS", H41+15, K41="NCR", H41+30, K41="submitted", H41+30, TRUE, "N/A")), _xlfn.IFS(K41="AS", I41+15, K41="NCR", I41+30, K41="submitted", I41+30, TRUE, "N/A"))</f>
        <v>N/A</v>
      </c>
      <c r="K41"/>
      <c r="L41" s="318"/>
      <c r="M41" s="769"/>
      <c r="N41" s="770"/>
      <c r="O41" s="770"/>
      <c r="P41" s="771"/>
    </row>
    <row r="42" spans="1:16" s="1" customFormat="1" ht="27" customHeight="1">
      <c r="A42" s="9"/>
      <c r="B42" s="32" t="s">
        <v>2608</v>
      </c>
      <c r="C42" s="37" t="s">
        <v>2609</v>
      </c>
      <c r="D42" s="37"/>
      <c r="E42" s="37" t="s">
        <v>158</v>
      </c>
      <c r="F42" s="9" t="s">
        <v>135</v>
      </c>
      <c r="G42" s="165" t="s">
        <v>2610</v>
      </c>
      <c r="H42" s="253"/>
      <c r="I42" s="253"/>
      <c r="J42" s="753" t="str" cm="1">
        <f t="array" ref="J42">IF(ISBLANK(I42), IF(ISBLANK(H42), "N/A", _xlfn.IFS(K42="AS", H42+15, K42="NCR", H42+30, K42="submitted", H42+30, TRUE, "N/A")), _xlfn.IFS(K42="AS", I42+15, K42="NCR", I42+30, K42="submitted", I42+30, TRUE, "N/A"))</f>
        <v>N/A</v>
      </c>
      <c r="K42"/>
      <c r="L42" s="318"/>
      <c r="M42" s="769"/>
      <c r="N42" s="770"/>
      <c r="O42" s="770"/>
      <c r="P42" s="771"/>
    </row>
    <row r="43" spans="1:16" s="1" customFormat="1" ht="27" customHeight="1">
      <c r="A43" s="38"/>
      <c r="B43" s="32" t="s">
        <v>2608</v>
      </c>
      <c r="C43" s="39"/>
      <c r="D43" s="39"/>
      <c r="E43" s="37" t="s">
        <v>158</v>
      </c>
      <c r="F43" s="38" t="s">
        <v>137</v>
      </c>
      <c r="G43" s="256" t="s">
        <v>2611</v>
      </c>
      <c r="H43" s="253"/>
      <c r="I43" s="253"/>
      <c r="J43" s="753" t="str" cm="1">
        <f t="array" ref="J43">IF(ISBLANK(I43), IF(ISBLANK(H43), "N/A", _xlfn.IFS(K43="AS", H43+15, K43="NCR", H43+30, K43="submitted", H43+30, TRUE, "N/A")), _xlfn.IFS(K43="AS", I43+15, K43="NCR", I43+30, K43="submitted", I43+30, TRUE, "N/A"))</f>
        <v>N/A</v>
      </c>
      <c r="K43"/>
      <c r="L43" s="318"/>
      <c r="M43" s="769"/>
      <c r="N43" s="770"/>
      <c r="O43" s="770"/>
      <c r="P43" s="771"/>
    </row>
    <row r="44" spans="1:16" s="1" customFormat="1" ht="40.5" customHeight="1">
      <c r="A44" s="38"/>
      <c r="B44" s="32" t="s">
        <v>2608</v>
      </c>
      <c r="C44" s="39"/>
      <c r="D44" s="39"/>
      <c r="E44" s="37" t="s">
        <v>158</v>
      </c>
      <c r="F44" s="38" t="s">
        <v>163</v>
      </c>
      <c r="G44" s="256" t="s">
        <v>2612</v>
      </c>
      <c r="H44" s="253"/>
      <c r="I44" s="253"/>
      <c r="J44" s="753" t="str" cm="1">
        <f t="array" ref="J44">IF(ISBLANK(I44), IF(ISBLANK(H44), "N/A", _xlfn.IFS(K44="AS", H44+15, K44="NCR", H44+30, K44="submitted", H44+30, TRUE, "N/A")), _xlfn.IFS(K44="AS", I44+15, K44="NCR", I44+30, K44="submitted", I44+30, TRUE, "N/A"))</f>
        <v>N/A</v>
      </c>
      <c r="K44"/>
      <c r="L44" s="318"/>
      <c r="M44" s="769"/>
      <c r="N44" s="770"/>
      <c r="O44" s="770"/>
      <c r="P44" s="771"/>
    </row>
    <row r="45" spans="1:16" s="1" customFormat="1" ht="53.25">
      <c r="A45" s="38"/>
      <c r="B45" s="32" t="s">
        <v>2608</v>
      </c>
      <c r="C45" s="46"/>
      <c r="D45" s="39"/>
      <c r="E45" s="37" t="s">
        <v>158</v>
      </c>
      <c r="F45" s="38" t="s">
        <v>166</v>
      </c>
      <c r="G45" s="256" t="s">
        <v>2613</v>
      </c>
      <c r="H45" s="253"/>
      <c r="I45" s="253"/>
      <c r="J45" s="753" t="str" cm="1">
        <f t="array" ref="J45">IF(ISBLANK(I45), IF(ISBLANK(H45), "N/A", _xlfn.IFS(K45="AS", H45+15, K45="NCR", H45+30, K45="submitted", H45+30, TRUE, "N/A")), _xlfn.IFS(K45="AS", I45+15, K45="NCR", I45+30, K45="submitted", I45+30, TRUE, "N/A"))</f>
        <v>N/A</v>
      </c>
      <c r="K45"/>
      <c r="L45" s="318"/>
      <c r="M45" s="769"/>
      <c r="N45" s="770"/>
      <c r="O45" s="770"/>
      <c r="P45" s="771"/>
    </row>
    <row r="46" spans="1:16" s="1" customFormat="1" ht="36" customHeight="1">
      <c r="A46" s="21"/>
      <c r="B46" s="363" t="s">
        <v>1523</v>
      </c>
      <c r="C46" s="362" t="s">
        <v>1524</v>
      </c>
      <c r="D46" s="572"/>
      <c r="E46" s="52" t="s">
        <v>1532</v>
      </c>
      <c r="F46" s="21" t="s">
        <v>329</v>
      </c>
      <c r="G46" s="46" t="s">
        <v>1533</v>
      </c>
      <c r="H46" s="51"/>
      <c r="I46" s="21"/>
      <c r="J46" s="753" t="str" cm="1">
        <f t="array" ref="J46">IF(ISBLANK(I46), IF(ISBLANK(H46), "N/A", _xlfn.IFS(K46="AS", H46+15, K46="NCR", H46+30, K46="submitted", H46+30, TRUE, "N/A")), _xlfn.IFS(K46="AS", I46+15, K46="NCR", I46+30, K46="submitted", I46+30, TRUE, "N/A"))</f>
        <v>N/A</v>
      </c>
      <c r="K46" s="21"/>
      <c r="L46" s="318"/>
      <c r="M46" s="769"/>
      <c r="N46" s="770"/>
      <c r="O46" s="770"/>
      <c r="P46" s="771"/>
    </row>
    <row r="47" spans="1:16" ht="15" customHeight="1">
      <c r="A47" s="22"/>
      <c r="B47" s="128" t="s">
        <v>1555</v>
      </c>
      <c r="C47" s="129" t="s">
        <v>1556</v>
      </c>
      <c r="D47" s="129"/>
      <c r="E47" s="76" t="s">
        <v>1526</v>
      </c>
      <c r="F47" s="22" t="s">
        <v>220</v>
      </c>
      <c r="G47" s="24" t="s">
        <v>1562</v>
      </c>
      <c r="H47" s="26"/>
      <c r="I47" s="22"/>
      <c r="J47" s="753" t="str" cm="1">
        <f t="array" ref="J47">IF(ISBLANK(I47), IF(ISBLANK(H47), "N/A", _xlfn.IFS(K47="AS", H47+15, K47="NCR", H47+30, K47="submitted", H47+30, TRUE, "N/A")), _xlfn.IFS(K47="AS", I47+15, K47="NCR", I47+30, K47="submitted", I47+30, TRUE, "N/A"))</f>
        <v>N/A</v>
      </c>
      <c r="K47" s="26"/>
      <c r="L47" s="318"/>
      <c r="M47" s="769"/>
      <c r="N47" s="770"/>
      <c r="O47" s="770"/>
      <c r="P47" s="771"/>
    </row>
    <row r="48" spans="1:16" ht="15" customHeight="1">
      <c r="A48" s="4"/>
      <c r="B48" s="54" t="s">
        <v>1555</v>
      </c>
      <c r="C48" s="55" t="s">
        <v>1556</v>
      </c>
      <c r="D48" s="573"/>
      <c r="E48" s="349" t="s">
        <v>158</v>
      </c>
      <c r="F48" s="9" t="s">
        <v>1567</v>
      </c>
      <c r="G48" s="7" t="s">
        <v>1568</v>
      </c>
      <c r="H48" s="18"/>
      <c r="I48" s="4"/>
      <c r="J48" s="753" t="str" cm="1">
        <f t="array" ref="J48">IF(ISBLANK(I48), IF(ISBLANK(H48), "N/A", _xlfn.IFS(K48="AS", H48+15, K48="NCR", H48+30, K48="submitted", H48+30, TRUE, "N/A")), _xlfn.IFS(K48="AS", I48+15, K48="NCR", I48+30, K48="submitted", I48+30, TRUE, "N/A"))</f>
        <v>N/A</v>
      </c>
      <c r="K48" s="4"/>
      <c r="L48" s="318"/>
      <c r="M48" s="772" t="s">
        <v>147</v>
      </c>
      <c r="N48" s="773"/>
      <c r="O48" s="773"/>
      <c r="P48" s="774"/>
    </row>
    <row r="49" spans="1:16" s="1" customFormat="1" ht="27">
      <c r="B49" s="47" t="s">
        <v>1570</v>
      </c>
      <c r="C49" s="2" t="s">
        <v>1571</v>
      </c>
      <c r="D49" s="39"/>
      <c r="E49" s="39" t="s">
        <v>1532</v>
      </c>
      <c r="F49" s="9" t="s">
        <v>1575</v>
      </c>
      <c r="G49" s="7" t="s">
        <v>1576</v>
      </c>
      <c r="H49" s="14"/>
      <c r="I49" s="14"/>
      <c r="J49" s="753" t="str" cm="1">
        <f t="array" ref="J49">IF(ISBLANK(I49), IF(ISBLANK(H49), "N/A", _xlfn.IFS(K49="AS", H49+15, K49="NCR", H49+30, K49="submitted", H49+30, TRUE, "N/A")), _xlfn.IFS(K49="AS", I49+15, K49="NCR", I49+30, K49="submitted", I49+30, TRUE, "N/A"))</f>
        <v>N/A</v>
      </c>
      <c r="K49" s="9"/>
      <c r="L49" s="318"/>
      <c r="M49" s="772"/>
      <c r="N49" s="773"/>
      <c r="O49" s="773"/>
      <c r="P49" s="774"/>
    </row>
    <row r="50" spans="1:16" ht="15" customHeight="1">
      <c r="A50" s="4"/>
      <c r="B50" s="392" t="s">
        <v>1579</v>
      </c>
      <c r="C50" s="347" t="s">
        <v>1580</v>
      </c>
      <c r="D50" s="574"/>
      <c r="E50" s="308" t="s">
        <v>1532</v>
      </c>
      <c r="F50" s="4" t="s">
        <v>330</v>
      </c>
      <c r="G50" s="3" t="s">
        <v>1598</v>
      </c>
      <c r="H50" s="18"/>
      <c r="I50" s="4"/>
      <c r="J50" s="753" t="str" cm="1">
        <f t="array" ref="J50">IF(ISBLANK(I50), IF(ISBLANK(H50), "N/A", _xlfn.IFS(K50="AS", H50+15, K50="NCR", H50+30, K50="submitted", H50+30, TRUE, "N/A")), _xlfn.IFS(K50="AS", I50+15, K50="NCR", I50+30, K50="submitted", I50+30, TRUE, "N/A"))</f>
        <v>N/A</v>
      </c>
      <c r="K50" s="4"/>
      <c r="L50" s="318"/>
      <c r="M50" s="772"/>
      <c r="N50" s="773"/>
      <c r="O50" s="773"/>
      <c r="P50" s="774"/>
    </row>
    <row r="51" spans="1:16" ht="15" customHeight="1">
      <c r="A51" s="4"/>
      <c r="B51" s="392" t="s">
        <v>1579</v>
      </c>
      <c r="C51" s="347" t="s">
        <v>1580</v>
      </c>
      <c r="D51" s="574"/>
      <c r="E51" s="308" t="s">
        <v>1532</v>
      </c>
      <c r="F51" s="4" t="s">
        <v>1254</v>
      </c>
      <c r="G51" s="3" t="s">
        <v>1599</v>
      </c>
      <c r="H51" s="18"/>
      <c r="I51" s="4"/>
      <c r="J51" s="753" t="str" cm="1">
        <f t="array" ref="J51">IF(ISBLANK(I51), IF(ISBLANK(H51), "N/A", _xlfn.IFS(K51="AS", H51+15, K51="NCR", H51+30, K51="submitted", H51+30, TRUE, "N/A")), _xlfn.IFS(K51="AS", I51+15, K51="NCR", I51+30, K51="submitted", I51+30, TRUE, "N/A"))</f>
        <v>N/A</v>
      </c>
      <c r="K51" s="4"/>
      <c r="L51" s="318"/>
      <c r="M51" s="772"/>
      <c r="N51" s="773"/>
      <c r="O51" s="773"/>
      <c r="P51" s="774"/>
    </row>
    <row r="52" spans="1:16" ht="15" customHeight="1">
      <c r="A52" s="4"/>
      <c r="B52" s="392" t="s">
        <v>1579</v>
      </c>
      <c r="C52" s="347" t="s">
        <v>1580</v>
      </c>
      <c r="D52" s="125"/>
      <c r="E52" s="389" t="s">
        <v>158</v>
      </c>
      <c r="F52" s="4" t="s">
        <v>406</v>
      </c>
      <c r="G52" s="17" t="s">
        <v>1615</v>
      </c>
      <c r="H52" s="18"/>
      <c r="I52" s="4"/>
      <c r="J52" s="753" t="str" cm="1">
        <f t="array" ref="J52">IF(ISBLANK(I52), IF(ISBLANK(H52), "N/A", _xlfn.IFS(K52="AS", H52+15, K52="NCR", H52+30, K52="submitted", H52+30, TRUE, "N/A")), _xlfn.IFS(K52="AS", I52+15, K52="NCR", I52+30, K52="submitted", I52+30, TRUE, "N/A"))</f>
        <v>N/A</v>
      </c>
      <c r="K52" s="4"/>
      <c r="L52" s="318"/>
      <c r="M52" s="772"/>
      <c r="N52" s="773"/>
      <c r="O52" s="773"/>
      <c r="P52" s="774"/>
    </row>
    <row r="53" spans="1:16" ht="15" customHeight="1">
      <c r="A53" s="4"/>
      <c r="B53" s="392" t="s">
        <v>1579</v>
      </c>
      <c r="C53" s="347" t="s">
        <v>1580</v>
      </c>
      <c r="D53" s="125"/>
      <c r="E53" s="388" t="s">
        <v>158</v>
      </c>
      <c r="F53" s="4" t="s">
        <v>1616</v>
      </c>
      <c r="G53" s="17" t="s">
        <v>1617</v>
      </c>
      <c r="H53" s="18"/>
      <c r="I53" s="4"/>
      <c r="J53" s="753" t="str" cm="1">
        <f t="array" ref="J53">IF(ISBLANK(I53), IF(ISBLANK(H53), "N/A", _xlfn.IFS(K53="AS", H53+15, K53="NCR", H53+30, K53="submitted", H53+30, TRUE, "N/A")), _xlfn.IFS(K53="AS", I53+15, K53="NCR", I53+30, K53="submitted", I53+30, TRUE, "N/A"))</f>
        <v>N/A</v>
      </c>
      <c r="K53" s="4"/>
      <c r="L53" s="319"/>
      <c r="M53" s="772"/>
      <c r="N53" s="773"/>
      <c r="O53" s="773"/>
      <c r="P53" s="774"/>
    </row>
    <row r="54" spans="1:16" ht="24.75" customHeight="1">
      <c r="A54" s="9"/>
      <c r="B54" s="48" t="s">
        <v>1619</v>
      </c>
      <c r="C54" s="6" t="s">
        <v>1620</v>
      </c>
      <c r="D54" s="6"/>
      <c r="E54" s="39" t="s">
        <v>1624</v>
      </c>
      <c r="F54" s="9" t="s">
        <v>480</v>
      </c>
      <c r="G54" s="7" t="s">
        <v>1642</v>
      </c>
      <c r="H54" s="14"/>
      <c r="I54" s="9"/>
      <c r="J54" s="753" t="str" cm="1">
        <f t="array" ref="J54">IF(ISBLANK(I54), IF(ISBLANK(H54), "N/A", _xlfn.IFS(K54="AS", H54+15, K54="NCR", H54+30, K54="submitted", H54+30, TRUE, "N/A")), _xlfn.IFS(K54="AS", I54+15, K54="NCR", I54+30, K54="submitted", I54+30, TRUE, "N/A"))</f>
        <v>N/A</v>
      </c>
      <c r="K54" s="9"/>
      <c r="L54" s="318"/>
      <c r="M54" s="772"/>
      <c r="N54" s="773"/>
      <c r="O54" s="773"/>
      <c r="P54" s="774"/>
    </row>
    <row r="55" spans="1:16" ht="23.25" customHeight="1">
      <c r="A55" s="9"/>
      <c r="B55" s="48" t="s">
        <v>1619</v>
      </c>
      <c r="C55" s="6" t="s">
        <v>1620</v>
      </c>
      <c r="D55" s="6"/>
      <c r="E55" s="39" t="s">
        <v>158</v>
      </c>
      <c r="F55" s="9" t="s">
        <v>1182</v>
      </c>
      <c r="G55" s="7" t="s">
        <v>1643</v>
      </c>
      <c r="H55" s="14"/>
      <c r="I55" s="9"/>
      <c r="J55" s="753" t="str" cm="1">
        <f t="array" ref="J55">IF(ISBLANK(I55), IF(ISBLANK(H55), "N/A", _xlfn.IFS(K55="AS", H55+15, K55="NCR", H55+30, K55="submitted", H55+30, TRUE, "N/A")), _xlfn.IFS(K55="AS", I55+15, K55="NCR", I55+30, K55="submitted", I55+30, TRUE, "N/A"))</f>
        <v>N/A</v>
      </c>
      <c r="K55" s="9"/>
      <c r="L55" s="318"/>
      <c r="M55" s="772"/>
      <c r="N55" s="773"/>
      <c r="O55" s="773"/>
      <c r="P55" s="774"/>
    </row>
    <row r="56" spans="1:16" ht="29.25" customHeight="1">
      <c r="A56" s="9"/>
      <c r="B56" s="48" t="s">
        <v>1619</v>
      </c>
      <c r="C56" s="6" t="s">
        <v>1620</v>
      </c>
      <c r="D56" s="6"/>
      <c r="E56" s="39" t="s">
        <v>158</v>
      </c>
      <c r="F56" s="9" t="s">
        <v>1184</v>
      </c>
      <c r="G56" s="13" t="s">
        <v>1644</v>
      </c>
      <c r="H56" s="14"/>
      <c r="I56" s="9"/>
      <c r="J56" s="753" t="str" cm="1">
        <f t="array" ref="J56">IF(ISBLANK(I56), IF(ISBLANK(H56), "N/A", _xlfn.IFS(K56="AS", H56+15, K56="NCR", H56+30, K56="submitted", H56+30, TRUE, "N/A")), _xlfn.IFS(K56="AS", I56+15, K56="NCR", I56+30, K56="submitted", I56+30, TRUE, "N/A"))</f>
        <v>N/A</v>
      </c>
      <c r="K56" s="9"/>
      <c r="L56" s="318"/>
      <c r="M56" s="772"/>
      <c r="N56" s="773"/>
      <c r="O56" s="773"/>
      <c r="P56" s="774"/>
    </row>
    <row r="57" spans="1:16" ht="15" customHeight="1">
      <c r="A57" s="9"/>
      <c r="B57" s="48" t="s">
        <v>1619</v>
      </c>
      <c r="C57" s="6" t="s">
        <v>1620</v>
      </c>
      <c r="D57" s="6"/>
      <c r="E57" s="39" t="s">
        <v>158</v>
      </c>
      <c r="F57" s="9" t="s">
        <v>1646</v>
      </c>
      <c r="G57" s="13" t="s">
        <v>1647</v>
      </c>
      <c r="H57" s="14"/>
      <c r="I57" s="9"/>
      <c r="J57" s="753" t="str" cm="1">
        <f t="array" ref="J57">IF(ISBLANK(I57), IF(ISBLANK(H57), "N/A", _xlfn.IFS(K57="AS", H57+15, K57="NCR", H57+30, K57="submitted", H57+30, TRUE, "N/A")), _xlfn.IFS(K57="AS", I57+15, K57="NCR", I57+30, K57="submitted", I57+30, TRUE, "N/A"))</f>
        <v>N/A</v>
      </c>
      <c r="K57" s="9"/>
      <c r="L57" s="318"/>
      <c r="M57" s="772"/>
      <c r="N57" s="773"/>
      <c r="O57" s="773"/>
      <c r="P57" s="774"/>
    </row>
    <row r="58" spans="1:16" ht="15" customHeight="1">
      <c r="A58" s="4"/>
      <c r="B58" s="54" t="s">
        <v>1663</v>
      </c>
      <c r="C58" s="55" t="s">
        <v>1664</v>
      </c>
      <c r="D58" s="55"/>
      <c r="E58" s="34" t="s">
        <v>1632</v>
      </c>
      <c r="F58" s="4" t="s">
        <v>592</v>
      </c>
      <c r="G58" s="17" t="s">
        <v>1671</v>
      </c>
      <c r="H58" s="18"/>
      <c r="I58" s="4"/>
      <c r="J58" s="753" t="str" cm="1">
        <f t="array" ref="J58">IF(ISBLANK(I58), IF(ISBLANK(H58), "N/A", _xlfn.IFS(K58="AS", H58+15, K58="NCR", H58+30, K58="submitted", H58+30, TRUE, "N/A")), _xlfn.IFS(K58="AS", I58+15, K58="NCR", I58+30, K58="submitted", I58+30, TRUE, "N/A"))</f>
        <v>N/A</v>
      </c>
      <c r="K58" s="4"/>
      <c r="L58" s="318"/>
      <c r="M58" s="772"/>
      <c r="N58" s="773"/>
      <c r="O58" s="773"/>
      <c r="P58" s="774"/>
    </row>
    <row r="59" spans="1:16" ht="15" customHeight="1">
      <c r="A59" s="4"/>
      <c r="B59" s="54" t="s">
        <v>1663</v>
      </c>
      <c r="C59" s="55" t="s">
        <v>1664</v>
      </c>
      <c r="D59" s="57"/>
      <c r="E59" s="36" t="s">
        <v>1673</v>
      </c>
      <c r="F59" s="4" t="s">
        <v>366</v>
      </c>
      <c r="G59" s="17" t="s">
        <v>1674</v>
      </c>
      <c r="H59" s="18"/>
      <c r="I59" s="4"/>
      <c r="J59" s="753" t="str" cm="1">
        <f t="array" ref="J59">IF(ISBLANK(I59), IF(ISBLANK(H59), "N/A", _xlfn.IFS(K59="AS", H59+15, K59="NCR", H59+30, K59="submitted", H59+30, TRUE, "N/A")), _xlfn.IFS(K59="AS", I59+15, K59="NCR", I59+30, K59="submitted", I59+30, TRUE, "N/A"))</f>
        <v>N/A</v>
      </c>
      <c r="K59" s="4"/>
      <c r="L59" s="318"/>
      <c r="M59" s="772"/>
      <c r="N59" s="773"/>
      <c r="O59" s="773"/>
      <c r="P59" s="774"/>
    </row>
    <row r="60" spans="1:16" ht="15" customHeight="1">
      <c r="A60" s="9"/>
      <c r="B60" s="790" t="s">
        <v>1675</v>
      </c>
      <c r="C60" s="792" t="s">
        <v>1676</v>
      </c>
      <c r="D60" s="37"/>
      <c r="E60" s="37" t="s">
        <v>1624</v>
      </c>
      <c r="F60" s="9" t="s">
        <v>205</v>
      </c>
      <c r="G60" s="13" t="s">
        <v>476</v>
      </c>
      <c r="H60" s="14"/>
      <c r="I60" s="9"/>
      <c r="J60" s="753" t="str" cm="1">
        <f t="array" ref="J60">IF(ISBLANK(I60), IF(ISBLANK(H60), "N/A", _xlfn.IFS(K60="AS", H60+15, K60="NCR", H60+30, K60="submitted", H60+30, TRUE, "N/A")), _xlfn.IFS(K60="AS", I60+15, K60="NCR", I60+30, K60="submitted", I60+30, TRUE, "N/A"))</f>
        <v>N/A</v>
      </c>
      <c r="K60" s="9"/>
      <c r="L60" s="318"/>
      <c r="M60" s="772"/>
      <c r="N60" s="773"/>
      <c r="O60" s="773"/>
      <c r="P60" s="774"/>
    </row>
    <row r="61" spans="1:16" ht="15" customHeight="1">
      <c r="A61" s="9"/>
      <c r="B61" s="791"/>
      <c r="C61" s="793"/>
      <c r="D61" s="39"/>
      <c r="E61" s="39" t="s">
        <v>1624</v>
      </c>
      <c r="F61" s="9" t="s">
        <v>275</v>
      </c>
      <c r="G61" s="13" t="s">
        <v>1677</v>
      </c>
      <c r="H61" s="14"/>
      <c r="I61" s="9"/>
      <c r="J61" s="753" t="str" cm="1">
        <f t="array" ref="J61">IF(ISBLANK(I61), IF(ISBLANK(H61), "N/A", _xlfn.IFS(K61="AS", H61+15, K61="NCR", H61+30, K61="submitted", H61+30, TRUE, "N/A")), _xlfn.IFS(K61="AS", I61+15, K61="NCR", I61+30, K61="submitted", I61+30, TRUE, "N/A"))</f>
        <v>N/A</v>
      </c>
      <c r="K61" s="9"/>
      <c r="L61" s="318"/>
      <c r="M61" s="772"/>
      <c r="N61" s="773"/>
      <c r="O61" s="773"/>
      <c r="P61" s="774"/>
    </row>
    <row r="62" spans="1:16" ht="15" customHeight="1">
      <c r="A62" s="9"/>
      <c r="B62" s="791"/>
      <c r="C62" s="793"/>
      <c r="D62" s="39"/>
      <c r="E62" s="39" t="s">
        <v>1624</v>
      </c>
      <c r="F62" s="9" t="s">
        <v>263</v>
      </c>
      <c r="G62" s="13" t="s">
        <v>1678</v>
      </c>
      <c r="H62" s="14"/>
      <c r="I62" s="9"/>
      <c r="J62" s="753" t="str" cm="1">
        <f t="array" ref="J62">IF(ISBLANK(I62), IF(ISBLANK(H62), "N/A", _xlfn.IFS(K62="AS", H62+15, K62="NCR", H62+30, K62="submitted", H62+30, TRUE, "N/A")), _xlfn.IFS(K62="AS", I62+15, K62="NCR", I62+30, K62="submitted", I62+30, TRUE, "N/A"))</f>
        <v>N/A</v>
      </c>
      <c r="K62" s="9"/>
      <c r="L62" s="318"/>
      <c r="M62" s="772"/>
      <c r="N62" s="773"/>
      <c r="O62" s="773"/>
      <c r="P62" s="774"/>
    </row>
    <row r="63" spans="1:16" ht="15" customHeight="1">
      <c r="A63" s="9"/>
      <c r="B63" s="791"/>
      <c r="C63" s="793"/>
      <c r="D63" s="39"/>
      <c r="E63" s="39" t="s">
        <v>1624</v>
      </c>
      <c r="F63" s="9" t="s">
        <v>253</v>
      </c>
      <c r="G63" s="13" t="s">
        <v>1679</v>
      </c>
      <c r="H63" s="14"/>
      <c r="I63" s="9"/>
      <c r="J63" s="753" t="str" cm="1">
        <f t="array" ref="J63">IF(ISBLANK(I63), IF(ISBLANK(H63), "N/A", _xlfn.IFS(K63="AS", H63+15, K63="NCR", H63+30, K63="submitted", H63+30, TRUE, "N/A")), _xlfn.IFS(K63="AS", I63+15, K63="NCR", I63+30, K63="submitted", I63+30, TRUE, "N/A"))</f>
        <v>N/A</v>
      </c>
      <c r="K63" s="9"/>
      <c r="L63" s="318"/>
      <c r="M63" s="772"/>
      <c r="N63" s="773"/>
      <c r="O63" s="773"/>
      <c r="P63" s="774"/>
    </row>
    <row r="64" spans="1:16" ht="15" customHeight="1">
      <c r="A64" s="9"/>
      <c r="B64" s="777"/>
      <c r="C64" s="779"/>
      <c r="D64" s="46"/>
      <c r="E64" s="46" t="s">
        <v>1624</v>
      </c>
      <c r="F64" s="9" t="s">
        <v>344</v>
      </c>
      <c r="G64" s="7" t="s">
        <v>1680</v>
      </c>
      <c r="H64" s="14"/>
      <c r="I64" s="9"/>
      <c r="J64" s="753" t="str" cm="1">
        <f t="array" ref="J64">IF(ISBLANK(I64), IF(ISBLANK(H64), "N/A", _xlfn.IFS(K64="AS", H64+15, K64="NCR", H64+30, K64="submitted", H64+30, TRUE, "N/A")), _xlfn.IFS(K64="AS", I64+15, K64="NCR", I64+30, K64="submitted", I64+30, TRUE, "N/A"))</f>
        <v>N/A</v>
      </c>
      <c r="K64" s="9"/>
      <c r="L64" s="318"/>
      <c r="M64" s="772"/>
      <c r="N64" s="773"/>
      <c r="O64" s="773"/>
      <c r="P64" s="774"/>
    </row>
    <row r="65" spans="1:16" ht="15" customHeight="1">
      <c r="A65" s="263" t="s">
        <v>17</v>
      </c>
      <c r="B65" s="47" t="s">
        <v>1687</v>
      </c>
      <c r="C65" s="2" t="s">
        <v>1688</v>
      </c>
      <c r="D65" s="6"/>
      <c r="E65" s="39" t="s">
        <v>158</v>
      </c>
      <c r="F65" s="38" t="s">
        <v>321</v>
      </c>
      <c r="G65" s="37" t="s">
        <v>1689</v>
      </c>
      <c r="H65" s="41"/>
      <c r="I65" s="38"/>
      <c r="J65" s="753" t="str" cm="1">
        <f t="array" ref="J65">IF(ISBLANK(I65), IF(ISBLANK(H65), "N/A", _xlfn.IFS(K65="AS", H65+15, K65="NCR", H65+30, K65="submitted", H65+30, TRUE, "N/A")), _xlfn.IFS(K65="AS", I65+15, K65="NCR", I65+30, K65="submitted", I65+30, TRUE, "N/A"))</f>
        <v>N/A</v>
      </c>
      <c r="K65" s="38"/>
      <c r="L65" s="318"/>
      <c r="M65" s="772"/>
      <c r="N65" s="773"/>
      <c r="O65" s="773"/>
      <c r="P65" s="774"/>
    </row>
    <row r="66" spans="1:16" ht="15" customHeight="1">
      <c r="A66" s="263" t="s">
        <v>17</v>
      </c>
      <c r="B66" s="47" t="s">
        <v>1687</v>
      </c>
      <c r="C66" s="2" t="s">
        <v>1688</v>
      </c>
      <c r="D66" s="6"/>
      <c r="E66" s="39" t="s">
        <v>158</v>
      </c>
      <c r="F66" s="38" t="s">
        <v>592</v>
      </c>
      <c r="G66" s="37" t="s">
        <v>1690</v>
      </c>
      <c r="H66" s="41"/>
      <c r="I66" s="38"/>
      <c r="J66" s="753" t="str" cm="1">
        <f t="array" ref="J66">IF(ISBLANK(I66), IF(ISBLANK(H66), "N/A", _xlfn.IFS(K66="AS", H66+15, K66="NCR", H66+30, K66="submitted", H66+30, TRUE, "N/A")), _xlfn.IFS(K66="AS", I66+15, K66="NCR", I66+30, K66="submitted", I66+30, TRUE, "N/A"))</f>
        <v>N/A</v>
      </c>
      <c r="K66" s="38"/>
      <c r="L66" s="318"/>
      <c r="M66" s="772"/>
      <c r="N66" s="773"/>
      <c r="O66" s="773"/>
      <c r="P66" s="774"/>
    </row>
    <row r="67" spans="1:16" ht="15" customHeight="1">
      <c r="A67" s="263" t="s">
        <v>17</v>
      </c>
      <c r="B67" s="47" t="s">
        <v>1687</v>
      </c>
      <c r="C67" s="2" t="s">
        <v>1688</v>
      </c>
      <c r="D67" s="6"/>
      <c r="E67" s="39" t="s">
        <v>1526</v>
      </c>
      <c r="F67" s="38" t="s">
        <v>364</v>
      </c>
      <c r="G67" s="40" t="s">
        <v>1691</v>
      </c>
      <c r="H67" s="41"/>
      <c r="I67" s="38"/>
      <c r="J67" s="753" t="str" cm="1">
        <f t="array" ref="J67">IF(ISBLANK(I67), IF(ISBLANK(H67), "N/A", _xlfn.IFS(K67="AS", H67+15, K67="NCR", H67+30, K67="submitted", H67+30, TRUE, "N/A")), _xlfn.IFS(K67="AS", I67+15, K67="NCR", I67+30, K67="submitted", I67+30, TRUE, "N/A"))</f>
        <v>N/A</v>
      </c>
      <c r="K67" s="38"/>
      <c r="L67" s="318"/>
      <c r="M67" s="772"/>
      <c r="N67" s="773"/>
      <c r="O67" s="773"/>
      <c r="P67" s="774"/>
    </row>
    <row r="68" spans="1:16" ht="27">
      <c r="A68" s="19"/>
      <c r="B68" s="54" t="s">
        <v>1693</v>
      </c>
      <c r="C68" s="425" t="s">
        <v>1694</v>
      </c>
      <c r="D68" s="575"/>
      <c r="E68" s="59" t="s">
        <v>158</v>
      </c>
      <c r="F68" s="19" t="s">
        <v>321</v>
      </c>
      <c r="G68" s="53" t="s">
        <v>1689</v>
      </c>
      <c r="H68" s="30"/>
      <c r="I68" s="19"/>
      <c r="J68" s="753" t="str" cm="1">
        <f t="array" ref="J68">IF(ISBLANK(I68), IF(ISBLANK(H68), "N/A", _xlfn.IFS(K68="AS", H68+15, K68="NCR", H68+30, K68="submitted", H68+30, TRUE, "N/A")), _xlfn.IFS(K68="AS", I68+15, K68="NCR", I68+30, K68="submitted", I68+30, TRUE, "N/A"))</f>
        <v>N/A</v>
      </c>
      <c r="K68" s="19"/>
      <c r="L68" s="318"/>
      <c r="M68" s="772"/>
      <c r="N68" s="773"/>
      <c r="O68" s="773"/>
      <c r="P68" s="774"/>
    </row>
    <row r="69" spans="1:16" ht="27">
      <c r="A69" s="19"/>
      <c r="B69" s="54" t="s">
        <v>1693</v>
      </c>
      <c r="C69" s="425" t="s">
        <v>1694</v>
      </c>
      <c r="D69" s="575"/>
      <c r="E69" s="59" t="s">
        <v>158</v>
      </c>
      <c r="F69" s="19" t="s">
        <v>592</v>
      </c>
      <c r="G69" s="53" t="s">
        <v>1690</v>
      </c>
      <c r="H69" s="30"/>
      <c r="I69" s="19"/>
      <c r="J69" s="753" t="str" cm="1">
        <f t="array" ref="J69">IF(ISBLANK(I69), IF(ISBLANK(H69), "N/A", _xlfn.IFS(K69="AS", H69+15, K69="NCR", H69+30, K69="submitted", H69+30, TRUE, "N/A")), _xlfn.IFS(K69="AS", I69+15, K69="NCR", I69+30, K69="submitted", I69+30, TRUE, "N/A"))</f>
        <v>N/A</v>
      </c>
      <c r="K69" s="19"/>
      <c r="L69" s="318"/>
      <c r="M69" s="772"/>
      <c r="N69" s="773"/>
      <c r="O69" s="773"/>
      <c r="P69" s="774"/>
    </row>
    <row r="70" spans="1:16" ht="27" customHeight="1">
      <c r="A70" s="42"/>
      <c r="B70" s="54" t="s">
        <v>1693</v>
      </c>
      <c r="C70" s="425" t="s">
        <v>1694</v>
      </c>
      <c r="D70" s="575"/>
      <c r="E70" s="60" t="s">
        <v>1632</v>
      </c>
      <c r="F70" s="42" t="s">
        <v>1696</v>
      </c>
      <c r="G70" s="61" t="s">
        <v>1697</v>
      </c>
      <c r="H70" s="44"/>
      <c r="I70" s="42"/>
      <c r="J70" s="753" t="str" cm="1">
        <f t="array" ref="J70">IF(ISBLANK(I70), IF(ISBLANK(H70), "N/A", _xlfn.IFS(K70="AS", H70+15, K70="NCR", H70+30, K70="submitted", H70+30, TRUE, "N/A")), _xlfn.IFS(K70="AS", I70+15, K70="NCR", I70+30, K70="submitted", I70+30, TRUE, "N/A"))</f>
        <v>N/A</v>
      </c>
      <c r="K70" s="42"/>
      <c r="L70" s="318"/>
      <c r="M70" s="772"/>
      <c r="N70" s="773"/>
      <c r="O70" s="773"/>
      <c r="P70" s="774"/>
    </row>
    <row r="71" spans="1:16" ht="24.75" customHeight="1">
      <c r="A71" s="21"/>
      <c r="B71" s="33"/>
      <c r="C71" s="50"/>
      <c r="D71" s="50"/>
      <c r="E71" s="50" t="s">
        <v>1532</v>
      </c>
      <c r="F71" s="21" t="s">
        <v>228</v>
      </c>
      <c r="G71" s="52" t="s">
        <v>1703</v>
      </c>
      <c r="H71" s="51"/>
      <c r="I71" s="21"/>
      <c r="J71" s="753" t="str" cm="1">
        <f t="array" ref="J71">IF(ISBLANK(I71), IF(ISBLANK(H71), "N/A", _xlfn.IFS(K71="AS", H71+15, K71="NCR", H71+30, K71="submitted", H71+30, TRUE, "N/A")), _xlfn.IFS(K71="AS", I71+15, K71="NCR", I71+30, K71="submitted", I71+30, TRUE, "N/A"))</f>
        <v>N/A</v>
      </c>
      <c r="K71" s="21"/>
      <c r="L71" s="318"/>
      <c r="M71" s="772"/>
      <c r="N71" s="773"/>
      <c r="O71" s="773"/>
      <c r="P71" s="774"/>
    </row>
    <row r="72" spans="1:16" ht="21" customHeight="1">
      <c r="A72" s="21"/>
      <c r="B72" s="97"/>
      <c r="C72" s="52"/>
      <c r="D72" s="52"/>
      <c r="E72" s="52" t="s">
        <v>1624</v>
      </c>
      <c r="F72" s="21" t="s">
        <v>230</v>
      </c>
      <c r="G72" s="52" t="s">
        <v>1704</v>
      </c>
      <c r="H72" s="51"/>
      <c r="I72" s="21"/>
      <c r="J72" s="753" t="str" cm="1">
        <f t="array" ref="J72">IF(ISBLANK(I72), IF(ISBLANK(H72), "N/A", _xlfn.IFS(K72="AS", H72+15, K72="NCR", H72+30, K72="submitted", H72+30, TRUE, "N/A")), _xlfn.IFS(K72="AS", I72+15, K72="NCR", I72+30, K72="submitted", I72+30, TRUE, "N/A"))</f>
        <v>N/A</v>
      </c>
      <c r="K72" s="21"/>
      <c r="L72" s="318"/>
      <c r="M72" s="772"/>
      <c r="N72" s="773"/>
      <c r="O72" s="773"/>
      <c r="P72" s="774"/>
    </row>
    <row r="73" spans="1:16" ht="15" customHeight="1">
      <c r="L73" s="318"/>
      <c r="M73" s="772"/>
      <c r="N73" s="773"/>
      <c r="O73" s="773"/>
      <c r="P73" s="774"/>
    </row>
    <row r="74" spans="1:16" ht="15" customHeight="1">
      <c r="L74" s="318"/>
      <c r="M74" s="772"/>
      <c r="N74" s="773"/>
      <c r="O74" s="773"/>
      <c r="P74" s="774"/>
    </row>
    <row r="75" spans="1:16" ht="15" customHeight="1">
      <c r="L75" s="318"/>
      <c r="M75" s="772"/>
      <c r="N75" s="773"/>
      <c r="O75" s="773"/>
      <c r="P75" s="774"/>
    </row>
    <row r="76" spans="1:16" ht="15" customHeight="1">
      <c r="L76" s="318"/>
      <c r="M76" s="772"/>
      <c r="N76" s="773"/>
      <c r="O76" s="773"/>
      <c r="P76" s="774"/>
    </row>
    <row r="77" spans="1:16" ht="15" customHeight="1">
      <c r="L77" s="318"/>
      <c r="M77" s="772"/>
      <c r="N77" s="773"/>
      <c r="O77" s="773"/>
      <c r="P77" s="774"/>
    </row>
    <row r="78" spans="1:16" ht="15" customHeight="1">
      <c r="L78" s="318"/>
      <c r="M78" s="772"/>
      <c r="N78" s="773"/>
      <c r="O78" s="773"/>
      <c r="P78" s="774"/>
    </row>
    <row r="79" spans="1:16" ht="15" customHeight="1">
      <c r="L79" s="318"/>
      <c r="M79" s="772"/>
      <c r="N79" s="773"/>
      <c r="O79" s="773"/>
      <c r="P79" s="774"/>
    </row>
    <row r="80" spans="1:16" ht="15" customHeight="1">
      <c r="M80" s="772"/>
      <c r="N80" s="773"/>
      <c r="O80" s="773"/>
      <c r="P80" s="774"/>
    </row>
    <row r="81" spans="13:16" ht="15" customHeight="1">
      <c r="M81" s="772"/>
      <c r="N81" s="773"/>
      <c r="O81" s="773"/>
      <c r="P81" s="774"/>
    </row>
    <row r="82" spans="13:16" ht="15" customHeight="1">
      <c r="M82" s="772"/>
      <c r="N82" s="773"/>
      <c r="O82" s="773"/>
      <c r="P82" s="774"/>
    </row>
    <row r="83" spans="13:16" ht="15" customHeight="1">
      <c r="M83" s="772"/>
      <c r="N83" s="773"/>
      <c r="O83" s="773"/>
      <c r="P83" s="774"/>
    </row>
    <row r="84" spans="13:16" ht="15" customHeight="1">
      <c r="M84" s="772"/>
      <c r="N84" s="773"/>
      <c r="O84" s="773"/>
      <c r="P84" s="774"/>
    </row>
    <row r="85" spans="13:16" ht="15" customHeight="1">
      <c r="M85" s="772"/>
      <c r="N85" s="773"/>
      <c r="O85" s="773"/>
      <c r="P85" s="774"/>
    </row>
    <row r="86" spans="13:16" ht="15" customHeight="1">
      <c r="M86" s="772"/>
      <c r="N86" s="773"/>
      <c r="O86" s="773"/>
      <c r="P86" s="774"/>
    </row>
    <row r="87" spans="13:16" ht="15" customHeight="1">
      <c r="M87" s="772"/>
      <c r="N87" s="773"/>
      <c r="O87" s="773"/>
      <c r="P87" s="774"/>
    </row>
    <row r="88" spans="13:16" ht="15" customHeight="1">
      <c r="M88" s="772"/>
      <c r="N88" s="773"/>
      <c r="O88" s="773"/>
      <c r="P88" s="774"/>
    </row>
    <row r="89" spans="13:16" ht="15" customHeight="1">
      <c r="M89" s="772"/>
      <c r="N89" s="773"/>
      <c r="O89" s="773"/>
      <c r="P89" s="774"/>
    </row>
    <row r="90" spans="13:16" ht="15" customHeight="1">
      <c r="M90" s="772"/>
      <c r="N90" s="773"/>
      <c r="O90" s="773"/>
      <c r="P90" s="774"/>
    </row>
    <row r="91" spans="13:16" ht="15" customHeight="1">
      <c r="M91" s="772"/>
      <c r="N91" s="773"/>
      <c r="O91" s="773"/>
      <c r="P91" s="774"/>
    </row>
    <row r="92" spans="13:16" ht="15" customHeight="1">
      <c r="M92" s="772"/>
      <c r="N92" s="773"/>
      <c r="O92" s="773"/>
      <c r="P92" s="774"/>
    </row>
    <row r="93" spans="13:16" ht="15" customHeight="1">
      <c r="M93" s="772"/>
      <c r="N93" s="773"/>
      <c r="O93" s="773"/>
      <c r="P93" s="774"/>
    </row>
    <row r="94" spans="13:16" ht="15" customHeight="1">
      <c r="M94" s="772"/>
      <c r="N94" s="773"/>
      <c r="O94" s="773"/>
      <c r="P94" s="774"/>
    </row>
    <row r="95" spans="13:16" ht="15" customHeight="1">
      <c r="M95" s="772"/>
      <c r="N95" s="773"/>
      <c r="O95" s="773"/>
      <c r="P95" s="774"/>
    </row>
    <row r="96" spans="13:16" ht="15" customHeight="1">
      <c r="M96" s="772"/>
      <c r="N96" s="773"/>
      <c r="O96" s="773"/>
      <c r="P96" s="774"/>
    </row>
    <row r="97" spans="13:16" ht="15" customHeight="1">
      <c r="M97" s="772"/>
      <c r="N97" s="773"/>
      <c r="O97" s="773"/>
      <c r="P97" s="774"/>
    </row>
    <row r="98" spans="13:16" ht="15" customHeight="1">
      <c r="M98" s="772"/>
      <c r="N98" s="773"/>
      <c r="O98" s="773"/>
      <c r="P98" s="774"/>
    </row>
    <row r="99" spans="13:16" ht="15" customHeight="1">
      <c r="M99" s="772"/>
      <c r="N99" s="773"/>
      <c r="O99" s="773"/>
      <c r="P99" s="774"/>
    </row>
    <row r="100" spans="13:16" ht="15" customHeight="1">
      <c r="M100" s="772"/>
      <c r="N100" s="773"/>
      <c r="O100" s="773"/>
      <c r="P100" s="774"/>
    </row>
    <row r="101" spans="13:16" ht="15" customHeight="1">
      <c r="M101" s="772"/>
      <c r="N101" s="773"/>
      <c r="O101" s="773"/>
      <c r="P101" s="774"/>
    </row>
    <row r="102" spans="13:16" ht="15" customHeight="1">
      <c r="M102" s="772"/>
      <c r="N102" s="773"/>
      <c r="O102" s="773"/>
      <c r="P102" s="774"/>
    </row>
    <row r="103" spans="13:16" ht="15" customHeight="1">
      <c r="M103" s="772"/>
      <c r="N103" s="773"/>
      <c r="O103" s="773"/>
      <c r="P103" s="774"/>
    </row>
    <row r="104" spans="13:16" ht="15" customHeight="1">
      <c r="M104" s="772"/>
      <c r="N104" s="773"/>
      <c r="O104" s="773"/>
      <c r="P104" s="774"/>
    </row>
    <row r="105" spans="13:16" ht="15" customHeight="1">
      <c r="M105" s="772"/>
      <c r="N105" s="773"/>
      <c r="O105" s="773"/>
      <c r="P105" s="774"/>
    </row>
    <row r="106" spans="13:16" ht="15" customHeight="1">
      <c r="M106" s="772"/>
      <c r="N106" s="773"/>
      <c r="O106" s="773"/>
      <c r="P106" s="774"/>
    </row>
    <row r="107" spans="13:16" ht="15" customHeight="1">
      <c r="M107" s="772"/>
      <c r="N107" s="773"/>
      <c r="O107" s="773"/>
      <c r="P107" s="774"/>
    </row>
    <row r="108" spans="13:16" ht="15" customHeight="1">
      <c r="M108" s="772"/>
      <c r="N108" s="773"/>
      <c r="O108" s="773"/>
      <c r="P108" s="774"/>
    </row>
    <row r="109" spans="13:16" ht="15" customHeight="1">
      <c r="M109" s="772"/>
      <c r="N109" s="773"/>
      <c r="O109" s="773"/>
      <c r="P109" s="774"/>
    </row>
    <row r="110" spans="13:16" ht="15" customHeight="1">
      <c r="M110" s="772"/>
      <c r="N110" s="773"/>
      <c r="O110" s="773"/>
      <c r="P110" s="774"/>
    </row>
    <row r="111" spans="13:16" ht="15" customHeight="1">
      <c r="M111" s="772"/>
      <c r="N111" s="773"/>
      <c r="O111" s="773"/>
      <c r="P111" s="774"/>
    </row>
    <row r="112" spans="13:16" ht="15" customHeight="1">
      <c r="M112" s="772"/>
      <c r="N112" s="773"/>
      <c r="O112" s="773"/>
      <c r="P112" s="774"/>
    </row>
    <row r="113" spans="13:16" ht="15" customHeight="1">
      <c r="M113" s="772"/>
      <c r="N113" s="773"/>
      <c r="O113" s="773"/>
      <c r="P113" s="774"/>
    </row>
    <row r="114" spans="13:16" ht="15" customHeight="1">
      <c r="M114" s="772"/>
      <c r="N114" s="773"/>
      <c r="O114" s="773"/>
      <c r="P114" s="774"/>
    </row>
    <row r="115" spans="13:16" ht="15" customHeight="1">
      <c r="M115" s="772"/>
      <c r="N115" s="773"/>
      <c r="O115" s="773"/>
      <c r="P115" s="774"/>
    </row>
    <row r="116" spans="13:16" ht="15" customHeight="1">
      <c r="M116" s="772"/>
      <c r="N116" s="773"/>
      <c r="O116" s="773"/>
      <c r="P116" s="774"/>
    </row>
    <row r="117" spans="13:16" ht="15" customHeight="1">
      <c r="M117" s="772"/>
      <c r="N117" s="773"/>
      <c r="O117" s="773"/>
      <c r="P117" s="774"/>
    </row>
    <row r="118" spans="13:16" ht="15" customHeight="1">
      <c r="M118" s="772"/>
      <c r="N118" s="773"/>
      <c r="O118" s="773"/>
      <c r="P118" s="774"/>
    </row>
    <row r="119" spans="13:16" ht="15" customHeight="1">
      <c r="M119" s="772"/>
      <c r="N119" s="773"/>
      <c r="O119" s="773"/>
      <c r="P119" s="774"/>
    </row>
    <row r="120" spans="13:16" ht="15" customHeight="1">
      <c r="M120" s="766" t="s">
        <v>132</v>
      </c>
      <c r="N120" s="767"/>
      <c r="O120" s="767"/>
      <c r="P120" s="768"/>
    </row>
    <row r="121" spans="13:16" ht="15" customHeight="1">
      <c r="M121" s="769"/>
      <c r="N121" s="770"/>
      <c r="O121" s="770"/>
      <c r="P121" s="771"/>
    </row>
    <row r="122" spans="13:16" ht="15" customHeight="1">
      <c r="M122" s="769"/>
      <c r="N122" s="770"/>
      <c r="O122" s="770"/>
      <c r="P122" s="771"/>
    </row>
    <row r="123" spans="13:16" ht="15" customHeight="1">
      <c r="M123" s="769"/>
      <c r="N123" s="770"/>
      <c r="O123" s="770"/>
      <c r="P123" s="771"/>
    </row>
    <row r="124" spans="13:16" ht="15" customHeight="1">
      <c r="M124" s="769"/>
      <c r="N124" s="770"/>
      <c r="O124" s="770"/>
      <c r="P124" s="771"/>
    </row>
    <row r="125" spans="13:16" ht="15" customHeight="1">
      <c r="M125" s="769"/>
      <c r="N125" s="770"/>
      <c r="O125" s="770"/>
      <c r="P125" s="771"/>
    </row>
    <row r="126" spans="13:16" ht="15" customHeight="1">
      <c r="M126" s="769"/>
      <c r="N126" s="770"/>
      <c r="O126" s="770"/>
      <c r="P126" s="771"/>
    </row>
    <row r="127" spans="13:16" ht="15" customHeight="1">
      <c r="M127" s="769"/>
      <c r="N127" s="770"/>
      <c r="O127" s="770"/>
      <c r="P127" s="771"/>
    </row>
    <row r="128" spans="13:16" ht="15" customHeight="1">
      <c r="M128" s="772" t="s">
        <v>147</v>
      </c>
      <c r="N128" s="773"/>
      <c r="O128" s="773"/>
      <c r="P128" s="774"/>
    </row>
    <row r="129" spans="13:16" ht="15" customHeight="1">
      <c r="M129" s="772"/>
      <c r="N129" s="773"/>
      <c r="O129" s="773"/>
      <c r="P129" s="774"/>
    </row>
    <row r="130" spans="13:16" ht="15" customHeight="1">
      <c r="M130" s="772"/>
      <c r="N130" s="773"/>
      <c r="O130" s="773"/>
      <c r="P130" s="774"/>
    </row>
    <row r="131" spans="13:16" ht="15" customHeight="1">
      <c r="M131" s="772"/>
      <c r="N131" s="773"/>
      <c r="O131" s="773"/>
      <c r="P131" s="774"/>
    </row>
    <row r="132" spans="13:16" ht="15" customHeight="1">
      <c r="M132" s="772"/>
      <c r="N132" s="773"/>
      <c r="O132" s="773"/>
      <c r="P132" s="774"/>
    </row>
    <row r="133" spans="13:16" ht="15" customHeight="1">
      <c r="M133" s="772"/>
      <c r="N133" s="773"/>
      <c r="O133" s="773"/>
      <c r="P133" s="774"/>
    </row>
    <row r="134" spans="13:16" ht="15" customHeight="1">
      <c r="M134" s="772"/>
      <c r="N134" s="773"/>
      <c r="O134" s="773"/>
      <c r="P134" s="774"/>
    </row>
    <row r="135" spans="13:16" ht="15" customHeight="1">
      <c r="M135" s="772"/>
      <c r="N135" s="773"/>
      <c r="O135" s="773"/>
      <c r="P135" s="774"/>
    </row>
    <row r="136" spans="13:16" ht="15" customHeight="1">
      <c r="M136" s="772"/>
      <c r="N136" s="773"/>
      <c r="O136" s="773"/>
      <c r="P136" s="774"/>
    </row>
    <row r="137" spans="13:16" ht="15" customHeight="1">
      <c r="M137" s="772"/>
      <c r="N137" s="773"/>
      <c r="O137" s="773"/>
      <c r="P137" s="774"/>
    </row>
    <row r="138" spans="13:16" ht="15" customHeight="1">
      <c r="M138" s="772"/>
      <c r="N138" s="773"/>
      <c r="O138" s="773"/>
      <c r="P138" s="774"/>
    </row>
    <row r="139" spans="13:16" ht="15" customHeight="1">
      <c r="M139" s="772"/>
      <c r="N139" s="773"/>
      <c r="O139" s="773"/>
      <c r="P139" s="774"/>
    </row>
    <row r="140" spans="13:16" ht="15" customHeight="1">
      <c r="M140" s="772"/>
      <c r="N140" s="773"/>
      <c r="O140" s="773"/>
      <c r="P140" s="774"/>
    </row>
    <row r="141" spans="13:16" ht="15" customHeight="1">
      <c r="M141" s="772"/>
      <c r="N141" s="773"/>
      <c r="O141" s="773"/>
      <c r="P141" s="774"/>
    </row>
    <row r="142" spans="13:16" ht="15" customHeight="1">
      <c r="M142" s="772"/>
      <c r="N142" s="773"/>
      <c r="O142" s="773"/>
      <c r="P142" s="774"/>
    </row>
    <row r="143" spans="13:16" ht="15" customHeight="1">
      <c r="M143" s="772"/>
      <c r="N143" s="773"/>
      <c r="O143" s="773"/>
      <c r="P143" s="774"/>
    </row>
    <row r="144" spans="13:16" ht="15" customHeight="1">
      <c r="M144" s="772"/>
      <c r="N144" s="773"/>
      <c r="O144" s="773"/>
      <c r="P144" s="774"/>
    </row>
    <row r="145" spans="13:16" ht="15" customHeight="1">
      <c r="M145" s="772"/>
      <c r="N145" s="773"/>
      <c r="O145" s="773"/>
      <c r="P145" s="774"/>
    </row>
    <row r="146" spans="13:16" ht="15" customHeight="1">
      <c r="M146" s="772"/>
      <c r="N146" s="773"/>
      <c r="O146" s="773"/>
      <c r="P146" s="774"/>
    </row>
    <row r="147" spans="13:16" ht="15" customHeight="1">
      <c r="M147" s="772"/>
      <c r="N147" s="773"/>
      <c r="O147" s="773"/>
      <c r="P147" s="774"/>
    </row>
    <row r="148" spans="13:16" ht="15" customHeight="1">
      <c r="M148" s="772"/>
      <c r="N148" s="773"/>
      <c r="O148" s="773"/>
      <c r="P148" s="774"/>
    </row>
    <row r="149" spans="13:16" ht="15" customHeight="1">
      <c r="M149" s="772"/>
      <c r="N149" s="773"/>
      <c r="O149" s="773"/>
      <c r="P149" s="774"/>
    </row>
    <row r="150" spans="13:16" ht="15" customHeight="1">
      <c r="M150" s="772"/>
      <c r="N150" s="773"/>
      <c r="O150" s="773"/>
      <c r="P150" s="774"/>
    </row>
    <row r="151" spans="13:16" ht="15" customHeight="1">
      <c r="M151" s="772"/>
      <c r="N151" s="773"/>
      <c r="O151" s="773"/>
      <c r="P151" s="774"/>
    </row>
    <row r="152" spans="13:16" ht="15" customHeight="1">
      <c r="M152" s="772"/>
      <c r="N152" s="773"/>
      <c r="O152" s="773"/>
      <c r="P152" s="774"/>
    </row>
    <row r="153" spans="13:16" ht="15" customHeight="1">
      <c r="M153" s="772"/>
      <c r="N153" s="773"/>
      <c r="O153" s="773"/>
      <c r="P153" s="774"/>
    </row>
    <row r="154" spans="13:16" ht="15" customHeight="1">
      <c r="M154" s="772"/>
      <c r="N154" s="773"/>
      <c r="O154" s="773"/>
      <c r="P154" s="774"/>
    </row>
    <row r="155" spans="13:16" ht="15" customHeight="1">
      <c r="M155" s="772"/>
      <c r="N155" s="773"/>
      <c r="O155" s="773"/>
      <c r="P155" s="774"/>
    </row>
    <row r="156" spans="13:16" ht="15" customHeight="1">
      <c r="M156" s="772"/>
      <c r="N156" s="773"/>
      <c r="O156" s="773"/>
      <c r="P156" s="774"/>
    </row>
    <row r="157" spans="13:16" ht="15" customHeight="1">
      <c r="M157" s="772"/>
      <c r="N157" s="773"/>
      <c r="O157" s="773"/>
      <c r="P157" s="774"/>
    </row>
    <row r="158" spans="13:16" ht="15" customHeight="1">
      <c r="M158" s="772"/>
      <c r="N158" s="773"/>
      <c r="O158" s="773"/>
      <c r="P158" s="774"/>
    </row>
    <row r="159" spans="13:16" ht="15" customHeight="1">
      <c r="M159" s="772"/>
      <c r="N159" s="773"/>
      <c r="O159" s="773"/>
      <c r="P159" s="774"/>
    </row>
    <row r="160" spans="13:16" ht="15" customHeight="1">
      <c r="M160" s="772"/>
      <c r="N160" s="773"/>
      <c r="O160" s="773"/>
      <c r="P160" s="774"/>
    </row>
    <row r="161" spans="13:16" ht="15" customHeight="1">
      <c r="M161" s="772"/>
      <c r="N161" s="773"/>
      <c r="O161" s="773"/>
      <c r="P161" s="774"/>
    </row>
    <row r="162" spans="13:16" ht="15" customHeight="1">
      <c r="M162" s="772"/>
      <c r="N162" s="773"/>
      <c r="O162" s="773"/>
      <c r="P162" s="774"/>
    </row>
    <row r="163" spans="13:16" ht="15" customHeight="1">
      <c r="M163" s="772"/>
      <c r="N163" s="773"/>
      <c r="O163" s="773"/>
      <c r="P163" s="774"/>
    </row>
    <row r="164" spans="13:16" ht="15" customHeight="1">
      <c r="M164" s="772"/>
      <c r="N164" s="773"/>
      <c r="O164" s="773"/>
      <c r="P164" s="774"/>
    </row>
    <row r="165" spans="13:16" ht="15" customHeight="1">
      <c r="M165" s="772"/>
      <c r="N165" s="773"/>
      <c r="O165" s="773"/>
      <c r="P165" s="774"/>
    </row>
    <row r="166" spans="13:16" ht="15" customHeight="1">
      <c r="M166" s="772"/>
      <c r="N166" s="773"/>
      <c r="O166" s="773"/>
      <c r="P166" s="774"/>
    </row>
    <row r="167" spans="13:16" ht="15" customHeight="1">
      <c r="M167" s="772"/>
      <c r="N167" s="773"/>
      <c r="O167" s="773"/>
      <c r="P167" s="774"/>
    </row>
    <row r="168" spans="13:16" ht="15" customHeight="1">
      <c r="M168" s="772"/>
      <c r="N168" s="773"/>
      <c r="O168" s="773"/>
      <c r="P168" s="774"/>
    </row>
    <row r="169" spans="13:16" ht="15" customHeight="1">
      <c r="M169" s="772"/>
      <c r="N169" s="773"/>
      <c r="O169" s="773"/>
      <c r="P169" s="774"/>
    </row>
    <row r="170" spans="13:16" ht="15" customHeight="1">
      <c r="M170" s="772"/>
      <c r="N170" s="773"/>
      <c r="O170" s="773"/>
      <c r="P170" s="774"/>
    </row>
    <row r="171" spans="13:16" ht="15" customHeight="1">
      <c r="M171" s="772"/>
      <c r="N171" s="773"/>
      <c r="O171" s="773"/>
      <c r="P171" s="774"/>
    </row>
    <row r="172" spans="13:16" ht="15" customHeight="1">
      <c r="M172" s="772"/>
      <c r="N172" s="773"/>
      <c r="O172" s="773"/>
      <c r="P172" s="774"/>
    </row>
    <row r="173" spans="13:16" ht="15" customHeight="1">
      <c r="M173" s="772"/>
      <c r="N173" s="773"/>
      <c r="O173" s="773"/>
      <c r="P173" s="774"/>
    </row>
    <row r="174" spans="13:16" ht="15" customHeight="1">
      <c r="M174" s="772"/>
      <c r="N174" s="773"/>
      <c r="O174" s="773"/>
      <c r="P174" s="774"/>
    </row>
    <row r="175" spans="13:16" ht="15" customHeight="1">
      <c r="M175" s="772"/>
      <c r="N175" s="773"/>
      <c r="O175" s="773"/>
      <c r="P175" s="774"/>
    </row>
    <row r="176" spans="13:16" ht="15" customHeight="1">
      <c r="M176" s="772"/>
      <c r="N176" s="773"/>
      <c r="O176" s="773"/>
      <c r="P176" s="774"/>
    </row>
    <row r="177" spans="13:16" ht="15" customHeight="1">
      <c r="M177" s="772"/>
      <c r="N177" s="773"/>
      <c r="O177" s="773"/>
      <c r="P177" s="774"/>
    </row>
    <row r="178" spans="13:16" ht="15" customHeight="1">
      <c r="M178" s="772"/>
      <c r="N178" s="773"/>
      <c r="O178" s="773"/>
      <c r="P178" s="774"/>
    </row>
    <row r="179" spans="13:16" ht="15" customHeight="1">
      <c r="M179" s="772"/>
      <c r="N179" s="773"/>
      <c r="O179" s="773"/>
      <c r="P179" s="774"/>
    </row>
    <row r="180" spans="13:16" ht="15" customHeight="1">
      <c r="M180" s="772"/>
      <c r="N180" s="773"/>
      <c r="O180" s="773"/>
      <c r="P180" s="774"/>
    </row>
    <row r="181" spans="13:16" ht="15" customHeight="1">
      <c r="M181" s="772"/>
      <c r="N181" s="773"/>
      <c r="O181" s="773"/>
      <c r="P181" s="774"/>
    </row>
    <row r="182" spans="13:16" ht="15" customHeight="1">
      <c r="M182" s="772"/>
      <c r="N182" s="773"/>
      <c r="O182" s="773"/>
      <c r="P182" s="774"/>
    </row>
    <row r="183" spans="13:16" ht="15" customHeight="1">
      <c r="M183" s="772"/>
      <c r="N183" s="773"/>
      <c r="O183" s="773"/>
      <c r="P183" s="774"/>
    </row>
    <row r="184" spans="13:16" ht="15" customHeight="1">
      <c r="M184" s="772"/>
      <c r="N184" s="773"/>
      <c r="O184" s="773"/>
      <c r="P184" s="774"/>
    </row>
    <row r="185" spans="13:16" ht="15" customHeight="1">
      <c r="M185" s="772"/>
      <c r="N185" s="773"/>
      <c r="O185" s="773"/>
      <c r="P185" s="774"/>
    </row>
    <row r="186" spans="13:16" ht="15" customHeight="1">
      <c r="M186" s="772"/>
      <c r="N186" s="773"/>
      <c r="O186" s="773"/>
      <c r="P186" s="774"/>
    </row>
    <row r="187" spans="13:16" ht="15" customHeight="1">
      <c r="M187" s="772"/>
      <c r="N187" s="773"/>
      <c r="O187" s="773"/>
      <c r="P187" s="774"/>
    </row>
    <row r="188" spans="13:16" ht="15" customHeight="1">
      <c r="M188" s="772"/>
      <c r="N188" s="773"/>
      <c r="O188" s="773"/>
      <c r="P188" s="774"/>
    </row>
    <row r="189" spans="13:16" ht="15" customHeight="1">
      <c r="M189" s="772"/>
      <c r="N189" s="773"/>
      <c r="O189" s="773"/>
      <c r="P189" s="774"/>
    </row>
    <row r="190" spans="13:16" ht="15" customHeight="1">
      <c r="M190" s="772"/>
      <c r="N190" s="773"/>
      <c r="O190" s="773"/>
      <c r="P190" s="774"/>
    </row>
    <row r="191" spans="13:16" ht="15" customHeight="1">
      <c r="M191" s="772"/>
      <c r="N191" s="773"/>
      <c r="O191" s="773"/>
      <c r="P191" s="774"/>
    </row>
    <row r="192" spans="13:16" ht="15" customHeight="1">
      <c r="M192" s="772"/>
      <c r="N192" s="773"/>
      <c r="O192" s="773"/>
      <c r="P192" s="774"/>
    </row>
    <row r="193" spans="13:16" ht="15" customHeight="1">
      <c r="M193" s="772"/>
      <c r="N193" s="773"/>
      <c r="O193" s="773"/>
      <c r="P193" s="774"/>
    </row>
    <row r="194" spans="13:16" ht="15" customHeight="1">
      <c r="M194" s="772"/>
      <c r="N194" s="773"/>
      <c r="O194" s="773"/>
      <c r="P194" s="774"/>
    </row>
    <row r="195" spans="13:16" ht="15" customHeight="1">
      <c r="M195" s="772"/>
      <c r="N195" s="773"/>
      <c r="O195" s="773"/>
      <c r="P195" s="774"/>
    </row>
    <row r="196" spans="13:16" ht="15" customHeight="1">
      <c r="M196" s="772"/>
      <c r="N196" s="773"/>
      <c r="O196" s="773"/>
      <c r="P196" s="774"/>
    </row>
    <row r="197" spans="13:16" ht="15" customHeight="1">
      <c r="M197" s="772"/>
      <c r="N197" s="773"/>
      <c r="O197" s="773"/>
      <c r="P197" s="774"/>
    </row>
    <row r="198" spans="13:16" ht="15" customHeight="1">
      <c r="M198" s="772"/>
      <c r="N198" s="773"/>
      <c r="O198" s="773"/>
      <c r="P198" s="774"/>
    </row>
    <row r="199" spans="13:16" ht="15" customHeight="1">
      <c r="M199" s="772"/>
      <c r="N199" s="773"/>
      <c r="O199" s="773"/>
      <c r="P199" s="774"/>
    </row>
    <row r="200" spans="13:16" ht="15" customHeight="1">
      <c r="M200" s="772"/>
      <c r="N200" s="773"/>
      <c r="O200" s="773"/>
      <c r="P200" s="774"/>
    </row>
    <row r="201" spans="13:16" ht="15" customHeight="1">
      <c r="M201" s="772"/>
      <c r="N201" s="773"/>
      <c r="O201" s="773"/>
      <c r="P201" s="774"/>
    </row>
    <row r="202" spans="13:16" ht="15" customHeight="1">
      <c r="M202" s="772"/>
      <c r="N202" s="773"/>
      <c r="O202" s="773"/>
      <c r="P202" s="774"/>
    </row>
    <row r="203" spans="13:16" ht="15" customHeight="1">
      <c r="M203" s="766" t="s">
        <v>132</v>
      </c>
      <c r="N203" s="767"/>
      <c r="O203" s="767"/>
      <c r="P203" s="768"/>
    </row>
    <row r="204" spans="13:16" ht="15" customHeight="1">
      <c r="M204" s="769"/>
      <c r="N204" s="770"/>
      <c r="O204" s="770"/>
      <c r="P204" s="771"/>
    </row>
    <row r="205" spans="13:16" ht="15" customHeight="1">
      <c r="M205" s="769"/>
      <c r="N205" s="770"/>
      <c r="O205" s="770"/>
      <c r="P205" s="771"/>
    </row>
    <row r="206" spans="13:16" ht="15" customHeight="1">
      <c r="M206" s="769"/>
      <c r="N206" s="770"/>
      <c r="O206" s="770"/>
      <c r="P206" s="771"/>
    </row>
    <row r="207" spans="13:16" ht="15" customHeight="1">
      <c r="M207" s="769"/>
      <c r="N207" s="770"/>
      <c r="O207" s="770"/>
      <c r="P207" s="771"/>
    </row>
    <row r="208" spans="13:16" ht="15" customHeight="1">
      <c r="M208" s="769"/>
      <c r="N208" s="770"/>
      <c r="O208" s="770"/>
      <c r="P208" s="771"/>
    </row>
    <row r="209" spans="13:16" ht="15" customHeight="1">
      <c r="M209" s="769"/>
      <c r="N209" s="770"/>
      <c r="O209" s="770"/>
      <c r="P209" s="771"/>
    </row>
    <row r="210" spans="13:16" ht="15" customHeight="1">
      <c r="M210" s="769"/>
      <c r="N210" s="770"/>
      <c r="O210" s="770"/>
      <c r="P210" s="771"/>
    </row>
    <row r="211" spans="13:16" ht="15" customHeight="1">
      <c r="M211" s="750" t="s">
        <v>147</v>
      </c>
      <c r="N211" s="751"/>
      <c r="O211" s="751"/>
      <c r="P211" s="752"/>
    </row>
    <row r="288" spans="13:13" ht="15" customHeight="1">
      <c r="M288" s="748" t="s">
        <v>132</v>
      </c>
    </row>
    <row r="289" spans="13:13" ht="15" customHeight="1">
      <c r="M289" s="749"/>
    </row>
    <row r="290" spans="13:13" ht="15" customHeight="1">
      <c r="M290" s="749"/>
    </row>
    <row r="291" spans="13:13" ht="15" customHeight="1">
      <c r="M291" s="749"/>
    </row>
    <row r="292" spans="13:13" ht="15" customHeight="1">
      <c r="M292" s="749"/>
    </row>
    <row r="293" spans="13:13" ht="15" customHeight="1">
      <c r="M293" s="749"/>
    </row>
    <row r="294" spans="13:13" ht="15" customHeight="1">
      <c r="M294" s="749"/>
    </row>
    <row r="295" spans="13:13" ht="15" customHeight="1">
      <c r="M295" s="749"/>
    </row>
    <row r="296" spans="13:13" ht="15" customHeight="1">
      <c r="M296" s="750" t="s">
        <v>147</v>
      </c>
    </row>
  </sheetData>
  <mergeCells count="10">
    <mergeCell ref="M48:P119"/>
    <mergeCell ref="M120:P127"/>
    <mergeCell ref="M128:P202"/>
    <mergeCell ref="M203:P210"/>
    <mergeCell ref="A1:G1"/>
    <mergeCell ref="B60:B64"/>
    <mergeCell ref="C60:C64"/>
    <mergeCell ref="M3:P6"/>
    <mergeCell ref="M7:P39"/>
    <mergeCell ref="M40:P47"/>
  </mergeCells>
  <conditionalFormatting sqref="A7:D7 C8:D10 E7:G45 B9 A11:D25 A28:D45">
    <cfRule type="expression" dxfId="47" priority="85">
      <formula>$O7="IN PROGRESS"</formula>
    </cfRule>
    <cfRule type="expression" dxfId="46" priority="86">
      <formula>$O7="N"</formula>
    </cfRule>
    <cfRule type="expression" dxfId="45" priority="87">
      <formula>$O7="Y"</formula>
    </cfRule>
  </conditionalFormatting>
  <conditionalFormatting sqref="A8:A10">
    <cfRule type="expression" dxfId="44" priority="94">
      <formula>$O8="IN PROGRESS"</formula>
    </cfRule>
    <cfRule type="expression" dxfId="43" priority="95">
      <formula>$O8="N"</formula>
    </cfRule>
    <cfRule type="expression" dxfId="42" priority="96">
      <formula>$O8="Y"</formula>
    </cfRule>
  </conditionalFormatting>
  <conditionalFormatting sqref="B26:D27">
    <cfRule type="expression" dxfId="41" priority="76">
      <formula>$O26="IN PROGRESS"</formula>
    </cfRule>
    <cfRule type="expression" dxfId="40" priority="77">
      <formula>$O26="N"</formula>
    </cfRule>
    <cfRule type="expression" dxfId="39" priority="78">
      <formula>$O26="Y"</formula>
    </cfRule>
  </conditionalFormatting>
  <conditionalFormatting sqref="I47 A47:G47">
    <cfRule type="expression" dxfId="38" priority="61">
      <formula>$K45="IN PROGRESS"</formula>
    </cfRule>
    <cfRule type="expression" dxfId="37" priority="62">
      <formula>$K45="Rejected"</formula>
    </cfRule>
  </conditionalFormatting>
  <conditionalFormatting sqref="I47 A47:G47">
    <cfRule type="expression" dxfId="36" priority="63">
      <formula>$K45="Accepted"</formula>
    </cfRule>
  </conditionalFormatting>
  <conditionalFormatting sqref="H48:I48 A48:D48 A54:D67 A71:D72 E50:I72 A46:I46 A50:D51 K46 K50:K72 K48">
    <cfRule type="expression" dxfId="35" priority="55">
      <formula>$K46="IN PROGRESS"</formula>
    </cfRule>
    <cfRule type="expression" dxfId="34" priority="56">
      <formula>$K46="Rejected"</formula>
    </cfRule>
  </conditionalFormatting>
  <conditionalFormatting sqref="H48:I48 A48:D48 A54:D67 A71:D72 E50:I72 A46:I46 A50:D51 K46 K50:K72 K48">
    <cfRule type="expression" dxfId="33" priority="57">
      <formula>$K46="Accepted"</formula>
    </cfRule>
  </conditionalFormatting>
  <conditionalFormatting sqref="A52:D53">
    <cfRule type="expression" dxfId="32" priority="49">
      <formula>$K52="IN PROGRESS"</formula>
    </cfRule>
    <cfRule type="expression" dxfId="31" priority="50">
      <formula>$K52="Rejected"</formula>
    </cfRule>
  </conditionalFormatting>
  <conditionalFormatting sqref="A52:D53">
    <cfRule type="expression" dxfId="30" priority="51">
      <formula>$K52="Accepted"</formula>
    </cfRule>
  </conditionalFormatting>
  <conditionalFormatting sqref="A68:A70">
    <cfRule type="expression" dxfId="29" priority="25">
      <formula>$K68="IN PROGRESS"</formula>
    </cfRule>
    <cfRule type="expression" dxfId="28" priority="26">
      <formula>$K68="Rejected"</formula>
    </cfRule>
  </conditionalFormatting>
  <conditionalFormatting sqref="A68:A70">
    <cfRule type="expression" dxfId="27" priority="27">
      <formula>$K68="Accepted"</formula>
    </cfRule>
  </conditionalFormatting>
  <conditionalFormatting sqref="B68:D70">
    <cfRule type="expression" dxfId="26" priority="22">
      <formula>$K68="IN PROGRESS"</formula>
    </cfRule>
    <cfRule type="expression" dxfId="25" priority="23">
      <formula>$K68="Rejected"</formula>
    </cfRule>
  </conditionalFormatting>
  <conditionalFormatting sqref="B68:D70">
    <cfRule type="expression" dxfId="24" priority="24">
      <formula>$K68="Accepted"</formula>
    </cfRule>
  </conditionalFormatting>
  <conditionalFormatting sqref="K14">
    <cfRule type="expression" dxfId="23" priority="16">
      <formula>$O14="IN PROGRESS"</formula>
    </cfRule>
    <cfRule type="expression" dxfId="22" priority="17">
      <formula>$O14="N"</formula>
    </cfRule>
    <cfRule type="expression" dxfId="21" priority="18">
      <formula>$O14="Y"</formula>
    </cfRule>
  </conditionalFormatting>
  <conditionalFormatting sqref="K18">
    <cfRule type="expression" dxfId="20" priority="13">
      <formula>$O18="IN PROGRESS"</formula>
    </cfRule>
    <cfRule type="expression" dxfId="19" priority="14">
      <formula>$O18="N"</formula>
    </cfRule>
    <cfRule type="expression" dxfId="18" priority="15">
      <formula>$O18="Y"</formula>
    </cfRule>
  </conditionalFormatting>
  <conditionalFormatting sqref="K22">
    <cfRule type="expression" dxfId="17" priority="10">
      <formula>$O22="IN PROGRESS"</formula>
    </cfRule>
    <cfRule type="expression" dxfId="16" priority="11">
      <formula>$O22="N"</formula>
    </cfRule>
    <cfRule type="expression" dxfId="15" priority="12">
      <formula>$O22="Y"</formula>
    </cfRule>
  </conditionalFormatting>
  <conditionalFormatting sqref="B8 B10">
    <cfRule type="expression" dxfId="14" priority="4">
      <formula>$O8="IN PROGRESS"</formula>
    </cfRule>
    <cfRule type="expression" dxfId="13" priority="5">
      <formula>$O8="N"</formula>
    </cfRule>
    <cfRule type="expression" dxfId="12" priority="6">
      <formula>$O8="Y"</formula>
    </cfRule>
  </conditionalFormatting>
  <conditionalFormatting sqref="B49:I49 K49">
    <cfRule type="expression" dxfId="11" priority="1">
      <formula>$K49="IN PROGRESS"</formula>
    </cfRule>
    <cfRule type="expression" dxfId="10" priority="2">
      <formula>$K49="Rejected"</formula>
    </cfRule>
  </conditionalFormatting>
  <conditionalFormatting sqref="B49:I49 K49">
    <cfRule type="expression" dxfId="9" priority="3">
      <formula>$K49="Accepted"</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58" id="{B0D4673D-8A03-42E0-ABC3-35F33808CC0A}">
            <xm:f>Building!#REF!="IN PROGRESS"</xm:f>
            <x14:dxf>
              <font>
                <color rgb="FF9C5700"/>
              </font>
              <fill>
                <patternFill>
                  <bgColor rgb="FFFFEB9C"/>
                </patternFill>
              </fill>
            </x14:dxf>
          </x14:cfRule>
          <x14:cfRule type="expression" priority="59" id="{25410B44-0034-411D-8D62-6554A038870E}">
            <xm:f>Building!#REF!="Rejected"</xm:f>
            <x14:dxf>
              <font>
                <color rgb="FF9C0006"/>
              </font>
              <fill>
                <patternFill>
                  <bgColor rgb="FFFFC7CE"/>
                </patternFill>
              </fill>
            </x14:dxf>
          </x14:cfRule>
          <xm:sqref>E48:G48</xm:sqref>
        </x14:conditionalFormatting>
        <x14:conditionalFormatting xmlns:xm="http://schemas.microsoft.com/office/excel/2006/main">
          <x14:cfRule type="expression" priority="60" id="{C48E5ECB-3BD8-4C33-ABC6-525CDFFCD0D7}">
            <xm:f>Building!#REF!="Accepted"</xm:f>
            <x14:dxf>
              <font>
                <color rgb="FF006100"/>
              </font>
              <fill>
                <patternFill>
                  <bgColor rgb="FFC6EFCE"/>
                </patternFill>
              </fill>
            </x14:dxf>
          </x14:cfRule>
          <xm:sqref>E48:G48</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DCAD6-EE02-4DD2-8F52-FB1027200CB2}">
  <dimension ref="A1:P296"/>
  <sheetViews>
    <sheetView workbookViewId="0">
      <pane ySplit="2" topLeftCell="A16" activePane="bottomLeft" state="frozen"/>
      <selection pane="bottomLeft" activeCell="J3" sqref="J3"/>
    </sheetView>
  </sheetViews>
  <sheetFormatPr defaultRowHeight="15"/>
  <cols>
    <col min="1" max="1" width="11" bestFit="1" customWidth="1"/>
    <col min="3" max="3" width="15.140625" bestFit="1" customWidth="1"/>
    <col min="4" max="5" width="15.140625" customWidth="1"/>
    <col min="7" max="7" width="117.28515625" bestFit="1" customWidth="1"/>
    <col min="8" max="8" width="14.7109375" customWidth="1"/>
    <col min="9" max="9" width="10.42578125" bestFit="1" customWidth="1"/>
    <col min="10" max="10" width="28.140625" bestFit="1" customWidth="1"/>
    <col min="12" max="12" width="2.42578125" customWidth="1"/>
    <col min="17" max="17" width="1.7109375" customWidth="1"/>
  </cols>
  <sheetData>
    <row r="1" spans="1:16" ht="47.45" customHeight="1">
      <c r="A1" s="901" t="s">
        <v>2066</v>
      </c>
      <c r="B1" s="901"/>
      <c r="C1" s="901"/>
      <c r="D1" s="901"/>
      <c r="E1" s="901"/>
      <c r="F1" s="901"/>
      <c r="G1" s="901"/>
      <c r="H1" s="901"/>
      <c r="I1" s="901"/>
      <c r="J1" s="901"/>
      <c r="K1" s="901"/>
      <c r="L1" s="318"/>
      <c r="M1" s="315"/>
      <c r="N1" s="316"/>
      <c r="O1" s="316"/>
      <c r="P1" s="317"/>
    </row>
    <row r="2" spans="1:16" ht="40.5">
      <c r="A2" s="283" t="s">
        <v>112</v>
      </c>
      <c r="B2" s="284" t="s">
        <v>113</v>
      </c>
      <c r="C2" s="284" t="s">
        <v>114</v>
      </c>
      <c r="D2" s="284" t="s">
        <v>115</v>
      </c>
      <c r="E2" s="284" t="s">
        <v>116</v>
      </c>
      <c r="F2" s="284" t="s">
        <v>117</v>
      </c>
      <c r="G2" s="284" t="s">
        <v>118</v>
      </c>
      <c r="H2" s="291" t="s">
        <v>119</v>
      </c>
      <c r="I2" s="291" t="s">
        <v>120</v>
      </c>
      <c r="J2" s="291" t="s">
        <v>121</v>
      </c>
      <c r="K2" s="292" t="s">
        <v>122</v>
      </c>
      <c r="L2" s="320"/>
      <c r="M2" s="312" t="s">
        <v>123</v>
      </c>
      <c r="N2" s="294" t="s">
        <v>124</v>
      </c>
      <c r="O2" s="295" t="s">
        <v>125</v>
      </c>
      <c r="P2" s="296" t="s">
        <v>126</v>
      </c>
    </row>
    <row r="3" spans="1:16" s="1" customFormat="1" ht="62.25" customHeight="1">
      <c r="A3" s="270"/>
      <c r="B3" s="566" t="s">
        <v>2614</v>
      </c>
      <c r="C3" s="568" t="s">
        <v>2615</v>
      </c>
      <c r="D3" s="568"/>
      <c r="E3" s="568"/>
      <c r="F3" s="21" t="s">
        <v>2013</v>
      </c>
      <c r="G3" s="52" t="s">
        <v>2616</v>
      </c>
      <c r="H3" s="288"/>
      <c r="I3" s="290"/>
      <c r="J3" s="511" t="str" cm="1">
        <f t="array" ref="J3">IF(ISBLANK(I3), IF(ISBLANK(H3), "N/A", _xlfn.IFS(K3="AS", H3+15, K3="NCR", H3+30, K3="submitted", H3+30, TRUE, "N/A")), _xlfn.IFS(K3="AS", I3+15, K3="NCR", I3+30, K3="submitted", I3+30, TRUE, "N/A"))</f>
        <v>N/A</v>
      </c>
      <c r="K3"/>
      <c r="L3" s="318"/>
      <c r="M3" s="766" t="s">
        <v>132</v>
      </c>
      <c r="N3" s="767"/>
      <c r="O3" s="767"/>
      <c r="P3" s="768"/>
    </row>
    <row r="4" spans="1:16" s="150" customFormat="1" ht="24.75" customHeight="1">
      <c r="A4" s="195" t="s">
        <v>38</v>
      </c>
      <c r="B4" s="682" t="s">
        <v>2614</v>
      </c>
      <c r="C4" s="683" t="s">
        <v>2615</v>
      </c>
      <c r="D4" s="683"/>
      <c r="E4" s="683"/>
      <c r="F4" s="147" t="s">
        <v>1747</v>
      </c>
      <c r="G4" s="194" t="s">
        <v>2617</v>
      </c>
      <c r="H4" s="684">
        <v>45804</v>
      </c>
      <c r="I4" s="685">
        <v>45883</v>
      </c>
      <c r="J4" s="511" cm="1">
        <f t="array" ref="J4">IF(ISBLANK(I4), IF(ISBLANK(H4), "N/A", _xlfn.IFS(K4="AS", H4+15, K4="NCR", H4+30, K4="submitted", H4+30, TRUE, "N/A")), _xlfn.IFS(K4="AS", I4+15, K4="NCR", I4+30, K4="submitted", I4+30, TRUE, "N/A"))</f>
        <v>45913</v>
      </c>
      <c r="K4" s="149" t="s">
        <v>207</v>
      </c>
      <c r="L4" s="318"/>
      <c r="M4" s="769"/>
      <c r="N4" s="770"/>
      <c r="O4" s="770"/>
      <c r="P4" s="771"/>
    </row>
    <row r="5" spans="1:16" s="138" customFormat="1" ht="24.75" customHeight="1">
      <c r="A5" s="429" t="s">
        <v>2618</v>
      </c>
      <c r="B5" s="686" t="s">
        <v>2614</v>
      </c>
      <c r="C5" s="687" t="s">
        <v>2615</v>
      </c>
      <c r="D5" s="687"/>
      <c r="E5" s="687"/>
      <c r="F5" s="152" t="s">
        <v>2619</v>
      </c>
      <c r="G5" s="154" t="s">
        <v>2620</v>
      </c>
      <c r="H5" s="430">
        <v>45805</v>
      </c>
      <c r="I5" s="431">
        <v>45883</v>
      </c>
      <c r="J5" s="511" t="str" cm="1">
        <f t="array" ref="J5">IF(ISBLANK(I5), IF(ISBLANK(H5), "N/A", _xlfn.IFS(K5="AS", H5+15, K5="NCR", H5+30, K5="submitted", H5+30, TRUE, "N/A")), _xlfn.IFS(K5="AS", I5+15, K5="NCR", I5+30, K5="submitted", I5+30, TRUE, "N/A"))</f>
        <v>N/A</v>
      </c>
      <c r="K5" s="139" t="s">
        <v>645</v>
      </c>
      <c r="L5" s="318"/>
      <c r="M5" s="769"/>
      <c r="N5" s="770"/>
      <c r="O5" s="770"/>
      <c r="P5" s="771"/>
    </row>
    <row r="6" spans="1:16" s="1" customFormat="1" ht="25.5" customHeight="1">
      <c r="A6" s="183"/>
      <c r="B6" s="566" t="s">
        <v>2614</v>
      </c>
      <c r="C6" s="568" t="s">
        <v>2615</v>
      </c>
      <c r="D6" s="568"/>
      <c r="E6" s="568"/>
      <c r="F6" s="9" t="s">
        <v>2016</v>
      </c>
      <c r="G6" s="7" t="s">
        <v>2621</v>
      </c>
      <c r="H6" s="123"/>
      <c r="I6" s="184"/>
      <c r="J6" s="511" t="str" cm="1">
        <f t="array" ref="J6">IF(ISBLANK(I6), IF(ISBLANK(H6), "N/A", _xlfn.IFS(K6="AS", H6+15, K6="NCR", H6+30, K6="submitted", H6+30, TRUE, "N/A")), _xlfn.IFS(K6="AS", I6+15, K6="NCR", I6+30, K6="submitted", I6+30, TRUE, "N/A"))</f>
        <v>N/A</v>
      </c>
      <c r="K6"/>
      <c r="L6" s="318"/>
      <c r="M6" s="769"/>
      <c r="N6" s="770"/>
      <c r="O6" s="770"/>
      <c r="P6" s="771"/>
    </row>
    <row r="7" spans="1:16" s="1" customFormat="1" ht="25.5" customHeight="1">
      <c r="A7" s="183"/>
      <c r="B7" s="566" t="s">
        <v>2614</v>
      </c>
      <c r="C7" s="568" t="s">
        <v>2615</v>
      </c>
      <c r="D7" s="568"/>
      <c r="E7" s="568"/>
      <c r="F7" s="9" t="s">
        <v>2020</v>
      </c>
      <c r="G7" s="7" t="s">
        <v>2622</v>
      </c>
      <c r="H7" s="123"/>
      <c r="I7" s="184"/>
      <c r="J7" s="511" t="str" cm="1">
        <f t="array" ref="J7">IF(ISBLANK(I7), IF(ISBLANK(H7), "N/A", _xlfn.IFS(K7="AS", H7+15, K7="NCR", H7+30, K7="submitted", H7+30, TRUE, "N/A")), _xlfn.IFS(K7="AS", I7+15, K7="NCR", I7+30, K7="submitted", I7+30, TRUE, "N/A"))</f>
        <v>N/A</v>
      </c>
      <c r="K7"/>
      <c r="L7" s="318"/>
      <c r="M7" s="772" t="s">
        <v>147</v>
      </c>
      <c r="N7" s="773"/>
      <c r="O7" s="773"/>
      <c r="P7" s="774"/>
    </row>
    <row r="8" spans="1:16" s="1" customFormat="1" ht="12.75" customHeight="1">
      <c r="A8" s="183"/>
      <c r="B8" s="566" t="s">
        <v>2614</v>
      </c>
      <c r="C8" s="568" t="s">
        <v>2615</v>
      </c>
      <c r="D8" s="568"/>
      <c r="E8" s="568"/>
      <c r="F8" s="9" t="s">
        <v>2623</v>
      </c>
      <c r="G8" s="7" t="s">
        <v>2624</v>
      </c>
      <c r="H8" s="123"/>
      <c r="I8" s="184"/>
      <c r="J8" s="511" t="str" cm="1">
        <f t="array" ref="J8">IF(ISBLANK(I8), IF(ISBLANK(H8), "N/A", _xlfn.IFS(K8="AS", H8+15, K8="NCR", H8+30, K8="submitted", H8+30, TRUE, "N/A")), _xlfn.IFS(K8="AS", I8+15, K8="NCR", I8+30, K8="submitted", I8+30, TRUE, "N/A"))</f>
        <v>N/A</v>
      </c>
      <c r="K8"/>
      <c r="L8" s="318"/>
      <c r="M8" s="772"/>
      <c r="N8" s="773"/>
      <c r="O8" s="773"/>
      <c r="P8" s="774"/>
    </row>
    <row r="9" spans="1:16" s="1" customFormat="1" ht="12.75" customHeight="1">
      <c r="A9" s="183"/>
      <c r="B9" s="566" t="s">
        <v>2614</v>
      </c>
      <c r="C9" s="568" t="s">
        <v>2615</v>
      </c>
      <c r="D9" s="568"/>
      <c r="E9" s="568"/>
      <c r="F9" s="9" t="s">
        <v>2625</v>
      </c>
      <c r="G9" s="7" t="s">
        <v>2626</v>
      </c>
      <c r="H9" s="123"/>
      <c r="I9" s="184"/>
      <c r="J9" s="511" t="str" cm="1">
        <f t="array" ref="J9">IF(ISBLANK(I9), IF(ISBLANK(H9), "N/A", _xlfn.IFS(K9="AS", H9+15, K9="NCR", H9+30, K9="submitted", H9+30, TRUE, "N/A")), _xlfn.IFS(K9="AS", I9+15, K9="NCR", I9+30, K9="submitted", I9+30, TRUE, "N/A"))</f>
        <v>N/A</v>
      </c>
      <c r="L9" s="318"/>
      <c r="M9" s="772"/>
      <c r="N9" s="773"/>
      <c r="O9" s="773"/>
      <c r="P9" s="774"/>
    </row>
    <row r="10" spans="1:16" s="1" customFormat="1" ht="14.25" customHeight="1">
      <c r="A10" s="183"/>
      <c r="B10" s="566" t="s">
        <v>2614</v>
      </c>
      <c r="C10" s="568" t="s">
        <v>2615</v>
      </c>
      <c r="D10" s="568"/>
      <c r="E10" s="568"/>
      <c r="F10" s="9" t="s">
        <v>2627</v>
      </c>
      <c r="G10" s="7" t="s">
        <v>2628</v>
      </c>
      <c r="H10" s="123"/>
      <c r="I10" s="184"/>
      <c r="J10" s="511" t="str" cm="1">
        <f t="array" ref="J10">IF(ISBLANK(I10), IF(ISBLANK(H10), "N/A", _xlfn.IFS(K10="AS", H10+15, K10="NCR", H10+30, K10="submitted", H10+30, TRUE, "N/A")), _xlfn.IFS(K10="AS", I10+15, K10="NCR", I10+30, K10="submitted", I10+30, TRUE, "N/A"))</f>
        <v>N/A</v>
      </c>
      <c r="L10" s="318"/>
      <c r="M10" s="772"/>
      <c r="N10" s="773"/>
      <c r="O10" s="773"/>
      <c r="P10" s="774"/>
    </row>
    <row r="11" spans="1:16" s="1" customFormat="1" ht="12.75" customHeight="1">
      <c r="A11" s="183"/>
      <c r="B11" s="566" t="s">
        <v>2614</v>
      </c>
      <c r="C11" s="568" t="s">
        <v>2615</v>
      </c>
      <c r="D11" s="568"/>
      <c r="E11" s="568"/>
      <c r="F11" s="9" t="s">
        <v>2629</v>
      </c>
      <c r="G11" s="7" t="s">
        <v>2630</v>
      </c>
      <c r="H11" s="123"/>
      <c r="I11" s="184"/>
      <c r="J11" s="511" t="str" cm="1">
        <f t="array" ref="J11">IF(ISBLANK(I11), IF(ISBLANK(H11), "N/A", _xlfn.IFS(K11="AS", H11+15, K11="NCR", H11+30, K11="submitted", H11+30, TRUE, "N/A")), _xlfn.IFS(K11="AS", I11+15, K11="NCR", I11+30, K11="submitted", I11+30, TRUE, "N/A"))</f>
        <v>N/A</v>
      </c>
      <c r="L11" s="318"/>
      <c r="M11" s="772"/>
      <c r="N11" s="773"/>
      <c r="O11" s="773"/>
      <c r="P11" s="774"/>
    </row>
    <row r="12" spans="1:16" s="1" customFormat="1" ht="25.5" customHeight="1">
      <c r="A12" s="183"/>
      <c r="B12" s="566" t="s">
        <v>2614</v>
      </c>
      <c r="C12" s="568" t="s">
        <v>2615</v>
      </c>
      <c r="D12" s="568"/>
      <c r="E12" s="568"/>
      <c r="F12" s="9" t="s">
        <v>2631</v>
      </c>
      <c r="G12" s="7" t="s">
        <v>2632</v>
      </c>
      <c r="H12" s="123"/>
      <c r="I12" s="184"/>
      <c r="J12" s="511" t="str" cm="1">
        <f t="array" ref="J12">IF(ISBLANK(I12), IF(ISBLANK(H12), "N/A", _xlfn.IFS(K12="AS", H12+15, K12="NCR", H12+30, K12="submitted", H12+30, TRUE, "N/A")), _xlfn.IFS(K12="AS", I12+15, K12="NCR", I12+30, K12="submitted", I12+30, TRUE, "N/A"))</f>
        <v>N/A</v>
      </c>
      <c r="L12" s="319"/>
      <c r="M12" s="772"/>
      <c r="N12" s="773"/>
      <c r="O12" s="773"/>
      <c r="P12" s="774"/>
    </row>
    <row r="13" spans="1:16" s="1" customFormat="1" ht="30" customHeight="1">
      <c r="A13" s="183"/>
      <c r="B13" s="566" t="s">
        <v>2614</v>
      </c>
      <c r="C13" s="568" t="s">
        <v>2615</v>
      </c>
      <c r="D13" s="568"/>
      <c r="E13" s="568"/>
      <c r="F13" s="9" t="s">
        <v>2633</v>
      </c>
      <c r="G13" s="7" t="s">
        <v>2634</v>
      </c>
      <c r="H13" s="123"/>
      <c r="I13" s="184"/>
      <c r="J13" s="511" t="str" cm="1">
        <f t="array" ref="J13">IF(ISBLANK(I13), IF(ISBLANK(H13), "N/A", _xlfn.IFS(K13="AS", H13+15, K13="NCR", H13+30, K13="submitted", H13+30, TRUE, "N/A")), _xlfn.IFS(K13="AS", I13+15, K13="NCR", I13+30, K13="submitted", I13+30, TRUE, "N/A"))</f>
        <v>N/A</v>
      </c>
      <c r="L13" s="318"/>
      <c r="M13" s="772"/>
      <c r="N13" s="773"/>
      <c r="O13" s="773"/>
      <c r="P13" s="774"/>
    </row>
    <row r="14" spans="1:16" s="1" customFormat="1" ht="12.75" customHeight="1">
      <c r="A14" s="183"/>
      <c r="B14" s="566" t="s">
        <v>2614</v>
      </c>
      <c r="C14" s="568" t="s">
        <v>2615</v>
      </c>
      <c r="D14" s="568"/>
      <c r="E14" s="568"/>
      <c r="F14" s="9" t="s">
        <v>2635</v>
      </c>
      <c r="G14" s="7" t="s">
        <v>2636</v>
      </c>
      <c r="H14" s="123"/>
      <c r="I14" s="184"/>
      <c r="J14" s="511" t="str" cm="1">
        <f t="array" ref="J14">IF(ISBLANK(I14), IF(ISBLANK(H14), "N/A", _xlfn.IFS(K14="AS", H14+15, K14="NCR", H14+30, K14="submitted", H14+30, TRUE, "N/A")), _xlfn.IFS(K14="AS", I14+15, K14="NCR", I14+30, K14="submitted", I14+30, TRUE, "N/A"))</f>
        <v>N/A</v>
      </c>
      <c r="L14" s="318"/>
      <c r="M14" s="772"/>
      <c r="N14" s="773"/>
      <c r="O14" s="773"/>
      <c r="P14" s="774"/>
    </row>
    <row r="15" spans="1:16" s="1" customFormat="1" ht="12.75" customHeight="1">
      <c r="A15" s="183"/>
      <c r="B15" s="566" t="s">
        <v>2614</v>
      </c>
      <c r="C15" s="568" t="s">
        <v>2615</v>
      </c>
      <c r="D15" s="568"/>
      <c r="E15" s="568"/>
      <c r="F15" s="9" t="s">
        <v>2637</v>
      </c>
      <c r="G15" s="7" t="s">
        <v>2638</v>
      </c>
      <c r="H15" s="123"/>
      <c r="I15" s="184"/>
      <c r="J15" s="511" t="str" cm="1">
        <f t="array" ref="J15">IF(ISBLANK(I15), IF(ISBLANK(H15), "N/A", _xlfn.IFS(K15="AS", H15+15, K15="NCR", H15+30, K15="submitted", H15+30, TRUE, "N/A")), _xlfn.IFS(K15="AS", I15+15, K15="NCR", I15+30, K15="submitted", I15+30, TRUE, "N/A"))</f>
        <v>N/A</v>
      </c>
      <c r="L15" s="318"/>
      <c r="M15" s="772"/>
      <c r="N15" s="773"/>
      <c r="O15" s="773"/>
      <c r="P15" s="774"/>
    </row>
    <row r="16" spans="1:16" s="1" customFormat="1" ht="12.75" customHeight="1">
      <c r="A16" s="183"/>
      <c r="B16" s="566" t="s">
        <v>2614</v>
      </c>
      <c r="C16" s="568" t="s">
        <v>2615</v>
      </c>
      <c r="D16" s="568"/>
      <c r="E16" s="568"/>
      <c r="F16" s="9" t="s">
        <v>2639</v>
      </c>
      <c r="G16" s="7" t="s">
        <v>2640</v>
      </c>
      <c r="H16" s="123"/>
      <c r="I16" s="184"/>
      <c r="J16" s="511" t="str" cm="1">
        <f t="array" ref="J16">IF(ISBLANK(I16), IF(ISBLANK(H16), "N/A", _xlfn.IFS(K16="AS", H16+15, K16="NCR", H16+30, K16="submitted", H16+30, TRUE, "N/A")), _xlfn.IFS(K16="AS", I16+15, K16="NCR", I16+30, K16="submitted", I16+30, TRUE, "N/A"))</f>
        <v>N/A</v>
      </c>
      <c r="L16" s="318"/>
      <c r="M16" s="772"/>
      <c r="N16" s="773"/>
      <c r="O16" s="773"/>
      <c r="P16" s="774"/>
    </row>
    <row r="17" spans="1:16" s="1" customFormat="1" ht="12.75" customHeight="1">
      <c r="A17" s="183"/>
      <c r="B17" s="566" t="s">
        <v>2614</v>
      </c>
      <c r="C17" s="568" t="s">
        <v>2615</v>
      </c>
      <c r="D17" s="568"/>
      <c r="E17" s="568"/>
      <c r="F17" s="9" t="s">
        <v>2641</v>
      </c>
      <c r="G17" s="7" t="s">
        <v>1799</v>
      </c>
      <c r="H17" s="123"/>
      <c r="I17" s="184"/>
      <c r="J17" s="511" t="str" cm="1">
        <f t="array" ref="J17">IF(ISBLANK(I17), IF(ISBLANK(H17), "N/A", _xlfn.IFS(K17="AS", H17+15, K17="NCR", H17+30, K17="submitted", H17+30, TRUE, "N/A")), _xlfn.IFS(K17="AS", I17+15, K17="NCR", I17+30, K17="submitted", I17+30, TRUE, "N/A"))</f>
        <v>N/A</v>
      </c>
      <c r="L17" s="318"/>
      <c r="M17" s="772"/>
      <c r="N17" s="773"/>
      <c r="O17" s="773"/>
      <c r="P17" s="774"/>
    </row>
    <row r="18" spans="1:16" s="1" customFormat="1" ht="15" customHeight="1">
      <c r="A18" s="183"/>
      <c r="B18" s="566" t="s">
        <v>2614</v>
      </c>
      <c r="C18" s="568" t="s">
        <v>2615</v>
      </c>
      <c r="D18" s="568"/>
      <c r="E18" s="568"/>
      <c r="F18" s="9" t="s">
        <v>2642</v>
      </c>
      <c r="G18" s="13" t="s">
        <v>2643</v>
      </c>
      <c r="H18" s="123"/>
      <c r="I18" s="184"/>
      <c r="J18" s="511" t="str" cm="1">
        <f t="array" ref="J18">IF(ISBLANK(I18), IF(ISBLANK(H18), "N/A", _xlfn.IFS(K18="AS", H18+15, K18="NCR", H18+30, K18="submitted", H18+30, TRUE, "N/A")), _xlfn.IFS(K18="AS", I18+15, K18="NCR", I18+30, K18="submitted", I18+30, TRUE, "N/A"))</f>
        <v>N/A</v>
      </c>
      <c r="L18" s="318"/>
      <c r="M18" s="772"/>
      <c r="N18" s="773"/>
      <c r="O18" s="773"/>
      <c r="P18" s="774"/>
    </row>
    <row r="19" spans="1:16" s="1" customFormat="1" ht="25.5" customHeight="1">
      <c r="A19" s="183"/>
      <c r="B19" s="566" t="s">
        <v>2614</v>
      </c>
      <c r="C19" s="568" t="s">
        <v>2615</v>
      </c>
      <c r="D19" s="568"/>
      <c r="E19" s="568"/>
      <c r="F19" s="9" t="s">
        <v>2644</v>
      </c>
      <c r="G19" s="7" t="s">
        <v>2645</v>
      </c>
      <c r="H19" s="123"/>
      <c r="I19" s="184"/>
      <c r="J19" s="511" t="str" cm="1">
        <f t="array" ref="J19">IF(ISBLANK(I19), IF(ISBLANK(H19), "N/A", _xlfn.IFS(K19="AS", H19+15, K19="NCR", H19+30, K19="submitted", H19+30, TRUE, "N/A")), _xlfn.IFS(K19="AS", I19+15, K19="NCR", I19+30, K19="submitted", I19+30, TRUE, "N/A"))</f>
        <v>N/A</v>
      </c>
      <c r="L19" s="318"/>
      <c r="M19" s="772"/>
      <c r="N19" s="773"/>
      <c r="O19" s="773"/>
      <c r="P19" s="774"/>
    </row>
    <row r="20" spans="1:16" s="1" customFormat="1" ht="38.25" customHeight="1">
      <c r="A20" s="183"/>
      <c r="B20" s="566" t="s">
        <v>2614</v>
      </c>
      <c r="C20" s="568" t="s">
        <v>2615</v>
      </c>
      <c r="D20" s="568"/>
      <c r="E20" s="568"/>
      <c r="F20" s="9" t="s">
        <v>2646</v>
      </c>
      <c r="G20" s="7" t="s">
        <v>2647</v>
      </c>
      <c r="H20" s="123"/>
      <c r="I20" s="184"/>
      <c r="J20" s="511" t="str" cm="1">
        <f t="array" ref="J20">IF(ISBLANK(I20), IF(ISBLANK(H20), "N/A", _xlfn.IFS(K20="AS", H20+15, K20="NCR", H20+30, K20="submitted", H20+30, TRUE, "N/A")), _xlfn.IFS(K20="AS", I20+15, K20="NCR", I20+30, K20="submitted", I20+30, TRUE, "N/A"))</f>
        <v>N/A</v>
      </c>
      <c r="L20" s="318"/>
      <c r="M20" s="772"/>
      <c r="N20" s="773"/>
      <c r="O20" s="773"/>
      <c r="P20" s="774"/>
    </row>
    <row r="21" spans="1:16" s="1" customFormat="1" ht="38.25" customHeight="1">
      <c r="A21" s="183"/>
      <c r="B21" s="566" t="s">
        <v>2614</v>
      </c>
      <c r="C21" s="568" t="s">
        <v>2615</v>
      </c>
      <c r="D21" s="568"/>
      <c r="E21" s="568"/>
      <c r="F21" s="9" t="s">
        <v>2648</v>
      </c>
      <c r="G21" s="7" t="s">
        <v>2649</v>
      </c>
      <c r="H21" s="123"/>
      <c r="I21" s="184"/>
      <c r="J21" s="511" t="str" cm="1">
        <f t="array" ref="J21">IF(ISBLANK(I21), IF(ISBLANK(H21), "N/A", _xlfn.IFS(K21="AS", H21+15, K21="NCR", H21+30, K21="submitted", H21+30, TRUE, "N/A")), _xlfn.IFS(K21="AS", I21+15, K21="NCR", I21+30, K21="submitted", I21+30, TRUE, "N/A"))</f>
        <v>N/A</v>
      </c>
      <c r="L21" s="318"/>
      <c r="M21" s="772"/>
      <c r="N21" s="773"/>
      <c r="O21" s="773"/>
      <c r="P21" s="774"/>
    </row>
    <row r="22" spans="1:16" s="1" customFormat="1" ht="48.75" customHeight="1">
      <c r="A22" s="183"/>
      <c r="B22" s="566" t="s">
        <v>2614</v>
      </c>
      <c r="C22" s="568" t="s">
        <v>2615</v>
      </c>
      <c r="D22" s="568"/>
      <c r="E22" s="568"/>
      <c r="F22" s="9" t="s">
        <v>2650</v>
      </c>
      <c r="G22" s="7" t="s">
        <v>2651</v>
      </c>
      <c r="H22" s="123"/>
      <c r="I22" s="184"/>
      <c r="J22" s="511" t="str" cm="1">
        <f t="array" ref="J22">IF(ISBLANK(I22), IF(ISBLANK(H22), "N/A", _xlfn.IFS(K22="AS", H22+15, K22="NCR", H22+30, K22="submitted", H22+30, TRUE, "N/A")), _xlfn.IFS(K22="AS", I22+15, K22="NCR", I22+30, K22="submitted", I22+30, TRUE, "N/A"))</f>
        <v>N/A</v>
      </c>
      <c r="L22" s="318"/>
      <c r="M22" s="772"/>
      <c r="N22" s="773"/>
      <c r="O22" s="773"/>
      <c r="P22" s="774"/>
    </row>
    <row r="23" spans="1:16" s="1" customFormat="1" ht="104.25" customHeight="1">
      <c r="A23" s="183"/>
      <c r="B23" s="566" t="s">
        <v>2614</v>
      </c>
      <c r="C23" s="568" t="s">
        <v>2615</v>
      </c>
      <c r="D23" s="569"/>
      <c r="E23" s="569"/>
      <c r="F23" s="9" t="s">
        <v>2652</v>
      </c>
      <c r="G23" s="7" t="s">
        <v>2653</v>
      </c>
      <c r="H23" s="123"/>
      <c r="I23" s="184"/>
      <c r="J23" s="511" t="str" cm="1">
        <f t="array" ref="J23">IF(ISBLANK(I23), IF(ISBLANK(H23), "N/A", _xlfn.IFS(K23="AS", H23+15, K23="NCR", H23+30, K23="submitted", H23+30, TRUE, "N/A")), _xlfn.IFS(K23="AS", I23+15, K23="NCR", I23+30, K23="submitted", I23+30, TRUE, "N/A"))</f>
        <v>N/A</v>
      </c>
      <c r="L23" s="318"/>
      <c r="M23" s="772"/>
      <c r="N23" s="773"/>
      <c r="O23" s="773"/>
      <c r="P23" s="774"/>
    </row>
    <row r="24" spans="1:16" ht="15" customHeight="1">
      <c r="B24" s="566"/>
      <c r="L24" s="318"/>
      <c r="M24" s="772"/>
      <c r="N24" s="773"/>
      <c r="O24" s="773"/>
      <c r="P24" s="774"/>
    </row>
    <row r="25" spans="1:16" ht="15" customHeight="1">
      <c r="B25" s="566"/>
      <c r="L25" s="318"/>
      <c r="M25" s="772"/>
      <c r="N25" s="773"/>
      <c r="O25" s="773"/>
      <c r="P25" s="774"/>
    </row>
    <row r="26" spans="1:16" ht="15" customHeight="1">
      <c r="L26" s="318"/>
      <c r="M26" s="772"/>
      <c r="N26" s="773"/>
      <c r="O26" s="773"/>
      <c r="P26" s="774"/>
    </row>
    <row r="27" spans="1:16" ht="15" customHeight="1">
      <c r="L27" s="318"/>
      <c r="M27" s="772"/>
      <c r="N27" s="773"/>
      <c r="O27" s="773"/>
      <c r="P27" s="774"/>
    </row>
    <row r="28" spans="1:16" ht="15" customHeight="1">
      <c r="L28" s="318"/>
      <c r="M28" s="772"/>
      <c r="N28" s="773"/>
      <c r="O28" s="773"/>
      <c r="P28" s="774"/>
    </row>
    <row r="29" spans="1:16" ht="15" customHeight="1">
      <c r="L29" s="318"/>
      <c r="M29" s="772"/>
      <c r="N29" s="773"/>
      <c r="O29" s="773"/>
      <c r="P29" s="774"/>
    </row>
    <row r="30" spans="1:16" ht="15" customHeight="1">
      <c r="L30" s="318"/>
      <c r="M30" s="772"/>
      <c r="N30" s="773"/>
      <c r="O30" s="773"/>
      <c r="P30" s="774"/>
    </row>
    <row r="31" spans="1:16" ht="15" customHeight="1">
      <c r="L31" s="318"/>
      <c r="M31" s="772"/>
      <c r="N31" s="773"/>
      <c r="O31" s="773"/>
      <c r="P31" s="774"/>
    </row>
    <row r="32" spans="1:16" ht="15" customHeight="1">
      <c r="L32" s="318"/>
      <c r="M32" s="772"/>
      <c r="N32" s="773"/>
      <c r="O32" s="773"/>
      <c r="P32" s="774"/>
    </row>
    <row r="33" spans="13:16" ht="15" customHeight="1">
      <c r="M33" s="772"/>
      <c r="N33" s="773"/>
      <c r="O33" s="773"/>
      <c r="P33" s="774"/>
    </row>
    <row r="34" spans="13:16" ht="15" customHeight="1">
      <c r="M34" s="772"/>
      <c r="N34" s="773"/>
      <c r="O34" s="773"/>
      <c r="P34" s="774"/>
    </row>
    <row r="35" spans="13:16" ht="15" customHeight="1">
      <c r="M35" s="772"/>
      <c r="N35" s="773"/>
      <c r="O35" s="773"/>
      <c r="P35" s="774"/>
    </row>
    <row r="36" spans="13:16" ht="15" customHeight="1">
      <c r="M36" s="772"/>
      <c r="N36" s="773"/>
      <c r="O36" s="773"/>
      <c r="P36" s="774"/>
    </row>
    <row r="37" spans="13:16" ht="15" customHeight="1">
      <c r="M37" s="772"/>
      <c r="N37" s="773"/>
      <c r="O37" s="773"/>
      <c r="P37" s="774"/>
    </row>
    <row r="38" spans="13:16" ht="15" customHeight="1">
      <c r="M38" s="772"/>
      <c r="N38" s="773"/>
      <c r="O38" s="773"/>
      <c r="P38" s="774"/>
    </row>
    <row r="39" spans="13:16" ht="15" customHeight="1">
      <c r="M39" s="781"/>
      <c r="N39" s="782"/>
      <c r="O39" s="782"/>
      <c r="P39" s="783"/>
    </row>
    <row r="40" spans="13:16" ht="15" customHeight="1">
      <c r="M40" s="766" t="s">
        <v>132</v>
      </c>
      <c r="N40" s="767"/>
      <c r="O40" s="767"/>
      <c r="P40" s="768"/>
    </row>
    <row r="41" spans="13:16" ht="15" customHeight="1">
      <c r="M41" s="769"/>
      <c r="N41" s="770"/>
      <c r="O41" s="770"/>
      <c r="P41" s="771"/>
    </row>
    <row r="42" spans="13:16" ht="15" customHeight="1">
      <c r="M42" s="769"/>
      <c r="N42" s="770"/>
      <c r="O42" s="770"/>
      <c r="P42" s="771"/>
    </row>
    <row r="43" spans="13:16" ht="15" customHeight="1">
      <c r="M43" s="769"/>
      <c r="N43" s="770"/>
      <c r="O43" s="770"/>
      <c r="P43" s="771"/>
    </row>
    <row r="44" spans="13:16" ht="15" customHeight="1">
      <c r="M44" s="769"/>
      <c r="N44" s="770"/>
      <c r="O44" s="770"/>
      <c r="P44" s="771"/>
    </row>
    <row r="45" spans="13:16" ht="15" customHeight="1">
      <c r="M45" s="769"/>
      <c r="N45" s="770"/>
      <c r="O45" s="770"/>
      <c r="P45" s="771"/>
    </row>
    <row r="46" spans="13:16" ht="15" customHeight="1">
      <c r="M46" s="769"/>
      <c r="N46" s="770"/>
      <c r="O46" s="770"/>
      <c r="P46" s="771"/>
    </row>
    <row r="47" spans="13:16" ht="15" customHeight="1">
      <c r="M47" s="769"/>
      <c r="N47" s="770"/>
      <c r="O47" s="770"/>
      <c r="P47" s="771"/>
    </row>
    <row r="48" spans="13:16" ht="15" customHeight="1">
      <c r="M48" s="772" t="s">
        <v>147</v>
      </c>
      <c r="N48" s="773"/>
      <c r="O48" s="773"/>
      <c r="P48" s="774"/>
    </row>
    <row r="49" spans="13:16" ht="15" customHeight="1">
      <c r="M49" s="772"/>
      <c r="N49" s="773"/>
      <c r="O49" s="773"/>
      <c r="P49" s="774"/>
    </row>
    <row r="50" spans="13:16" ht="15" customHeight="1">
      <c r="M50" s="772"/>
      <c r="N50" s="773"/>
      <c r="O50" s="773"/>
      <c r="P50" s="774"/>
    </row>
    <row r="51" spans="13:16" ht="15" customHeight="1">
      <c r="M51" s="772"/>
      <c r="N51" s="773"/>
      <c r="O51" s="773"/>
      <c r="P51" s="774"/>
    </row>
    <row r="52" spans="13:16" ht="15" customHeight="1">
      <c r="M52" s="772"/>
      <c r="N52" s="773"/>
      <c r="O52" s="773"/>
      <c r="P52" s="774"/>
    </row>
    <row r="53" spans="13:16" ht="15" customHeight="1">
      <c r="M53" s="772"/>
      <c r="N53" s="773"/>
      <c r="O53" s="773"/>
      <c r="P53" s="774"/>
    </row>
    <row r="54" spans="13:16" ht="15" customHeight="1">
      <c r="M54" s="772"/>
      <c r="N54" s="773"/>
      <c r="O54" s="773"/>
      <c r="P54" s="774"/>
    </row>
    <row r="55" spans="13:16" ht="15" customHeight="1">
      <c r="M55" s="772"/>
      <c r="N55" s="773"/>
      <c r="O55" s="773"/>
      <c r="P55" s="774"/>
    </row>
    <row r="56" spans="13:16" ht="15" customHeight="1">
      <c r="M56" s="772"/>
      <c r="N56" s="773"/>
      <c r="O56" s="773"/>
      <c r="P56" s="774"/>
    </row>
    <row r="57" spans="13:16" ht="15" customHeight="1">
      <c r="M57" s="772"/>
      <c r="N57" s="773"/>
      <c r="O57" s="773"/>
      <c r="P57" s="774"/>
    </row>
    <row r="58" spans="13:16" ht="15" customHeight="1">
      <c r="M58" s="772"/>
      <c r="N58" s="773"/>
      <c r="O58" s="773"/>
      <c r="P58" s="774"/>
    </row>
    <row r="59" spans="13:16" ht="15" customHeight="1">
      <c r="M59" s="772"/>
      <c r="N59" s="773"/>
      <c r="O59" s="773"/>
      <c r="P59" s="774"/>
    </row>
    <row r="60" spans="13:16" ht="15" customHeight="1">
      <c r="M60" s="772"/>
      <c r="N60" s="773"/>
      <c r="O60" s="773"/>
      <c r="P60" s="774"/>
    </row>
    <row r="61" spans="13:16" ht="15" customHeight="1">
      <c r="M61" s="772"/>
      <c r="N61" s="773"/>
      <c r="O61" s="773"/>
      <c r="P61" s="774"/>
    </row>
    <row r="62" spans="13:16" ht="15" customHeight="1">
      <c r="M62" s="772"/>
      <c r="N62" s="773"/>
      <c r="O62" s="773"/>
      <c r="P62" s="774"/>
    </row>
    <row r="63" spans="13:16" ht="15" customHeight="1">
      <c r="M63" s="772"/>
      <c r="N63" s="773"/>
      <c r="O63" s="773"/>
      <c r="P63" s="774"/>
    </row>
    <row r="64" spans="13:16" ht="15" customHeight="1">
      <c r="M64" s="772"/>
      <c r="N64" s="773"/>
      <c r="O64" s="773"/>
      <c r="P64" s="774"/>
    </row>
    <row r="65" spans="13:16" ht="15" customHeight="1">
      <c r="M65" s="772"/>
      <c r="N65" s="773"/>
      <c r="O65" s="773"/>
      <c r="P65" s="774"/>
    </row>
    <row r="66" spans="13:16" ht="15" customHeight="1">
      <c r="M66" s="772"/>
      <c r="N66" s="773"/>
      <c r="O66" s="773"/>
      <c r="P66" s="774"/>
    </row>
    <row r="67" spans="13:16" ht="15" customHeight="1">
      <c r="M67" s="772"/>
      <c r="N67" s="773"/>
      <c r="O67" s="773"/>
      <c r="P67" s="774"/>
    </row>
    <row r="68" spans="13:16" ht="15" customHeight="1">
      <c r="M68" s="772"/>
      <c r="N68" s="773"/>
      <c r="O68" s="773"/>
      <c r="P68" s="774"/>
    </row>
    <row r="69" spans="13:16" ht="15" customHeight="1">
      <c r="M69" s="772"/>
      <c r="N69" s="773"/>
      <c r="O69" s="773"/>
      <c r="P69" s="774"/>
    </row>
    <row r="70" spans="13:16" ht="15" customHeight="1">
      <c r="M70" s="772"/>
      <c r="N70" s="773"/>
      <c r="O70" s="773"/>
      <c r="P70" s="774"/>
    </row>
    <row r="71" spans="13:16" ht="15" customHeight="1">
      <c r="M71" s="772"/>
      <c r="N71" s="773"/>
      <c r="O71" s="773"/>
      <c r="P71" s="774"/>
    </row>
    <row r="72" spans="13:16" ht="15" customHeight="1">
      <c r="M72" s="772"/>
      <c r="N72" s="773"/>
      <c r="O72" s="773"/>
      <c r="P72" s="774"/>
    </row>
    <row r="73" spans="13:16" ht="15" customHeight="1">
      <c r="M73" s="772"/>
      <c r="N73" s="773"/>
      <c r="O73" s="773"/>
      <c r="P73" s="774"/>
    </row>
    <row r="74" spans="13:16" ht="15" customHeight="1">
      <c r="M74" s="772"/>
      <c r="N74" s="773"/>
      <c r="O74" s="773"/>
      <c r="P74" s="774"/>
    </row>
    <row r="75" spans="13:16" ht="15" customHeight="1">
      <c r="M75" s="772"/>
      <c r="N75" s="773"/>
      <c r="O75" s="773"/>
      <c r="P75" s="774"/>
    </row>
    <row r="76" spans="13:16" ht="15" customHeight="1">
      <c r="M76" s="772"/>
      <c r="N76" s="773"/>
      <c r="O76" s="773"/>
      <c r="P76" s="774"/>
    </row>
    <row r="77" spans="13:16" ht="15" customHeight="1">
      <c r="M77" s="772"/>
      <c r="N77" s="773"/>
      <c r="O77" s="773"/>
      <c r="P77" s="774"/>
    </row>
    <row r="78" spans="13:16" ht="15" customHeight="1">
      <c r="M78" s="772"/>
      <c r="N78" s="773"/>
      <c r="O78" s="773"/>
      <c r="P78" s="774"/>
    </row>
    <row r="79" spans="13:16" ht="15" customHeight="1">
      <c r="M79" s="772"/>
      <c r="N79" s="773"/>
      <c r="O79" s="773"/>
      <c r="P79" s="774"/>
    </row>
    <row r="80" spans="13:16" ht="15" customHeight="1">
      <c r="M80" s="772"/>
      <c r="N80" s="773"/>
      <c r="O80" s="773"/>
      <c r="P80" s="774"/>
    </row>
    <row r="81" spans="13:16" ht="15" customHeight="1">
      <c r="M81" s="772"/>
      <c r="N81" s="773"/>
      <c r="O81" s="773"/>
      <c r="P81" s="774"/>
    </row>
    <row r="82" spans="13:16" ht="15" customHeight="1">
      <c r="M82" s="772"/>
      <c r="N82" s="773"/>
      <c r="O82" s="773"/>
      <c r="P82" s="774"/>
    </row>
    <row r="83" spans="13:16" ht="15" customHeight="1">
      <c r="M83" s="772"/>
      <c r="N83" s="773"/>
      <c r="O83" s="773"/>
      <c r="P83" s="774"/>
    </row>
    <row r="84" spans="13:16" ht="15" customHeight="1">
      <c r="M84" s="772"/>
      <c r="N84" s="773"/>
      <c r="O84" s="773"/>
      <c r="P84" s="774"/>
    </row>
    <row r="85" spans="13:16" ht="15" customHeight="1">
      <c r="M85" s="772"/>
      <c r="N85" s="773"/>
      <c r="O85" s="773"/>
      <c r="P85" s="774"/>
    </row>
    <row r="86" spans="13:16" ht="15" customHeight="1">
      <c r="M86" s="772"/>
      <c r="N86" s="773"/>
      <c r="O86" s="773"/>
      <c r="P86" s="774"/>
    </row>
    <row r="87" spans="13:16" ht="15" customHeight="1">
      <c r="M87" s="772"/>
      <c r="N87" s="773"/>
      <c r="O87" s="773"/>
      <c r="P87" s="774"/>
    </row>
    <row r="88" spans="13:16" ht="15" customHeight="1">
      <c r="M88" s="772"/>
      <c r="N88" s="773"/>
      <c r="O88" s="773"/>
      <c r="P88" s="774"/>
    </row>
    <row r="89" spans="13:16" ht="15" customHeight="1">
      <c r="M89" s="772"/>
      <c r="N89" s="773"/>
      <c r="O89" s="773"/>
      <c r="P89" s="774"/>
    </row>
    <row r="90" spans="13:16" ht="15" customHeight="1">
      <c r="M90" s="772"/>
      <c r="N90" s="773"/>
      <c r="O90" s="773"/>
      <c r="P90" s="774"/>
    </row>
    <row r="91" spans="13:16" ht="15" customHeight="1">
      <c r="M91" s="772"/>
      <c r="N91" s="773"/>
      <c r="O91" s="773"/>
      <c r="P91" s="774"/>
    </row>
    <row r="92" spans="13:16" ht="15" customHeight="1">
      <c r="M92" s="772"/>
      <c r="N92" s="773"/>
      <c r="O92" s="773"/>
      <c r="P92" s="774"/>
    </row>
    <row r="93" spans="13:16" ht="15" customHeight="1">
      <c r="M93" s="772"/>
      <c r="N93" s="773"/>
      <c r="O93" s="773"/>
      <c r="P93" s="774"/>
    </row>
    <row r="94" spans="13:16" ht="15" customHeight="1">
      <c r="M94" s="772"/>
      <c r="N94" s="773"/>
      <c r="O94" s="773"/>
      <c r="P94" s="774"/>
    </row>
    <row r="95" spans="13:16" ht="15" customHeight="1">
      <c r="M95" s="772"/>
      <c r="N95" s="773"/>
      <c r="O95" s="773"/>
      <c r="P95" s="774"/>
    </row>
    <row r="96" spans="13:16" ht="15" customHeight="1">
      <c r="M96" s="772"/>
      <c r="N96" s="773"/>
      <c r="O96" s="773"/>
      <c r="P96" s="774"/>
    </row>
    <row r="97" spans="13:16" ht="15" customHeight="1">
      <c r="M97" s="772"/>
      <c r="N97" s="773"/>
      <c r="O97" s="773"/>
      <c r="P97" s="774"/>
    </row>
    <row r="98" spans="13:16" ht="15" customHeight="1">
      <c r="M98" s="772"/>
      <c r="N98" s="773"/>
      <c r="O98" s="773"/>
      <c r="P98" s="774"/>
    </row>
    <row r="99" spans="13:16" ht="15" customHeight="1">
      <c r="M99" s="772"/>
      <c r="N99" s="773"/>
      <c r="O99" s="773"/>
      <c r="P99" s="774"/>
    </row>
    <row r="100" spans="13:16" ht="15" customHeight="1">
      <c r="M100" s="772"/>
      <c r="N100" s="773"/>
      <c r="O100" s="773"/>
      <c r="P100" s="774"/>
    </row>
    <row r="101" spans="13:16" ht="15" customHeight="1">
      <c r="M101" s="772"/>
      <c r="N101" s="773"/>
      <c r="O101" s="773"/>
      <c r="P101" s="774"/>
    </row>
    <row r="102" spans="13:16" ht="15" customHeight="1">
      <c r="M102" s="772"/>
      <c r="N102" s="773"/>
      <c r="O102" s="773"/>
      <c r="P102" s="774"/>
    </row>
    <row r="103" spans="13:16" ht="15" customHeight="1">
      <c r="M103" s="772"/>
      <c r="N103" s="773"/>
      <c r="O103" s="773"/>
      <c r="P103" s="774"/>
    </row>
    <row r="104" spans="13:16" ht="15" customHeight="1">
      <c r="M104" s="772"/>
      <c r="N104" s="773"/>
      <c r="O104" s="773"/>
      <c r="P104" s="774"/>
    </row>
    <row r="105" spans="13:16" ht="15" customHeight="1">
      <c r="M105" s="772"/>
      <c r="N105" s="773"/>
      <c r="O105" s="773"/>
      <c r="P105" s="774"/>
    </row>
    <row r="106" spans="13:16" ht="15" customHeight="1">
      <c r="M106" s="772"/>
      <c r="N106" s="773"/>
      <c r="O106" s="773"/>
      <c r="P106" s="774"/>
    </row>
    <row r="107" spans="13:16" ht="15" customHeight="1">
      <c r="M107" s="772"/>
      <c r="N107" s="773"/>
      <c r="O107" s="773"/>
      <c r="P107" s="774"/>
    </row>
    <row r="108" spans="13:16" ht="15" customHeight="1">
      <c r="M108" s="772"/>
      <c r="N108" s="773"/>
      <c r="O108" s="773"/>
      <c r="P108" s="774"/>
    </row>
    <row r="109" spans="13:16" ht="15" customHeight="1">
      <c r="M109" s="772"/>
      <c r="N109" s="773"/>
      <c r="O109" s="773"/>
      <c r="P109" s="774"/>
    </row>
    <row r="110" spans="13:16" ht="15" customHeight="1">
      <c r="M110" s="772"/>
      <c r="N110" s="773"/>
      <c r="O110" s="773"/>
      <c r="P110" s="774"/>
    </row>
    <row r="111" spans="13:16" ht="15" customHeight="1">
      <c r="M111" s="772"/>
      <c r="N111" s="773"/>
      <c r="O111" s="773"/>
      <c r="P111" s="774"/>
    </row>
    <row r="112" spans="13:16" ht="15" customHeight="1">
      <c r="M112" s="772"/>
      <c r="N112" s="773"/>
      <c r="O112" s="773"/>
      <c r="P112" s="774"/>
    </row>
    <row r="113" spans="13:16" ht="15" customHeight="1">
      <c r="M113" s="772"/>
      <c r="N113" s="773"/>
      <c r="O113" s="773"/>
      <c r="P113" s="774"/>
    </row>
    <row r="114" spans="13:16" ht="15" customHeight="1">
      <c r="M114" s="772"/>
      <c r="N114" s="773"/>
      <c r="O114" s="773"/>
      <c r="P114" s="774"/>
    </row>
    <row r="115" spans="13:16" ht="15" customHeight="1">
      <c r="M115" s="772"/>
      <c r="N115" s="773"/>
      <c r="O115" s="773"/>
      <c r="P115" s="774"/>
    </row>
    <row r="116" spans="13:16" ht="15" customHeight="1">
      <c r="M116" s="772"/>
      <c r="N116" s="773"/>
      <c r="O116" s="773"/>
      <c r="P116" s="774"/>
    </row>
    <row r="117" spans="13:16" ht="15" customHeight="1">
      <c r="M117" s="772"/>
      <c r="N117" s="773"/>
      <c r="O117" s="773"/>
      <c r="P117" s="774"/>
    </row>
    <row r="118" spans="13:16" ht="15" customHeight="1">
      <c r="M118" s="772"/>
      <c r="N118" s="773"/>
      <c r="O118" s="773"/>
      <c r="P118" s="774"/>
    </row>
    <row r="119" spans="13:16" ht="15" customHeight="1">
      <c r="M119" s="772"/>
      <c r="N119" s="773"/>
      <c r="O119" s="773"/>
      <c r="P119" s="774"/>
    </row>
    <row r="120" spans="13:16" ht="15" customHeight="1">
      <c r="M120" s="766" t="s">
        <v>132</v>
      </c>
      <c r="N120" s="767"/>
      <c r="O120" s="767"/>
      <c r="P120" s="768"/>
    </row>
    <row r="121" spans="13:16" ht="15" customHeight="1">
      <c r="M121" s="769"/>
      <c r="N121" s="770"/>
      <c r="O121" s="770"/>
      <c r="P121" s="771"/>
    </row>
    <row r="122" spans="13:16" ht="15" customHeight="1">
      <c r="M122" s="769"/>
      <c r="N122" s="770"/>
      <c r="O122" s="770"/>
      <c r="P122" s="771"/>
    </row>
    <row r="123" spans="13:16" ht="15" customHeight="1">
      <c r="M123" s="769"/>
      <c r="N123" s="770"/>
      <c r="O123" s="770"/>
      <c r="P123" s="771"/>
    </row>
    <row r="124" spans="13:16" ht="15" customHeight="1">
      <c r="M124" s="769"/>
      <c r="N124" s="770"/>
      <c r="O124" s="770"/>
      <c r="P124" s="771"/>
    </row>
    <row r="125" spans="13:16" ht="15" customHeight="1">
      <c r="M125" s="769"/>
      <c r="N125" s="770"/>
      <c r="O125" s="770"/>
      <c r="P125" s="771"/>
    </row>
    <row r="126" spans="13:16" ht="15" customHeight="1">
      <c r="M126" s="769"/>
      <c r="N126" s="770"/>
      <c r="O126" s="770"/>
      <c r="P126" s="771"/>
    </row>
    <row r="127" spans="13:16" ht="15" customHeight="1">
      <c r="M127" s="769"/>
      <c r="N127" s="770"/>
      <c r="O127" s="770"/>
      <c r="P127" s="771"/>
    </row>
    <row r="128" spans="13:16" ht="15" customHeight="1">
      <c r="M128" s="772" t="s">
        <v>147</v>
      </c>
      <c r="N128" s="773"/>
      <c r="O128" s="773"/>
      <c r="P128" s="774"/>
    </row>
    <row r="129" spans="13:16" ht="15" customHeight="1">
      <c r="M129" s="772"/>
      <c r="N129" s="773"/>
      <c r="O129" s="773"/>
      <c r="P129" s="774"/>
    </row>
    <row r="130" spans="13:16" ht="15" customHeight="1">
      <c r="M130" s="772"/>
      <c r="N130" s="773"/>
      <c r="O130" s="773"/>
      <c r="P130" s="774"/>
    </row>
    <row r="131" spans="13:16" ht="15" customHeight="1">
      <c r="M131" s="772"/>
      <c r="N131" s="773"/>
      <c r="O131" s="773"/>
      <c r="P131" s="774"/>
    </row>
    <row r="132" spans="13:16" ht="15" customHeight="1">
      <c r="M132" s="772"/>
      <c r="N132" s="773"/>
      <c r="O132" s="773"/>
      <c r="P132" s="774"/>
    </row>
    <row r="133" spans="13:16" ht="15" customHeight="1">
      <c r="M133" s="772"/>
      <c r="N133" s="773"/>
      <c r="O133" s="773"/>
      <c r="P133" s="774"/>
    </row>
    <row r="134" spans="13:16" ht="15" customHeight="1">
      <c r="M134" s="772"/>
      <c r="N134" s="773"/>
      <c r="O134" s="773"/>
      <c r="P134" s="774"/>
    </row>
    <row r="135" spans="13:16" ht="15" customHeight="1">
      <c r="M135" s="772"/>
      <c r="N135" s="773"/>
      <c r="O135" s="773"/>
      <c r="P135" s="774"/>
    </row>
    <row r="136" spans="13:16" ht="15" customHeight="1">
      <c r="M136" s="772"/>
      <c r="N136" s="773"/>
      <c r="O136" s="773"/>
      <c r="P136" s="774"/>
    </row>
    <row r="137" spans="13:16" ht="15" customHeight="1">
      <c r="M137" s="772"/>
      <c r="N137" s="773"/>
      <c r="O137" s="773"/>
      <c r="P137" s="774"/>
    </row>
    <row r="138" spans="13:16" ht="15" customHeight="1">
      <c r="M138" s="772"/>
      <c r="N138" s="773"/>
      <c r="O138" s="773"/>
      <c r="P138" s="774"/>
    </row>
    <row r="139" spans="13:16" ht="15" customHeight="1">
      <c r="M139" s="772"/>
      <c r="N139" s="773"/>
      <c r="O139" s="773"/>
      <c r="P139" s="774"/>
    </row>
    <row r="140" spans="13:16" ht="15" customHeight="1">
      <c r="M140" s="772"/>
      <c r="N140" s="773"/>
      <c r="O140" s="773"/>
      <c r="P140" s="774"/>
    </row>
    <row r="141" spans="13:16" ht="15" customHeight="1">
      <c r="M141" s="772"/>
      <c r="N141" s="773"/>
      <c r="O141" s="773"/>
      <c r="P141" s="774"/>
    </row>
    <row r="142" spans="13:16" ht="15" customHeight="1">
      <c r="M142" s="772"/>
      <c r="N142" s="773"/>
      <c r="O142" s="773"/>
      <c r="P142" s="774"/>
    </row>
    <row r="143" spans="13:16" ht="15" customHeight="1">
      <c r="M143" s="772"/>
      <c r="N143" s="773"/>
      <c r="O143" s="773"/>
      <c r="P143" s="774"/>
    </row>
    <row r="144" spans="13:16" ht="15" customHeight="1">
      <c r="M144" s="772"/>
      <c r="N144" s="773"/>
      <c r="O144" s="773"/>
      <c r="P144" s="774"/>
    </row>
    <row r="145" spans="13:16" ht="15" customHeight="1">
      <c r="M145" s="772"/>
      <c r="N145" s="773"/>
      <c r="O145" s="773"/>
      <c r="P145" s="774"/>
    </row>
    <row r="146" spans="13:16" ht="15" customHeight="1">
      <c r="M146" s="772"/>
      <c r="N146" s="773"/>
      <c r="O146" s="773"/>
      <c r="P146" s="774"/>
    </row>
    <row r="147" spans="13:16" ht="15" customHeight="1">
      <c r="M147" s="772"/>
      <c r="N147" s="773"/>
      <c r="O147" s="773"/>
      <c r="P147" s="774"/>
    </row>
    <row r="148" spans="13:16" ht="15" customHeight="1">
      <c r="M148" s="772"/>
      <c r="N148" s="773"/>
      <c r="O148" s="773"/>
      <c r="P148" s="774"/>
    </row>
    <row r="149" spans="13:16" ht="15" customHeight="1">
      <c r="M149" s="772"/>
      <c r="N149" s="773"/>
      <c r="O149" s="773"/>
      <c r="P149" s="774"/>
    </row>
    <row r="150" spans="13:16" ht="15" customHeight="1">
      <c r="M150" s="772"/>
      <c r="N150" s="773"/>
      <c r="O150" s="773"/>
      <c r="P150" s="774"/>
    </row>
    <row r="151" spans="13:16" ht="15" customHeight="1">
      <c r="M151" s="772"/>
      <c r="N151" s="773"/>
      <c r="O151" s="773"/>
      <c r="P151" s="774"/>
    </row>
    <row r="152" spans="13:16" ht="15" customHeight="1">
      <c r="M152" s="772"/>
      <c r="N152" s="773"/>
      <c r="O152" s="773"/>
      <c r="P152" s="774"/>
    </row>
    <row r="153" spans="13:16" ht="15" customHeight="1">
      <c r="M153" s="772"/>
      <c r="N153" s="773"/>
      <c r="O153" s="773"/>
      <c r="P153" s="774"/>
    </row>
    <row r="154" spans="13:16" ht="15" customHeight="1">
      <c r="M154" s="772"/>
      <c r="N154" s="773"/>
      <c r="O154" s="773"/>
      <c r="P154" s="774"/>
    </row>
    <row r="155" spans="13:16" ht="15" customHeight="1">
      <c r="M155" s="772"/>
      <c r="N155" s="773"/>
      <c r="O155" s="773"/>
      <c r="P155" s="774"/>
    </row>
    <row r="156" spans="13:16" ht="15" customHeight="1">
      <c r="M156" s="772"/>
      <c r="N156" s="773"/>
      <c r="O156" s="773"/>
      <c r="P156" s="774"/>
    </row>
    <row r="157" spans="13:16" ht="15" customHeight="1">
      <c r="M157" s="772"/>
      <c r="N157" s="773"/>
      <c r="O157" s="773"/>
      <c r="P157" s="774"/>
    </row>
    <row r="158" spans="13:16" ht="15" customHeight="1">
      <c r="M158" s="772"/>
      <c r="N158" s="773"/>
      <c r="O158" s="773"/>
      <c r="P158" s="774"/>
    </row>
    <row r="159" spans="13:16" ht="15" customHeight="1">
      <c r="M159" s="772"/>
      <c r="N159" s="773"/>
      <c r="O159" s="773"/>
      <c r="P159" s="774"/>
    </row>
    <row r="160" spans="13:16" ht="15" customHeight="1">
      <c r="M160" s="772"/>
      <c r="N160" s="773"/>
      <c r="O160" s="773"/>
      <c r="P160" s="774"/>
    </row>
    <row r="161" spans="13:16" ht="15" customHeight="1">
      <c r="M161" s="772"/>
      <c r="N161" s="773"/>
      <c r="O161" s="773"/>
      <c r="P161" s="774"/>
    </row>
    <row r="162" spans="13:16" ht="15" customHeight="1">
      <c r="M162" s="772"/>
      <c r="N162" s="773"/>
      <c r="O162" s="773"/>
      <c r="P162" s="774"/>
    </row>
    <row r="163" spans="13:16" ht="15" customHeight="1">
      <c r="M163" s="772"/>
      <c r="N163" s="773"/>
      <c r="O163" s="773"/>
      <c r="P163" s="774"/>
    </row>
    <row r="164" spans="13:16" ht="15" customHeight="1">
      <c r="M164" s="772"/>
      <c r="N164" s="773"/>
      <c r="O164" s="773"/>
      <c r="P164" s="774"/>
    </row>
    <row r="165" spans="13:16" ht="15" customHeight="1">
      <c r="M165" s="772"/>
      <c r="N165" s="773"/>
      <c r="O165" s="773"/>
      <c r="P165" s="774"/>
    </row>
    <row r="166" spans="13:16" ht="15" customHeight="1">
      <c r="M166" s="772"/>
      <c r="N166" s="773"/>
      <c r="O166" s="773"/>
      <c r="P166" s="774"/>
    </row>
    <row r="167" spans="13:16" ht="15" customHeight="1">
      <c r="M167" s="772"/>
      <c r="N167" s="773"/>
      <c r="O167" s="773"/>
      <c r="P167" s="774"/>
    </row>
    <row r="168" spans="13:16" ht="15" customHeight="1">
      <c r="M168" s="772"/>
      <c r="N168" s="773"/>
      <c r="O168" s="773"/>
      <c r="P168" s="774"/>
    </row>
    <row r="169" spans="13:16" ht="15" customHeight="1">
      <c r="M169" s="772"/>
      <c r="N169" s="773"/>
      <c r="O169" s="773"/>
      <c r="P169" s="774"/>
    </row>
    <row r="170" spans="13:16" ht="15" customHeight="1">
      <c r="M170" s="772"/>
      <c r="N170" s="773"/>
      <c r="O170" s="773"/>
      <c r="P170" s="774"/>
    </row>
    <row r="171" spans="13:16" ht="15" customHeight="1">
      <c r="M171" s="772"/>
      <c r="N171" s="773"/>
      <c r="O171" s="773"/>
      <c r="P171" s="774"/>
    </row>
    <row r="172" spans="13:16" ht="15" customHeight="1">
      <c r="M172" s="772"/>
      <c r="N172" s="773"/>
      <c r="O172" s="773"/>
      <c r="P172" s="774"/>
    </row>
    <row r="173" spans="13:16" ht="15" customHeight="1">
      <c r="M173" s="772"/>
      <c r="N173" s="773"/>
      <c r="O173" s="773"/>
      <c r="P173" s="774"/>
    </row>
    <row r="174" spans="13:16" ht="15" customHeight="1">
      <c r="M174" s="772"/>
      <c r="N174" s="773"/>
      <c r="O174" s="773"/>
      <c r="P174" s="774"/>
    </row>
    <row r="175" spans="13:16" ht="15" customHeight="1">
      <c r="M175" s="772"/>
      <c r="N175" s="773"/>
      <c r="O175" s="773"/>
      <c r="P175" s="774"/>
    </row>
    <row r="176" spans="13:16" ht="15" customHeight="1">
      <c r="M176" s="772"/>
      <c r="N176" s="773"/>
      <c r="O176" s="773"/>
      <c r="P176" s="774"/>
    </row>
    <row r="177" spans="13:16" ht="15" customHeight="1">
      <c r="M177" s="772"/>
      <c r="N177" s="773"/>
      <c r="O177" s="773"/>
      <c r="P177" s="774"/>
    </row>
    <row r="178" spans="13:16" ht="15" customHeight="1">
      <c r="M178" s="772"/>
      <c r="N178" s="773"/>
      <c r="O178" s="773"/>
      <c r="P178" s="774"/>
    </row>
    <row r="179" spans="13:16" ht="15" customHeight="1">
      <c r="M179" s="772"/>
      <c r="N179" s="773"/>
      <c r="O179" s="773"/>
      <c r="P179" s="774"/>
    </row>
    <row r="180" spans="13:16" ht="15" customHeight="1">
      <c r="M180" s="772"/>
      <c r="N180" s="773"/>
      <c r="O180" s="773"/>
      <c r="P180" s="774"/>
    </row>
    <row r="181" spans="13:16" ht="15" customHeight="1">
      <c r="M181" s="772"/>
      <c r="N181" s="773"/>
      <c r="O181" s="773"/>
      <c r="P181" s="774"/>
    </row>
    <row r="182" spans="13:16" ht="15" customHeight="1">
      <c r="M182" s="772"/>
      <c r="N182" s="773"/>
      <c r="O182" s="773"/>
      <c r="P182" s="774"/>
    </row>
    <row r="183" spans="13:16" ht="15" customHeight="1">
      <c r="M183" s="772"/>
      <c r="N183" s="773"/>
      <c r="O183" s="773"/>
      <c r="P183" s="774"/>
    </row>
    <row r="184" spans="13:16" ht="15" customHeight="1">
      <c r="M184" s="772"/>
      <c r="N184" s="773"/>
      <c r="O184" s="773"/>
      <c r="P184" s="774"/>
    </row>
    <row r="185" spans="13:16" ht="15" customHeight="1">
      <c r="M185" s="772"/>
      <c r="N185" s="773"/>
      <c r="O185" s="773"/>
      <c r="P185" s="774"/>
    </row>
    <row r="186" spans="13:16" ht="15" customHeight="1">
      <c r="M186" s="772"/>
      <c r="N186" s="773"/>
      <c r="O186" s="773"/>
      <c r="P186" s="774"/>
    </row>
    <row r="187" spans="13:16" ht="15" customHeight="1">
      <c r="M187" s="772"/>
      <c r="N187" s="773"/>
      <c r="O187" s="773"/>
      <c r="P187" s="774"/>
    </row>
    <row r="188" spans="13:16" ht="15" customHeight="1">
      <c r="M188" s="772"/>
      <c r="N188" s="773"/>
      <c r="O188" s="773"/>
      <c r="P188" s="774"/>
    </row>
    <row r="189" spans="13:16" ht="15" customHeight="1">
      <c r="M189" s="772"/>
      <c r="N189" s="773"/>
      <c r="O189" s="773"/>
      <c r="P189" s="774"/>
    </row>
    <row r="190" spans="13:16" ht="15" customHeight="1">
      <c r="M190" s="772"/>
      <c r="N190" s="773"/>
      <c r="O190" s="773"/>
      <c r="P190" s="774"/>
    </row>
    <row r="191" spans="13:16" ht="15" customHeight="1">
      <c r="M191" s="772"/>
      <c r="N191" s="773"/>
      <c r="O191" s="773"/>
      <c r="P191" s="774"/>
    </row>
    <row r="192" spans="13:16" ht="15" customHeight="1">
      <c r="M192" s="772"/>
      <c r="N192" s="773"/>
      <c r="O192" s="773"/>
      <c r="P192" s="774"/>
    </row>
    <row r="193" spans="13:16" ht="15" customHeight="1">
      <c r="M193" s="772"/>
      <c r="N193" s="773"/>
      <c r="O193" s="773"/>
      <c r="P193" s="774"/>
    </row>
    <row r="194" spans="13:16" ht="15" customHeight="1">
      <c r="M194" s="772"/>
      <c r="N194" s="773"/>
      <c r="O194" s="773"/>
      <c r="P194" s="774"/>
    </row>
    <row r="195" spans="13:16" ht="15" customHeight="1">
      <c r="M195" s="772"/>
      <c r="N195" s="773"/>
      <c r="O195" s="773"/>
      <c r="P195" s="774"/>
    </row>
    <row r="196" spans="13:16" ht="15" customHeight="1">
      <c r="M196" s="772"/>
      <c r="N196" s="773"/>
      <c r="O196" s="773"/>
      <c r="P196" s="774"/>
    </row>
    <row r="197" spans="13:16" ht="15" customHeight="1">
      <c r="M197" s="772"/>
      <c r="N197" s="773"/>
      <c r="O197" s="773"/>
      <c r="P197" s="774"/>
    </row>
    <row r="198" spans="13:16" ht="15" customHeight="1">
      <c r="M198" s="772"/>
      <c r="N198" s="773"/>
      <c r="O198" s="773"/>
      <c r="P198" s="774"/>
    </row>
    <row r="199" spans="13:16" ht="15" customHeight="1">
      <c r="M199" s="772"/>
      <c r="N199" s="773"/>
      <c r="O199" s="773"/>
      <c r="P199" s="774"/>
    </row>
    <row r="200" spans="13:16" ht="15" customHeight="1">
      <c r="M200" s="772"/>
      <c r="N200" s="773"/>
      <c r="O200" s="773"/>
      <c r="P200" s="774"/>
    </row>
    <row r="201" spans="13:16" ht="15" customHeight="1">
      <c r="M201" s="772"/>
      <c r="N201" s="773"/>
      <c r="O201" s="773"/>
      <c r="P201" s="774"/>
    </row>
    <row r="202" spans="13:16" ht="15" customHeight="1">
      <c r="M202" s="772"/>
      <c r="N202" s="773"/>
      <c r="O202" s="773"/>
      <c r="P202" s="774"/>
    </row>
    <row r="203" spans="13:16" ht="15" customHeight="1">
      <c r="M203" s="766" t="s">
        <v>132</v>
      </c>
      <c r="N203" s="767"/>
      <c r="O203" s="767"/>
      <c r="P203" s="768"/>
    </row>
    <row r="204" spans="13:16" ht="15" customHeight="1">
      <c r="M204" s="769"/>
      <c r="N204" s="770"/>
      <c r="O204" s="770"/>
      <c r="P204" s="771"/>
    </row>
    <row r="205" spans="13:16" ht="15" customHeight="1">
      <c r="M205" s="769"/>
      <c r="N205" s="770"/>
      <c r="O205" s="770"/>
      <c r="P205" s="771"/>
    </row>
    <row r="206" spans="13:16" ht="15" customHeight="1">
      <c r="M206" s="769"/>
      <c r="N206" s="770"/>
      <c r="O206" s="770"/>
      <c r="P206" s="771"/>
    </row>
    <row r="207" spans="13:16" ht="15" customHeight="1">
      <c r="M207" s="769"/>
      <c r="N207" s="770"/>
      <c r="O207" s="770"/>
      <c r="P207" s="771"/>
    </row>
    <row r="208" spans="13:16" ht="15" customHeight="1">
      <c r="M208" s="769"/>
      <c r="N208" s="770"/>
      <c r="O208" s="770"/>
      <c r="P208" s="771"/>
    </row>
    <row r="209" spans="13:16" ht="15" customHeight="1">
      <c r="M209" s="769"/>
      <c r="N209" s="770"/>
      <c r="O209" s="770"/>
      <c r="P209" s="771"/>
    </row>
    <row r="210" spans="13:16" ht="15" customHeight="1">
      <c r="M210" s="769"/>
      <c r="N210" s="770"/>
      <c r="O210" s="770"/>
      <c r="P210" s="771"/>
    </row>
    <row r="211" spans="13:16" ht="15" customHeight="1">
      <c r="M211" s="750" t="s">
        <v>147</v>
      </c>
      <c r="N211" s="751"/>
      <c r="O211" s="751"/>
      <c r="P211" s="752"/>
    </row>
    <row r="288" spans="13:13" ht="15" customHeight="1">
      <c r="M288" s="748" t="s">
        <v>132</v>
      </c>
    </row>
    <row r="296" spans="13:13" ht="15" customHeight="1">
      <c r="M296" s="750" t="s">
        <v>147</v>
      </c>
    </row>
  </sheetData>
  <mergeCells count="8">
    <mergeCell ref="M48:P119"/>
    <mergeCell ref="M120:P127"/>
    <mergeCell ref="M128:P202"/>
    <mergeCell ref="M203:P210"/>
    <mergeCell ref="A1:K1"/>
    <mergeCell ref="M3:P6"/>
    <mergeCell ref="M7:P39"/>
    <mergeCell ref="M40:P47"/>
  </mergeCells>
  <conditionalFormatting sqref="A3:E3 A4:A23 F3:G23 K9:K23 C4:C23 B5:B25">
    <cfRule type="expression" dxfId="5" priority="10">
      <formula>$O3="IN PROGRESS"</formula>
    </cfRule>
    <cfRule type="expression" dxfId="4" priority="11">
      <formula>$O3="N"</formula>
    </cfRule>
    <cfRule type="expression" dxfId="3" priority="12">
      <formula>$O3="Y"</formula>
    </cfRule>
  </conditionalFormatting>
  <conditionalFormatting sqref="B4">
    <cfRule type="expression" dxfId="2" priority="1">
      <formula>$O4="IN PROGRESS"</formula>
    </cfRule>
    <cfRule type="expression" dxfId="1" priority="2">
      <formula>$O4="N"</formula>
    </cfRule>
    <cfRule type="expression" dxfId="0" priority="3">
      <formula>$O4="Y"</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024a32d5-2bf1-43c3-9413-9060af6bd20c">
      <Terms xmlns="http://schemas.microsoft.com/office/infopath/2007/PartnerControls"/>
    </lcf76f155ced4ddcb4097134ff3c332f>
    <TaxCatchAll xmlns="5b58a32f-ba0e-4aad-93c2-9437b34df734"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1581514A77EE064F901B0D11EC84C470" ma:contentTypeVersion="13" ma:contentTypeDescription="Create a new document." ma:contentTypeScope="" ma:versionID="b6e8838a86da343669b11a386848f740">
  <xsd:schema xmlns:xsd="http://www.w3.org/2001/XMLSchema" xmlns:xs="http://www.w3.org/2001/XMLSchema" xmlns:p="http://schemas.microsoft.com/office/2006/metadata/properties" xmlns:ns2="024a32d5-2bf1-43c3-9413-9060af6bd20c" xmlns:ns3="5b58a32f-ba0e-4aad-93c2-9437b34df734" targetNamespace="http://schemas.microsoft.com/office/2006/metadata/properties" ma:root="true" ma:fieldsID="471621fb87f652a1e74da30840f52958" ns2:_="" ns3:_="">
    <xsd:import namespace="024a32d5-2bf1-43c3-9413-9060af6bd20c"/>
    <xsd:import namespace="5b58a32f-ba0e-4aad-93c2-9437b34df734"/>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Location" minOccurs="0"/>
                <xsd:element ref="ns2:MediaServiceGenerationTime" minOccurs="0"/>
                <xsd:element ref="ns2:MediaServiceEventHashCode" minOccurs="0"/>
                <xsd:element ref="ns2:MediaServiceOCR"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24a32d5-2bf1-43c3-9413-9060af6bd20c"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Image Tags" ma:readOnly="false" ma:fieldId="{5cf76f15-5ced-4ddc-b409-7134ff3c332f}" ma:taxonomyMulti="true" ma:sspId="690f7d2d-3abb-42e5-9180-38cc17892959"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b58a32f-ba0e-4aad-93c2-9437b34df734"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5cb67433-82f2-4f14-b695-7773171d5abf}" ma:internalName="TaxCatchAll" ma:showField="CatchAllData" ma:web="5b58a32f-ba0e-4aad-93c2-9437b34df73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DE9736C-1ED1-4735-BC30-60C1256269D1}"/>
</file>

<file path=customXml/itemProps2.xml><?xml version="1.0" encoding="utf-8"?>
<ds:datastoreItem xmlns:ds="http://schemas.openxmlformats.org/officeDocument/2006/customXml" ds:itemID="{5D45E498-AC1E-45BA-9949-D1D8D66BA782}"/>
</file>

<file path=customXml/itemProps3.xml><?xml version="1.0" encoding="utf-8"?>
<ds:datastoreItem xmlns:ds="http://schemas.openxmlformats.org/officeDocument/2006/customXml" ds:itemID="{02B2067E-3225-42BA-9223-37203FA2E0F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Matt Chun</dc:creator>
  <cp:keywords/>
  <dc:description/>
  <cp:lastModifiedBy>Matthew Chun</cp:lastModifiedBy>
  <cp:revision/>
  <dcterms:created xsi:type="dcterms:W3CDTF">2025-06-07T18:50:12Z</dcterms:created>
  <dcterms:modified xsi:type="dcterms:W3CDTF">2025-09-30T02:05:55Z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0x0101001581514A77EE064F901B0D11EC84C470</vt:lpwstr>
  </property>
  <property fmtid="{D5CDD505-2E9C-101B-9397-08002B2CF9AE}" pid="3" name="MediaServiceImageTags">
    <vt:lpwstr/>
  </property>
</Properties>
</file>